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tk sains data\p12 thr\"/>
    </mc:Choice>
  </mc:AlternateContent>
  <xr:revisionPtr revIDLastSave="0" documentId="8_{966672B2-A113-4E49-9889-53881E0B8F36}" xr6:coauthVersionLast="47" xr6:coauthVersionMax="47" xr10:uidLastSave="{00000000-0000-0000-0000-000000000000}"/>
  <bookViews>
    <workbookView xWindow="3440" yWindow="2810" windowWidth="14400" windowHeight="7270" activeTab="2" xr2:uid="{F98D5B89-3D95-4608-83B7-F28202D559B1}"/>
  </bookViews>
  <sheets>
    <sheet name="yield_join_rainfall" sheetId="1" r:id="rId1"/>
    <sheet name="cleaned_dataset" sheetId="2" r:id="rId2"/>
    <sheet name="normalisasi" sheetId="3" r:id="rId3"/>
  </sheets>
  <calcPr calcId="191029"/>
</workbook>
</file>

<file path=xl/calcChain.xml><?xml version="1.0" encoding="utf-8"?>
<calcChain xmlns="http://schemas.openxmlformats.org/spreadsheetml/2006/main">
  <c r="K23" i="3" l="1"/>
  <c r="K22" i="3"/>
  <c r="K19" i="3"/>
  <c r="K12" i="3"/>
  <c r="K18" i="3"/>
  <c r="K11" i="3"/>
  <c r="K17" i="3"/>
  <c r="K16" i="3"/>
  <c r="K13" i="3"/>
  <c r="K14" i="3"/>
  <c r="K15" i="3"/>
  <c r="K8" i="3"/>
  <c r="K7" i="3"/>
  <c r="K6" i="3"/>
  <c r="K5" i="3"/>
  <c r="K4" i="3"/>
  <c r="K3" i="3"/>
  <c r="K2" i="3"/>
  <c r="H3" i="3"/>
  <c r="H4" i="3"/>
  <c r="H5" i="3"/>
  <c r="H6" i="3"/>
  <c r="H7" i="3"/>
  <c r="H8" i="3"/>
  <c r="H9" i="3"/>
  <c r="H10" i="3"/>
  <c r="H11" i="3"/>
  <c r="H12" i="3"/>
  <c r="H13" i="3"/>
  <c r="H14" i="3"/>
  <c r="H15" i="3"/>
  <c r="H16" i="3"/>
  <c r="H17" i="3"/>
  <c r="H18" i="3"/>
  <c r="H19" i="3"/>
  <c r="H20" i="3"/>
  <c r="H21" i="3"/>
  <c r="H22" i="3"/>
  <c r="H23" i="3"/>
  <c r="H24" i="3"/>
  <c r="H25" i="3"/>
  <c r="H26" i="3"/>
  <c r="H27" i="3"/>
  <c r="H28" i="3"/>
  <c r="H29" i="3"/>
  <c r="H30" i="3"/>
  <c r="H31" i="3"/>
  <c r="H32" i="3"/>
  <c r="H33" i="3"/>
  <c r="H34" i="3"/>
  <c r="H35" i="3"/>
  <c r="H36" i="3"/>
  <c r="H37" i="3"/>
  <c r="H38" i="3"/>
  <c r="H39" i="3"/>
  <c r="H40" i="3"/>
  <c r="H41" i="3"/>
  <c r="H42" i="3"/>
  <c r="H43" i="3"/>
  <c r="H44" i="3"/>
  <c r="H45" i="3"/>
  <c r="H46" i="3"/>
  <c r="H47" i="3"/>
  <c r="H48" i="3"/>
  <c r="H49" i="3"/>
  <c r="H50" i="3"/>
  <c r="H51" i="3"/>
  <c r="H52" i="3"/>
  <c r="H53" i="3"/>
  <c r="H54" i="3"/>
  <c r="H55" i="3"/>
  <c r="H56" i="3"/>
  <c r="H57" i="3"/>
  <c r="H58" i="3"/>
  <c r="H59" i="3"/>
  <c r="H60" i="3"/>
  <c r="H61" i="3"/>
  <c r="H62" i="3"/>
  <c r="H63" i="3"/>
  <c r="H64" i="3"/>
  <c r="H65" i="3"/>
  <c r="H66" i="3"/>
  <c r="H67" i="3"/>
  <c r="H68" i="3"/>
  <c r="H69" i="3"/>
  <c r="H70" i="3"/>
  <c r="H71" i="3"/>
  <c r="H72" i="3"/>
  <c r="H73" i="3"/>
  <c r="H74" i="3"/>
  <c r="H75" i="3"/>
  <c r="H76" i="3"/>
  <c r="H77" i="3"/>
  <c r="H78" i="3"/>
  <c r="H79" i="3"/>
  <c r="H80" i="3"/>
  <c r="H81" i="3"/>
  <c r="H82" i="3"/>
  <c r="H83" i="3"/>
  <c r="H84" i="3"/>
  <c r="H85" i="3"/>
  <c r="H86" i="3"/>
  <c r="H87" i="3"/>
  <c r="H88" i="3"/>
  <c r="H89" i="3"/>
  <c r="H90" i="3"/>
  <c r="H91" i="3"/>
  <c r="H92" i="3"/>
  <c r="H93" i="3"/>
  <c r="H94" i="3"/>
  <c r="H95" i="3"/>
  <c r="H96" i="3"/>
  <c r="H97" i="3"/>
  <c r="H98" i="3"/>
  <c r="H99" i="3"/>
  <c r="H100" i="3"/>
  <c r="H101" i="3"/>
  <c r="H102" i="3"/>
  <c r="H103" i="3"/>
  <c r="H104" i="3"/>
  <c r="H105" i="3"/>
  <c r="H106" i="3"/>
  <c r="H107" i="3"/>
  <c r="H108" i="3"/>
  <c r="H109" i="3"/>
  <c r="H110" i="3"/>
  <c r="H111" i="3"/>
  <c r="H112" i="3"/>
  <c r="H113" i="3"/>
  <c r="H114" i="3"/>
  <c r="H115" i="3"/>
  <c r="H116" i="3"/>
  <c r="H117" i="3"/>
  <c r="H118" i="3"/>
  <c r="H119" i="3"/>
  <c r="H120" i="3"/>
  <c r="H121" i="3"/>
  <c r="H122" i="3"/>
  <c r="H123" i="3"/>
  <c r="H124" i="3"/>
  <c r="H125" i="3"/>
  <c r="H126" i="3"/>
  <c r="H127" i="3"/>
  <c r="H128" i="3"/>
  <c r="H129" i="3"/>
  <c r="H130" i="3"/>
  <c r="H131" i="3"/>
  <c r="H132" i="3"/>
  <c r="H133" i="3"/>
  <c r="H134" i="3"/>
  <c r="H135" i="3"/>
  <c r="H136" i="3"/>
  <c r="H137" i="3"/>
  <c r="H138" i="3"/>
  <c r="H139" i="3"/>
  <c r="H140" i="3"/>
  <c r="H141" i="3"/>
  <c r="H142" i="3"/>
  <c r="H143" i="3"/>
  <c r="H144" i="3"/>
  <c r="H145" i="3"/>
  <c r="H146" i="3"/>
  <c r="H147" i="3"/>
  <c r="H148" i="3"/>
  <c r="H149" i="3"/>
  <c r="H150" i="3"/>
  <c r="H151" i="3"/>
  <c r="H152" i="3"/>
  <c r="H153" i="3"/>
  <c r="H154" i="3"/>
  <c r="H155" i="3"/>
  <c r="H156" i="3"/>
  <c r="H157" i="3"/>
  <c r="H158" i="3"/>
  <c r="H159" i="3"/>
  <c r="H160" i="3"/>
  <c r="H161" i="3"/>
  <c r="H162" i="3"/>
  <c r="H163" i="3"/>
  <c r="H164" i="3"/>
  <c r="H165" i="3"/>
  <c r="H166" i="3"/>
  <c r="H167" i="3"/>
  <c r="H168" i="3"/>
  <c r="H169" i="3"/>
  <c r="H170" i="3"/>
  <c r="H171" i="3"/>
  <c r="H172" i="3"/>
  <c r="H173" i="3"/>
  <c r="H174" i="3"/>
  <c r="H175" i="3"/>
  <c r="H176" i="3"/>
  <c r="H177" i="3"/>
  <c r="H178" i="3"/>
  <c r="H179" i="3"/>
  <c r="H180" i="3"/>
  <c r="H181" i="3"/>
  <c r="H182" i="3"/>
  <c r="H183" i="3"/>
  <c r="H184" i="3"/>
  <c r="H185" i="3"/>
  <c r="H186" i="3"/>
  <c r="H187" i="3"/>
  <c r="H188" i="3"/>
  <c r="H189" i="3"/>
  <c r="H190" i="3"/>
  <c r="H191" i="3"/>
  <c r="H192" i="3"/>
  <c r="H193" i="3"/>
  <c r="H194" i="3"/>
  <c r="H195" i="3"/>
  <c r="H196" i="3"/>
  <c r="H197" i="3"/>
  <c r="H198" i="3"/>
  <c r="H199" i="3"/>
  <c r="H200" i="3"/>
  <c r="H201" i="3"/>
  <c r="H202" i="3"/>
  <c r="H203" i="3"/>
  <c r="H204" i="3"/>
  <c r="H205" i="3"/>
  <c r="H206" i="3"/>
  <c r="H207" i="3"/>
  <c r="H208" i="3"/>
  <c r="H209" i="3"/>
  <c r="H210" i="3"/>
  <c r="H211" i="3"/>
  <c r="H212" i="3"/>
  <c r="H213" i="3"/>
  <c r="H214" i="3"/>
  <c r="H215" i="3"/>
  <c r="H216" i="3"/>
  <c r="H217" i="3"/>
  <c r="H218" i="3"/>
  <c r="H219" i="3"/>
  <c r="H220" i="3"/>
  <c r="H221" i="3"/>
  <c r="H222" i="3"/>
  <c r="H223" i="3"/>
  <c r="H224" i="3"/>
  <c r="H225" i="3"/>
  <c r="H226" i="3"/>
  <c r="H227" i="3"/>
  <c r="H228" i="3"/>
  <c r="H229" i="3"/>
  <c r="H230" i="3"/>
  <c r="H231" i="3"/>
  <c r="H232" i="3"/>
  <c r="H233" i="3"/>
  <c r="H234" i="3"/>
  <c r="H235" i="3"/>
  <c r="H236" i="3"/>
  <c r="H237" i="3"/>
  <c r="H238" i="3"/>
  <c r="H239" i="3"/>
  <c r="H240" i="3"/>
  <c r="H241" i="3"/>
  <c r="H242" i="3"/>
  <c r="H243" i="3"/>
  <c r="H244" i="3"/>
  <c r="H245" i="3"/>
  <c r="H246" i="3"/>
  <c r="H247" i="3"/>
  <c r="H248" i="3"/>
  <c r="H249" i="3"/>
  <c r="H250" i="3"/>
  <c r="H251" i="3"/>
  <c r="H252" i="3"/>
  <c r="H253" i="3"/>
  <c r="H254" i="3"/>
  <c r="H255" i="3"/>
  <c r="H256" i="3"/>
  <c r="H257" i="3"/>
  <c r="H258" i="3"/>
  <c r="H259" i="3"/>
  <c r="H260" i="3"/>
  <c r="H261" i="3"/>
  <c r="H262" i="3"/>
  <c r="H263" i="3"/>
  <c r="H264" i="3"/>
  <c r="H265" i="3"/>
  <c r="H266" i="3"/>
  <c r="H267" i="3"/>
  <c r="H268" i="3"/>
  <c r="H269" i="3"/>
  <c r="H270" i="3"/>
  <c r="H271" i="3"/>
  <c r="H272" i="3"/>
  <c r="H273" i="3"/>
  <c r="H274" i="3"/>
  <c r="H275" i="3"/>
  <c r="H276" i="3"/>
  <c r="H277" i="3"/>
  <c r="H278" i="3"/>
  <c r="H279" i="3"/>
  <c r="H280" i="3"/>
  <c r="H281" i="3"/>
  <c r="H282" i="3"/>
  <c r="H283" i="3"/>
  <c r="H284" i="3"/>
  <c r="H285" i="3"/>
  <c r="H286" i="3"/>
  <c r="H287" i="3"/>
  <c r="H288" i="3"/>
  <c r="H289" i="3"/>
  <c r="H290" i="3"/>
  <c r="H291" i="3"/>
  <c r="H292" i="3"/>
  <c r="H293" i="3"/>
  <c r="H294" i="3"/>
  <c r="H295" i="3"/>
  <c r="H296" i="3"/>
  <c r="H297" i="3"/>
  <c r="H298" i="3"/>
  <c r="H299" i="3"/>
  <c r="H300" i="3"/>
  <c r="H301" i="3"/>
  <c r="H302" i="3"/>
  <c r="H303" i="3"/>
  <c r="H304" i="3"/>
  <c r="H305" i="3"/>
  <c r="H306" i="3"/>
  <c r="H307" i="3"/>
  <c r="H308" i="3"/>
  <c r="H309" i="3"/>
  <c r="H310" i="3"/>
  <c r="H311" i="3"/>
  <c r="H312" i="3"/>
  <c r="H313" i="3"/>
  <c r="H314" i="3"/>
  <c r="H315" i="3"/>
  <c r="H316" i="3"/>
  <c r="H317" i="3"/>
  <c r="H318" i="3"/>
  <c r="H319" i="3"/>
  <c r="H320" i="3"/>
  <c r="H321" i="3"/>
  <c r="H322" i="3"/>
  <c r="H323" i="3"/>
  <c r="H324" i="3"/>
  <c r="H325" i="3"/>
  <c r="H326" i="3"/>
  <c r="H327" i="3"/>
  <c r="H328" i="3"/>
  <c r="H329" i="3"/>
  <c r="H330" i="3"/>
  <c r="H331" i="3"/>
  <c r="H332" i="3"/>
  <c r="H333" i="3"/>
  <c r="H334" i="3"/>
  <c r="H335" i="3"/>
  <c r="H336" i="3"/>
  <c r="H337" i="3"/>
  <c r="H338" i="3"/>
  <c r="H339" i="3"/>
  <c r="H340" i="3"/>
  <c r="H341" i="3"/>
  <c r="H342" i="3"/>
  <c r="H343" i="3"/>
  <c r="H344" i="3"/>
  <c r="H345" i="3"/>
  <c r="H346" i="3"/>
  <c r="H347" i="3"/>
  <c r="H348" i="3"/>
  <c r="H349" i="3"/>
  <c r="H350" i="3"/>
  <c r="H351" i="3"/>
  <c r="H352" i="3"/>
  <c r="H353" i="3"/>
  <c r="H354" i="3"/>
  <c r="H355" i="3"/>
  <c r="H356" i="3"/>
  <c r="H357" i="3"/>
  <c r="H358" i="3"/>
  <c r="H359" i="3"/>
  <c r="H360" i="3"/>
  <c r="H361" i="3"/>
  <c r="H362" i="3"/>
  <c r="H363" i="3"/>
  <c r="H364" i="3"/>
  <c r="H365" i="3"/>
  <c r="H366" i="3"/>
  <c r="H367" i="3"/>
  <c r="H368" i="3"/>
  <c r="H369" i="3"/>
  <c r="H370" i="3"/>
  <c r="H371" i="3"/>
  <c r="H372" i="3"/>
  <c r="H373" i="3"/>
  <c r="H374" i="3"/>
  <c r="H375" i="3"/>
  <c r="H376" i="3"/>
  <c r="H377" i="3"/>
  <c r="H378" i="3"/>
  <c r="H379" i="3"/>
  <c r="H380" i="3"/>
  <c r="H381" i="3"/>
  <c r="H382" i="3"/>
  <c r="H383" i="3"/>
  <c r="H384" i="3"/>
  <c r="H385" i="3"/>
  <c r="H386" i="3"/>
  <c r="H387" i="3"/>
  <c r="H388" i="3"/>
  <c r="H389" i="3"/>
  <c r="H390" i="3"/>
  <c r="H391" i="3"/>
  <c r="H392" i="3"/>
  <c r="H393" i="3"/>
  <c r="H394" i="3"/>
  <c r="H395" i="3"/>
  <c r="H396" i="3"/>
  <c r="H397" i="3"/>
  <c r="H398" i="3"/>
  <c r="H399" i="3"/>
  <c r="H400" i="3"/>
  <c r="H401" i="3"/>
  <c r="H402" i="3"/>
  <c r="H403" i="3"/>
  <c r="H404" i="3"/>
  <c r="H405" i="3"/>
  <c r="H406" i="3"/>
  <c r="H407" i="3"/>
  <c r="H408" i="3"/>
  <c r="H409" i="3"/>
  <c r="H410" i="3"/>
  <c r="H411" i="3"/>
  <c r="H412" i="3"/>
  <c r="H413" i="3"/>
  <c r="H414" i="3"/>
  <c r="H415" i="3"/>
  <c r="H416" i="3"/>
  <c r="H417" i="3"/>
  <c r="H418" i="3"/>
  <c r="H419" i="3"/>
  <c r="H420" i="3"/>
  <c r="H421" i="3"/>
  <c r="H422" i="3"/>
  <c r="H423" i="3"/>
  <c r="H424" i="3"/>
  <c r="H425" i="3"/>
  <c r="H426" i="3"/>
  <c r="H427" i="3"/>
  <c r="H428" i="3"/>
  <c r="H429" i="3"/>
  <c r="H430" i="3"/>
  <c r="H431" i="3"/>
  <c r="H432" i="3"/>
  <c r="H433" i="3"/>
  <c r="H434" i="3"/>
  <c r="H435" i="3"/>
  <c r="H436" i="3"/>
  <c r="H437" i="3"/>
  <c r="H438" i="3"/>
  <c r="H439" i="3"/>
  <c r="H440" i="3"/>
  <c r="H441" i="3"/>
  <c r="H442" i="3"/>
  <c r="H443" i="3"/>
  <c r="H444" i="3"/>
  <c r="H445" i="3"/>
  <c r="H446" i="3"/>
  <c r="H447" i="3"/>
  <c r="H448" i="3"/>
  <c r="H449" i="3"/>
  <c r="H450" i="3"/>
  <c r="H451" i="3"/>
  <c r="H452" i="3"/>
  <c r="H453" i="3"/>
  <c r="H454" i="3"/>
  <c r="H455" i="3"/>
  <c r="H456" i="3"/>
  <c r="H457" i="3"/>
  <c r="H458" i="3"/>
  <c r="H459" i="3"/>
  <c r="H460" i="3"/>
  <c r="H461" i="3"/>
  <c r="H462" i="3"/>
  <c r="H463" i="3"/>
  <c r="H464" i="3"/>
  <c r="H465" i="3"/>
  <c r="H466" i="3"/>
  <c r="H467" i="3"/>
  <c r="H468" i="3"/>
  <c r="H469" i="3"/>
  <c r="H470" i="3"/>
  <c r="H471" i="3"/>
  <c r="H472" i="3"/>
  <c r="H473" i="3"/>
  <c r="H474" i="3"/>
  <c r="H475" i="3"/>
  <c r="H476" i="3"/>
  <c r="H477" i="3"/>
  <c r="H478" i="3"/>
  <c r="H479" i="3"/>
  <c r="H480" i="3"/>
  <c r="H481" i="3"/>
  <c r="H482" i="3"/>
  <c r="H483" i="3"/>
  <c r="H484" i="3"/>
  <c r="H485" i="3"/>
  <c r="H486" i="3"/>
  <c r="H487" i="3"/>
  <c r="H488" i="3"/>
  <c r="H489" i="3"/>
  <c r="H490" i="3"/>
  <c r="H491" i="3"/>
  <c r="H492" i="3"/>
  <c r="H493" i="3"/>
  <c r="H494" i="3"/>
  <c r="H495" i="3"/>
  <c r="H496" i="3"/>
  <c r="H497" i="3"/>
  <c r="H498" i="3"/>
  <c r="H499" i="3"/>
  <c r="H500" i="3"/>
  <c r="H501" i="3"/>
  <c r="H502" i="3"/>
  <c r="H503" i="3"/>
  <c r="H504" i="3"/>
  <c r="H505" i="3"/>
  <c r="H506" i="3"/>
  <c r="H507" i="3"/>
  <c r="H508" i="3"/>
  <c r="H509" i="3"/>
  <c r="H510" i="3"/>
  <c r="H511" i="3"/>
  <c r="H512" i="3"/>
  <c r="H513" i="3"/>
  <c r="H514" i="3"/>
  <c r="H515" i="3"/>
  <c r="H516" i="3"/>
  <c r="H517" i="3"/>
  <c r="H518" i="3"/>
  <c r="H519" i="3"/>
  <c r="H520" i="3"/>
  <c r="H521" i="3"/>
  <c r="H522" i="3"/>
  <c r="H523" i="3"/>
  <c r="H524" i="3"/>
  <c r="H525" i="3"/>
  <c r="H526" i="3"/>
  <c r="H527" i="3"/>
  <c r="H528" i="3"/>
  <c r="H529" i="3"/>
  <c r="H530" i="3"/>
  <c r="H531" i="3"/>
  <c r="H532" i="3"/>
  <c r="H533" i="3"/>
  <c r="H534" i="3"/>
  <c r="H535" i="3"/>
  <c r="H536" i="3"/>
  <c r="H537" i="3"/>
  <c r="H538" i="3"/>
  <c r="H539" i="3"/>
  <c r="H540" i="3"/>
  <c r="H541" i="3"/>
  <c r="H542" i="3"/>
  <c r="H543" i="3"/>
  <c r="H544" i="3"/>
  <c r="H545" i="3"/>
  <c r="H546" i="3"/>
  <c r="H547" i="3"/>
  <c r="H548" i="3"/>
  <c r="H549" i="3"/>
  <c r="H550" i="3"/>
  <c r="H551" i="3"/>
  <c r="H552" i="3"/>
  <c r="H553" i="3"/>
  <c r="H554" i="3"/>
  <c r="H555" i="3"/>
  <c r="H556" i="3"/>
  <c r="H557" i="3"/>
  <c r="H558" i="3"/>
  <c r="H559" i="3"/>
  <c r="H560" i="3"/>
  <c r="H561" i="3"/>
  <c r="H562" i="3"/>
  <c r="H563" i="3"/>
  <c r="H564" i="3"/>
  <c r="H565" i="3"/>
  <c r="H566" i="3"/>
  <c r="H567" i="3"/>
  <c r="H568" i="3"/>
  <c r="H569" i="3"/>
  <c r="H570" i="3"/>
  <c r="H571" i="3"/>
  <c r="H572" i="3"/>
  <c r="H573" i="3"/>
  <c r="H574" i="3"/>
  <c r="H575" i="3"/>
  <c r="H576" i="3"/>
  <c r="H577" i="3"/>
  <c r="H578" i="3"/>
  <c r="H579" i="3"/>
  <c r="H580" i="3"/>
  <c r="H581" i="3"/>
  <c r="H582" i="3"/>
  <c r="H583" i="3"/>
  <c r="H584" i="3"/>
  <c r="H585" i="3"/>
  <c r="H586" i="3"/>
  <c r="H587" i="3"/>
  <c r="H588" i="3"/>
  <c r="H589" i="3"/>
  <c r="H590" i="3"/>
  <c r="H591" i="3"/>
  <c r="H592" i="3"/>
  <c r="H593" i="3"/>
  <c r="H594" i="3"/>
  <c r="H595" i="3"/>
  <c r="H596" i="3"/>
  <c r="H597" i="3"/>
  <c r="H598" i="3"/>
  <c r="H599" i="3"/>
  <c r="H600" i="3"/>
  <c r="H601" i="3"/>
  <c r="H602" i="3"/>
  <c r="H603" i="3"/>
  <c r="H604" i="3"/>
  <c r="H605" i="3"/>
  <c r="H606" i="3"/>
  <c r="H607" i="3"/>
  <c r="H608" i="3"/>
  <c r="H609" i="3"/>
  <c r="H610" i="3"/>
  <c r="H611" i="3"/>
  <c r="H612" i="3"/>
  <c r="H613" i="3"/>
  <c r="H614" i="3"/>
  <c r="H615" i="3"/>
  <c r="H616" i="3"/>
  <c r="H617" i="3"/>
  <c r="H618" i="3"/>
  <c r="H619" i="3"/>
  <c r="H620" i="3"/>
  <c r="H621" i="3"/>
  <c r="H622" i="3"/>
  <c r="H623" i="3"/>
  <c r="H624" i="3"/>
  <c r="H625" i="3"/>
  <c r="H626" i="3"/>
  <c r="H627" i="3"/>
  <c r="H628" i="3"/>
  <c r="H629" i="3"/>
  <c r="H630" i="3"/>
  <c r="H631" i="3"/>
  <c r="H632" i="3"/>
  <c r="H633" i="3"/>
  <c r="H634" i="3"/>
  <c r="H635" i="3"/>
  <c r="H636" i="3"/>
  <c r="H637" i="3"/>
  <c r="H638" i="3"/>
  <c r="H639" i="3"/>
  <c r="H640" i="3"/>
  <c r="H641" i="3"/>
  <c r="H642" i="3"/>
  <c r="H643" i="3"/>
  <c r="H644" i="3"/>
  <c r="H645" i="3"/>
  <c r="H646" i="3"/>
  <c r="H647" i="3"/>
  <c r="H648" i="3"/>
  <c r="H649" i="3"/>
  <c r="H650" i="3"/>
  <c r="H651" i="3"/>
  <c r="H652" i="3"/>
  <c r="H653" i="3"/>
  <c r="H654" i="3"/>
  <c r="H655" i="3"/>
  <c r="H656" i="3"/>
  <c r="H657" i="3"/>
  <c r="H658" i="3"/>
  <c r="H659" i="3"/>
  <c r="H660" i="3"/>
  <c r="H661" i="3"/>
  <c r="H662" i="3"/>
  <c r="H663" i="3"/>
  <c r="H664" i="3"/>
  <c r="H665" i="3"/>
  <c r="H666" i="3"/>
  <c r="H667" i="3"/>
  <c r="H668" i="3"/>
  <c r="H669" i="3"/>
  <c r="H670" i="3"/>
  <c r="H671" i="3"/>
  <c r="H672" i="3"/>
  <c r="H673" i="3"/>
  <c r="H674" i="3"/>
  <c r="H675" i="3"/>
  <c r="H676" i="3"/>
  <c r="H677" i="3"/>
  <c r="H678" i="3"/>
  <c r="H679" i="3"/>
  <c r="H680" i="3"/>
  <c r="H681" i="3"/>
  <c r="H682" i="3"/>
  <c r="H683" i="3"/>
  <c r="H684" i="3"/>
  <c r="H685" i="3"/>
  <c r="H686" i="3"/>
  <c r="H687" i="3"/>
  <c r="H688" i="3"/>
  <c r="H689" i="3"/>
  <c r="H690" i="3"/>
  <c r="H691" i="3"/>
  <c r="H692" i="3"/>
  <c r="H693" i="3"/>
  <c r="H694" i="3"/>
  <c r="H695" i="3"/>
  <c r="H696" i="3"/>
  <c r="H697" i="3"/>
  <c r="H698" i="3"/>
  <c r="H699" i="3"/>
  <c r="H700" i="3"/>
  <c r="H701" i="3"/>
  <c r="H702" i="3"/>
  <c r="H703" i="3"/>
  <c r="H704" i="3"/>
  <c r="H705" i="3"/>
  <c r="H706" i="3"/>
  <c r="H707" i="3"/>
  <c r="H708" i="3"/>
  <c r="H709" i="3"/>
  <c r="H710" i="3"/>
  <c r="H711" i="3"/>
  <c r="H712" i="3"/>
  <c r="H713" i="3"/>
  <c r="H714" i="3"/>
  <c r="H715" i="3"/>
  <c r="H716" i="3"/>
  <c r="H717" i="3"/>
  <c r="H718" i="3"/>
  <c r="H719" i="3"/>
  <c r="H720" i="3"/>
  <c r="H721" i="3"/>
  <c r="H722" i="3"/>
  <c r="H723" i="3"/>
  <c r="H724" i="3"/>
  <c r="H725" i="3"/>
  <c r="H726" i="3"/>
  <c r="H727" i="3"/>
  <c r="H728" i="3"/>
  <c r="H729" i="3"/>
  <c r="H730" i="3"/>
  <c r="H731" i="3"/>
  <c r="H732" i="3"/>
  <c r="H733" i="3"/>
  <c r="H734" i="3"/>
  <c r="H735" i="3"/>
  <c r="H736" i="3"/>
  <c r="H737" i="3"/>
  <c r="H738" i="3"/>
  <c r="H739" i="3"/>
  <c r="H740" i="3"/>
  <c r="H741" i="3"/>
  <c r="H742" i="3"/>
  <c r="H743" i="3"/>
  <c r="H744" i="3"/>
  <c r="H745" i="3"/>
  <c r="H746" i="3"/>
  <c r="H747" i="3"/>
  <c r="H748" i="3"/>
  <c r="H749" i="3"/>
  <c r="H750" i="3"/>
  <c r="H751" i="3"/>
  <c r="H752" i="3"/>
  <c r="H753" i="3"/>
  <c r="H754" i="3"/>
  <c r="H755" i="3"/>
  <c r="H756" i="3"/>
  <c r="H757" i="3"/>
  <c r="H758" i="3"/>
  <c r="H759" i="3"/>
  <c r="H760" i="3"/>
  <c r="H761" i="3"/>
  <c r="H762" i="3"/>
  <c r="H763" i="3"/>
  <c r="H764" i="3"/>
  <c r="H765" i="3"/>
  <c r="H766" i="3"/>
  <c r="H767" i="3"/>
  <c r="H768" i="3"/>
  <c r="H769" i="3"/>
  <c r="H770" i="3"/>
  <c r="H771" i="3"/>
  <c r="H772" i="3"/>
  <c r="H773" i="3"/>
  <c r="H774" i="3"/>
  <c r="H775" i="3"/>
  <c r="H776" i="3"/>
  <c r="H777" i="3"/>
  <c r="H778" i="3"/>
  <c r="H779" i="3"/>
  <c r="H780" i="3"/>
  <c r="H781" i="3"/>
  <c r="H782" i="3"/>
  <c r="H783" i="3"/>
  <c r="H784" i="3"/>
  <c r="H785" i="3"/>
  <c r="H786" i="3"/>
  <c r="H787" i="3"/>
  <c r="H788" i="3"/>
  <c r="H789" i="3"/>
  <c r="H790" i="3"/>
  <c r="H791" i="3"/>
  <c r="H792" i="3"/>
  <c r="H793" i="3"/>
  <c r="H794" i="3"/>
  <c r="H795" i="3"/>
  <c r="H796" i="3"/>
  <c r="H797" i="3"/>
  <c r="H798" i="3"/>
  <c r="H799" i="3"/>
  <c r="H800" i="3"/>
  <c r="H801" i="3"/>
  <c r="H802" i="3"/>
  <c r="H803" i="3"/>
  <c r="H804" i="3"/>
  <c r="H805" i="3"/>
  <c r="H806" i="3"/>
  <c r="H807" i="3"/>
  <c r="H808" i="3"/>
  <c r="H809" i="3"/>
  <c r="H810" i="3"/>
  <c r="H811" i="3"/>
  <c r="H812" i="3"/>
  <c r="H813" i="3"/>
  <c r="H814" i="3"/>
  <c r="H815" i="3"/>
  <c r="H816" i="3"/>
  <c r="H817" i="3"/>
  <c r="H818" i="3"/>
  <c r="H819" i="3"/>
  <c r="H820" i="3"/>
  <c r="H821" i="3"/>
  <c r="H822" i="3"/>
  <c r="H823" i="3"/>
  <c r="H824" i="3"/>
  <c r="H825" i="3"/>
  <c r="H826" i="3"/>
  <c r="H827" i="3"/>
  <c r="H828" i="3"/>
  <c r="H829" i="3"/>
  <c r="H830" i="3"/>
  <c r="H831" i="3"/>
  <c r="H832" i="3"/>
  <c r="H833" i="3"/>
  <c r="H834" i="3"/>
  <c r="H835" i="3"/>
  <c r="H836" i="3"/>
  <c r="H837" i="3"/>
  <c r="H838" i="3"/>
  <c r="H839" i="3"/>
  <c r="H840" i="3"/>
  <c r="H841" i="3"/>
  <c r="H842" i="3"/>
  <c r="H843" i="3"/>
  <c r="H844" i="3"/>
  <c r="H845" i="3"/>
  <c r="H846" i="3"/>
  <c r="H847" i="3"/>
  <c r="H848" i="3"/>
  <c r="H849" i="3"/>
  <c r="H850" i="3"/>
  <c r="H851" i="3"/>
  <c r="H852" i="3"/>
  <c r="H853" i="3"/>
  <c r="H854" i="3"/>
  <c r="H855" i="3"/>
  <c r="H856" i="3"/>
  <c r="H857" i="3"/>
  <c r="H858" i="3"/>
  <c r="H859" i="3"/>
  <c r="H860" i="3"/>
  <c r="H861" i="3"/>
  <c r="H862" i="3"/>
  <c r="H863" i="3"/>
  <c r="H864" i="3"/>
  <c r="H865" i="3"/>
  <c r="H866" i="3"/>
  <c r="H867" i="3"/>
  <c r="H868" i="3"/>
  <c r="H869" i="3"/>
  <c r="H870" i="3"/>
  <c r="H871" i="3"/>
  <c r="H872" i="3"/>
  <c r="H873" i="3"/>
  <c r="H874" i="3"/>
  <c r="H875" i="3"/>
  <c r="H876" i="3"/>
  <c r="H877" i="3"/>
  <c r="H878" i="3"/>
  <c r="H879" i="3"/>
  <c r="H880" i="3"/>
  <c r="H881" i="3"/>
  <c r="H882" i="3"/>
  <c r="H883" i="3"/>
  <c r="H884" i="3"/>
  <c r="H885" i="3"/>
  <c r="H886" i="3"/>
  <c r="H887" i="3"/>
  <c r="H888" i="3"/>
  <c r="H889" i="3"/>
  <c r="H890" i="3"/>
  <c r="H891" i="3"/>
  <c r="H892" i="3"/>
  <c r="H893" i="3"/>
  <c r="H894" i="3"/>
  <c r="H895" i="3"/>
  <c r="H896" i="3"/>
  <c r="H897" i="3"/>
  <c r="H898" i="3"/>
  <c r="H899" i="3"/>
  <c r="H900" i="3"/>
  <c r="H901" i="3"/>
  <c r="H902" i="3"/>
  <c r="H903" i="3"/>
  <c r="H904" i="3"/>
  <c r="H905" i="3"/>
  <c r="H906" i="3"/>
  <c r="H907" i="3"/>
  <c r="H908" i="3"/>
  <c r="H909" i="3"/>
  <c r="H910" i="3"/>
  <c r="H911" i="3"/>
  <c r="H912" i="3"/>
  <c r="H913" i="3"/>
  <c r="H914" i="3"/>
  <c r="H915" i="3"/>
  <c r="H916" i="3"/>
  <c r="H917" i="3"/>
  <c r="H918" i="3"/>
  <c r="H919" i="3"/>
  <c r="H920" i="3"/>
  <c r="H921" i="3"/>
  <c r="H922" i="3"/>
  <c r="H923" i="3"/>
  <c r="H924" i="3"/>
  <c r="H925" i="3"/>
  <c r="H926" i="3"/>
  <c r="H927" i="3"/>
  <c r="H928" i="3"/>
  <c r="H929" i="3"/>
  <c r="H930" i="3"/>
  <c r="H931" i="3"/>
  <c r="H932" i="3"/>
  <c r="H933" i="3"/>
  <c r="H934" i="3"/>
  <c r="H935" i="3"/>
  <c r="H936" i="3"/>
  <c r="H937" i="3"/>
  <c r="H938" i="3"/>
  <c r="H939" i="3"/>
  <c r="H940" i="3"/>
  <c r="H941" i="3"/>
  <c r="H942" i="3"/>
  <c r="H943" i="3"/>
  <c r="H944" i="3"/>
  <c r="H945" i="3"/>
  <c r="H946" i="3"/>
  <c r="H947" i="3"/>
  <c r="H948" i="3"/>
  <c r="H949" i="3"/>
  <c r="H950" i="3"/>
  <c r="H951" i="3"/>
  <c r="H952" i="3"/>
  <c r="H953" i="3"/>
  <c r="H954" i="3"/>
  <c r="H955" i="3"/>
  <c r="H956" i="3"/>
  <c r="H957" i="3"/>
  <c r="H958" i="3"/>
  <c r="H959" i="3"/>
  <c r="H960" i="3"/>
  <c r="H961" i="3"/>
  <c r="H962" i="3"/>
  <c r="H963" i="3"/>
  <c r="H964" i="3"/>
  <c r="H965" i="3"/>
  <c r="H966" i="3"/>
  <c r="H967" i="3"/>
  <c r="H968" i="3"/>
  <c r="H969" i="3"/>
  <c r="H970" i="3"/>
  <c r="H971" i="3"/>
  <c r="H972" i="3"/>
  <c r="H973" i="3"/>
  <c r="H974" i="3"/>
  <c r="H975" i="3"/>
  <c r="H976" i="3"/>
  <c r="H977" i="3"/>
  <c r="H978" i="3"/>
  <c r="H979" i="3"/>
  <c r="H980" i="3"/>
  <c r="H981" i="3"/>
  <c r="H982" i="3"/>
  <c r="H983" i="3"/>
  <c r="H984" i="3"/>
  <c r="H985" i="3"/>
  <c r="H986" i="3"/>
  <c r="H987" i="3"/>
  <c r="H988" i="3"/>
  <c r="H989" i="3"/>
  <c r="H990" i="3"/>
  <c r="H991" i="3"/>
  <c r="H992" i="3"/>
  <c r="H993" i="3"/>
  <c r="H994" i="3"/>
  <c r="H995" i="3"/>
  <c r="H996" i="3"/>
  <c r="H997" i="3"/>
  <c r="H998" i="3"/>
  <c r="H999" i="3"/>
  <c r="H1000" i="3"/>
  <c r="H1001" i="3"/>
  <c r="H1002" i="3"/>
  <c r="H1003" i="3"/>
  <c r="H1004" i="3"/>
  <c r="H1005" i="3"/>
  <c r="H1006" i="3"/>
  <c r="H1007" i="3"/>
  <c r="H1008" i="3"/>
  <c r="H1009" i="3"/>
  <c r="H1010" i="3"/>
  <c r="H1011" i="3"/>
  <c r="H1012" i="3"/>
  <c r="H1013" i="3"/>
  <c r="H1014" i="3"/>
  <c r="H1015" i="3"/>
  <c r="H1016" i="3"/>
  <c r="H1017" i="3"/>
  <c r="H1018" i="3"/>
  <c r="H1019" i="3"/>
  <c r="H1020" i="3"/>
  <c r="H1021" i="3"/>
  <c r="H1022" i="3"/>
  <c r="H1023" i="3"/>
  <c r="H1024" i="3"/>
  <c r="H1025" i="3"/>
  <c r="H1026" i="3"/>
  <c r="H1027" i="3"/>
  <c r="H1028" i="3"/>
  <c r="H1029" i="3"/>
  <c r="H1030" i="3"/>
  <c r="H1031" i="3"/>
  <c r="H1032" i="3"/>
  <c r="H1033" i="3"/>
  <c r="H1034" i="3"/>
  <c r="H1035" i="3"/>
  <c r="H1036" i="3"/>
  <c r="H1037" i="3"/>
  <c r="H1038" i="3"/>
  <c r="H1039" i="3"/>
  <c r="H1040" i="3"/>
  <c r="H1041" i="3"/>
  <c r="H1042" i="3"/>
  <c r="H1043" i="3"/>
  <c r="H1044" i="3"/>
  <c r="H1045" i="3"/>
  <c r="H1046" i="3"/>
  <c r="H1047" i="3"/>
  <c r="H1048" i="3"/>
  <c r="H1049" i="3"/>
  <c r="H1050" i="3"/>
  <c r="H1051" i="3"/>
  <c r="H1052" i="3"/>
  <c r="H1053" i="3"/>
  <c r="H1054" i="3"/>
  <c r="H1055" i="3"/>
  <c r="H1056" i="3"/>
  <c r="H1057" i="3"/>
  <c r="H1058" i="3"/>
  <c r="H1059" i="3"/>
  <c r="H1060" i="3"/>
  <c r="H1061" i="3"/>
  <c r="H1062" i="3"/>
  <c r="H1063" i="3"/>
  <c r="H1064" i="3"/>
  <c r="H1065" i="3"/>
  <c r="H1066" i="3"/>
  <c r="H1067" i="3"/>
  <c r="H1068" i="3"/>
  <c r="H1069" i="3"/>
  <c r="H1070" i="3"/>
  <c r="H1071" i="3"/>
  <c r="H1072" i="3"/>
  <c r="H1073" i="3"/>
  <c r="H1074" i="3"/>
  <c r="H1075" i="3"/>
  <c r="H1076" i="3"/>
  <c r="H1077" i="3"/>
  <c r="H1078" i="3"/>
  <c r="H1079" i="3"/>
  <c r="H1080" i="3"/>
  <c r="H1081" i="3"/>
  <c r="H1082" i="3"/>
  <c r="H1083" i="3"/>
  <c r="H1084" i="3"/>
  <c r="H1085" i="3"/>
  <c r="H1086" i="3"/>
  <c r="H1087" i="3"/>
  <c r="H1088" i="3"/>
  <c r="H1089" i="3"/>
  <c r="H1090" i="3"/>
  <c r="H1091" i="3"/>
  <c r="H1092" i="3"/>
  <c r="H1093" i="3"/>
  <c r="H1094" i="3"/>
  <c r="H1095" i="3"/>
  <c r="H1096" i="3"/>
  <c r="H1097" i="3"/>
  <c r="H1098" i="3"/>
  <c r="H1099" i="3"/>
  <c r="H1100" i="3"/>
  <c r="H1101" i="3"/>
  <c r="H1102" i="3"/>
  <c r="H1103" i="3"/>
  <c r="H1104" i="3"/>
  <c r="H1105" i="3"/>
  <c r="H1106" i="3"/>
  <c r="H1107" i="3"/>
  <c r="H1108" i="3"/>
  <c r="H1109" i="3"/>
  <c r="H1110" i="3"/>
  <c r="H1111" i="3"/>
  <c r="H1112" i="3"/>
  <c r="H1113" i="3"/>
  <c r="H1114" i="3"/>
  <c r="H1115" i="3"/>
  <c r="H1116" i="3"/>
  <c r="H1117" i="3"/>
  <c r="H1118" i="3"/>
  <c r="H1119" i="3"/>
  <c r="H1120" i="3"/>
  <c r="H1121" i="3"/>
  <c r="H1122" i="3"/>
  <c r="H1123" i="3"/>
  <c r="H1124" i="3"/>
  <c r="H1125" i="3"/>
  <c r="H1126" i="3"/>
  <c r="H1127" i="3"/>
  <c r="H1128" i="3"/>
  <c r="H1129" i="3"/>
  <c r="H1130" i="3"/>
  <c r="H1131" i="3"/>
  <c r="H1132" i="3"/>
  <c r="H1133" i="3"/>
  <c r="H1134" i="3"/>
  <c r="H1135" i="3"/>
  <c r="H1136" i="3"/>
  <c r="H1137" i="3"/>
  <c r="H1138" i="3"/>
  <c r="H1139" i="3"/>
  <c r="H1140" i="3"/>
  <c r="H1141" i="3"/>
  <c r="H1142" i="3"/>
  <c r="H1143" i="3"/>
  <c r="H1144" i="3"/>
  <c r="H1145" i="3"/>
  <c r="H1146" i="3"/>
  <c r="H1147" i="3"/>
  <c r="H1148" i="3"/>
  <c r="H1149" i="3"/>
  <c r="H1150" i="3"/>
  <c r="H1151" i="3"/>
  <c r="H1152" i="3"/>
  <c r="H1153" i="3"/>
  <c r="H1154" i="3"/>
  <c r="H1155" i="3"/>
  <c r="H1156" i="3"/>
  <c r="H1157" i="3"/>
  <c r="H1158" i="3"/>
  <c r="H1159" i="3"/>
  <c r="H1160" i="3"/>
  <c r="H1161" i="3"/>
  <c r="H1162" i="3"/>
  <c r="H1163" i="3"/>
  <c r="H1164" i="3"/>
  <c r="H1165" i="3"/>
  <c r="H1166" i="3"/>
  <c r="H1167" i="3"/>
  <c r="H1168" i="3"/>
  <c r="H1169" i="3"/>
  <c r="H1170" i="3"/>
  <c r="H1171" i="3"/>
  <c r="H1172" i="3"/>
  <c r="H1173" i="3"/>
  <c r="H1174" i="3"/>
  <c r="H1175" i="3"/>
  <c r="H1176" i="3"/>
  <c r="H1177" i="3"/>
  <c r="H1178" i="3"/>
  <c r="H1179" i="3"/>
  <c r="H1180" i="3"/>
  <c r="H1181" i="3"/>
  <c r="H1182" i="3"/>
  <c r="H1183" i="3"/>
  <c r="H1184" i="3"/>
  <c r="H1185" i="3"/>
  <c r="H1186" i="3"/>
  <c r="H1187" i="3"/>
  <c r="H1188" i="3"/>
  <c r="H1189" i="3"/>
  <c r="H1190" i="3"/>
  <c r="H1191" i="3"/>
  <c r="H1192" i="3"/>
  <c r="H1193" i="3"/>
  <c r="H1194" i="3"/>
  <c r="H1195" i="3"/>
  <c r="H1196" i="3"/>
  <c r="H1197" i="3"/>
  <c r="H1198" i="3"/>
  <c r="H1199" i="3"/>
  <c r="H1200" i="3"/>
  <c r="H1201" i="3"/>
  <c r="H1202" i="3"/>
  <c r="H1203" i="3"/>
  <c r="H1204" i="3"/>
  <c r="H1205" i="3"/>
  <c r="H1206" i="3"/>
  <c r="H1207" i="3"/>
  <c r="H1208" i="3"/>
  <c r="H1209" i="3"/>
  <c r="H1210" i="3"/>
  <c r="H1211" i="3"/>
  <c r="H1212" i="3"/>
  <c r="H1213" i="3"/>
  <c r="H1214" i="3"/>
  <c r="H1215" i="3"/>
  <c r="H1216" i="3"/>
  <c r="H1217" i="3"/>
  <c r="H1218" i="3"/>
  <c r="H1219" i="3"/>
  <c r="H1220" i="3"/>
  <c r="H1221" i="3"/>
  <c r="H1222" i="3"/>
  <c r="H1223" i="3"/>
  <c r="H1224" i="3"/>
  <c r="H1225" i="3"/>
  <c r="H1226" i="3"/>
  <c r="H1227" i="3"/>
  <c r="H1228" i="3"/>
  <c r="H1229" i="3"/>
  <c r="H1230" i="3"/>
  <c r="H1231" i="3"/>
  <c r="H1232" i="3"/>
  <c r="H1233" i="3"/>
  <c r="H1234" i="3"/>
  <c r="H1235" i="3"/>
  <c r="H1236" i="3"/>
  <c r="H1237" i="3"/>
  <c r="H1238" i="3"/>
  <c r="H1239" i="3"/>
  <c r="H1240" i="3"/>
  <c r="H1241" i="3"/>
  <c r="H1242" i="3"/>
  <c r="H1243" i="3"/>
  <c r="H1244" i="3"/>
  <c r="H1245" i="3"/>
  <c r="H1246" i="3"/>
  <c r="H1247" i="3"/>
  <c r="H1248" i="3"/>
  <c r="H1249" i="3"/>
  <c r="H1250" i="3"/>
  <c r="H1251" i="3"/>
  <c r="H1252" i="3"/>
  <c r="H1253" i="3"/>
  <c r="H1254" i="3"/>
  <c r="H1255" i="3"/>
  <c r="H1256" i="3"/>
  <c r="H1257" i="3"/>
  <c r="H1258" i="3"/>
  <c r="H1259" i="3"/>
  <c r="H1260" i="3"/>
  <c r="H1261" i="3"/>
  <c r="H1262" i="3"/>
  <c r="H1263" i="3"/>
  <c r="H1264" i="3"/>
  <c r="H1265" i="3"/>
  <c r="H1266" i="3"/>
  <c r="H1267" i="3"/>
  <c r="H1268" i="3"/>
  <c r="H1269" i="3"/>
  <c r="H1270" i="3"/>
  <c r="H1271" i="3"/>
  <c r="H1272" i="3"/>
  <c r="H1273" i="3"/>
  <c r="H1274" i="3"/>
  <c r="H1275" i="3"/>
  <c r="H1276" i="3"/>
  <c r="H1277" i="3"/>
  <c r="H1278" i="3"/>
  <c r="H1279" i="3"/>
  <c r="H1280" i="3"/>
  <c r="H1281" i="3"/>
  <c r="H1282" i="3"/>
  <c r="H1283" i="3"/>
  <c r="H1284" i="3"/>
  <c r="H1285" i="3"/>
  <c r="H1286" i="3"/>
  <c r="H1287" i="3"/>
  <c r="H1288" i="3"/>
  <c r="H1289" i="3"/>
  <c r="H1290" i="3"/>
  <c r="H1291" i="3"/>
  <c r="H1292" i="3"/>
  <c r="H1293" i="3"/>
  <c r="H1294" i="3"/>
  <c r="H1295" i="3"/>
  <c r="H1296" i="3"/>
  <c r="H1297" i="3"/>
  <c r="H1298" i="3"/>
  <c r="H1299" i="3"/>
  <c r="H1300" i="3"/>
  <c r="H1301" i="3"/>
  <c r="H1302" i="3"/>
  <c r="H1303" i="3"/>
  <c r="H1304" i="3"/>
  <c r="H1305" i="3"/>
  <c r="H1306" i="3"/>
  <c r="H1307" i="3"/>
  <c r="H1308" i="3"/>
  <c r="H1309" i="3"/>
  <c r="H1310" i="3"/>
  <c r="H1311" i="3"/>
  <c r="H1312" i="3"/>
  <c r="H1313" i="3"/>
  <c r="H1314" i="3"/>
  <c r="H1315" i="3"/>
  <c r="H1316" i="3"/>
  <c r="H1317" i="3"/>
  <c r="H1318" i="3"/>
  <c r="H1319" i="3"/>
  <c r="H1320" i="3"/>
  <c r="H1321" i="3"/>
  <c r="H1322" i="3"/>
  <c r="H1323" i="3"/>
  <c r="H1324" i="3"/>
  <c r="H1325" i="3"/>
  <c r="H1326" i="3"/>
  <c r="H1327" i="3"/>
  <c r="H1328" i="3"/>
  <c r="H1329" i="3"/>
  <c r="H1330" i="3"/>
  <c r="H1331" i="3"/>
  <c r="H1332" i="3"/>
  <c r="H1333" i="3"/>
  <c r="H1334" i="3"/>
  <c r="H1335" i="3"/>
  <c r="H1336" i="3"/>
  <c r="H1337" i="3"/>
  <c r="H1338" i="3"/>
  <c r="H1339" i="3"/>
  <c r="H1340" i="3"/>
  <c r="H1341" i="3"/>
  <c r="H1342" i="3"/>
  <c r="H1343" i="3"/>
  <c r="H1344" i="3"/>
  <c r="H1345" i="3"/>
  <c r="H1346" i="3"/>
  <c r="H1347" i="3"/>
  <c r="H1348" i="3"/>
  <c r="H1349" i="3"/>
  <c r="H1350" i="3"/>
  <c r="H1351" i="3"/>
  <c r="H1352" i="3"/>
  <c r="H1353" i="3"/>
  <c r="H1354" i="3"/>
  <c r="H1355" i="3"/>
  <c r="H1356" i="3"/>
  <c r="H1357" i="3"/>
  <c r="H1358" i="3"/>
  <c r="H1359" i="3"/>
  <c r="H1360" i="3"/>
  <c r="H1361" i="3"/>
  <c r="H1362" i="3"/>
  <c r="H1363" i="3"/>
  <c r="H1364" i="3"/>
  <c r="H1365" i="3"/>
  <c r="H1366" i="3"/>
  <c r="H1367" i="3"/>
  <c r="H1368" i="3"/>
  <c r="H1369" i="3"/>
  <c r="H1370" i="3"/>
  <c r="H1371" i="3"/>
  <c r="H1372" i="3"/>
  <c r="H1373" i="3"/>
  <c r="H1374" i="3"/>
  <c r="H1375" i="3"/>
  <c r="H1376" i="3"/>
  <c r="H1377" i="3"/>
  <c r="H1378" i="3"/>
  <c r="H1379" i="3"/>
  <c r="H1380" i="3"/>
  <c r="H1381" i="3"/>
  <c r="H1382" i="3"/>
  <c r="H1383" i="3"/>
  <c r="H1384" i="3"/>
  <c r="H1385" i="3"/>
  <c r="H1386" i="3"/>
  <c r="H1387" i="3"/>
  <c r="H1388" i="3"/>
  <c r="H1389" i="3"/>
  <c r="H1390" i="3"/>
  <c r="H1391" i="3"/>
  <c r="H1392" i="3"/>
  <c r="H1393" i="3"/>
  <c r="H1394" i="3"/>
  <c r="H1395" i="3"/>
  <c r="H1396" i="3"/>
  <c r="H1397" i="3"/>
  <c r="H1398" i="3"/>
  <c r="H1399" i="3"/>
  <c r="H1400" i="3"/>
  <c r="H1401" i="3"/>
  <c r="H1402" i="3"/>
  <c r="H1403" i="3"/>
  <c r="H1404" i="3"/>
  <c r="H1405" i="3"/>
  <c r="H1406" i="3"/>
  <c r="H1407" i="3"/>
  <c r="H1408" i="3"/>
  <c r="H1409" i="3"/>
  <c r="H1410" i="3"/>
  <c r="H1411" i="3"/>
  <c r="H1412" i="3"/>
  <c r="H1413" i="3"/>
  <c r="H1414" i="3"/>
  <c r="H1415" i="3"/>
  <c r="H1416" i="3"/>
  <c r="H1417" i="3"/>
  <c r="H1418" i="3"/>
  <c r="H1419" i="3"/>
  <c r="H1420" i="3"/>
  <c r="H1421" i="3"/>
  <c r="H1422" i="3"/>
  <c r="H1423" i="3"/>
  <c r="H1424" i="3"/>
  <c r="H1425" i="3"/>
  <c r="H1426" i="3"/>
  <c r="H1427" i="3"/>
  <c r="H1428" i="3"/>
  <c r="H1429" i="3"/>
  <c r="H1430" i="3"/>
  <c r="H1431" i="3"/>
  <c r="H1432" i="3"/>
  <c r="H1433" i="3"/>
  <c r="H1434" i="3"/>
  <c r="H1435" i="3"/>
  <c r="H1436" i="3"/>
  <c r="H1437" i="3"/>
  <c r="H1438" i="3"/>
  <c r="H1439" i="3"/>
  <c r="H1440" i="3"/>
  <c r="H1441" i="3"/>
  <c r="H1442" i="3"/>
  <c r="H1443" i="3"/>
  <c r="H1444" i="3"/>
  <c r="H1445" i="3"/>
  <c r="H1446" i="3"/>
  <c r="H1447" i="3"/>
  <c r="H1448" i="3"/>
  <c r="H1449" i="3"/>
  <c r="H1450" i="3"/>
  <c r="H1451" i="3"/>
  <c r="H1452" i="3"/>
  <c r="H1453" i="3"/>
  <c r="H1454" i="3"/>
  <c r="H1455" i="3"/>
  <c r="H1456" i="3"/>
  <c r="H1457" i="3"/>
  <c r="H1458" i="3"/>
  <c r="H1459" i="3"/>
  <c r="H1460" i="3"/>
  <c r="H1461" i="3"/>
  <c r="H1462" i="3"/>
  <c r="H1463" i="3"/>
  <c r="H1464" i="3"/>
  <c r="H1465" i="3"/>
  <c r="H1466" i="3"/>
  <c r="H1467" i="3"/>
  <c r="H1468" i="3"/>
  <c r="H1469" i="3"/>
  <c r="H1470" i="3"/>
  <c r="H1471" i="3"/>
  <c r="H1472" i="3"/>
  <c r="H1473" i="3"/>
  <c r="H1474" i="3"/>
  <c r="H1475" i="3"/>
  <c r="H1476" i="3"/>
  <c r="H1477" i="3"/>
  <c r="H1478" i="3"/>
  <c r="H1479" i="3"/>
  <c r="H1480" i="3"/>
  <c r="H1481" i="3"/>
  <c r="H1482" i="3"/>
  <c r="H1483" i="3"/>
  <c r="H1484" i="3"/>
  <c r="H1485" i="3"/>
  <c r="H1486" i="3"/>
  <c r="H1487" i="3"/>
  <c r="H1488" i="3"/>
  <c r="H1489" i="3"/>
  <c r="H1490" i="3"/>
  <c r="H1491" i="3"/>
  <c r="H1492" i="3"/>
  <c r="H1493" i="3"/>
  <c r="H1494" i="3"/>
  <c r="H1495" i="3"/>
  <c r="H1496" i="3"/>
  <c r="H1497" i="3"/>
  <c r="H1498" i="3"/>
  <c r="H1499" i="3"/>
  <c r="H1500" i="3"/>
  <c r="H1501" i="3"/>
  <c r="H1502" i="3"/>
  <c r="H1503" i="3"/>
  <c r="H1504" i="3"/>
  <c r="H1505" i="3"/>
  <c r="H1506" i="3"/>
  <c r="H1507" i="3"/>
  <c r="H1508" i="3"/>
  <c r="H1509" i="3"/>
  <c r="H1510" i="3"/>
  <c r="H1511" i="3"/>
  <c r="H1512" i="3"/>
  <c r="H1513" i="3"/>
  <c r="H1514" i="3"/>
  <c r="H1515" i="3"/>
  <c r="H1516" i="3"/>
  <c r="H1517" i="3"/>
  <c r="H1518" i="3"/>
  <c r="H1519" i="3"/>
  <c r="H1520" i="3"/>
  <c r="H1521" i="3"/>
  <c r="H1522" i="3"/>
  <c r="H1523" i="3"/>
  <c r="H1524" i="3"/>
  <c r="H1525" i="3"/>
  <c r="H1526" i="3"/>
  <c r="H1527" i="3"/>
  <c r="H1528" i="3"/>
  <c r="H1529" i="3"/>
  <c r="H1530" i="3"/>
  <c r="H1531" i="3"/>
  <c r="H1532" i="3"/>
  <c r="H1533" i="3"/>
  <c r="H1534" i="3"/>
  <c r="H1535" i="3"/>
  <c r="H1536" i="3"/>
  <c r="H1537" i="3"/>
  <c r="H1538" i="3"/>
  <c r="H1539" i="3"/>
  <c r="H1540" i="3"/>
  <c r="H1541" i="3"/>
  <c r="H1542" i="3"/>
  <c r="H1543" i="3"/>
  <c r="H1544" i="3"/>
  <c r="H1545" i="3"/>
  <c r="H1546" i="3"/>
  <c r="H1547" i="3"/>
  <c r="H1548" i="3"/>
  <c r="H1549" i="3"/>
  <c r="H1550" i="3"/>
  <c r="H1551" i="3"/>
  <c r="H1552" i="3"/>
  <c r="H1553" i="3"/>
  <c r="H1554" i="3"/>
  <c r="H1555" i="3"/>
  <c r="H1556" i="3"/>
  <c r="H1557" i="3"/>
  <c r="H1558" i="3"/>
  <c r="H1559" i="3"/>
  <c r="H1560" i="3"/>
  <c r="H1561" i="3"/>
  <c r="H1562" i="3"/>
  <c r="H1563" i="3"/>
  <c r="H1564" i="3"/>
  <c r="H1565" i="3"/>
  <c r="H1566" i="3"/>
  <c r="H1567" i="3"/>
  <c r="H1568" i="3"/>
  <c r="H1569" i="3"/>
  <c r="H1570" i="3"/>
  <c r="H1571" i="3"/>
  <c r="H1572" i="3"/>
  <c r="H1573" i="3"/>
  <c r="H1574" i="3"/>
  <c r="H1575" i="3"/>
  <c r="H1576" i="3"/>
  <c r="H1577" i="3"/>
  <c r="H1578" i="3"/>
  <c r="H1579" i="3"/>
  <c r="H1580" i="3"/>
  <c r="H1581" i="3"/>
  <c r="H1582" i="3"/>
  <c r="H1583" i="3"/>
  <c r="H1584" i="3"/>
  <c r="H1585" i="3"/>
  <c r="H1586" i="3"/>
  <c r="H1587" i="3"/>
  <c r="H1588" i="3"/>
  <c r="H1589" i="3"/>
  <c r="H1590" i="3"/>
  <c r="H1591" i="3"/>
  <c r="H1592" i="3"/>
  <c r="H1593" i="3"/>
  <c r="H1594" i="3"/>
  <c r="H1595" i="3"/>
  <c r="H1596" i="3"/>
  <c r="H1597" i="3"/>
  <c r="H1598" i="3"/>
  <c r="H1599" i="3"/>
  <c r="H1600" i="3"/>
  <c r="H1601" i="3"/>
  <c r="H1602" i="3"/>
  <c r="H1603" i="3"/>
  <c r="H1604" i="3"/>
  <c r="H1605" i="3"/>
  <c r="H1606" i="3"/>
  <c r="H1607" i="3"/>
  <c r="H1608" i="3"/>
  <c r="H1609" i="3"/>
  <c r="H1610" i="3"/>
  <c r="H1611" i="3"/>
  <c r="H1612" i="3"/>
  <c r="H1613" i="3"/>
  <c r="H1614" i="3"/>
  <c r="H1615" i="3"/>
  <c r="H1616" i="3"/>
  <c r="H1617" i="3"/>
  <c r="H1618" i="3"/>
  <c r="H1619" i="3"/>
  <c r="H1620" i="3"/>
  <c r="H1621" i="3"/>
  <c r="H1622" i="3"/>
  <c r="H1623" i="3"/>
  <c r="H1624" i="3"/>
  <c r="H1625" i="3"/>
  <c r="H1626" i="3"/>
  <c r="H1627" i="3"/>
  <c r="H1628" i="3"/>
  <c r="H1629" i="3"/>
  <c r="H1630" i="3"/>
  <c r="H1631" i="3"/>
  <c r="H1632" i="3"/>
  <c r="H1633" i="3"/>
  <c r="H1634" i="3"/>
  <c r="H1635" i="3"/>
  <c r="H1636" i="3"/>
  <c r="H1637" i="3"/>
  <c r="H1638" i="3"/>
  <c r="H1639" i="3"/>
  <c r="H1640" i="3"/>
  <c r="H1641" i="3"/>
  <c r="H1642" i="3"/>
  <c r="H1643" i="3"/>
  <c r="H1644" i="3"/>
  <c r="H1645" i="3"/>
  <c r="H1646" i="3"/>
  <c r="H1647" i="3"/>
  <c r="H1648" i="3"/>
  <c r="H1649" i="3"/>
  <c r="H1650" i="3"/>
  <c r="H1651" i="3"/>
  <c r="H1652" i="3"/>
  <c r="H1653" i="3"/>
  <c r="H1654" i="3"/>
  <c r="H1655" i="3"/>
  <c r="H1656" i="3"/>
  <c r="H1657" i="3"/>
  <c r="H1658" i="3"/>
  <c r="H1659" i="3"/>
  <c r="H1660" i="3"/>
  <c r="H1661" i="3"/>
  <c r="H1662" i="3"/>
  <c r="H1663" i="3"/>
  <c r="H1664" i="3"/>
  <c r="H1665" i="3"/>
  <c r="H1666" i="3"/>
  <c r="H1667" i="3"/>
  <c r="H1668" i="3"/>
  <c r="H1669" i="3"/>
  <c r="H1670" i="3"/>
  <c r="H1671" i="3"/>
  <c r="H1672" i="3"/>
  <c r="H1673" i="3"/>
  <c r="H1674" i="3"/>
  <c r="H1675" i="3"/>
  <c r="H1676" i="3"/>
  <c r="H1677" i="3"/>
  <c r="H1678" i="3"/>
  <c r="H1679" i="3"/>
  <c r="H1680" i="3"/>
  <c r="H1681" i="3"/>
  <c r="H1682" i="3"/>
  <c r="H1683" i="3"/>
  <c r="H1684" i="3"/>
  <c r="H1685" i="3"/>
  <c r="H1686" i="3"/>
  <c r="H1687" i="3"/>
  <c r="H1688" i="3"/>
  <c r="H1689" i="3"/>
  <c r="H1690" i="3"/>
  <c r="H1691" i="3"/>
  <c r="H1692" i="3"/>
  <c r="H1693" i="3"/>
  <c r="H1694" i="3"/>
  <c r="H1695" i="3"/>
  <c r="H1696" i="3"/>
  <c r="H1697" i="3"/>
  <c r="H1698" i="3"/>
  <c r="H1699" i="3"/>
  <c r="H1700" i="3"/>
  <c r="H1701" i="3"/>
  <c r="H1702" i="3"/>
  <c r="H1703" i="3"/>
  <c r="H1704" i="3"/>
  <c r="H1705" i="3"/>
  <c r="H1706" i="3"/>
  <c r="H1707" i="3"/>
  <c r="H1708" i="3"/>
  <c r="H1709" i="3"/>
  <c r="H1710" i="3"/>
  <c r="H1711" i="3"/>
  <c r="H1712" i="3"/>
  <c r="H1713" i="3"/>
  <c r="H1714" i="3"/>
  <c r="H1715" i="3"/>
  <c r="H1716" i="3"/>
  <c r="H1717" i="3"/>
  <c r="H1718" i="3"/>
  <c r="H1719" i="3"/>
  <c r="H1720" i="3"/>
  <c r="H1721" i="3"/>
  <c r="H1722" i="3"/>
  <c r="H1723" i="3"/>
  <c r="H1724" i="3"/>
  <c r="H1725" i="3"/>
  <c r="H1726" i="3"/>
  <c r="H1727" i="3"/>
  <c r="H1728" i="3"/>
  <c r="H1729" i="3"/>
  <c r="H1730" i="3"/>
  <c r="H1731" i="3"/>
  <c r="H1732" i="3"/>
  <c r="H1733" i="3"/>
  <c r="H1734" i="3"/>
  <c r="H1735" i="3"/>
  <c r="H1736" i="3"/>
  <c r="H1737" i="3"/>
  <c r="H1738" i="3"/>
  <c r="H1739" i="3"/>
  <c r="H1740" i="3"/>
  <c r="H1741" i="3"/>
  <c r="H1742" i="3"/>
  <c r="H1743" i="3"/>
  <c r="H1744" i="3"/>
  <c r="H1745" i="3"/>
  <c r="H1746" i="3"/>
  <c r="H1747" i="3"/>
  <c r="H1748" i="3"/>
  <c r="H1749" i="3"/>
  <c r="H1750" i="3"/>
  <c r="H1751" i="3"/>
  <c r="H1752" i="3"/>
  <c r="H1753" i="3"/>
  <c r="H1754" i="3"/>
  <c r="H1755" i="3"/>
  <c r="H1756" i="3"/>
  <c r="H1757" i="3"/>
  <c r="H1758" i="3"/>
  <c r="H1759" i="3"/>
  <c r="H1760" i="3"/>
  <c r="H1761" i="3"/>
  <c r="H1762" i="3"/>
  <c r="H1763" i="3"/>
  <c r="H1764" i="3"/>
  <c r="H1765" i="3"/>
  <c r="H1766" i="3"/>
  <c r="H1767" i="3"/>
  <c r="H1768" i="3"/>
  <c r="H1769" i="3"/>
  <c r="H1770" i="3"/>
  <c r="H1771" i="3"/>
  <c r="H1772" i="3"/>
  <c r="H1773" i="3"/>
  <c r="H1774" i="3"/>
  <c r="H1775" i="3"/>
  <c r="H1776" i="3"/>
  <c r="H1777" i="3"/>
  <c r="H1778" i="3"/>
  <c r="H1779" i="3"/>
  <c r="H1780" i="3"/>
  <c r="H1781" i="3"/>
  <c r="H1782" i="3"/>
  <c r="H1783" i="3"/>
  <c r="H1784" i="3"/>
  <c r="H1785" i="3"/>
  <c r="H1786" i="3"/>
  <c r="H1787" i="3"/>
  <c r="H1788" i="3"/>
  <c r="H1789" i="3"/>
  <c r="H1790" i="3"/>
  <c r="H1791" i="3"/>
  <c r="H1792" i="3"/>
  <c r="H1793" i="3"/>
  <c r="H1794" i="3"/>
  <c r="H1795" i="3"/>
  <c r="H1796" i="3"/>
  <c r="H1797" i="3"/>
  <c r="H1798" i="3"/>
  <c r="H1799" i="3"/>
  <c r="H1800" i="3"/>
  <c r="H1801" i="3"/>
  <c r="H1802" i="3"/>
  <c r="H1803" i="3"/>
  <c r="H1804" i="3"/>
  <c r="H1805" i="3"/>
  <c r="H1806" i="3"/>
  <c r="H1807" i="3"/>
  <c r="H1808" i="3"/>
  <c r="H1809" i="3"/>
  <c r="H1810" i="3"/>
  <c r="H1811" i="3"/>
  <c r="H1812" i="3"/>
  <c r="H1813" i="3"/>
  <c r="H1814" i="3"/>
  <c r="H1815" i="3"/>
  <c r="H1816" i="3"/>
  <c r="H1817" i="3"/>
  <c r="H1818" i="3"/>
  <c r="H1819" i="3"/>
  <c r="H1820" i="3"/>
  <c r="H1821" i="3"/>
  <c r="H1822" i="3"/>
  <c r="H1823" i="3"/>
  <c r="H1824" i="3"/>
  <c r="H1825" i="3"/>
  <c r="H1826" i="3"/>
  <c r="H1827" i="3"/>
  <c r="H1828" i="3"/>
  <c r="H1829" i="3"/>
  <c r="H1830" i="3"/>
  <c r="H1831" i="3"/>
  <c r="H1832" i="3"/>
  <c r="H1833" i="3"/>
  <c r="H1834" i="3"/>
  <c r="H1835" i="3"/>
  <c r="H1836" i="3"/>
  <c r="H1837" i="3"/>
  <c r="H1838" i="3"/>
  <c r="H1839" i="3"/>
  <c r="H1840" i="3"/>
  <c r="H1841" i="3"/>
  <c r="H1842" i="3"/>
  <c r="H1843" i="3"/>
  <c r="H1844" i="3"/>
  <c r="H1845" i="3"/>
  <c r="H1846" i="3"/>
  <c r="H1847" i="3"/>
  <c r="H1848" i="3"/>
  <c r="H1849" i="3"/>
  <c r="H1850" i="3"/>
  <c r="H1851" i="3"/>
  <c r="H1852" i="3"/>
  <c r="H1853" i="3"/>
  <c r="H1854" i="3"/>
  <c r="H1855" i="3"/>
  <c r="H1856" i="3"/>
  <c r="H1857" i="3"/>
  <c r="H1858" i="3"/>
  <c r="H1859" i="3"/>
  <c r="H1860" i="3"/>
  <c r="H1861" i="3"/>
  <c r="H1862" i="3"/>
  <c r="H1863" i="3"/>
  <c r="H1864" i="3"/>
  <c r="H1865" i="3"/>
  <c r="H1866" i="3"/>
  <c r="H1867" i="3"/>
  <c r="H1868" i="3"/>
  <c r="H1869" i="3"/>
  <c r="H1870" i="3"/>
  <c r="H1871" i="3"/>
  <c r="H1872" i="3"/>
  <c r="H1873" i="3"/>
  <c r="H1874" i="3"/>
  <c r="H1875" i="3"/>
  <c r="H1876" i="3"/>
  <c r="H1877" i="3"/>
  <c r="H1878" i="3"/>
  <c r="H1879" i="3"/>
  <c r="H1880" i="3"/>
  <c r="H1881" i="3"/>
  <c r="H1882" i="3"/>
  <c r="H1883" i="3"/>
  <c r="H1884" i="3"/>
  <c r="H1885" i="3"/>
  <c r="H1886" i="3"/>
  <c r="H1887" i="3"/>
  <c r="H1888" i="3"/>
  <c r="H1889" i="3"/>
  <c r="H1890" i="3"/>
  <c r="H1891" i="3"/>
  <c r="H1892" i="3"/>
  <c r="H1893" i="3"/>
  <c r="H1894" i="3"/>
  <c r="H1895" i="3"/>
  <c r="H1896" i="3"/>
  <c r="H1897" i="3"/>
  <c r="H1898" i="3"/>
  <c r="H1899" i="3"/>
  <c r="H1900" i="3"/>
  <c r="H1901" i="3"/>
  <c r="H1902" i="3"/>
  <c r="H1903" i="3"/>
  <c r="H1904" i="3"/>
  <c r="H1905" i="3"/>
  <c r="H1906" i="3"/>
  <c r="H1907" i="3"/>
  <c r="H1908" i="3"/>
  <c r="H1909" i="3"/>
  <c r="H1910" i="3"/>
  <c r="H1911" i="3"/>
  <c r="H1912" i="3"/>
  <c r="H1913" i="3"/>
  <c r="H1914" i="3"/>
  <c r="H1915" i="3"/>
  <c r="H1916" i="3"/>
  <c r="H1917" i="3"/>
  <c r="H1918" i="3"/>
  <c r="H1919" i="3"/>
  <c r="H1920" i="3"/>
  <c r="H1921" i="3"/>
  <c r="H1922" i="3"/>
  <c r="H1923" i="3"/>
  <c r="H1924" i="3"/>
  <c r="H1925" i="3"/>
  <c r="H1926" i="3"/>
  <c r="H1927" i="3"/>
  <c r="H1928" i="3"/>
  <c r="H1929" i="3"/>
  <c r="H1930" i="3"/>
  <c r="H1931" i="3"/>
  <c r="H1932" i="3"/>
  <c r="H1933" i="3"/>
  <c r="H1934" i="3"/>
  <c r="H1935" i="3"/>
  <c r="H1936" i="3"/>
  <c r="H1937" i="3"/>
  <c r="H1938" i="3"/>
  <c r="H1939" i="3"/>
  <c r="H1940" i="3"/>
  <c r="H1941" i="3"/>
  <c r="H1942" i="3"/>
  <c r="H1943" i="3"/>
  <c r="H1944" i="3"/>
  <c r="H1945" i="3"/>
  <c r="H1946" i="3"/>
  <c r="H1947" i="3"/>
  <c r="H1948" i="3"/>
  <c r="H1949" i="3"/>
  <c r="H1950" i="3"/>
  <c r="H1951" i="3"/>
  <c r="H1952" i="3"/>
  <c r="H1953" i="3"/>
  <c r="H1954" i="3"/>
  <c r="H1955" i="3"/>
  <c r="H1956" i="3"/>
  <c r="H1957" i="3"/>
  <c r="H1958" i="3"/>
  <c r="H1959" i="3"/>
  <c r="H1960" i="3"/>
  <c r="H1961" i="3"/>
  <c r="H1962" i="3"/>
  <c r="H1963" i="3"/>
  <c r="H1964" i="3"/>
  <c r="H1965" i="3"/>
  <c r="H1966" i="3"/>
  <c r="H1967" i="3"/>
  <c r="H1968" i="3"/>
  <c r="H1969" i="3"/>
  <c r="H1970" i="3"/>
  <c r="H1971" i="3"/>
  <c r="H1972" i="3"/>
  <c r="H1973" i="3"/>
  <c r="H1974" i="3"/>
  <c r="H1975" i="3"/>
  <c r="H1976" i="3"/>
  <c r="H1977" i="3"/>
  <c r="H1978" i="3"/>
  <c r="H1979" i="3"/>
  <c r="H1980" i="3"/>
  <c r="H1981" i="3"/>
  <c r="H1982" i="3"/>
  <c r="H1983" i="3"/>
  <c r="H1984" i="3"/>
  <c r="H1985" i="3"/>
  <c r="H1986" i="3"/>
  <c r="H1987" i="3"/>
  <c r="H1988" i="3"/>
  <c r="H1989" i="3"/>
  <c r="H1990" i="3"/>
  <c r="H1991" i="3"/>
  <c r="H1992" i="3"/>
  <c r="H1993" i="3"/>
  <c r="H1994" i="3"/>
  <c r="H1995" i="3"/>
  <c r="H1996" i="3"/>
  <c r="H1997" i="3"/>
  <c r="H1998" i="3"/>
  <c r="H1999" i="3"/>
  <c r="H2000" i="3"/>
  <c r="H2001" i="3"/>
  <c r="H2002" i="3"/>
  <c r="H2003" i="3"/>
  <c r="H2004" i="3"/>
  <c r="H2005" i="3"/>
  <c r="H2006" i="3"/>
  <c r="H2007" i="3"/>
  <c r="H2008" i="3"/>
  <c r="H2009" i="3"/>
  <c r="H2010" i="3"/>
  <c r="H2011" i="3"/>
  <c r="H2012" i="3"/>
  <c r="H2013" i="3"/>
  <c r="H2014" i="3"/>
  <c r="H2015" i="3"/>
  <c r="H2016" i="3"/>
  <c r="H2017" i="3"/>
  <c r="H2018" i="3"/>
  <c r="H2019" i="3"/>
  <c r="H2020" i="3"/>
  <c r="H2021" i="3"/>
  <c r="H2022" i="3"/>
  <c r="H2023" i="3"/>
  <c r="H2024" i="3"/>
  <c r="H2025" i="3"/>
  <c r="H2026" i="3"/>
  <c r="H2027" i="3"/>
  <c r="H2028" i="3"/>
  <c r="H2029" i="3"/>
  <c r="H2030" i="3"/>
  <c r="H2031" i="3"/>
  <c r="H2032" i="3"/>
  <c r="H2033" i="3"/>
  <c r="H2034" i="3"/>
  <c r="H2035" i="3"/>
  <c r="H2036" i="3"/>
  <c r="H2037" i="3"/>
  <c r="H2038" i="3"/>
  <c r="H2039" i="3"/>
  <c r="H2040" i="3"/>
  <c r="H2041" i="3"/>
  <c r="H2042" i="3"/>
  <c r="H2043" i="3"/>
  <c r="H2044" i="3"/>
  <c r="H2045" i="3"/>
  <c r="H2046" i="3"/>
  <c r="H2047" i="3"/>
  <c r="H2048" i="3"/>
  <c r="H2049" i="3"/>
  <c r="H2050" i="3"/>
  <c r="H2051" i="3"/>
  <c r="H2052" i="3"/>
  <c r="H2053" i="3"/>
  <c r="H2054" i="3"/>
  <c r="H2055" i="3"/>
  <c r="H2056" i="3"/>
  <c r="H2057" i="3"/>
  <c r="H2058" i="3"/>
  <c r="H2059" i="3"/>
  <c r="H2060" i="3"/>
  <c r="H2061" i="3"/>
  <c r="H2062" i="3"/>
  <c r="H2063" i="3"/>
  <c r="H2064" i="3"/>
  <c r="H2065" i="3"/>
  <c r="H2066" i="3"/>
  <c r="H2067" i="3"/>
  <c r="H2068" i="3"/>
  <c r="H2069" i="3"/>
  <c r="H2070" i="3"/>
  <c r="H2071" i="3"/>
  <c r="H2072" i="3"/>
  <c r="H2073" i="3"/>
  <c r="H2074" i="3"/>
  <c r="H2075" i="3"/>
  <c r="H2076" i="3"/>
  <c r="H2077" i="3"/>
  <c r="H2078" i="3"/>
  <c r="H2079" i="3"/>
  <c r="H2080" i="3"/>
  <c r="H2081" i="3"/>
  <c r="H2082" i="3"/>
  <c r="H2083" i="3"/>
  <c r="H2084" i="3"/>
  <c r="H2085" i="3"/>
  <c r="H2086" i="3"/>
  <c r="H2087" i="3"/>
  <c r="H2088" i="3"/>
  <c r="H2089" i="3"/>
  <c r="H2090" i="3"/>
  <c r="H2091" i="3"/>
  <c r="H2092" i="3"/>
  <c r="H2093" i="3"/>
  <c r="H2094" i="3"/>
  <c r="H2095" i="3"/>
  <c r="H2096" i="3"/>
  <c r="H2097" i="3"/>
  <c r="H2098" i="3"/>
  <c r="H2099" i="3"/>
  <c r="H2100" i="3"/>
  <c r="H2101" i="3"/>
  <c r="H2102" i="3"/>
  <c r="H2103" i="3"/>
  <c r="H2104" i="3"/>
  <c r="H2105" i="3"/>
  <c r="H2106" i="3"/>
  <c r="H2107" i="3"/>
  <c r="H2108" i="3"/>
  <c r="H2109" i="3"/>
  <c r="H2110" i="3"/>
  <c r="H2111" i="3"/>
  <c r="H2112" i="3"/>
  <c r="H2113" i="3"/>
  <c r="H2114" i="3"/>
  <c r="H2115" i="3"/>
  <c r="H2116" i="3"/>
  <c r="H2117" i="3"/>
  <c r="H2118" i="3"/>
  <c r="H2119" i="3"/>
  <c r="H2120" i="3"/>
  <c r="H2121" i="3"/>
  <c r="H2122" i="3"/>
  <c r="H2123" i="3"/>
  <c r="H2124" i="3"/>
  <c r="H2125" i="3"/>
  <c r="H2126" i="3"/>
  <c r="H2127" i="3"/>
  <c r="H2128" i="3"/>
  <c r="H2129" i="3"/>
  <c r="H2130" i="3"/>
  <c r="H2131" i="3"/>
  <c r="H2132" i="3"/>
  <c r="H2133" i="3"/>
  <c r="H2134" i="3"/>
  <c r="H2135" i="3"/>
  <c r="H2136" i="3"/>
  <c r="H2137" i="3"/>
  <c r="H2138" i="3"/>
  <c r="H2139" i="3"/>
  <c r="H2140" i="3"/>
  <c r="H2141" i="3"/>
  <c r="H2142" i="3"/>
  <c r="H2143" i="3"/>
  <c r="H2144" i="3"/>
  <c r="H2145" i="3"/>
  <c r="H2146" i="3"/>
  <c r="H2147" i="3"/>
  <c r="H2148" i="3"/>
  <c r="H2149" i="3"/>
  <c r="H2150" i="3"/>
  <c r="H2151" i="3"/>
  <c r="H2152" i="3"/>
  <c r="H2153" i="3"/>
  <c r="H2154" i="3"/>
  <c r="H2155" i="3"/>
  <c r="H2156" i="3"/>
  <c r="H2157" i="3"/>
  <c r="H2158" i="3"/>
  <c r="H2159" i="3"/>
  <c r="H2160" i="3"/>
  <c r="H2161" i="3"/>
  <c r="H2162" i="3"/>
  <c r="H2163" i="3"/>
  <c r="H2164" i="3"/>
  <c r="H2165" i="3"/>
  <c r="H2166" i="3"/>
  <c r="H2167" i="3"/>
  <c r="H2168" i="3"/>
  <c r="H2169" i="3"/>
  <c r="H2170" i="3"/>
  <c r="H2171" i="3"/>
  <c r="H2172" i="3"/>
  <c r="H2173" i="3"/>
  <c r="H2174" i="3"/>
  <c r="H2175" i="3"/>
  <c r="H2176" i="3"/>
  <c r="H2177" i="3"/>
  <c r="H2178" i="3"/>
  <c r="H2179" i="3"/>
  <c r="H2180" i="3"/>
  <c r="H2181" i="3"/>
  <c r="H2182" i="3"/>
  <c r="H2183" i="3"/>
  <c r="H2184" i="3"/>
  <c r="H2185" i="3"/>
  <c r="H2186" i="3"/>
  <c r="H2187" i="3"/>
  <c r="H2188" i="3"/>
  <c r="H2189" i="3"/>
  <c r="H2190" i="3"/>
  <c r="H2191" i="3"/>
  <c r="H2192" i="3"/>
  <c r="H2193" i="3"/>
  <c r="H2194" i="3"/>
  <c r="H2195" i="3"/>
  <c r="H2196" i="3"/>
  <c r="H2197" i="3"/>
  <c r="H2198" i="3"/>
  <c r="H2199" i="3"/>
  <c r="H2200" i="3"/>
  <c r="H2201" i="3"/>
  <c r="H2202" i="3"/>
  <c r="H2203" i="3"/>
  <c r="H2204" i="3"/>
  <c r="H2205" i="3"/>
  <c r="H2206" i="3"/>
  <c r="H2207" i="3"/>
  <c r="H2208" i="3"/>
  <c r="H2209" i="3"/>
  <c r="H2210" i="3"/>
  <c r="H2211" i="3"/>
  <c r="H2212" i="3"/>
  <c r="H2213" i="3"/>
  <c r="H2214" i="3"/>
  <c r="H2215" i="3"/>
  <c r="H2216" i="3"/>
  <c r="H2217" i="3"/>
  <c r="H2218" i="3"/>
  <c r="H2219" i="3"/>
  <c r="H2220" i="3"/>
  <c r="H2221" i="3"/>
  <c r="H2222" i="3"/>
  <c r="H2223" i="3"/>
  <c r="H2224" i="3"/>
  <c r="H2225" i="3"/>
  <c r="H2226" i="3"/>
  <c r="H2227" i="3"/>
  <c r="H2228" i="3"/>
  <c r="H2229" i="3"/>
  <c r="H2230" i="3"/>
  <c r="H2231" i="3"/>
  <c r="H2232" i="3"/>
  <c r="H2233" i="3"/>
  <c r="H2234" i="3"/>
  <c r="H2235" i="3"/>
  <c r="H2236" i="3"/>
  <c r="H2237" i="3"/>
  <c r="H2238" i="3"/>
  <c r="H2239" i="3"/>
  <c r="H2240" i="3"/>
  <c r="H2241" i="3"/>
  <c r="H2242" i="3"/>
  <c r="H2243" i="3"/>
  <c r="H2244" i="3"/>
  <c r="H2245" i="3"/>
  <c r="H2246" i="3"/>
  <c r="H2247" i="3"/>
  <c r="H2248" i="3"/>
  <c r="H2249" i="3"/>
  <c r="H2250" i="3"/>
  <c r="H2251" i="3"/>
  <c r="H2252" i="3"/>
  <c r="H2253" i="3"/>
  <c r="H2254" i="3"/>
  <c r="H2255" i="3"/>
  <c r="H2256" i="3"/>
  <c r="H2257" i="3"/>
  <c r="H2258" i="3"/>
  <c r="H2259" i="3"/>
  <c r="H2260" i="3"/>
  <c r="H2261" i="3"/>
  <c r="H2262" i="3"/>
  <c r="H2263" i="3"/>
  <c r="H2264" i="3"/>
  <c r="H2265" i="3"/>
  <c r="H2266" i="3"/>
  <c r="H2267" i="3"/>
  <c r="H2268" i="3"/>
  <c r="H2269" i="3"/>
  <c r="H2270" i="3"/>
  <c r="H2271" i="3"/>
  <c r="H2272" i="3"/>
  <c r="H2273" i="3"/>
  <c r="H2274" i="3"/>
  <c r="H2275" i="3"/>
  <c r="H2276" i="3"/>
  <c r="H2277" i="3"/>
  <c r="H2278" i="3"/>
  <c r="H2279" i="3"/>
  <c r="H2280" i="3"/>
  <c r="H2281" i="3"/>
  <c r="H2282" i="3"/>
  <c r="H2283" i="3"/>
  <c r="H2284" i="3"/>
  <c r="H2285" i="3"/>
  <c r="H2286" i="3"/>
  <c r="H2287" i="3"/>
  <c r="H2288" i="3"/>
  <c r="H2289" i="3"/>
  <c r="H2290" i="3"/>
  <c r="H2291" i="3"/>
  <c r="H2292" i="3"/>
  <c r="H2293" i="3"/>
  <c r="H2294" i="3"/>
  <c r="H2295" i="3"/>
  <c r="H2296" i="3"/>
  <c r="H2297" i="3"/>
  <c r="H2298" i="3"/>
  <c r="H2299" i="3"/>
  <c r="H2300" i="3"/>
  <c r="H2301" i="3"/>
  <c r="H2302" i="3"/>
  <c r="H2303" i="3"/>
  <c r="H2304" i="3"/>
  <c r="H2305" i="3"/>
  <c r="H2306" i="3"/>
  <c r="H2307" i="3"/>
  <c r="H2308" i="3"/>
  <c r="H2309" i="3"/>
  <c r="H2310" i="3"/>
  <c r="H2311" i="3"/>
  <c r="H2312" i="3"/>
  <c r="H2313" i="3"/>
  <c r="H2314" i="3"/>
  <c r="H2315" i="3"/>
  <c r="H2316" i="3"/>
  <c r="H2317" i="3"/>
  <c r="H2318" i="3"/>
  <c r="H2319" i="3"/>
  <c r="H2320" i="3"/>
  <c r="H2321" i="3"/>
  <c r="H2322" i="3"/>
  <c r="H2323" i="3"/>
  <c r="H2324" i="3"/>
  <c r="H2325" i="3"/>
  <c r="H2326" i="3"/>
  <c r="H2327" i="3"/>
  <c r="H2328" i="3"/>
  <c r="H2329" i="3"/>
  <c r="H2330" i="3"/>
  <c r="H2331" i="3"/>
  <c r="H2332" i="3"/>
  <c r="H2333" i="3"/>
  <c r="H2334" i="3"/>
  <c r="H2335" i="3"/>
  <c r="H2336" i="3"/>
  <c r="H2337" i="3"/>
  <c r="H2338" i="3"/>
  <c r="H2339" i="3"/>
  <c r="H2340" i="3"/>
  <c r="H2341" i="3"/>
  <c r="H2342" i="3"/>
  <c r="H2343" i="3"/>
  <c r="H2344" i="3"/>
  <c r="H2345" i="3"/>
  <c r="H2346" i="3"/>
  <c r="H2347" i="3"/>
  <c r="H2348" i="3"/>
  <c r="H2349" i="3"/>
  <c r="H2350" i="3"/>
  <c r="H2351" i="3"/>
  <c r="H2352" i="3"/>
  <c r="H2353" i="3"/>
  <c r="H2354" i="3"/>
  <c r="H2355" i="3"/>
  <c r="H2356" i="3"/>
  <c r="H2357" i="3"/>
  <c r="H2358" i="3"/>
  <c r="H2359" i="3"/>
  <c r="H2360" i="3"/>
  <c r="H2361" i="3"/>
  <c r="H2362" i="3"/>
  <c r="H2363" i="3"/>
  <c r="H2364" i="3"/>
  <c r="H2365" i="3"/>
  <c r="H2366" i="3"/>
  <c r="H2367" i="3"/>
  <c r="H2368" i="3"/>
  <c r="H2369" i="3"/>
  <c r="H2370" i="3"/>
  <c r="H2371" i="3"/>
  <c r="H2372" i="3"/>
  <c r="H2373" i="3"/>
  <c r="H2374" i="3"/>
  <c r="H2375" i="3"/>
  <c r="H2376" i="3"/>
  <c r="H2377" i="3"/>
  <c r="H2378" i="3"/>
  <c r="H2379" i="3"/>
  <c r="H2380" i="3"/>
  <c r="H2381" i="3"/>
  <c r="H2382" i="3"/>
  <c r="H2383" i="3"/>
  <c r="H2384" i="3"/>
  <c r="H2385" i="3"/>
  <c r="H2386" i="3"/>
  <c r="H2387" i="3"/>
  <c r="H2388" i="3"/>
  <c r="H2389" i="3"/>
  <c r="H2390" i="3"/>
  <c r="H2391" i="3"/>
  <c r="H2392" i="3"/>
  <c r="H2393" i="3"/>
  <c r="H2394" i="3"/>
  <c r="H2395" i="3"/>
  <c r="H2396" i="3"/>
  <c r="H2397" i="3"/>
  <c r="H2398" i="3"/>
  <c r="H2399" i="3"/>
  <c r="H2400" i="3"/>
  <c r="H2401" i="3"/>
  <c r="H2402" i="3"/>
  <c r="H2403" i="3"/>
  <c r="H2404" i="3"/>
  <c r="H2405" i="3"/>
  <c r="H2406" i="3"/>
  <c r="H2407" i="3"/>
  <c r="H2408" i="3"/>
  <c r="H2409" i="3"/>
  <c r="H2410" i="3"/>
  <c r="H2411" i="3"/>
  <c r="H2412" i="3"/>
  <c r="H2413" i="3"/>
  <c r="H2414" i="3"/>
  <c r="H2415" i="3"/>
  <c r="H2416" i="3"/>
  <c r="H2417" i="3"/>
  <c r="H2418" i="3"/>
  <c r="H2419" i="3"/>
  <c r="H2420" i="3"/>
  <c r="H2421" i="3"/>
  <c r="H2422" i="3"/>
  <c r="H2423" i="3"/>
  <c r="H2424" i="3"/>
  <c r="H2425" i="3"/>
  <c r="H2426" i="3"/>
  <c r="H2427" i="3"/>
  <c r="H2428" i="3"/>
  <c r="H2429" i="3"/>
  <c r="H2430" i="3"/>
  <c r="H2431" i="3"/>
  <c r="H2432" i="3"/>
  <c r="H2433" i="3"/>
  <c r="H2434" i="3"/>
  <c r="H2435" i="3"/>
  <c r="H2436" i="3"/>
  <c r="H2437" i="3"/>
  <c r="H2438" i="3"/>
  <c r="H2439" i="3"/>
  <c r="H2440" i="3"/>
  <c r="H2441" i="3"/>
  <c r="H2442" i="3"/>
  <c r="H2443" i="3"/>
  <c r="H2444" i="3"/>
  <c r="H2445" i="3"/>
  <c r="H2446" i="3"/>
  <c r="H2447" i="3"/>
  <c r="H2448" i="3"/>
  <c r="H2449" i="3"/>
  <c r="H2450" i="3"/>
  <c r="H2451" i="3"/>
  <c r="H2452" i="3"/>
  <c r="H2453" i="3"/>
  <c r="H2454" i="3"/>
  <c r="H2455" i="3"/>
  <c r="H2456" i="3"/>
  <c r="H2457" i="3"/>
  <c r="H2458" i="3"/>
  <c r="H2459" i="3"/>
  <c r="H2460" i="3"/>
  <c r="H2461" i="3"/>
  <c r="H2462" i="3"/>
  <c r="H2463" i="3"/>
  <c r="H2464" i="3"/>
  <c r="H2465" i="3"/>
  <c r="H2466" i="3"/>
  <c r="H2467" i="3"/>
  <c r="H2468" i="3"/>
  <c r="H2469" i="3"/>
  <c r="H2470" i="3"/>
  <c r="H2471" i="3"/>
  <c r="H2472" i="3"/>
  <c r="H2473" i="3"/>
  <c r="H2474" i="3"/>
  <c r="H2475" i="3"/>
  <c r="H2476" i="3"/>
  <c r="H2477" i="3"/>
  <c r="H2478" i="3"/>
  <c r="H2479" i="3"/>
  <c r="H2480" i="3"/>
  <c r="H2481" i="3"/>
  <c r="H2482" i="3"/>
  <c r="H2483" i="3"/>
  <c r="H2484" i="3"/>
  <c r="H2485" i="3"/>
  <c r="H2486" i="3"/>
  <c r="H2487" i="3"/>
  <c r="H2488" i="3"/>
  <c r="H2489" i="3"/>
  <c r="H2490" i="3"/>
  <c r="H2491" i="3"/>
  <c r="H2492" i="3"/>
  <c r="H2493" i="3"/>
  <c r="H2494" i="3"/>
  <c r="H2495" i="3"/>
  <c r="H2496" i="3"/>
  <c r="H2497" i="3"/>
  <c r="H2498" i="3"/>
  <c r="H2499" i="3"/>
  <c r="H2500" i="3"/>
  <c r="H2501" i="3"/>
  <c r="H2502" i="3"/>
  <c r="H2503" i="3"/>
  <c r="H2504" i="3"/>
  <c r="H2505" i="3"/>
  <c r="H2506" i="3"/>
  <c r="H2507" i="3"/>
  <c r="H2508" i="3"/>
  <c r="H2509" i="3"/>
  <c r="H2510" i="3"/>
  <c r="H2511" i="3"/>
  <c r="H2512" i="3"/>
  <c r="H2513" i="3"/>
  <c r="H2514" i="3"/>
  <c r="H2515" i="3"/>
  <c r="H2516" i="3"/>
  <c r="H2517" i="3"/>
  <c r="H2518" i="3"/>
  <c r="H2519" i="3"/>
  <c r="H2520" i="3"/>
  <c r="H2521" i="3"/>
  <c r="H2522" i="3"/>
  <c r="H2523" i="3"/>
  <c r="H2524" i="3"/>
  <c r="H2525" i="3"/>
  <c r="H2526" i="3"/>
  <c r="H2527" i="3"/>
  <c r="H2528" i="3"/>
  <c r="H2529" i="3"/>
  <c r="H2530" i="3"/>
  <c r="H2531" i="3"/>
  <c r="H2532" i="3"/>
  <c r="H2533" i="3"/>
  <c r="H2534" i="3"/>
  <c r="H2535" i="3"/>
  <c r="H2536" i="3"/>
  <c r="H2537" i="3"/>
  <c r="H2538" i="3"/>
  <c r="H2539" i="3"/>
  <c r="H2540" i="3"/>
  <c r="H2541" i="3"/>
  <c r="H2542" i="3"/>
  <c r="H2543" i="3"/>
  <c r="H2544" i="3"/>
  <c r="H2545" i="3"/>
  <c r="H2546" i="3"/>
  <c r="H2547" i="3"/>
  <c r="H2548" i="3"/>
  <c r="H2549" i="3"/>
  <c r="H2550" i="3"/>
  <c r="H2551" i="3"/>
  <c r="H2552" i="3"/>
  <c r="H2553" i="3"/>
  <c r="H2554" i="3"/>
  <c r="H2555" i="3"/>
  <c r="H2556" i="3"/>
  <c r="H2557" i="3"/>
  <c r="H2558" i="3"/>
  <c r="H2559" i="3"/>
  <c r="H2560" i="3"/>
  <c r="H2561" i="3"/>
  <c r="H2562" i="3"/>
  <c r="H2563" i="3"/>
  <c r="H2564" i="3"/>
  <c r="H2565" i="3"/>
  <c r="H2566" i="3"/>
  <c r="H2567" i="3"/>
  <c r="H2568" i="3"/>
  <c r="H2569" i="3"/>
  <c r="H2570" i="3"/>
  <c r="H2571" i="3"/>
  <c r="H2572" i="3"/>
  <c r="H2573" i="3"/>
  <c r="H2574" i="3"/>
  <c r="H2575" i="3"/>
  <c r="H2576" i="3"/>
  <c r="H2577" i="3"/>
  <c r="H2578" i="3"/>
  <c r="H2579" i="3"/>
  <c r="H2580" i="3"/>
  <c r="H2581" i="3"/>
  <c r="H2582" i="3"/>
  <c r="H2583" i="3"/>
  <c r="H2584" i="3"/>
  <c r="H2585" i="3"/>
  <c r="H2586" i="3"/>
  <c r="H2587" i="3"/>
  <c r="H2588" i="3"/>
  <c r="H2589" i="3"/>
  <c r="H2590" i="3"/>
  <c r="H2591" i="3"/>
  <c r="H2592" i="3"/>
  <c r="H2593" i="3"/>
  <c r="H2594" i="3"/>
  <c r="H2595" i="3"/>
  <c r="H2596" i="3"/>
  <c r="H2597" i="3"/>
  <c r="H2598" i="3"/>
  <c r="H2599" i="3"/>
  <c r="H2600" i="3"/>
  <c r="H2601" i="3"/>
  <c r="H2602" i="3"/>
  <c r="H2603" i="3"/>
  <c r="H2604" i="3"/>
  <c r="H2605" i="3"/>
  <c r="H2606" i="3"/>
  <c r="H2607" i="3"/>
  <c r="H2608" i="3"/>
  <c r="H2609" i="3"/>
  <c r="H2610" i="3"/>
  <c r="H2611" i="3"/>
  <c r="H2612" i="3"/>
  <c r="H2613" i="3"/>
  <c r="H2614" i="3"/>
  <c r="H2615" i="3"/>
  <c r="H2616" i="3"/>
  <c r="H2617" i="3"/>
  <c r="H2618" i="3"/>
  <c r="H2619" i="3"/>
  <c r="H2620" i="3"/>
  <c r="H2621" i="3"/>
  <c r="H2622" i="3"/>
  <c r="H2623" i="3"/>
  <c r="H2624" i="3"/>
  <c r="H2625" i="3"/>
  <c r="H2626" i="3"/>
  <c r="H2627" i="3"/>
  <c r="H2628" i="3"/>
  <c r="H2629" i="3"/>
  <c r="H2630" i="3"/>
  <c r="H2631" i="3"/>
  <c r="H2632" i="3"/>
  <c r="H2633" i="3"/>
  <c r="H2634" i="3"/>
  <c r="H2635" i="3"/>
  <c r="H2636" i="3"/>
  <c r="H2637" i="3"/>
  <c r="H2638" i="3"/>
  <c r="H2639" i="3"/>
  <c r="H2640" i="3"/>
  <c r="H2641" i="3"/>
  <c r="H2642" i="3"/>
  <c r="H2643" i="3"/>
  <c r="H2644" i="3"/>
  <c r="H2645" i="3"/>
  <c r="H2646" i="3"/>
  <c r="H2647" i="3"/>
  <c r="H2648" i="3"/>
  <c r="H2649" i="3"/>
  <c r="H2650" i="3"/>
  <c r="H2651" i="3"/>
  <c r="H2652" i="3"/>
  <c r="H2653" i="3"/>
  <c r="H2654" i="3"/>
  <c r="H2655" i="3"/>
  <c r="H2656" i="3"/>
  <c r="H2657" i="3"/>
  <c r="H2658" i="3"/>
  <c r="H2659" i="3"/>
  <c r="H2660" i="3"/>
  <c r="H2661" i="3"/>
  <c r="H2662" i="3"/>
  <c r="H2663" i="3"/>
  <c r="H2664" i="3"/>
  <c r="H2665" i="3"/>
  <c r="H2666" i="3"/>
  <c r="H2667" i="3"/>
  <c r="H2668" i="3"/>
  <c r="H2669" i="3"/>
  <c r="H2670" i="3"/>
  <c r="H2671" i="3"/>
  <c r="H2672" i="3"/>
  <c r="H2673" i="3"/>
  <c r="H2674" i="3"/>
  <c r="H2675" i="3"/>
  <c r="H2676" i="3"/>
  <c r="H2677" i="3"/>
  <c r="H2678" i="3"/>
  <c r="H2679" i="3"/>
  <c r="H2680" i="3"/>
  <c r="H2681" i="3"/>
  <c r="H2682" i="3"/>
  <c r="H2683" i="3"/>
  <c r="H2684" i="3"/>
  <c r="H2685" i="3"/>
  <c r="H2686" i="3"/>
  <c r="H2687" i="3"/>
  <c r="H2688" i="3"/>
  <c r="H2689" i="3"/>
  <c r="H2690" i="3"/>
  <c r="H2691" i="3"/>
  <c r="H2692" i="3"/>
  <c r="H2693" i="3"/>
  <c r="H2694" i="3"/>
  <c r="H2695" i="3"/>
  <c r="H2696" i="3"/>
  <c r="H2697" i="3"/>
  <c r="H2698" i="3"/>
  <c r="H2699" i="3"/>
  <c r="H2700" i="3"/>
  <c r="H2701" i="3"/>
  <c r="H2702" i="3"/>
  <c r="H2703" i="3"/>
  <c r="H2704" i="3"/>
  <c r="H2705" i="3"/>
  <c r="H2706" i="3"/>
  <c r="H2707" i="3"/>
  <c r="H2708" i="3"/>
  <c r="H2709" i="3"/>
  <c r="H2710" i="3"/>
  <c r="H2711" i="3"/>
  <c r="H2712" i="3"/>
  <c r="H2713" i="3"/>
  <c r="H2714" i="3"/>
  <c r="H2715" i="3"/>
  <c r="H2716" i="3"/>
  <c r="H2717" i="3"/>
  <c r="H2718" i="3"/>
  <c r="H2719" i="3"/>
  <c r="H2720" i="3"/>
  <c r="H2721" i="3"/>
  <c r="H2722" i="3"/>
  <c r="H2723" i="3"/>
  <c r="H2724" i="3"/>
  <c r="H2725" i="3"/>
  <c r="H2726" i="3"/>
  <c r="H2727" i="3"/>
  <c r="H2728" i="3"/>
  <c r="H2729" i="3"/>
  <c r="H2730" i="3"/>
  <c r="H2731" i="3"/>
  <c r="H2732" i="3"/>
  <c r="H2733" i="3"/>
  <c r="H2734" i="3"/>
  <c r="H2735" i="3"/>
  <c r="H2736" i="3"/>
  <c r="H2737" i="3"/>
  <c r="H2738" i="3"/>
  <c r="H2739" i="3"/>
  <c r="H2740" i="3"/>
  <c r="H2741" i="3"/>
  <c r="H2742" i="3"/>
  <c r="H2743" i="3"/>
  <c r="H2744" i="3"/>
  <c r="H2745" i="3"/>
  <c r="H2746" i="3"/>
  <c r="H2747" i="3"/>
  <c r="H2748" i="3"/>
  <c r="H2749" i="3"/>
  <c r="H2750" i="3"/>
  <c r="H2751" i="3"/>
  <c r="H2752" i="3"/>
  <c r="H2753" i="3"/>
  <c r="H2754" i="3"/>
  <c r="H2755" i="3"/>
  <c r="H2756" i="3"/>
  <c r="H2757" i="3"/>
  <c r="H2758" i="3"/>
  <c r="H2759" i="3"/>
  <c r="H2760" i="3"/>
  <c r="H2761" i="3"/>
  <c r="H2762" i="3"/>
  <c r="H2763" i="3"/>
  <c r="H2764" i="3"/>
  <c r="H2765" i="3"/>
  <c r="H2766" i="3"/>
  <c r="H2767" i="3"/>
  <c r="H2768" i="3"/>
  <c r="H2769" i="3"/>
  <c r="H2770" i="3"/>
  <c r="H2771" i="3"/>
  <c r="H2772" i="3"/>
  <c r="H2773" i="3"/>
  <c r="H2774" i="3"/>
  <c r="H2775" i="3"/>
  <c r="H2776" i="3"/>
  <c r="H2777" i="3"/>
  <c r="H2778" i="3"/>
  <c r="H2779" i="3"/>
  <c r="H2780" i="3"/>
  <c r="H2781" i="3"/>
  <c r="H2782" i="3"/>
  <c r="H2783" i="3"/>
  <c r="H2784" i="3"/>
  <c r="H2785" i="3"/>
  <c r="H2786" i="3"/>
  <c r="H2787" i="3"/>
  <c r="H2788" i="3"/>
  <c r="H2789" i="3"/>
  <c r="H2790" i="3"/>
  <c r="H2791" i="3"/>
  <c r="H2792" i="3"/>
  <c r="H2793" i="3"/>
  <c r="H2794" i="3"/>
  <c r="H2795" i="3"/>
  <c r="H2796" i="3"/>
  <c r="H2797" i="3"/>
  <c r="H2798" i="3"/>
  <c r="H2799" i="3"/>
  <c r="H2800" i="3"/>
  <c r="H2801" i="3"/>
  <c r="H2802" i="3"/>
  <c r="H2803" i="3"/>
  <c r="H2804" i="3"/>
  <c r="H2805" i="3"/>
  <c r="H2806" i="3"/>
  <c r="H2807" i="3"/>
  <c r="H2808" i="3"/>
  <c r="H2809" i="3"/>
  <c r="H2810" i="3"/>
  <c r="H2811" i="3"/>
  <c r="H2812" i="3"/>
  <c r="H2813" i="3"/>
  <c r="H2814" i="3"/>
  <c r="H2815" i="3"/>
  <c r="H2816" i="3"/>
  <c r="H2817" i="3"/>
  <c r="H2818" i="3"/>
  <c r="H2819" i="3"/>
  <c r="H2820" i="3"/>
  <c r="H2821" i="3"/>
  <c r="H2822" i="3"/>
  <c r="H2823" i="3"/>
  <c r="H2824" i="3"/>
  <c r="H2825" i="3"/>
  <c r="H2826" i="3"/>
  <c r="H2827" i="3"/>
  <c r="H2828" i="3"/>
  <c r="H2829" i="3"/>
  <c r="H2830" i="3"/>
  <c r="H2831" i="3"/>
  <c r="H2832" i="3"/>
  <c r="H2833" i="3"/>
  <c r="H2834" i="3"/>
  <c r="H2835" i="3"/>
  <c r="H2836" i="3"/>
  <c r="H2837" i="3"/>
  <c r="H2838" i="3"/>
  <c r="H2839" i="3"/>
  <c r="H2840" i="3"/>
  <c r="H2841" i="3"/>
  <c r="H2842" i="3"/>
  <c r="H2843" i="3"/>
  <c r="H2844" i="3"/>
  <c r="H2845" i="3"/>
  <c r="H2846" i="3"/>
  <c r="H2847" i="3"/>
  <c r="H2848" i="3"/>
  <c r="H2849" i="3"/>
  <c r="H2850" i="3"/>
  <c r="H2851" i="3"/>
  <c r="H2852" i="3"/>
  <c r="H2853" i="3"/>
  <c r="H2854" i="3"/>
  <c r="H2855" i="3"/>
  <c r="H2856" i="3"/>
  <c r="H2857" i="3"/>
  <c r="H2858" i="3"/>
  <c r="H2859" i="3"/>
  <c r="H2860" i="3"/>
  <c r="H2861" i="3"/>
  <c r="H2862" i="3"/>
  <c r="H2863" i="3"/>
  <c r="H2864" i="3"/>
  <c r="H2865" i="3"/>
  <c r="H2866" i="3"/>
  <c r="H2867" i="3"/>
  <c r="H2868" i="3"/>
  <c r="H2869" i="3"/>
  <c r="H2870" i="3"/>
  <c r="H2871" i="3"/>
  <c r="H2872" i="3"/>
  <c r="H2873" i="3"/>
  <c r="H2874" i="3"/>
  <c r="H2875" i="3"/>
  <c r="H2876" i="3"/>
  <c r="H2877" i="3"/>
  <c r="H2878" i="3"/>
  <c r="H2879" i="3"/>
  <c r="H2880" i="3"/>
  <c r="H2881" i="3"/>
  <c r="H2882" i="3"/>
  <c r="H2883" i="3"/>
  <c r="H2884" i="3"/>
  <c r="H2" i="3"/>
  <c r="G3" i="3"/>
  <c r="G4" i="3"/>
  <c r="G5" i="3"/>
  <c r="G6" i="3"/>
  <c r="G7" i="3"/>
  <c r="G8" i="3"/>
  <c r="G9" i="3"/>
  <c r="G10" i="3"/>
  <c r="G11" i="3"/>
  <c r="G12" i="3"/>
  <c r="G13" i="3"/>
  <c r="G14" i="3"/>
  <c r="G15" i="3"/>
  <c r="G16" i="3"/>
  <c r="G17" i="3"/>
  <c r="G18" i="3"/>
  <c r="G19" i="3"/>
  <c r="G20" i="3"/>
  <c r="G21" i="3"/>
  <c r="G22" i="3"/>
  <c r="G23" i="3"/>
  <c r="G24" i="3"/>
  <c r="G25" i="3"/>
  <c r="G26" i="3"/>
  <c r="G27" i="3"/>
  <c r="G28" i="3"/>
  <c r="G29" i="3"/>
  <c r="G30" i="3"/>
  <c r="G31" i="3"/>
  <c r="G32" i="3"/>
  <c r="G33" i="3"/>
  <c r="G34" i="3"/>
  <c r="G35" i="3"/>
  <c r="G36" i="3"/>
  <c r="G37" i="3"/>
  <c r="G38" i="3"/>
  <c r="G39" i="3"/>
  <c r="G40" i="3"/>
  <c r="G41" i="3"/>
  <c r="G42" i="3"/>
  <c r="G43" i="3"/>
  <c r="G44" i="3"/>
  <c r="G45" i="3"/>
  <c r="G46" i="3"/>
  <c r="G47" i="3"/>
  <c r="G48" i="3"/>
  <c r="G49" i="3"/>
  <c r="G50" i="3"/>
  <c r="G51" i="3"/>
  <c r="G52" i="3"/>
  <c r="G53" i="3"/>
  <c r="G54" i="3"/>
  <c r="G55" i="3"/>
  <c r="G56" i="3"/>
  <c r="G57" i="3"/>
  <c r="G58" i="3"/>
  <c r="G59" i="3"/>
  <c r="G60" i="3"/>
  <c r="G61" i="3"/>
  <c r="G62" i="3"/>
  <c r="G63" i="3"/>
  <c r="G64" i="3"/>
  <c r="G65" i="3"/>
  <c r="G66" i="3"/>
  <c r="G67" i="3"/>
  <c r="G68" i="3"/>
  <c r="G69" i="3"/>
  <c r="G70" i="3"/>
  <c r="G71" i="3"/>
  <c r="G72" i="3"/>
  <c r="G73" i="3"/>
  <c r="G74" i="3"/>
  <c r="G75" i="3"/>
  <c r="G76" i="3"/>
  <c r="G77" i="3"/>
  <c r="G78" i="3"/>
  <c r="G79" i="3"/>
  <c r="G80" i="3"/>
  <c r="G81" i="3"/>
  <c r="G82" i="3"/>
  <c r="G83" i="3"/>
  <c r="G84" i="3"/>
  <c r="G85" i="3"/>
  <c r="G86" i="3"/>
  <c r="G87" i="3"/>
  <c r="G88" i="3"/>
  <c r="G89" i="3"/>
  <c r="G90" i="3"/>
  <c r="G91" i="3"/>
  <c r="G92" i="3"/>
  <c r="G93" i="3"/>
  <c r="G94" i="3"/>
  <c r="G95" i="3"/>
  <c r="G96" i="3"/>
  <c r="G97" i="3"/>
  <c r="G98" i="3"/>
  <c r="G99" i="3"/>
  <c r="G100" i="3"/>
  <c r="G101" i="3"/>
  <c r="G102" i="3"/>
  <c r="G103" i="3"/>
  <c r="G104" i="3"/>
  <c r="G105" i="3"/>
  <c r="G106" i="3"/>
  <c r="G107" i="3"/>
  <c r="G108" i="3"/>
  <c r="G109" i="3"/>
  <c r="G110" i="3"/>
  <c r="G111" i="3"/>
  <c r="G112" i="3"/>
  <c r="G113" i="3"/>
  <c r="G114" i="3"/>
  <c r="G115" i="3"/>
  <c r="G116" i="3"/>
  <c r="G117" i="3"/>
  <c r="G118" i="3"/>
  <c r="G119" i="3"/>
  <c r="G120" i="3"/>
  <c r="G121" i="3"/>
  <c r="G122" i="3"/>
  <c r="G123" i="3"/>
  <c r="G124" i="3"/>
  <c r="G125" i="3"/>
  <c r="G126" i="3"/>
  <c r="G127" i="3"/>
  <c r="G128" i="3"/>
  <c r="G129" i="3"/>
  <c r="G130" i="3"/>
  <c r="G131" i="3"/>
  <c r="G132" i="3"/>
  <c r="G133" i="3"/>
  <c r="G134" i="3"/>
  <c r="G135" i="3"/>
  <c r="G136" i="3"/>
  <c r="G137" i="3"/>
  <c r="G138" i="3"/>
  <c r="G139" i="3"/>
  <c r="G140" i="3"/>
  <c r="G141" i="3"/>
  <c r="G142" i="3"/>
  <c r="G143" i="3"/>
  <c r="G144" i="3"/>
  <c r="G145" i="3"/>
  <c r="G146" i="3"/>
  <c r="G147" i="3"/>
  <c r="G148" i="3"/>
  <c r="G149" i="3"/>
  <c r="G150" i="3"/>
  <c r="G151" i="3"/>
  <c r="G152" i="3"/>
  <c r="G153" i="3"/>
  <c r="G154" i="3"/>
  <c r="G155" i="3"/>
  <c r="G156" i="3"/>
  <c r="G157" i="3"/>
  <c r="G158" i="3"/>
  <c r="G159" i="3"/>
  <c r="G160" i="3"/>
  <c r="G161" i="3"/>
  <c r="G162" i="3"/>
  <c r="G163" i="3"/>
  <c r="G164" i="3"/>
  <c r="G165" i="3"/>
  <c r="G166" i="3"/>
  <c r="G167" i="3"/>
  <c r="G168" i="3"/>
  <c r="G169" i="3"/>
  <c r="G170" i="3"/>
  <c r="G171" i="3"/>
  <c r="G172" i="3"/>
  <c r="G173" i="3"/>
  <c r="G174" i="3"/>
  <c r="G175" i="3"/>
  <c r="G176" i="3"/>
  <c r="G177" i="3"/>
  <c r="G178" i="3"/>
  <c r="G179" i="3"/>
  <c r="G180" i="3"/>
  <c r="G181" i="3"/>
  <c r="G182" i="3"/>
  <c r="G183" i="3"/>
  <c r="G184" i="3"/>
  <c r="G185" i="3"/>
  <c r="G186" i="3"/>
  <c r="G187" i="3"/>
  <c r="G188" i="3"/>
  <c r="G189" i="3"/>
  <c r="G190" i="3"/>
  <c r="G191" i="3"/>
  <c r="G192" i="3"/>
  <c r="G193" i="3"/>
  <c r="G194" i="3"/>
  <c r="G195" i="3"/>
  <c r="G196" i="3"/>
  <c r="G197" i="3"/>
  <c r="G198" i="3"/>
  <c r="G199" i="3"/>
  <c r="G200" i="3"/>
  <c r="G201" i="3"/>
  <c r="G202" i="3"/>
  <c r="G203" i="3"/>
  <c r="G204" i="3"/>
  <c r="G205" i="3"/>
  <c r="G206" i="3"/>
  <c r="G207" i="3"/>
  <c r="G208" i="3"/>
  <c r="G209" i="3"/>
  <c r="G210" i="3"/>
  <c r="G211" i="3"/>
  <c r="G212" i="3"/>
  <c r="G213" i="3"/>
  <c r="G214" i="3"/>
  <c r="G215" i="3"/>
  <c r="G216" i="3"/>
  <c r="G217" i="3"/>
  <c r="G218" i="3"/>
  <c r="G219" i="3"/>
  <c r="G220" i="3"/>
  <c r="G221" i="3"/>
  <c r="G222" i="3"/>
  <c r="G223" i="3"/>
  <c r="G224" i="3"/>
  <c r="G225" i="3"/>
  <c r="G226" i="3"/>
  <c r="G227" i="3"/>
  <c r="G228" i="3"/>
  <c r="G229" i="3"/>
  <c r="G230" i="3"/>
  <c r="G231" i="3"/>
  <c r="G232" i="3"/>
  <c r="G233" i="3"/>
  <c r="G234" i="3"/>
  <c r="G235" i="3"/>
  <c r="G236" i="3"/>
  <c r="G237" i="3"/>
  <c r="G238" i="3"/>
  <c r="G239" i="3"/>
  <c r="G240" i="3"/>
  <c r="G241" i="3"/>
  <c r="G242" i="3"/>
  <c r="G243" i="3"/>
  <c r="G244" i="3"/>
  <c r="G245" i="3"/>
  <c r="G246" i="3"/>
  <c r="G247" i="3"/>
  <c r="G248" i="3"/>
  <c r="G249" i="3"/>
  <c r="G250" i="3"/>
  <c r="G251" i="3"/>
  <c r="G252" i="3"/>
  <c r="G253" i="3"/>
  <c r="G254" i="3"/>
  <c r="G255" i="3"/>
  <c r="G256" i="3"/>
  <c r="G257" i="3"/>
  <c r="G258" i="3"/>
  <c r="G259" i="3"/>
  <c r="G260" i="3"/>
  <c r="G261" i="3"/>
  <c r="G262" i="3"/>
  <c r="G263" i="3"/>
  <c r="G264" i="3"/>
  <c r="G265" i="3"/>
  <c r="G266" i="3"/>
  <c r="G267" i="3"/>
  <c r="G268" i="3"/>
  <c r="G269" i="3"/>
  <c r="G270" i="3"/>
  <c r="G271" i="3"/>
  <c r="G272" i="3"/>
  <c r="G273" i="3"/>
  <c r="G274" i="3"/>
  <c r="G275" i="3"/>
  <c r="G276" i="3"/>
  <c r="G277" i="3"/>
  <c r="G278" i="3"/>
  <c r="G279" i="3"/>
  <c r="G280" i="3"/>
  <c r="G281" i="3"/>
  <c r="G282" i="3"/>
  <c r="G283" i="3"/>
  <c r="G284" i="3"/>
  <c r="G285" i="3"/>
  <c r="G286" i="3"/>
  <c r="G287" i="3"/>
  <c r="G288" i="3"/>
  <c r="G289" i="3"/>
  <c r="G290" i="3"/>
  <c r="G291" i="3"/>
  <c r="G292" i="3"/>
  <c r="G293" i="3"/>
  <c r="G294" i="3"/>
  <c r="G295" i="3"/>
  <c r="G296" i="3"/>
  <c r="G297" i="3"/>
  <c r="G298" i="3"/>
  <c r="G299" i="3"/>
  <c r="G300" i="3"/>
  <c r="G301" i="3"/>
  <c r="G302" i="3"/>
  <c r="G303" i="3"/>
  <c r="G304" i="3"/>
  <c r="G305" i="3"/>
  <c r="G306" i="3"/>
  <c r="G307" i="3"/>
  <c r="G308" i="3"/>
  <c r="G309" i="3"/>
  <c r="G310" i="3"/>
  <c r="G311" i="3"/>
  <c r="G312" i="3"/>
  <c r="G313" i="3"/>
  <c r="G314" i="3"/>
  <c r="G315" i="3"/>
  <c r="G316" i="3"/>
  <c r="G317" i="3"/>
  <c r="G318" i="3"/>
  <c r="G319" i="3"/>
  <c r="G320" i="3"/>
  <c r="G321" i="3"/>
  <c r="G322" i="3"/>
  <c r="G323" i="3"/>
  <c r="G324" i="3"/>
  <c r="G325" i="3"/>
  <c r="G326" i="3"/>
  <c r="G327" i="3"/>
  <c r="G328" i="3"/>
  <c r="G329" i="3"/>
  <c r="G330" i="3"/>
  <c r="G331" i="3"/>
  <c r="G332" i="3"/>
  <c r="G333" i="3"/>
  <c r="G334" i="3"/>
  <c r="G335" i="3"/>
  <c r="G336" i="3"/>
  <c r="G337" i="3"/>
  <c r="G338" i="3"/>
  <c r="G339" i="3"/>
  <c r="G340" i="3"/>
  <c r="G341" i="3"/>
  <c r="G342" i="3"/>
  <c r="G343" i="3"/>
  <c r="G344" i="3"/>
  <c r="G345" i="3"/>
  <c r="G346" i="3"/>
  <c r="G347" i="3"/>
  <c r="G348" i="3"/>
  <c r="G349" i="3"/>
  <c r="G350" i="3"/>
  <c r="G351" i="3"/>
  <c r="G352" i="3"/>
  <c r="G353" i="3"/>
  <c r="G354" i="3"/>
  <c r="G355" i="3"/>
  <c r="G356" i="3"/>
  <c r="G357" i="3"/>
  <c r="G358" i="3"/>
  <c r="G359" i="3"/>
  <c r="G360" i="3"/>
  <c r="G361" i="3"/>
  <c r="G362" i="3"/>
  <c r="G363" i="3"/>
  <c r="G364" i="3"/>
  <c r="G365" i="3"/>
  <c r="G366" i="3"/>
  <c r="G367" i="3"/>
  <c r="G368" i="3"/>
  <c r="G369" i="3"/>
  <c r="G370" i="3"/>
  <c r="G371" i="3"/>
  <c r="G372" i="3"/>
  <c r="G373" i="3"/>
  <c r="G374" i="3"/>
  <c r="G375" i="3"/>
  <c r="G376" i="3"/>
  <c r="G377" i="3"/>
  <c r="G378" i="3"/>
  <c r="G379" i="3"/>
  <c r="G380" i="3"/>
  <c r="G381" i="3"/>
  <c r="G382" i="3"/>
  <c r="G383" i="3"/>
  <c r="G384" i="3"/>
  <c r="G385" i="3"/>
  <c r="G386" i="3"/>
  <c r="G387" i="3"/>
  <c r="G388" i="3"/>
  <c r="G389" i="3"/>
  <c r="G390" i="3"/>
  <c r="G391" i="3"/>
  <c r="G392" i="3"/>
  <c r="G393" i="3"/>
  <c r="G394" i="3"/>
  <c r="G395" i="3"/>
  <c r="G396" i="3"/>
  <c r="G397" i="3"/>
  <c r="G398" i="3"/>
  <c r="G399" i="3"/>
  <c r="G400" i="3"/>
  <c r="G401" i="3"/>
  <c r="G402" i="3"/>
  <c r="G403" i="3"/>
  <c r="G404" i="3"/>
  <c r="G405" i="3"/>
  <c r="G406" i="3"/>
  <c r="G407" i="3"/>
  <c r="G408" i="3"/>
  <c r="G409" i="3"/>
  <c r="G410" i="3"/>
  <c r="G411" i="3"/>
  <c r="G412" i="3"/>
  <c r="G413" i="3"/>
  <c r="G414" i="3"/>
  <c r="G415" i="3"/>
  <c r="G416" i="3"/>
  <c r="G417" i="3"/>
  <c r="G418" i="3"/>
  <c r="G419" i="3"/>
  <c r="G420" i="3"/>
  <c r="G421" i="3"/>
  <c r="G422" i="3"/>
  <c r="G423" i="3"/>
  <c r="G424" i="3"/>
  <c r="G425" i="3"/>
  <c r="G426" i="3"/>
  <c r="G427" i="3"/>
  <c r="G428" i="3"/>
  <c r="G429" i="3"/>
  <c r="G430" i="3"/>
  <c r="G431" i="3"/>
  <c r="G432" i="3"/>
  <c r="G433" i="3"/>
  <c r="G434" i="3"/>
  <c r="G435" i="3"/>
  <c r="G436" i="3"/>
  <c r="G437" i="3"/>
  <c r="G438" i="3"/>
  <c r="G439" i="3"/>
  <c r="G440" i="3"/>
  <c r="G441" i="3"/>
  <c r="G442" i="3"/>
  <c r="G443" i="3"/>
  <c r="G444" i="3"/>
  <c r="G445" i="3"/>
  <c r="G446" i="3"/>
  <c r="G447" i="3"/>
  <c r="G448" i="3"/>
  <c r="G449" i="3"/>
  <c r="G450" i="3"/>
  <c r="G451" i="3"/>
  <c r="G452" i="3"/>
  <c r="G453" i="3"/>
  <c r="G454" i="3"/>
  <c r="G455" i="3"/>
  <c r="G456" i="3"/>
  <c r="G457" i="3"/>
  <c r="G458" i="3"/>
  <c r="G459" i="3"/>
  <c r="G460" i="3"/>
  <c r="G461" i="3"/>
  <c r="G462" i="3"/>
  <c r="G463" i="3"/>
  <c r="G464" i="3"/>
  <c r="G465" i="3"/>
  <c r="G466" i="3"/>
  <c r="G467" i="3"/>
  <c r="G468" i="3"/>
  <c r="G469" i="3"/>
  <c r="G470" i="3"/>
  <c r="G471" i="3"/>
  <c r="G472" i="3"/>
  <c r="G473" i="3"/>
  <c r="G474" i="3"/>
  <c r="G475" i="3"/>
  <c r="G476" i="3"/>
  <c r="G477" i="3"/>
  <c r="G478" i="3"/>
  <c r="G479" i="3"/>
  <c r="G480" i="3"/>
  <c r="G481" i="3"/>
  <c r="G482" i="3"/>
  <c r="G483" i="3"/>
  <c r="G484" i="3"/>
  <c r="G485" i="3"/>
  <c r="G486" i="3"/>
  <c r="G487" i="3"/>
  <c r="G488" i="3"/>
  <c r="G489" i="3"/>
  <c r="G490" i="3"/>
  <c r="G491" i="3"/>
  <c r="G492" i="3"/>
  <c r="G493" i="3"/>
  <c r="G494" i="3"/>
  <c r="G495" i="3"/>
  <c r="G496" i="3"/>
  <c r="G497" i="3"/>
  <c r="G498" i="3"/>
  <c r="G499" i="3"/>
  <c r="G500" i="3"/>
  <c r="G501" i="3"/>
  <c r="G502" i="3"/>
  <c r="G503" i="3"/>
  <c r="G504" i="3"/>
  <c r="G505" i="3"/>
  <c r="G506" i="3"/>
  <c r="G507" i="3"/>
  <c r="G508" i="3"/>
  <c r="G509" i="3"/>
  <c r="G510" i="3"/>
  <c r="G511" i="3"/>
  <c r="G512" i="3"/>
  <c r="G513" i="3"/>
  <c r="G514" i="3"/>
  <c r="G515" i="3"/>
  <c r="G516" i="3"/>
  <c r="G517" i="3"/>
  <c r="G518" i="3"/>
  <c r="G519" i="3"/>
  <c r="G520" i="3"/>
  <c r="G521" i="3"/>
  <c r="G522" i="3"/>
  <c r="G523" i="3"/>
  <c r="G524" i="3"/>
  <c r="G525" i="3"/>
  <c r="G526" i="3"/>
  <c r="G527" i="3"/>
  <c r="G528" i="3"/>
  <c r="G529" i="3"/>
  <c r="G530" i="3"/>
  <c r="G531" i="3"/>
  <c r="G532" i="3"/>
  <c r="G533" i="3"/>
  <c r="G534" i="3"/>
  <c r="G535" i="3"/>
  <c r="G536" i="3"/>
  <c r="G537" i="3"/>
  <c r="G538" i="3"/>
  <c r="G539" i="3"/>
  <c r="G540" i="3"/>
  <c r="G541" i="3"/>
  <c r="G542" i="3"/>
  <c r="G543" i="3"/>
  <c r="G544" i="3"/>
  <c r="G545" i="3"/>
  <c r="G546" i="3"/>
  <c r="G547" i="3"/>
  <c r="G548" i="3"/>
  <c r="G549" i="3"/>
  <c r="G550" i="3"/>
  <c r="G551" i="3"/>
  <c r="G552" i="3"/>
  <c r="G553" i="3"/>
  <c r="G554" i="3"/>
  <c r="G555" i="3"/>
  <c r="G556" i="3"/>
  <c r="G557" i="3"/>
  <c r="G558" i="3"/>
  <c r="G559" i="3"/>
  <c r="G560" i="3"/>
  <c r="G561" i="3"/>
  <c r="G562" i="3"/>
  <c r="G563" i="3"/>
  <c r="G564" i="3"/>
  <c r="G565" i="3"/>
  <c r="G566" i="3"/>
  <c r="G567" i="3"/>
  <c r="G568" i="3"/>
  <c r="G569" i="3"/>
  <c r="G570" i="3"/>
  <c r="G571" i="3"/>
  <c r="G572" i="3"/>
  <c r="G573" i="3"/>
  <c r="G574" i="3"/>
  <c r="G575" i="3"/>
  <c r="G576" i="3"/>
  <c r="G577" i="3"/>
  <c r="G578" i="3"/>
  <c r="G579" i="3"/>
  <c r="G580" i="3"/>
  <c r="G581" i="3"/>
  <c r="G582" i="3"/>
  <c r="G583" i="3"/>
  <c r="G584" i="3"/>
  <c r="G585" i="3"/>
  <c r="G586" i="3"/>
  <c r="G587" i="3"/>
  <c r="G588" i="3"/>
  <c r="G589" i="3"/>
  <c r="G590" i="3"/>
  <c r="G591" i="3"/>
  <c r="G592" i="3"/>
  <c r="G593" i="3"/>
  <c r="G594" i="3"/>
  <c r="G595" i="3"/>
  <c r="G596" i="3"/>
  <c r="G597" i="3"/>
  <c r="G598" i="3"/>
  <c r="G599" i="3"/>
  <c r="G600" i="3"/>
  <c r="G601" i="3"/>
  <c r="G602" i="3"/>
  <c r="G603" i="3"/>
  <c r="G604" i="3"/>
  <c r="G605" i="3"/>
  <c r="G606" i="3"/>
  <c r="G607" i="3"/>
  <c r="G608" i="3"/>
  <c r="G609" i="3"/>
  <c r="G610" i="3"/>
  <c r="G611" i="3"/>
  <c r="G612" i="3"/>
  <c r="G613" i="3"/>
  <c r="G614" i="3"/>
  <c r="G615" i="3"/>
  <c r="G616" i="3"/>
  <c r="G617" i="3"/>
  <c r="G618" i="3"/>
  <c r="G619" i="3"/>
  <c r="G620" i="3"/>
  <c r="G621" i="3"/>
  <c r="G622" i="3"/>
  <c r="G623" i="3"/>
  <c r="G624" i="3"/>
  <c r="G625" i="3"/>
  <c r="G626" i="3"/>
  <c r="G627" i="3"/>
  <c r="G628" i="3"/>
  <c r="G629" i="3"/>
  <c r="G630" i="3"/>
  <c r="G631" i="3"/>
  <c r="G632" i="3"/>
  <c r="G633" i="3"/>
  <c r="G634" i="3"/>
  <c r="G635" i="3"/>
  <c r="G636" i="3"/>
  <c r="G637" i="3"/>
  <c r="G638" i="3"/>
  <c r="G639" i="3"/>
  <c r="G640" i="3"/>
  <c r="G641" i="3"/>
  <c r="G642" i="3"/>
  <c r="G643" i="3"/>
  <c r="G644" i="3"/>
  <c r="G645" i="3"/>
  <c r="G646" i="3"/>
  <c r="G647" i="3"/>
  <c r="G648" i="3"/>
  <c r="G649" i="3"/>
  <c r="G650" i="3"/>
  <c r="G651" i="3"/>
  <c r="G652" i="3"/>
  <c r="G653" i="3"/>
  <c r="G654" i="3"/>
  <c r="G655" i="3"/>
  <c r="G656" i="3"/>
  <c r="G657" i="3"/>
  <c r="G658" i="3"/>
  <c r="G659" i="3"/>
  <c r="G660" i="3"/>
  <c r="G661" i="3"/>
  <c r="G662" i="3"/>
  <c r="G663" i="3"/>
  <c r="G664" i="3"/>
  <c r="G665" i="3"/>
  <c r="G666" i="3"/>
  <c r="G667" i="3"/>
  <c r="G668" i="3"/>
  <c r="G669" i="3"/>
  <c r="G670" i="3"/>
  <c r="G671" i="3"/>
  <c r="G672" i="3"/>
  <c r="G673" i="3"/>
  <c r="G674" i="3"/>
  <c r="G675" i="3"/>
  <c r="G676" i="3"/>
  <c r="G677" i="3"/>
  <c r="G678" i="3"/>
  <c r="G679" i="3"/>
  <c r="G680" i="3"/>
  <c r="G681" i="3"/>
  <c r="G682" i="3"/>
  <c r="G683" i="3"/>
  <c r="G684" i="3"/>
  <c r="G685" i="3"/>
  <c r="G686" i="3"/>
  <c r="G687" i="3"/>
  <c r="G688" i="3"/>
  <c r="G689" i="3"/>
  <c r="G690" i="3"/>
  <c r="G691" i="3"/>
  <c r="G692" i="3"/>
  <c r="G693" i="3"/>
  <c r="G694" i="3"/>
  <c r="G695" i="3"/>
  <c r="G696" i="3"/>
  <c r="G697" i="3"/>
  <c r="G698" i="3"/>
  <c r="G699" i="3"/>
  <c r="G700" i="3"/>
  <c r="G701" i="3"/>
  <c r="G702" i="3"/>
  <c r="G703" i="3"/>
  <c r="G704" i="3"/>
  <c r="G705" i="3"/>
  <c r="G706" i="3"/>
  <c r="G707" i="3"/>
  <c r="G708" i="3"/>
  <c r="G709" i="3"/>
  <c r="G710" i="3"/>
  <c r="G711" i="3"/>
  <c r="G712" i="3"/>
  <c r="G713" i="3"/>
  <c r="G714" i="3"/>
  <c r="G715" i="3"/>
  <c r="G716" i="3"/>
  <c r="G717" i="3"/>
  <c r="G718" i="3"/>
  <c r="G719" i="3"/>
  <c r="G720" i="3"/>
  <c r="G721" i="3"/>
  <c r="G722" i="3"/>
  <c r="G723" i="3"/>
  <c r="G724" i="3"/>
  <c r="G725" i="3"/>
  <c r="G726" i="3"/>
  <c r="G727" i="3"/>
  <c r="G728" i="3"/>
  <c r="G729" i="3"/>
  <c r="G730" i="3"/>
  <c r="G731" i="3"/>
  <c r="G732" i="3"/>
  <c r="G733" i="3"/>
  <c r="G734" i="3"/>
  <c r="G735" i="3"/>
  <c r="G736" i="3"/>
  <c r="G737" i="3"/>
  <c r="G738" i="3"/>
  <c r="G739" i="3"/>
  <c r="G740" i="3"/>
  <c r="G741" i="3"/>
  <c r="G742" i="3"/>
  <c r="G743" i="3"/>
  <c r="G744" i="3"/>
  <c r="G745" i="3"/>
  <c r="G746" i="3"/>
  <c r="G747" i="3"/>
  <c r="G748" i="3"/>
  <c r="G749" i="3"/>
  <c r="G750" i="3"/>
  <c r="G751" i="3"/>
  <c r="G752" i="3"/>
  <c r="G753" i="3"/>
  <c r="G754" i="3"/>
  <c r="G755" i="3"/>
  <c r="G756" i="3"/>
  <c r="G757" i="3"/>
  <c r="G758" i="3"/>
  <c r="G759" i="3"/>
  <c r="G760" i="3"/>
  <c r="G761" i="3"/>
  <c r="G762" i="3"/>
  <c r="G763" i="3"/>
  <c r="G764" i="3"/>
  <c r="G765" i="3"/>
  <c r="G766" i="3"/>
  <c r="G767" i="3"/>
  <c r="G768" i="3"/>
  <c r="G769" i="3"/>
  <c r="G770" i="3"/>
  <c r="G771" i="3"/>
  <c r="G772" i="3"/>
  <c r="G773" i="3"/>
  <c r="G774" i="3"/>
  <c r="G775" i="3"/>
  <c r="G776" i="3"/>
  <c r="G777" i="3"/>
  <c r="G778" i="3"/>
  <c r="G779" i="3"/>
  <c r="G780" i="3"/>
  <c r="G781" i="3"/>
  <c r="G782" i="3"/>
  <c r="G783" i="3"/>
  <c r="G784" i="3"/>
  <c r="G785" i="3"/>
  <c r="G786" i="3"/>
  <c r="G787" i="3"/>
  <c r="G788" i="3"/>
  <c r="G789" i="3"/>
  <c r="G790" i="3"/>
  <c r="G791" i="3"/>
  <c r="G792" i="3"/>
  <c r="G793" i="3"/>
  <c r="G794" i="3"/>
  <c r="G795" i="3"/>
  <c r="G796" i="3"/>
  <c r="G797" i="3"/>
  <c r="G798" i="3"/>
  <c r="G799" i="3"/>
  <c r="G800" i="3"/>
  <c r="G801" i="3"/>
  <c r="G802" i="3"/>
  <c r="G803" i="3"/>
  <c r="G804" i="3"/>
  <c r="G805" i="3"/>
  <c r="G806" i="3"/>
  <c r="G807" i="3"/>
  <c r="G808" i="3"/>
  <c r="G809" i="3"/>
  <c r="G810" i="3"/>
  <c r="G811" i="3"/>
  <c r="G812" i="3"/>
  <c r="G813" i="3"/>
  <c r="G814" i="3"/>
  <c r="G815" i="3"/>
  <c r="G816" i="3"/>
  <c r="G817" i="3"/>
  <c r="G818" i="3"/>
  <c r="G819" i="3"/>
  <c r="G820" i="3"/>
  <c r="G821" i="3"/>
  <c r="G822" i="3"/>
  <c r="G823" i="3"/>
  <c r="G824" i="3"/>
  <c r="G825" i="3"/>
  <c r="G826" i="3"/>
  <c r="G827" i="3"/>
  <c r="G828" i="3"/>
  <c r="G829" i="3"/>
  <c r="G830" i="3"/>
  <c r="G831" i="3"/>
  <c r="G832" i="3"/>
  <c r="G833" i="3"/>
  <c r="G834" i="3"/>
  <c r="G835" i="3"/>
  <c r="G836" i="3"/>
  <c r="G837" i="3"/>
  <c r="G838" i="3"/>
  <c r="G839" i="3"/>
  <c r="G840" i="3"/>
  <c r="G841" i="3"/>
  <c r="G842" i="3"/>
  <c r="G843" i="3"/>
  <c r="G844" i="3"/>
  <c r="G845" i="3"/>
  <c r="G846" i="3"/>
  <c r="G847" i="3"/>
  <c r="G848" i="3"/>
  <c r="G849" i="3"/>
  <c r="G850" i="3"/>
  <c r="G851" i="3"/>
  <c r="G852" i="3"/>
  <c r="G853" i="3"/>
  <c r="G854" i="3"/>
  <c r="G855" i="3"/>
  <c r="G856" i="3"/>
  <c r="G857" i="3"/>
  <c r="G858" i="3"/>
  <c r="G859" i="3"/>
  <c r="G860" i="3"/>
  <c r="G861" i="3"/>
  <c r="G862" i="3"/>
  <c r="G863" i="3"/>
  <c r="G864" i="3"/>
  <c r="G865" i="3"/>
  <c r="G866" i="3"/>
  <c r="G867" i="3"/>
  <c r="G868" i="3"/>
  <c r="G869" i="3"/>
  <c r="G870" i="3"/>
  <c r="G871" i="3"/>
  <c r="G872" i="3"/>
  <c r="G873" i="3"/>
  <c r="G874" i="3"/>
  <c r="G875" i="3"/>
  <c r="G876" i="3"/>
  <c r="G877" i="3"/>
  <c r="G878" i="3"/>
  <c r="G879" i="3"/>
  <c r="G880" i="3"/>
  <c r="G881" i="3"/>
  <c r="G882" i="3"/>
  <c r="G883" i="3"/>
  <c r="G884" i="3"/>
  <c r="G885" i="3"/>
  <c r="G886" i="3"/>
  <c r="G887" i="3"/>
  <c r="G888" i="3"/>
  <c r="G889" i="3"/>
  <c r="G890" i="3"/>
  <c r="G891" i="3"/>
  <c r="G892" i="3"/>
  <c r="G893" i="3"/>
  <c r="G894" i="3"/>
  <c r="G895" i="3"/>
  <c r="G896" i="3"/>
  <c r="G897" i="3"/>
  <c r="G898" i="3"/>
  <c r="G899" i="3"/>
  <c r="G900" i="3"/>
  <c r="G901" i="3"/>
  <c r="G902" i="3"/>
  <c r="G903" i="3"/>
  <c r="G904" i="3"/>
  <c r="G905" i="3"/>
  <c r="G906" i="3"/>
  <c r="G907" i="3"/>
  <c r="G908" i="3"/>
  <c r="G909" i="3"/>
  <c r="G910" i="3"/>
  <c r="G911" i="3"/>
  <c r="G912" i="3"/>
  <c r="G913" i="3"/>
  <c r="G914" i="3"/>
  <c r="G915" i="3"/>
  <c r="G916" i="3"/>
  <c r="G917" i="3"/>
  <c r="G918" i="3"/>
  <c r="G919" i="3"/>
  <c r="G920" i="3"/>
  <c r="G921" i="3"/>
  <c r="G922" i="3"/>
  <c r="G923" i="3"/>
  <c r="G924" i="3"/>
  <c r="G925" i="3"/>
  <c r="G926" i="3"/>
  <c r="G927" i="3"/>
  <c r="G928" i="3"/>
  <c r="G929" i="3"/>
  <c r="G930" i="3"/>
  <c r="G931" i="3"/>
  <c r="G932" i="3"/>
  <c r="G933" i="3"/>
  <c r="G934" i="3"/>
  <c r="G935" i="3"/>
  <c r="G936" i="3"/>
  <c r="G937" i="3"/>
  <c r="G938" i="3"/>
  <c r="G939" i="3"/>
  <c r="G940" i="3"/>
  <c r="G941" i="3"/>
  <c r="G942" i="3"/>
  <c r="G943" i="3"/>
  <c r="G944" i="3"/>
  <c r="G945" i="3"/>
  <c r="G946" i="3"/>
  <c r="G947" i="3"/>
  <c r="G948" i="3"/>
  <c r="G949" i="3"/>
  <c r="G950" i="3"/>
  <c r="G951" i="3"/>
  <c r="G952" i="3"/>
  <c r="G953" i="3"/>
  <c r="G954" i="3"/>
  <c r="G955" i="3"/>
  <c r="G956" i="3"/>
  <c r="G957" i="3"/>
  <c r="G958" i="3"/>
  <c r="G959" i="3"/>
  <c r="G960" i="3"/>
  <c r="G961" i="3"/>
  <c r="G962" i="3"/>
  <c r="G963" i="3"/>
  <c r="G964" i="3"/>
  <c r="G965" i="3"/>
  <c r="G966" i="3"/>
  <c r="G967" i="3"/>
  <c r="G968" i="3"/>
  <c r="G969" i="3"/>
  <c r="G970" i="3"/>
  <c r="G971" i="3"/>
  <c r="G972" i="3"/>
  <c r="G973" i="3"/>
  <c r="G974" i="3"/>
  <c r="G975" i="3"/>
  <c r="G976" i="3"/>
  <c r="G977" i="3"/>
  <c r="G978" i="3"/>
  <c r="G979" i="3"/>
  <c r="G980" i="3"/>
  <c r="G981" i="3"/>
  <c r="G982" i="3"/>
  <c r="G983" i="3"/>
  <c r="G984" i="3"/>
  <c r="G985" i="3"/>
  <c r="G986" i="3"/>
  <c r="G987" i="3"/>
  <c r="G988" i="3"/>
  <c r="G989" i="3"/>
  <c r="G990" i="3"/>
  <c r="G991" i="3"/>
  <c r="G992" i="3"/>
  <c r="G993" i="3"/>
  <c r="G994" i="3"/>
  <c r="G995" i="3"/>
  <c r="G996" i="3"/>
  <c r="G997" i="3"/>
  <c r="G998" i="3"/>
  <c r="G999" i="3"/>
  <c r="G1000" i="3"/>
  <c r="G1001" i="3"/>
  <c r="G1002" i="3"/>
  <c r="G1003" i="3"/>
  <c r="G1004" i="3"/>
  <c r="G1005" i="3"/>
  <c r="G1006" i="3"/>
  <c r="G1007" i="3"/>
  <c r="G1008" i="3"/>
  <c r="G1009" i="3"/>
  <c r="G1010" i="3"/>
  <c r="G1011" i="3"/>
  <c r="G1012" i="3"/>
  <c r="G1013" i="3"/>
  <c r="G1014" i="3"/>
  <c r="G1015" i="3"/>
  <c r="G1016" i="3"/>
  <c r="G1017" i="3"/>
  <c r="G1018" i="3"/>
  <c r="G1019" i="3"/>
  <c r="G1020" i="3"/>
  <c r="G1021" i="3"/>
  <c r="G1022" i="3"/>
  <c r="G1023" i="3"/>
  <c r="G1024" i="3"/>
  <c r="G1025" i="3"/>
  <c r="G1026" i="3"/>
  <c r="G1027" i="3"/>
  <c r="G1028" i="3"/>
  <c r="G1029" i="3"/>
  <c r="G1030" i="3"/>
  <c r="G1031" i="3"/>
  <c r="G1032" i="3"/>
  <c r="G1033" i="3"/>
  <c r="G1034" i="3"/>
  <c r="G1035" i="3"/>
  <c r="G1036" i="3"/>
  <c r="G1037" i="3"/>
  <c r="G1038" i="3"/>
  <c r="G1039" i="3"/>
  <c r="G1040" i="3"/>
  <c r="G1041" i="3"/>
  <c r="G1042" i="3"/>
  <c r="G1043" i="3"/>
  <c r="G1044" i="3"/>
  <c r="G1045" i="3"/>
  <c r="G1046" i="3"/>
  <c r="G1047" i="3"/>
  <c r="G1048" i="3"/>
  <c r="G1049" i="3"/>
  <c r="G1050" i="3"/>
  <c r="G1051" i="3"/>
  <c r="G1052" i="3"/>
  <c r="G1053" i="3"/>
  <c r="G1054" i="3"/>
  <c r="G1055" i="3"/>
  <c r="G1056" i="3"/>
  <c r="G1057" i="3"/>
  <c r="G1058" i="3"/>
  <c r="G1059" i="3"/>
  <c r="G1060" i="3"/>
  <c r="G1061" i="3"/>
  <c r="G1062" i="3"/>
  <c r="G1063" i="3"/>
  <c r="G1064" i="3"/>
  <c r="G1065" i="3"/>
  <c r="G1066" i="3"/>
  <c r="G1067" i="3"/>
  <c r="G1068" i="3"/>
  <c r="G1069" i="3"/>
  <c r="G1070" i="3"/>
  <c r="G1071" i="3"/>
  <c r="G1072" i="3"/>
  <c r="G1073" i="3"/>
  <c r="G1074" i="3"/>
  <c r="G1075" i="3"/>
  <c r="G1076" i="3"/>
  <c r="G1077" i="3"/>
  <c r="G1078" i="3"/>
  <c r="G1079" i="3"/>
  <c r="G1080" i="3"/>
  <c r="G1081" i="3"/>
  <c r="G1082" i="3"/>
  <c r="G1083" i="3"/>
  <c r="G1084" i="3"/>
  <c r="G1085" i="3"/>
  <c r="G1086" i="3"/>
  <c r="G1087" i="3"/>
  <c r="G1088" i="3"/>
  <c r="G1089" i="3"/>
  <c r="G1090" i="3"/>
  <c r="G1091" i="3"/>
  <c r="G1092" i="3"/>
  <c r="G1093" i="3"/>
  <c r="G1094" i="3"/>
  <c r="G1095" i="3"/>
  <c r="G1096" i="3"/>
  <c r="G1097" i="3"/>
  <c r="G1098" i="3"/>
  <c r="G1099" i="3"/>
  <c r="G1100" i="3"/>
  <c r="G1101" i="3"/>
  <c r="G1102" i="3"/>
  <c r="G1103" i="3"/>
  <c r="G1104" i="3"/>
  <c r="G1105" i="3"/>
  <c r="G1106" i="3"/>
  <c r="G1107" i="3"/>
  <c r="G1108" i="3"/>
  <c r="G1109" i="3"/>
  <c r="G1110" i="3"/>
  <c r="G1111" i="3"/>
  <c r="G1112" i="3"/>
  <c r="G1113" i="3"/>
  <c r="G1114" i="3"/>
  <c r="G1115" i="3"/>
  <c r="G1116" i="3"/>
  <c r="G1117" i="3"/>
  <c r="G1118" i="3"/>
  <c r="G1119" i="3"/>
  <c r="G1120" i="3"/>
  <c r="G1121" i="3"/>
  <c r="G1122" i="3"/>
  <c r="G1123" i="3"/>
  <c r="G1124" i="3"/>
  <c r="G1125" i="3"/>
  <c r="G1126" i="3"/>
  <c r="G1127" i="3"/>
  <c r="G1128" i="3"/>
  <c r="G1129" i="3"/>
  <c r="G1130" i="3"/>
  <c r="G1131" i="3"/>
  <c r="G1132" i="3"/>
  <c r="G1133" i="3"/>
  <c r="G1134" i="3"/>
  <c r="G1135" i="3"/>
  <c r="G1136" i="3"/>
  <c r="G1137" i="3"/>
  <c r="G1138" i="3"/>
  <c r="G1139" i="3"/>
  <c r="G1140" i="3"/>
  <c r="G1141" i="3"/>
  <c r="G1142" i="3"/>
  <c r="G1143" i="3"/>
  <c r="G1144" i="3"/>
  <c r="G1145" i="3"/>
  <c r="G1146" i="3"/>
  <c r="G1147" i="3"/>
  <c r="G1148" i="3"/>
  <c r="G1149" i="3"/>
  <c r="G1150" i="3"/>
  <c r="G1151" i="3"/>
  <c r="G1152" i="3"/>
  <c r="G1153" i="3"/>
  <c r="G1154" i="3"/>
  <c r="G1155" i="3"/>
  <c r="G1156" i="3"/>
  <c r="G1157" i="3"/>
  <c r="G1158" i="3"/>
  <c r="G1159" i="3"/>
  <c r="G1160" i="3"/>
  <c r="G1161" i="3"/>
  <c r="G1162" i="3"/>
  <c r="G1163" i="3"/>
  <c r="G1164" i="3"/>
  <c r="G1165" i="3"/>
  <c r="G1166" i="3"/>
  <c r="G1167" i="3"/>
  <c r="G1168" i="3"/>
  <c r="G1169" i="3"/>
  <c r="G1170" i="3"/>
  <c r="G1171" i="3"/>
  <c r="G1172" i="3"/>
  <c r="G1173" i="3"/>
  <c r="G1174" i="3"/>
  <c r="G1175" i="3"/>
  <c r="G1176" i="3"/>
  <c r="G1177" i="3"/>
  <c r="G1178" i="3"/>
  <c r="G1179" i="3"/>
  <c r="G1180" i="3"/>
  <c r="G1181" i="3"/>
  <c r="G1182" i="3"/>
  <c r="G1183" i="3"/>
  <c r="G1184" i="3"/>
  <c r="G1185" i="3"/>
  <c r="G1186" i="3"/>
  <c r="G1187" i="3"/>
  <c r="G1188" i="3"/>
  <c r="G1189" i="3"/>
  <c r="G1190" i="3"/>
  <c r="G1191" i="3"/>
  <c r="G1192" i="3"/>
  <c r="G1193" i="3"/>
  <c r="G1194" i="3"/>
  <c r="G1195" i="3"/>
  <c r="G1196" i="3"/>
  <c r="G1197" i="3"/>
  <c r="G1198" i="3"/>
  <c r="G1199" i="3"/>
  <c r="G1200" i="3"/>
  <c r="G1201" i="3"/>
  <c r="G1202" i="3"/>
  <c r="G1203" i="3"/>
  <c r="G1204" i="3"/>
  <c r="G1205" i="3"/>
  <c r="G1206" i="3"/>
  <c r="G1207" i="3"/>
  <c r="G1208" i="3"/>
  <c r="G1209" i="3"/>
  <c r="G1210" i="3"/>
  <c r="G1211" i="3"/>
  <c r="G1212" i="3"/>
  <c r="G1213" i="3"/>
  <c r="G1214" i="3"/>
  <c r="G1215" i="3"/>
  <c r="G1216" i="3"/>
  <c r="G1217" i="3"/>
  <c r="G1218" i="3"/>
  <c r="G1219" i="3"/>
  <c r="G1220" i="3"/>
  <c r="G1221" i="3"/>
  <c r="G1222" i="3"/>
  <c r="G1223" i="3"/>
  <c r="G1224" i="3"/>
  <c r="G1225" i="3"/>
  <c r="G1226" i="3"/>
  <c r="G1227" i="3"/>
  <c r="G1228" i="3"/>
  <c r="G1229" i="3"/>
  <c r="G1230" i="3"/>
  <c r="G1231" i="3"/>
  <c r="G1232" i="3"/>
  <c r="G1233" i="3"/>
  <c r="G1234" i="3"/>
  <c r="G1235" i="3"/>
  <c r="G1236" i="3"/>
  <c r="G1237" i="3"/>
  <c r="G1238" i="3"/>
  <c r="G1239" i="3"/>
  <c r="G1240" i="3"/>
  <c r="G1241" i="3"/>
  <c r="G1242" i="3"/>
  <c r="G1243" i="3"/>
  <c r="G1244" i="3"/>
  <c r="G1245" i="3"/>
  <c r="G1246" i="3"/>
  <c r="G1247" i="3"/>
  <c r="G1248" i="3"/>
  <c r="G1249" i="3"/>
  <c r="G1250" i="3"/>
  <c r="G1251" i="3"/>
  <c r="G1252" i="3"/>
  <c r="G1253" i="3"/>
  <c r="G1254" i="3"/>
  <c r="G1255" i="3"/>
  <c r="G1256" i="3"/>
  <c r="G1257" i="3"/>
  <c r="G1258" i="3"/>
  <c r="G1259" i="3"/>
  <c r="G1260" i="3"/>
  <c r="G1261" i="3"/>
  <c r="G1262" i="3"/>
  <c r="G1263" i="3"/>
  <c r="G1264" i="3"/>
  <c r="G1265" i="3"/>
  <c r="G1266" i="3"/>
  <c r="G1267" i="3"/>
  <c r="G1268" i="3"/>
  <c r="G1269" i="3"/>
  <c r="G1270" i="3"/>
  <c r="G1271" i="3"/>
  <c r="G1272" i="3"/>
  <c r="G1273" i="3"/>
  <c r="G1274" i="3"/>
  <c r="G1275" i="3"/>
  <c r="G1276" i="3"/>
  <c r="G1277" i="3"/>
  <c r="G1278" i="3"/>
  <c r="G1279" i="3"/>
  <c r="G1280" i="3"/>
  <c r="G1281" i="3"/>
  <c r="G1282" i="3"/>
  <c r="G1283" i="3"/>
  <c r="G1284" i="3"/>
  <c r="G1285" i="3"/>
  <c r="G1286" i="3"/>
  <c r="G1287" i="3"/>
  <c r="G1288" i="3"/>
  <c r="G1289" i="3"/>
  <c r="G1290" i="3"/>
  <c r="G1291" i="3"/>
  <c r="G1292" i="3"/>
  <c r="G1293" i="3"/>
  <c r="G1294" i="3"/>
  <c r="G1295" i="3"/>
  <c r="G1296" i="3"/>
  <c r="G1297" i="3"/>
  <c r="G1298" i="3"/>
  <c r="G1299" i="3"/>
  <c r="G1300" i="3"/>
  <c r="G1301" i="3"/>
  <c r="G1302" i="3"/>
  <c r="G1303" i="3"/>
  <c r="G1304" i="3"/>
  <c r="G1305" i="3"/>
  <c r="G1306" i="3"/>
  <c r="G1307" i="3"/>
  <c r="G1308" i="3"/>
  <c r="G1309" i="3"/>
  <c r="G1310" i="3"/>
  <c r="G1311" i="3"/>
  <c r="G1312" i="3"/>
  <c r="G1313" i="3"/>
  <c r="G1314" i="3"/>
  <c r="G1315" i="3"/>
  <c r="G1316" i="3"/>
  <c r="G1317" i="3"/>
  <c r="G1318" i="3"/>
  <c r="G1319" i="3"/>
  <c r="G1320" i="3"/>
  <c r="G1321" i="3"/>
  <c r="G1322" i="3"/>
  <c r="G1323" i="3"/>
  <c r="G1324" i="3"/>
  <c r="G1325" i="3"/>
  <c r="G1326" i="3"/>
  <c r="G1327" i="3"/>
  <c r="G1328" i="3"/>
  <c r="G1329" i="3"/>
  <c r="G1330" i="3"/>
  <c r="G1331" i="3"/>
  <c r="G1332" i="3"/>
  <c r="G1333" i="3"/>
  <c r="G1334" i="3"/>
  <c r="G1335" i="3"/>
  <c r="G1336" i="3"/>
  <c r="G1337" i="3"/>
  <c r="G1338" i="3"/>
  <c r="G1339" i="3"/>
  <c r="G1340" i="3"/>
  <c r="G1341" i="3"/>
  <c r="G1342" i="3"/>
  <c r="G1343" i="3"/>
  <c r="G1344" i="3"/>
  <c r="G1345" i="3"/>
  <c r="G1346" i="3"/>
  <c r="G1347" i="3"/>
  <c r="G1348" i="3"/>
  <c r="G1349" i="3"/>
  <c r="G1350" i="3"/>
  <c r="G1351" i="3"/>
  <c r="G1352" i="3"/>
  <c r="G1353" i="3"/>
  <c r="G1354" i="3"/>
  <c r="G1355" i="3"/>
  <c r="G1356" i="3"/>
  <c r="G1357" i="3"/>
  <c r="G1358" i="3"/>
  <c r="G1359" i="3"/>
  <c r="G1360" i="3"/>
  <c r="G1361" i="3"/>
  <c r="G1362" i="3"/>
  <c r="G1363" i="3"/>
  <c r="G1364" i="3"/>
  <c r="G1365" i="3"/>
  <c r="G1366" i="3"/>
  <c r="G1367" i="3"/>
  <c r="G1368" i="3"/>
  <c r="G1369" i="3"/>
  <c r="G1370" i="3"/>
  <c r="G1371" i="3"/>
  <c r="G1372" i="3"/>
  <c r="G1373" i="3"/>
  <c r="G1374" i="3"/>
  <c r="G1375" i="3"/>
  <c r="G1376" i="3"/>
  <c r="G1377" i="3"/>
  <c r="G1378" i="3"/>
  <c r="G1379" i="3"/>
  <c r="G1380" i="3"/>
  <c r="G1381" i="3"/>
  <c r="G1382" i="3"/>
  <c r="G1383" i="3"/>
  <c r="G1384" i="3"/>
  <c r="G1385" i="3"/>
  <c r="G1386" i="3"/>
  <c r="G1387" i="3"/>
  <c r="G1388" i="3"/>
  <c r="G1389" i="3"/>
  <c r="G1390" i="3"/>
  <c r="G1391" i="3"/>
  <c r="G1392" i="3"/>
  <c r="G1393" i="3"/>
  <c r="G1394" i="3"/>
  <c r="G1395" i="3"/>
  <c r="G1396" i="3"/>
  <c r="G1397" i="3"/>
  <c r="G1398" i="3"/>
  <c r="G1399" i="3"/>
  <c r="G1400" i="3"/>
  <c r="G1401" i="3"/>
  <c r="G1402" i="3"/>
  <c r="G1403" i="3"/>
  <c r="G1404" i="3"/>
  <c r="G1405" i="3"/>
  <c r="G1406" i="3"/>
  <c r="G1407" i="3"/>
  <c r="G1408" i="3"/>
  <c r="G1409" i="3"/>
  <c r="G1410" i="3"/>
  <c r="G1411" i="3"/>
  <c r="G1412" i="3"/>
  <c r="G1413" i="3"/>
  <c r="G1414" i="3"/>
  <c r="G1415" i="3"/>
  <c r="G1416" i="3"/>
  <c r="G1417" i="3"/>
  <c r="G1418" i="3"/>
  <c r="G1419" i="3"/>
  <c r="G1420" i="3"/>
  <c r="G1421" i="3"/>
  <c r="G1422" i="3"/>
  <c r="G1423" i="3"/>
  <c r="G1424" i="3"/>
  <c r="G1425" i="3"/>
  <c r="G1426" i="3"/>
  <c r="G1427" i="3"/>
  <c r="G1428" i="3"/>
  <c r="G1429" i="3"/>
  <c r="G1430" i="3"/>
  <c r="G1431" i="3"/>
  <c r="G1432" i="3"/>
  <c r="G1433" i="3"/>
  <c r="G1434" i="3"/>
  <c r="G1435" i="3"/>
  <c r="G1436" i="3"/>
  <c r="G1437" i="3"/>
  <c r="G1438" i="3"/>
  <c r="G1439" i="3"/>
  <c r="G1440" i="3"/>
  <c r="G1441" i="3"/>
  <c r="G1442" i="3"/>
  <c r="G1443" i="3"/>
  <c r="G1444" i="3"/>
  <c r="G1445" i="3"/>
  <c r="G1446" i="3"/>
  <c r="G1447" i="3"/>
  <c r="G1448" i="3"/>
  <c r="G1449" i="3"/>
  <c r="G1450" i="3"/>
  <c r="G1451" i="3"/>
  <c r="G1452" i="3"/>
  <c r="G1453" i="3"/>
  <c r="G1454" i="3"/>
  <c r="G1455" i="3"/>
  <c r="G1456" i="3"/>
  <c r="G1457" i="3"/>
  <c r="G1458" i="3"/>
  <c r="G1459" i="3"/>
  <c r="G1460" i="3"/>
  <c r="G1461" i="3"/>
  <c r="G1462" i="3"/>
  <c r="G1463" i="3"/>
  <c r="G1464" i="3"/>
  <c r="G1465" i="3"/>
  <c r="G1466" i="3"/>
  <c r="G1467" i="3"/>
  <c r="G1468" i="3"/>
  <c r="G1469" i="3"/>
  <c r="G1470" i="3"/>
  <c r="G1471" i="3"/>
  <c r="G1472" i="3"/>
  <c r="G1473" i="3"/>
  <c r="G1474" i="3"/>
  <c r="G1475" i="3"/>
  <c r="G1476" i="3"/>
  <c r="G1477" i="3"/>
  <c r="G1478" i="3"/>
  <c r="G1479" i="3"/>
  <c r="G1480" i="3"/>
  <c r="G1481" i="3"/>
  <c r="G1482" i="3"/>
  <c r="G1483" i="3"/>
  <c r="G1484" i="3"/>
  <c r="G1485" i="3"/>
  <c r="G1486" i="3"/>
  <c r="G1487" i="3"/>
  <c r="G1488" i="3"/>
  <c r="G1489" i="3"/>
  <c r="G1490" i="3"/>
  <c r="G1491" i="3"/>
  <c r="G1492" i="3"/>
  <c r="G1493" i="3"/>
  <c r="G1494" i="3"/>
  <c r="G1495" i="3"/>
  <c r="G1496" i="3"/>
  <c r="G1497" i="3"/>
  <c r="G1498" i="3"/>
  <c r="G1499" i="3"/>
  <c r="G1500" i="3"/>
  <c r="G1501" i="3"/>
  <c r="G1502" i="3"/>
  <c r="G1503" i="3"/>
  <c r="G1504" i="3"/>
  <c r="G1505" i="3"/>
  <c r="G1506" i="3"/>
  <c r="G1507" i="3"/>
  <c r="G1508" i="3"/>
  <c r="G1509" i="3"/>
  <c r="G1510" i="3"/>
  <c r="G1511" i="3"/>
  <c r="G1512" i="3"/>
  <c r="G1513" i="3"/>
  <c r="G1514" i="3"/>
  <c r="G1515" i="3"/>
  <c r="G1516" i="3"/>
  <c r="G1517" i="3"/>
  <c r="G1518" i="3"/>
  <c r="G1519" i="3"/>
  <c r="G1520" i="3"/>
  <c r="G1521" i="3"/>
  <c r="G1522" i="3"/>
  <c r="G1523" i="3"/>
  <c r="G1524" i="3"/>
  <c r="G1525" i="3"/>
  <c r="G1526" i="3"/>
  <c r="G1527" i="3"/>
  <c r="G1528" i="3"/>
  <c r="G1529" i="3"/>
  <c r="G1530" i="3"/>
  <c r="G1531" i="3"/>
  <c r="G1532" i="3"/>
  <c r="G1533" i="3"/>
  <c r="G1534" i="3"/>
  <c r="G1535" i="3"/>
  <c r="G1536" i="3"/>
  <c r="G1537" i="3"/>
  <c r="G1538" i="3"/>
  <c r="G1539" i="3"/>
  <c r="G1540" i="3"/>
  <c r="G1541" i="3"/>
  <c r="G1542" i="3"/>
  <c r="G1543" i="3"/>
  <c r="G1544" i="3"/>
  <c r="G1545" i="3"/>
  <c r="G1546" i="3"/>
  <c r="G1547" i="3"/>
  <c r="G1548" i="3"/>
  <c r="G1549" i="3"/>
  <c r="G1550" i="3"/>
  <c r="G1551" i="3"/>
  <c r="G1552" i="3"/>
  <c r="G1553" i="3"/>
  <c r="G1554" i="3"/>
  <c r="G1555" i="3"/>
  <c r="G1556" i="3"/>
  <c r="G1557" i="3"/>
  <c r="G1558" i="3"/>
  <c r="G1559" i="3"/>
  <c r="G1560" i="3"/>
  <c r="G1561" i="3"/>
  <c r="G1562" i="3"/>
  <c r="G1563" i="3"/>
  <c r="G1564" i="3"/>
  <c r="G1565" i="3"/>
  <c r="G1566" i="3"/>
  <c r="G1567" i="3"/>
  <c r="G1568" i="3"/>
  <c r="G1569" i="3"/>
  <c r="G1570" i="3"/>
  <c r="G1571" i="3"/>
  <c r="G1572" i="3"/>
  <c r="G1573" i="3"/>
  <c r="G1574" i="3"/>
  <c r="G1575" i="3"/>
  <c r="G1576" i="3"/>
  <c r="G1577" i="3"/>
  <c r="G1578" i="3"/>
  <c r="G1579" i="3"/>
  <c r="G1580" i="3"/>
  <c r="G1581" i="3"/>
  <c r="G1582" i="3"/>
  <c r="G1583" i="3"/>
  <c r="G1584" i="3"/>
  <c r="G1585" i="3"/>
  <c r="G1586" i="3"/>
  <c r="G1587" i="3"/>
  <c r="G1588" i="3"/>
  <c r="G1589" i="3"/>
  <c r="G1590" i="3"/>
  <c r="G1591" i="3"/>
  <c r="G1592" i="3"/>
  <c r="G1593" i="3"/>
  <c r="G1594" i="3"/>
  <c r="G1595" i="3"/>
  <c r="G1596" i="3"/>
  <c r="G1597" i="3"/>
  <c r="G1598" i="3"/>
  <c r="G1599" i="3"/>
  <c r="G1600" i="3"/>
  <c r="G1601" i="3"/>
  <c r="G1602" i="3"/>
  <c r="G1603" i="3"/>
  <c r="G1604" i="3"/>
  <c r="G1605" i="3"/>
  <c r="G1606" i="3"/>
  <c r="G1607" i="3"/>
  <c r="G1608" i="3"/>
  <c r="G1609" i="3"/>
  <c r="G1610" i="3"/>
  <c r="G1611" i="3"/>
  <c r="G1612" i="3"/>
  <c r="G1613" i="3"/>
  <c r="G1614" i="3"/>
  <c r="G1615" i="3"/>
  <c r="G1616" i="3"/>
  <c r="G1617" i="3"/>
  <c r="G1618" i="3"/>
  <c r="G1619" i="3"/>
  <c r="G1620" i="3"/>
  <c r="G1621" i="3"/>
  <c r="G1622" i="3"/>
  <c r="G1623" i="3"/>
  <c r="G1624" i="3"/>
  <c r="G1625" i="3"/>
  <c r="G1626" i="3"/>
  <c r="G1627" i="3"/>
  <c r="G1628" i="3"/>
  <c r="G1629" i="3"/>
  <c r="G1630" i="3"/>
  <c r="G1631" i="3"/>
  <c r="G1632" i="3"/>
  <c r="G1633" i="3"/>
  <c r="G1634" i="3"/>
  <c r="G1635" i="3"/>
  <c r="G1636" i="3"/>
  <c r="G1637" i="3"/>
  <c r="G1638" i="3"/>
  <c r="G1639" i="3"/>
  <c r="G1640" i="3"/>
  <c r="G1641" i="3"/>
  <c r="G1642" i="3"/>
  <c r="G1643" i="3"/>
  <c r="G1644" i="3"/>
  <c r="G1645" i="3"/>
  <c r="G1646" i="3"/>
  <c r="G1647" i="3"/>
  <c r="G1648" i="3"/>
  <c r="G1649" i="3"/>
  <c r="G1650" i="3"/>
  <c r="G1651" i="3"/>
  <c r="G1652" i="3"/>
  <c r="G1653" i="3"/>
  <c r="G1654" i="3"/>
  <c r="G1655" i="3"/>
  <c r="G1656" i="3"/>
  <c r="G1657" i="3"/>
  <c r="G1658" i="3"/>
  <c r="G1659" i="3"/>
  <c r="G1660" i="3"/>
  <c r="G1661" i="3"/>
  <c r="G1662" i="3"/>
  <c r="G1663" i="3"/>
  <c r="G1664" i="3"/>
  <c r="G1665" i="3"/>
  <c r="G1666" i="3"/>
  <c r="G1667" i="3"/>
  <c r="G1668" i="3"/>
  <c r="G1669" i="3"/>
  <c r="G1670" i="3"/>
  <c r="G1671" i="3"/>
  <c r="G1672" i="3"/>
  <c r="G1673" i="3"/>
  <c r="G1674" i="3"/>
  <c r="G1675" i="3"/>
  <c r="G1676" i="3"/>
  <c r="G1677" i="3"/>
  <c r="G1678" i="3"/>
  <c r="G1679" i="3"/>
  <c r="G1680" i="3"/>
  <c r="G1681" i="3"/>
  <c r="G1682" i="3"/>
  <c r="G1683" i="3"/>
  <c r="G1684" i="3"/>
  <c r="G1685" i="3"/>
  <c r="G1686" i="3"/>
  <c r="G1687" i="3"/>
  <c r="G1688" i="3"/>
  <c r="G1689" i="3"/>
  <c r="G1690" i="3"/>
  <c r="G1691" i="3"/>
  <c r="G1692" i="3"/>
  <c r="G1693" i="3"/>
  <c r="G1694" i="3"/>
  <c r="G1695" i="3"/>
  <c r="G1696" i="3"/>
  <c r="G1697" i="3"/>
  <c r="G1698" i="3"/>
  <c r="G1699" i="3"/>
  <c r="G1700" i="3"/>
  <c r="G1701" i="3"/>
  <c r="G1702" i="3"/>
  <c r="G1703" i="3"/>
  <c r="G1704" i="3"/>
  <c r="G1705" i="3"/>
  <c r="G1706" i="3"/>
  <c r="G1707" i="3"/>
  <c r="G1708" i="3"/>
  <c r="G1709" i="3"/>
  <c r="G1710" i="3"/>
  <c r="G1711" i="3"/>
  <c r="G1712" i="3"/>
  <c r="G1713" i="3"/>
  <c r="G1714" i="3"/>
  <c r="G1715" i="3"/>
  <c r="G1716" i="3"/>
  <c r="G1717" i="3"/>
  <c r="G1718" i="3"/>
  <c r="G1719" i="3"/>
  <c r="G1720" i="3"/>
  <c r="G1721" i="3"/>
  <c r="G1722" i="3"/>
  <c r="G1723" i="3"/>
  <c r="G1724" i="3"/>
  <c r="G1725" i="3"/>
  <c r="G1726" i="3"/>
  <c r="G1727" i="3"/>
  <c r="G1728" i="3"/>
  <c r="G1729" i="3"/>
  <c r="G1730" i="3"/>
  <c r="G1731" i="3"/>
  <c r="G1732" i="3"/>
  <c r="G1733" i="3"/>
  <c r="G1734" i="3"/>
  <c r="G1735" i="3"/>
  <c r="G1736" i="3"/>
  <c r="G1737" i="3"/>
  <c r="G1738" i="3"/>
  <c r="G1739" i="3"/>
  <c r="G1740" i="3"/>
  <c r="G1741" i="3"/>
  <c r="G1742" i="3"/>
  <c r="G1743" i="3"/>
  <c r="G1744" i="3"/>
  <c r="G1745" i="3"/>
  <c r="G1746" i="3"/>
  <c r="G1747" i="3"/>
  <c r="G1748" i="3"/>
  <c r="G1749" i="3"/>
  <c r="G1750" i="3"/>
  <c r="G1751" i="3"/>
  <c r="G1752" i="3"/>
  <c r="G1753" i="3"/>
  <c r="G1754" i="3"/>
  <c r="G1755" i="3"/>
  <c r="G1756" i="3"/>
  <c r="G1757" i="3"/>
  <c r="G1758" i="3"/>
  <c r="G1759" i="3"/>
  <c r="G1760" i="3"/>
  <c r="G1761" i="3"/>
  <c r="G1762" i="3"/>
  <c r="G1763" i="3"/>
  <c r="G1764" i="3"/>
  <c r="G1765" i="3"/>
  <c r="G1766" i="3"/>
  <c r="G1767" i="3"/>
  <c r="G1768" i="3"/>
  <c r="G1769" i="3"/>
  <c r="G1770" i="3"/>
  <c r="G1771" i="3"/>
  <c r="G1772" i="3"/>
  <c r="G1773" i="3"/>
  <c r="G1774" i="3"/>
  <c r="G1775" i="3"/>
  <c r="G1776" i="3"/>
  <c r="G1777" i="3"/>
  <c r="G1778" i="3"/>
  <c r="G1779" i="3"/>
  <c r="G1780" i="3"/>
  <c r="G1781" i="3"/>
  <c r="G1782" i="3"/>
  <c r="G1783" i="3"/>
  <c r="G1784" i="3"/>
  <c r="G1785" i="3"/>
  <c r="G1786" i="3"/>
  <c r="G1787" i="3"/>
  <c r="G1788" i="3"/>
  <c r="G1789" i="3"/>
  <c r="G1790" i="3"/>
  <c r="G1791" i="3"/>
  <c r="G1792" i="3"/>
  <c r="G1793" i="3"/>
  <c r="G1794" i="3"/>
  <c r="G1795" i="3"/>
  <c r="G1796" i="3"/>
  <c r="G1797" i="3"/>
  <c r="G1798" i="3"/>
  <c r="G1799" i="3"/>
  <c r="G1800" i="3"/>
  <c r="G1801" i="3"/>
  <c r="G1802" i="3"/>
  <c r="G1803" i="3"/>
  <c r="G1804" i="3"/>
  <c r="G1805" i="3"/>
  <c r="G1806" i="3"/>
  <c r="G1807" i="3"/>
  <c r="G1808" i="3"/>
  <c r="G1809" i="3"/>
  <c r="G1810" i="3"/>
  <c r="G1811" i="3"/>
  <c r="G1812" i="3"/>
  <c r="G1813" i="3"/>
  <c r="G1814" i="3"/>
  <c r="G1815" i="3"/>
  <c r="G1816" i="3"/>
  <c r="G1817" i="3"/>
  <c r="G1818" i="3"/>
  <c r="G1819" i="3"/>
  <c r="G1820" i="3"/>
  <c r="G1821" i="3"/>
  <c r="G1822" i="3"/>
  <c r="G1823" i="3"/>
  <c r="G1824" i="3"/>
  <c r="G1825" i="3"/>
  <c r="G1826" i="3"/>
  <c r="G1827" i="3"/>
  <c r="G1828" i="3"/>
  <c r="G1829" i="3"/>
  <c r="G1830" i="3"/>
  <c r="G1831" i="3"/>
  <c r="G1832" i="3"/>
  <c r="G1833" i="3"/>
  <c r="G1834" i="3"/>
  <c r="G1835" i="3"/>
  <c r="G1836" i="3"/>
  <c r="G1837" i="3"/>
  <c r="G1838" i="3"/>
  <c r="G1839" i="3"/>
  <c r="G1840" i="3"/>
  <c r="G1841" i="3"/>
  <c r="G1842" i="3"/>
  <c r="G1843" i="3"/>
  <c r="G1844" i="3"/>
  <c r="G1845" i="3"/>
  <c r="G1846" i="3"/>
  <c r="G1847" i="3"/>
  <c r="G1848" i="3"/>
  <c r="G1849" i="3"/>
  <c r="G1850" i="3"/>
  <c r="G1851" i="3"/>
  <c r="G1852" i="3"/>
  <c r="G1853" i="3"/>
  <c r="G1854" i="3"/>
  <c r="G1855" i="3"/>
  <c r="G1856" i="3"/>
  <c r="G1857" i="3"/>
  <c r="G1858" i="3"/>
  <c r="G1859" i="3"/>
  <c r="G1860" i="3"/>
  <c r="G1861" i="3"/>
  <c r="G1862" i="3"/>
  <c r="G1863" i="3"/>
  <c r="G1864" i="3"/>
  <c r="G1865" i="3"/>
  <c r="G1866" i="3"/>
  <c r="G1867" i="3"/>
  <c r="G1868" i="3"/>
  <c r="G1869" i="3"/>
  <c r="G1870" i="3"/>
  <c r="G1871" i="3"/>
  <c r="G1872" i="3"/>
  <c r="G1873" i="3"/>
  <c r="G1874" i="3"/>
  <c r="G1875" i="3"/>
  <c r="G1876" i="3"/>
  <c r="G1877" i="3"/>
  <c r="G1878" i="3"/>
  <c r="G1879" i="3"/>
  <c r="G1880" i="3"/>
  <c r="G1881" i="3"/>
  <c r="G1882" i="3"/>
  <c r="G1883" i="3"/>
  <c r="G1884" i="3"/>
  <c r="G1885" i="3"/>
  <c r="G1886" i="3"/>
  <c r="G1887" i="3"/>
  <c r="G1888" i="3"/>
  <c r="G1889" i="3"/>
  <c r="G1890" i="3"/>
  <c r="G1891" i="3"/>
  <c r="G1892" i="3"/>
  <c r="G1893" i="3"/>
  <c r="G1894" i="3"/>
  <c r="G1895" i="3"/>
  <c r="G1896" i="3"/>
  <c r="G1897" i="3"/>
  <c r="G1898" i="3"/>
  <c r="G1899" i="3"/>
  <c r="G1900" i="3"/>
  <c r="G1901" i="3"/>
  <c r="G1902" i="3"/>
  <c r="G1903" i="3"/>
  <c r="G1904" i="3"/>
  <c r="G1905" i="3"/>
  <c r="G1906" i="3"/>
  <c r="G1907" i="3"/>
  <c r="G1908" i="3"/>
  <c r="G1909" i="3"/>
  <c r="G1910" i="3"/>
  <c r="G1911" i="3"/>
  <c r="G1912" i="3"/>
  <c r="G1913" i="3"/>
  <c r="G1914" i="3"/>
  <c r="G1915" i="3"/>
  <c r="G1916" i="3"/>
  <c r="G1917" i="3"/>
  <c r="G1918" i="3"/>
  <c r="G1919" i="3"/>
  <c r="G1920" i="3"/>
  <c r="G1921" i="3"/>
  <c r="G1922" i="3"/>
  <c r="G1923" i="3"/>
  <c r="G1924" i="3"/>
  <c r="G1925" i="3"/>
  <c r="G1926" i="3"/>
  <c r="G1927" i="3"/>
  <c r="G1928" i="3"/>
  <c r="G1929" i="3"/>
  <c r="G1930" i="3"/>
  <c r="G1931" i="3"/>
  <c r="G1932" i="3"/>
  <c r="G1933" i="3"/>
  <c r="G1934" i="3"/>
  <c r="G1935" i="3"/>
  <c r="G1936" i="3"/>
  <c r="G1937" i="3"/>
  <c r="G1938" i="3"/>
  <c r="G1939" i="3"/>
  <c r="G1940" i="3"/>
  <c r="G1941" i="3"/>
  <c r="G1942" i="3"/>
  <c r="G1943" i="3"/>
  <c r="G1944" i="3"/>
  <c r="G1945" i="3"/>
  <c r="G1946" i="3"/>
  <c r="G1947" i="3"/>
  <c r="G1948" i="3"/>
  <c r="G1949" i="3"/>
  <c r="G1950" i="3"/>
  <c r="G1951" i="3"/>
  <c r="G1952" i="3"/>
  <c r="G1953" i="3"/>
  <c r="G1954" i="3"/>
  <c r="G1955" i="3"/>
  <c r="G1956" i="3"/>
  <c r="G1957" i="3"/>
  <c r="G1958" i="3"/>
  <c r="G1959" i="3"/>
  <c r="G1960" i="3"/>
  <c r="G1961" i="3"/>
  <c r="G1962" i="3"/>
  <c r="G1963" i="3"/>
  <c r="G1964" i="3"/>
  <c r="G1965" i="3"/>
  <c r="G1966" i="3"/>
  <c r="G1967" i="3"/>
  <c r="G1968" i="3"/>
  <c r="G1969" i="3"/>
  <c r="G1970" i="3"/>
  <c r="G1971" i="3"/>
  <c r="G1972" i="3"/>
  <c r="G1973" i="3"/>
  <c r="G1974" i="3"/>
  <c r="G1975" i="3"/>
  <c r="G1976" i="3"/>
  <c r="G1977" i="3"/>
  <c r="G1978" i="3"/>
  <c r="G1979" i="3"/>
  <c r="G1980" i="3"/>
  <c r="G1981" i="3"/>
  <c r="G1982" i="3"/>
  <c r="G1983" i="3"/>
  <c r="G1984" i="3"/>
  <c r="G1985" i="3"/>
  <c r="G1986" i="3"/>
  <c r="G1987" i="3"/>
  <c r="G1988" i="3"/>
  <c r="G1989" i="3"/>
  <c r="G1990" i="3"/>
  <c r="G1991" i="3"/>
  <c r="G1992" i="3"/>
  <c r="G1993" i="3"/>
  <c r="G1994" i="3"/>
  <c r="G1995" i="3"/>
  <c r="G1996" i="3"/>
  <c r="G1997" i="3"/>
  <c r="G1998" i="3"/>
  <c r="G1999" i="3"/>
  <c r="G2000" i="3"/>
  <c r="G2001" i="3"/>
  <c r="G2002" i="3"/>
  <c r="G2003" i="3"/>
  <c r="G2004" i="3"/>
  <c r="G2005" i="3"/>
  <c r="G2006" i="3"/>
  <c r="G2007" i="3"/>
  <c r="G2008" i="3"/>
  <c r="G2009" i="3"/>
  <c r="G2010" i="3"/>
  <c r="G2011" i="3"/>
  <c r="G2012" i="3"/>
  <c r="G2013" i="3"/>
  <c r="G2014" i="3"/>
  <c r="G2015" i="3"/>
  <c r="G2016" i="3"/>
  <c r="G2017" i="3"/>
  <c r="G2018" i="3"/>
  <c r="G2019" i="3"/>
  <c r="G2020" i="3"/>
  <c r="G2021" i="3"/>
  <c r="G2022" i="3"/>
  <c r="G2023" i="3"/>
  <c r="G2024" i="3"/>
  <c r="G2025" i="3"/>
  <c r="G2026" i="3"/>
  <c r="G2027" i="3"/>
  <c r="G2028" i="3"/>
  <c r="G2029" i="3"/>
  <c r="G2030" i="3"/>
  <c r="G2031" i="3"/>
  <c r="G2032" i="3"/>
  <c r="G2033" i="3"/>
  <c r="G2034" i="3"/>
  <c r="G2035" i="3"/>
  <c r="G2036" i="3"/>
  <c r="G2037" i="3"/>
  <c r="G2038" i="3"/>
  <c r="G2039" i="3"/>
  <c r="G2040" i="3"/>
  <c r="G2041" i="3"/>
  <c r="G2042" i="3"/>
  <c r="G2043" i="3"/>
  <c r="G2044" i="3"/>
  <c r="G2045" i="3"/>
  <c r="G2046" i="3"/>
  <c r="G2047" i="3"/>
  <c r="G2048" i="3"/>
  <c r="G2049" i="3"/>
  <c r="G2050" i="3"/>
  <c r="G2051" i="3"/>
  <c r="G2052" i="3"/>
  <c r="G2053" i="3"/>
  <c r="G2054" i="3"/>
  <c r="G2055" i="3"/>
  <c r="G2056" i="3"/>
  <c r="G2057" i="3"/>
  <c r="G2058" i="3"/>
  <c r="G2059" i="3"/>
  <c r="G2060" i="3"/>
  <c r="G2061" i="3"/>
  <c r="G2062" i="3"/>
  <c r="G2063" i="3"/>
  <c r="G2064" i="3"/>
  <c r="G2065" i="3"/>
  <c r="G2066" i="3"/>
  <c r="G2067" i="3"/>
  <c r="G2068" i="3"/>
  <c r="G2069" i="3"/>
  <c r="G2070" i="3"/>
  <c r="G2071" i="3"/>
  <c r="G2072" i="3"/>
  <c r="G2073" i="3"/>
  <c r="G2074" i="3"/>
  <c r="G2075" i="3"/>
  <c r="G2076" i="3"/>
  <c r="G2077" i="3"/>
  <c r="G2078" i="3"/>
  <c r="G2079" i="3"/>
  <c r="G2080" i="3"/>
  <c r="G2081" i="3"/>
  <c r="G2082" i="3"/>
  <c r="G2083" i="3"/>
  <c r="G2084" i="3"/>
  <c r="G2085" i="3"/>
  <c r="G2086" i="3"/>
  <c r="G2087" i="3"/>
  <c r="G2088" i="3"/>
  <c r="G2089" i="3"/>
  <c r="G2090" i="3"/>
  <c r="G2091" i="3"/>
  <c r="G2092" i="3"/>
  <c r="G2093" i="3"/>
  <c r="G2094" i="3"/>
  <c r="G2095" i="3"/>
  <c r="G2096" i="3"/>
  <c r="G2097" i="3"/>
  <c r="G2098" i="3"/>
  <c r="G2099" i="3"/>
  <c r="G2100" i="3"/>
  <c r="G2101" i="3"/>
  <c r="G2102" i="3"/>
  <c r="G2103" i="3"/>
  <c r="G2104" i="3"/>
  <c r="G2105" i="3"/>
  <c r="G2106" i="3"/>
  <c r="G2107" i="3"/>
  <c r="G2108" i="3"/>
  <c r="G2109" i="3"/>
  <c r="G2110" i="3"/>
  <c r="G2111" i="3"/>
  <c r="G2112" i="3"/>
  <c r="G2113" i="3"/>
  <c r="G2114" i="3"/>
  <c r="G2115" i="3"/>
  <c r="G2116" i="3"/>
  <c r="G2117" i="3"/>
  <c r="G2118" i="3"/>
  <c r="G2119" i="3"/>
  <c r="G2120" i="3"/>
  <c r="G2121" i="3"/>
  <c r="G2122" i="3"/>
  <c r="G2123" i="3"/>
  <c r="G2124" i="3"/>
  <c r="G2125" i="3"/>
  <c r="G2126" i="3"/>
  <c r="G2127" i="3"/>
  <c r="G2128" i="3"/>
  <c r="G2129" i="3"/>
  <c r="G2130" i="3"/>
  <c r="G2131" i="3"/>
  <c r="G2132" i="3"/>
  <c r="G2133" i="3"/>
  <c r="G2134" i="3"/>
  <c r="G2135" i="3"/>
  <c r="G2136" i="3"/>
  <c r="G2137" i="3"/>
  <c r="G2138" i="3"/>
  <c r="G2139" i="3"/>
  <c r="G2140" i="3"/>
  <c r="G2141" i="3"/>
  <c r="G2142" i="3"/>
  <c r="G2143" i="3"/>
  <c r="G2144" i="3"/>
  <c r="G2145" i="3"/>
  <c r="G2146" i="3"/>
  <c r="G2147" i="3"/>
  <c r="G2148" i="3"/>
  <c r="G2149" i="3"/>
  <c r="G2150" i="3"/>
  <c r="G2151" i="3"/>
  <c r="G2152" i="3"/>
  <c r="G2153" i="3"/>
  <c r="G2154" i="3"/>
  <c r="G2155" i="3"/>
  <c r="G2156" i="3"/>
  <c r="G2157" i="3"/>
  <c r="G2158" i="3"/>
  <c r="G2159" i="3"/>
  <c r="G2160" i="3"/>
  <c r="G2161" i="3"/>
  <c r="G2162" i="3"/>
  <c r="G2163" i="3"/>
  <c r="G2164" i="3"/>
  <c r="G2165" i="3"/>
  <c r="G2166" i="3"/>
  <c r="G2167" i="3"/>
  <c r="G2168" i="3"/>
  <c r="G2169" i="3"/>
  <c r="G2170" i="3"/>
  <c r="G2171" i="3"/>
  <c r="G2172" i="3"/>
  <c r="G2173" i="3"/>
  <c r="G2174" i="3"/>
  <c r="G2175" i="3"/>
  <c r="G2176" i="3"/>
  <c r="G2177" i="3"/>
  <c r="G2178" i="3"/>
  <c r="G2179" i="3"/>
  <c r="G2180" i="3"/>
  <c r="G2181" i="3"/>
  <c r="G2182" i="3"/>
  <c r="G2183" i="3"/>
  <c r="G2184" i="3"/>
  <c r="G2185" i="3"/>
  <c r="G2186" i="3"/>
  <c r="G2187" i="3"/>
  <c r="G2188" i="3"/>
  <c r="G2189" i="3"/>
  <c r="G2190" i="3"/>
  <c r="G2191" i="3"/>
  <c r="G2192" i="3"/>
  <c r="G2193" i="3"/>
  <c r="G2194" i="3"/>
  <c r="G2195" i="3"/>
  <c r="G2196" i="3"/>
  <c r="G2197" i="3"/>
  <c r="G2198" i="3"/>
  <c r="G2199" i="3"/>
  <c r="G2200" i="3"/>
  <c r="G2201" i="3"/>
  <c r="G2202" i="3"/>
  <c r="G2203" i="3"/>
  <c r="G2204" i="3"/>
  <c r="G2205" i="3"/>
  <c r="G2206" i="3"/>
  <c r="G2207" i="3"/>
  <c r="G2208" i="3"/>
  <c r="G2209" i="3"/>
  <c r="G2210" i="3"/>
  <c r="G2211" i="3"/>
  <c r="G2212" i="3"/>
  <c r="G2213" i="3"/>
  <c r="G2214" i="3"/>
  <c r="G2215" i="3"/>
  <c r="G2216" i="3"/>
  <c r="G2217" i="3"/>
  <c r="G2218" i="3"/>
  <c r="G2219" i="3"/>
  <c r="G2220" i="3"/>
  <c r="G2221" i="3"/>
  <c r="G2222" i="3"/>
  <c r="G2223" i="3"/>
  <c r="G2224" i="3"/>
  <c r="G2225" i="3"/>
  <c r="G2226" i="3"/>
  <c r="G2227" i="3"/>
  <c r="G2228" i="3"/>
  <c r="G2229" i="3"/>
  <c r="G2230" i="3"/>
  <c r="G2231" i="3"/>
  <c r="G2232" i="3"/>
  <c r="G2233" i="3"/>
  <c r="G2234" i="3"/>
  <c r="G2235" i="3"/>
  <c r="G2236" i="3"/>
  <c r="G2237" i="3"/>
  <c r="G2238" i="3"/>
  <c r="G2239" i="3"/>
  <c r="G2240" i="3"/>
  <c r="G2241" i="3"/>
  <c r="G2242" i="3"/>
  <c r="G2243" i="3"/>
  <c r="G2244" i="3"/>
  <c r="G2245" i="3"/>
  <c r="G2246" i="3"/>
  <c r="G2247" i="3"/>
  <c r="G2248" i="3"/>
  <c r="G2249" i="3"/>
  <c r="G2250" i="3"/>
  <c r="G2251" i="3"/>
  <c r="G2252" i="3"/>
  <c r="G2253" i="3"/>
  <c r="G2254" i="3"/>
  <c r="G2255" i="3"/>
  <c r="G2256" i="3"/>
  <c r="G2257" i="3"/>
  <c r="G2258" i="3"/>
  <c r="G2259" i="3"/>
  <c r="G2260" i="3"/>
  <c r="G2261" i="3"/>
  <c r="G2262" i="3"/>
  <c r="G2263" i="3"/>
  <c r="G2264" i="3"/>
  <c r="G2265" i="3"/>
  <c r="G2266" i="3"/>
  <c r="G2267" i="3"/>
  <c r="G2268" i="3"/>
  <c r="G2269" i="3"/>
  <c r="G2270" i="3"/>
  <c r="G2271" i="3"/>
  <c r="G2272" i="3"/>
  <c r="G2273" i="3"/>
  <c r="G2274" i="3"/>
  <c r="G2275" i="3"/>
  <c r="G2276" i="3"/>
  <c r="G2277" i="3"/>
  <c r="G2278" i="3"/>
  <c r="G2279" i="3"/>
  <c r="G2280" i="3"/>
  <c r="G2281" i="3"/>
  <c r="G2282" i="3"/>
  <c r="G2283" i="3"/>
  <c r="G2284" i="3"/>
  <c r="G2285" i="3"/>
  <c r="G2286" i="3"/>
  <c r="G2287" i="3"/>
  <c r="G2288" i="3"/>
  <c r="G2289" i="3"/>
  <c r="G2290" i="3"/>
  <c r="G2291" i="3"/>
  <c r="G2292" i="3"/>
  <c r="G2293" i="3"/>
  <c r="G2294" i="3"/>
  <c r="G2295" i="3"/>
  <c r="G2296" i="3"/>
  <c r="G2297" i="3"/>
  <c r="G2298" i="3"/>
  <c r="G2299" i="3"/>
  <c r="G2300" i="3"/>
  <c r="G2301" i="3"/>
  <c r="G2302" i="3"/>
  <c r="G2303" i="3"/>
  <c r="G2304" i="3"/>
  <c r="G2305" i="3"/>
  <c r="G2306" i="3"/>
  <c r="G2307" i="3"/>
  <c r="G2308" i="3"/>
  <c r="G2309" i="3"/>
  <c r="G2310" i="3"/>
  <c r="G2311" i="3"/>
  <c r="G2312" i="3"/>
  <c r="G2313" i="3"/>
  <c r="G2314" i="3"/>
  <c r="G2315" i="3"/>
  <c r="G2316" i="3"/>
  <c r="G2317" i="3"/>
  <c r="G2318" i="3"/>
  <c r="G2319" i="3"/>
  <c r="G2320" i="3"/>
  <c r="G2321" i="3"/>
  <c r="G2322" i="3"/>
  <c r="G2323" i="3"/>
  <c r="G2324" i="3"/>
  <c r="G2325" i="3"/>
  <c r="G2326" i="3"/>
  <c r="G2327" i="3"/>
  <c r="G2328" i="3"/>
  <c r="G2329" i="3"/>
  <c r="G2330" i="3"/>
  <c r="G2331" i="3"/>
  <c r="G2332" i="3"/>
  <c r="G2333" i="3"/>
  <c r="G2334" i="3"/>
  <c r="G2335" i="3"/>
  <c r="G2336" i="3"/>
  <c r="G2337" i="3"/>
  <c r="G2338" i="3"/>
  <c r="G2339" i="3"/>
  <c r="G2340" i="3"/>
  <c r="G2341" i="3"/>
  <c r="G2342" i="3"/>
  <c r="G2343" i="3"/>
  <c r="G2344" i="3"/>
  <c r="G2345" i="3"/>
  <c r="G2346" i="3"/>
  <c r="G2347" i="3"/>
  <c r="G2348" i="3"/>
  <c r="G2349" i="3"/>
  <c r="G2350" i="3"/>
  <c r="G2351" i="3"/>
  <c r="G2352" i="3"/>
  <c r="G2353" i="3"/>
  <c r="G2354" i="3"/>
  <c r="G2355" i="3"/>
  <c r="G2356" i="3"/>
  <c r="G2357" i="3"/>
  <c r="G2358" i="3"/>
  <c r="G2359" i="3"/>
  <c r="G2360" i="3"/>
  <c r="G2361" i="3"/>
  <c r="G2362" i="3"/>
  <c r="G2363" i="3"/>
  <c r="G2364" i="3"/>
  <c r="G2365" i="3"/>
  <c r="G2366" i="3"/>
  <c r="G2367" i="3"/>
  <c r="G2368" i="3"/>
  <c r="G2369" i="3"/>
  <c r="G2370" i="3"/>
  <c r="G2371" i="3"/>
  <c r="G2372" i="3"/>
  <c r="G2373" i="3"/>
  <c r="G2374" i="3"/>
  <c r="G2375" i="3"/>
  <c r="G2376" i="3"/>
  <c r="G2377" i="3"/>
  <c r="G2378" i="3"/>
  <c r="G2379" i="3"/>
  <c r="G2380" i="3"/>
  <c r="G2381" i="3"/>
  <c r="G2382" i="3"/>
  <c r="G2383" i="3"/>
  <c r="G2384" i="3"/>
  <c r="G2385" i="3"/>
  <c r="G2386" i="3"/>
  <c r="G2387" i="3"/>
  <c r="G2388" i="3"/>
  <c r="G2389" i="3"/>
  <c r="G2390" i="3"/>
  <c r="G2391" i="3"/>
  <c r="G2392" i="3"/>
  <c r="G2393" i="3"/>
  <c r="G2394" i="3"/>
  <c r="G2395" i="3"/>
  <c r="G2396" i="3"/>
  <c r="G2397" i="3"/>
  <c r="G2398" i="3"/>
  <c r="G2399" i="3"/>
  <c r="G2400" i="3"/>
  <c r="G2401" i="3"/>
  <c r="G2402" i="3"/>
  <c r="G2403" i="3"/>
  <c r="G2404" i="3"/>
  <c r="G2405" i="3"/>
  <c r="G2406" i="3"/>
  <c r="G2407" i="3"/>
  <c r="G2408" i="3"/>
  <c r="G2409" i="3"/>
  <c r="G2410" i="3"/>
  <c r="G2411" i="3"/>
  <c r="G2412" i="3"/>
  <c r="G2413" i="3"/>
  <c r="G2414" i="3"/>
  <c r="G2415" i="3"/>
  <c r="G2416" i="3"/>
  <c r="G2417" i="3"/>
  <c r="G2418" i="3"/>
  <c r="G2419" i="3"/>
  <c r="G2420" i="3"/>
  <c r="G2421" i="3"/>
  <c r="G2422" i="3"/>
  <c r="G2423" i="3"/>
  <c r="G2424" i="3"/>
  <c r="G2425" i="3"/>
  <c r="G2426" i="3"/>
  <c r="G2427" i="3"/>
  <c r="G2428" i="3"/>
  <c r="G2429" i="3"/>
  <c r="G2430" i="3"/>
  <c r="G2431" i="3"/>
  <c r="G2432" i="3"/>
  <c r="G2433" i="3"/>
  <c r="G2434" i="3"/>
  <c r="G2435" i="3"/>
  <c r="G2436" i="3"/>
  <c r="G2437" i="3"/>
  <c r="G2438" i="3"/>
  <c r="G2439" i="3"/>
  <c r="G2440" i="3"/>
  <c r="G2441" i="3"/>
  <c r="G2442" i="3"/>
  <c r="G2443" i="3"/>
  <c r="G2444" i="3"/>
  <c r="G2445" i="3"/>
  <c r="G2446" i="3"/>
  <c r="G2447" i="3"/>
  <c r="G2448" i="3"/>
  <c r="G2449" i="3"/>
  <c r="G2450" i="3"/>
  <c r="G2451" i="3"/>
  <c r="G2452" i="3"/>
  <c r="G2453" i="3"/>
  <c r="G2454" i="3"/>
  <c r="G2455" i="3"/>
  <c r="G2456" i="3"/>
  <c r="G2457" i="3"/>
  <c r="G2458" i="3"/>
  <c r="G2459" i="3"/>
  <c r="G2460" i="3"/>
  <c r="G2461" i="3"/>
  <c r="G2462" i="3"/>
  <c r="G2463" i="3"/>
  <c r="G2464" i="3"/>
  <c r="G2465" i="3"/>
  <c r="G2466" i="3"/>
  <c r="G2467" i="3"/>
  <c r="G2468" i="3"/>
  <c r="G2469" i="3"/>
  <c r="G2470" i="3"/>
  <c r="G2471" i="3"/>
  <c r="G2472" i="3"/>
  <c r="G2473" i="3"/>
  <c r="G2474" i="3"/>
  <c r="G2475" i="3"/>
  <c r="G2476" i="3"/>
  <c r="G2477" i="3"/>
  <c r="G2478" i="3"/>
  <c r="G2479" i="3"/>
  <c r="G2480" i="3"/>
  <c r="G2481" i="3"/>
  <c r="G2482" i="3"/>
  <c r="G2483" i="3"/>
  <c r="G2484" i="3"/>
  <c r="G2485" i="3"/>
  <c r="G2486" i="3"/>
  <c r="G2487" i="3"/>
  <c r="G2488" i="3"/>
  <c r="G2489" i="3"/>
  <c r="G2490" i="3"/>
  <c r="G2491" i="3"/>
  <c r="G2492" i="3"/>
  <c r="G2493" i="3"/>
  <c r="G2494" i="3"/>
  <c r="G2495" i="3"/>
  <c r="G2496" i="3"/>
  <c r="G2497" i="3"/>
  <c r="G2498" i="3"/>
  <c r="G2499" i="3"/>
  <c r="G2500" i="3"/>
  <c r="G2501" i="3"/>
  <c r="G2502" i="3"/>
  <c r="G2503" i="3"/>
  <c r="G2504" i="3"/>
  <c r="G2505" i="3"/>
  <c r="G2506" i="3"/>
  <c r="G2507" i="3"/>
  <c r="G2508" i="3"/>
  <c r="G2509" i="3"/>
  <c r="G2510" i="3"/>
  <c r="G2511" i="3"/>
  <c r="G2512" i="3"/>
  <c r="G2513" i="3"/>
  <c r="G2514" i="3"/>
  <c r="G2515" i="3"/>
  <c r="G2516" i="3"/>
  <c r="G2517" i="3"/>
  <c r="G2518" i="3"/>
  <c r="G2519" i="3"/>
  <c r="G2520" i="3"/>
  <c r="G2521" i="3"/>
  <c r="G2522" i="3"/>
  <c r="G2523" i="3"/>
  <c r="G2524" i="3"/>
  <c r="G2525" i="3"/>
  <c r="G2526" i="3"/>
  <c r="G2527" i="3"/>
  <c r="G2528" i="3"/>
  <c r="G2529" i="3"/>
  <c r="G2530" i="3"/>
  <c r="G2531" i="3"/>
  <c r="G2532" i="3"/>
  <c r="G2533" i="3"/>
  <c r="G2534" i="3"/>
  <c r="G2535" i="3"/>
  <c r="G2536" i="3"/>
  <c r="G2537" i="3"/>
  <c r="G2538" i="3"/>
  <c r="G2539" i="3"/>
  <c r="G2540" i="3"/>
  <c r="G2541" i="3"/>
  <c r="G2542" i="3"/>
  <c r="G2543" i="3"/>
  <c r="G2544" i="3"/>
  <c r="G2545" i="3"/>
  <c r="G2546" i="3"/>
  <c r="G2547" i="3"/>
  <c r="G2548" i="3"/>
  <c r="G2549" i="3"/>
  <c r="G2550" i="3"/>
  <c r="G2551" i="3"/>
  <c r="G2552" i="3"/>
  <c r="G2553" i="3"/>
  <c r="G2554" i="3"/>
  <c r="G2555" i="3"/>
  <c r="G2556" i="3"/>
  <c r="G2557" i="3"/>
  <c r="G2558" i="3"/>
  <c r="G2559" i="3"/>
  <c r="G2560" i="3"/>
  <c r="G2561" i="3"/>
  <c r="G2562" i="3"/>
  <c r="G2563" i="3"/>
  <c r="G2564" i="3"/>
  <c r="G2565" i="3"/>
  <c r="G2566" i="3"/>
  <c r="G2567" i="3"/>
  <c r="G2568" i="3"/>
  <c r="G2569" i="3"/>
  <c r="G2570" i="3"/>
  <c r="G2571" i="3"/>
  <c r="G2572" i="3"/>
  <c r="G2573" i="3"/>
  <c r="G2574" i="3"/>
  <c r="G2575" i="3"/>
  <c r="G2576" i="3"/>
  <c r="G2577" i="3"/>
  <c r="G2578" i="3"/>
  <c r="G2579" i="3"/>
  <c r="G2580" i="3"/>
  <c r="G2581" i="3"/>
  <c r="G2582" i="3"/>
  <c r="G2583" i="3"/>
  <c r="G2584" i="3"/>
  <c r="G2585" i="3"/>
  <c r="G2586" i="3"/>
  <c r="G2587" i="3"/>
  <c r="G2588" i="3"/>
  <c r="G2589" i="3"/>
  <c r="G2590" i="3"/>
  <c r="G2591" i="3"/>
  <c r="G2592" i="3"/>
  <c r="G2593" i="3"/>
  <c r="G2594" i="3"/>
  <c r="G2595" i="3"/>
  <c r="G2596" i="3"/>
  <c r="G2597" i="3"/>
  <c r="G2598" i="3"/>
  <c r="G2599" i="3"/>
  <c r="G2600" i="3"/>
  <c r="G2601" i="3"/>
  <c r="G2602" i="3"/>
  <c r="G2603" i="3"/>
  <c r="G2604" i="3"/>
  <c r="G2605" i="3"/>
  <c r="G2606" i="3"/>
  <c r="G2607" i="3"/>
  <c r="G2608" i="3"/>
  <c r="G2609" i="3"/>
  <c r="G2610" i="3"/>
  <c r="G2611" i="3"/>
  <c r="G2612" i="3"/>
  <c r="G2613" i="3"/>
  <c r="G2614" i="3"/>
  <c r="G2615" i="3"/>
  <c r="G2616" i="3"/>
  <c r="G2617" i="3"/>
  <c r="G2618" i="3"/>
  <c r="G2619" i="3"/>
  <c r="G2620" i="3"/>
  <c r="G2621" i="3"/>
  <c r="G2622" i="3"/>
  <c r="G2623" i="3"/>
  <c r="G2624" i="3"/>
  <c r="G2625" i="3"/>
  <c r="G2626" i="3"/>
  <c r="G2627" i="3"/>
  <c r="G2628" i="3"/>
  <c r="G2629" i="3"/>
  <c r="G2630" i="3"/>
  <c r="G2631" i="3"/>
  <c r="G2632" i="3"/>
  <c r="G2633" i="3"/>
  <c r="G2634" i="3"/>
  <c r="G2635" i="3"/>
  <c r="G2636" i="3"/>
  <c r="G2637" i="3"/>
  <c r="G2638" i="3"/>
  <c r="G2639" i="3"/>
  <c r="G2640" i="3"/>
  <c r="G2641" i="3"/>
  <c r="G2642" i="3"/>
  <c r="G2643" i="3"/>
  <c r="G2644" i="3"/>
  <c r="G2645" i="3"/>
  <c r="G2646" i="3"/>
  <c r="G2647" i="3"/>
  <c r="G2648" i="3"/>
  <c r="G2649" i="3"/>
  <c r="G2650" i="3"/>
  <c r="G2651" i="3"/>
  <c r="G2652" i="3"/>
  <c r="G2653" i="3"/>
  <c r="G2654" i="3"/>
  <c r="G2655" i="3"/>
  <c r="G2656" i="3"/>
  <c r="G2657" i="3"/>
  <c r="G2658" i="3"/>
  <c r="G2659" i="3"/>
  <c r="G2660" i="3"/>
  <c r="G2661" i="3"/>
  <c r="G2662" i="3"/>
  <c r="G2663" i="3"/>
  <c r="G2664" i="3"/>
  <c r="G2665" i="3"/>
  <c r="G2666" i="3"/>
  <c r="G2667" i="3"/>
  <c r="G2668" i="3"/>
  <c r="G2669" i="3"/>
  <c r="G2670" i="3"/>
  <c r="G2671" i="3"/>
  <c r="G2672" i="3"/>
  <c r="G2673" i="3"/>
  <c r="G2674" i="3"/>
  <c r="G2675" i="3"/>
  <c r="G2676" i="3"/>
  <c r="G2677" i="3"/>
  <c r="G2678" i="3"/>
  <c r="G2679" i="3"/>
  <c r="G2680" i="3"/>
  <c r="G2681" i="3"/>
  <c r="G2682" i="3"/>
  <c r="G2683" i="3"/>
  <c r="G2684" i="3"/>
  <c r="G2685" i="3"/>
  <c r="G2686" i="3"/>
  <c r="G2687" i="3"/>
  <c r="G2688" i="3"/>
  <c r="G2689" i="3"/>
  <c r="G2690" i="3"/>
  <c r="G2691" i="3"/>
  <c r="G2692" i="3"/>
  <c r="G2693" i="3"/>
  <c r="G2694" i="3"/>
  <c r="G2695" i="3"/>
  <c r="G2696" i="3"/>
  <c r="G2697" i="3"/>
  <c r="G2698" i="3"/>
  <c r="G2699" i="3"/>
  <c r="G2700" i="3"/>
  <c r="G2701" i="3"/>
  <c r="G2702" i="3"/>
  <c r="G2703" i="3"/>
  <c r="G2704" i="3"/>
  <c r="G2705" i="3"/>
  <c r="G2706" i="3"/>
  <c r="G2707" i="3"/>
  <c r="G2708" i="3"/>
  <c r="G2709" i="3"/>
  <c r="G2710" i="3"/>
  <c r="G2711" i="3"/>
  <c r="G2712" i="3"/>
  <c r="G2713" i="3"/>
  <c r="G2714" i="3"/>
  <c r="G2715" i="3"/>
  <c r="G2716" i="3"/>
  <c r="G2717" i="3"/>
  <c r="G2718" i="3"/>
  <c r="G2719" i="3"/>
  <c r="G2720" i="3"/>
  <c r="G2721" i="3"/>
  <c r="G2722" i="3"/>
  <c r="G2723" i="3"/>
  <c r="G2724" i="3"/>
  <c r="G2725" i="3"/>
  <c r="G2726" i="3"/>
  <c r="G2727" i="3"/>
  <c r="G2728" i="3"/>
  <c r="G2729" i="3"/>
  <c r="G2730" i="3"/>
  <c r="G2731" i="3"/>
  <c r="G2732" i="3"/>
  <c r="G2733" i="3"/>
  <c r="G2734" i="3"/>
  <c r="G2735" i="3"/>
  <c r="G2736" i="3"/>
  <c r="G2737" i="3"/>
  <c r="G2738" i="3"/>
  <c r="G2739" i="3"/>
  <c r="G2740" i="3"/>
  <c r="G2741" i="3"/>
  <c r="G2742" i="3"/>
  <c r="G2743" i="3"/>
  <c r="G2744" i="3"/>
  <c r="G2745" i="3"/>
  <c r="G2746" i="3"/>
  <c r="G2747" i="3"/>
  <c r="G2748" i="3"/>
  <c r="G2749" i="3"/>
  <c r="G2750" i="3"/>
  <c r="G2751" i="3"/>
  <c r="G2752" i="3"/>
  <c r="G2753" i="3"/>
  <c r="G2754" i="3"/>
  <c r="G2755" i="3"/>
  <c r="G2756" i="3"/>
  <c r="G2757" i="3"/>
  <c r="G2758" i="3"/>
  <c r="G2759" i="3"/>
  <c r="G2760" i="3"/>
  <c r="G2761" i="3"/>
  <c r="G2762" i="3"/>
  <c r="G2763" i="3"/>
  <c r="G2764" i="3"/>
  <c r="G2765" i="3"/>
  <c r="G2766" i="3"/>
  <c r="G2767" i="3"/>
  <c r="G2768" i="3"/>
  <c r="G2769" i="3"/>
  <c r="G2770" i="3"/>
  <c r="G2771" i="3"/>
  <c r="G2772" i="3"/>
  <c r="G2773" i="3"/>
  <c r="G2774" i="3"/>
  <c r="G2775" i="3"/>
  <c r="G2776" i="3"/>
  <c r="G2777" i="3"/>
  <c r="G2778" i="3"/>
  <c r="G2779" i="3"/>
  <c r="G2780" i="3"/>
  <c r="G2781" i="3"/>
  <c r="G2782" i="3"/>
  <c r="G2783" i="3"/>
  <c r="G2784" i="3"/>
  <c r="G2785" i="3"/>
  <c r="G2786" i="3"/>
  <c r="G2787" i="3"/>
  <c r="G2788" i="3"/>
  <c r="G2789" i="3"/>
  <c r="G2790" i="3"/>
  <c r="G2791" i="3"/>
  <c r="G2792" i="3"/>
  <c r="G2793" i="3"/>
  <c r="G2794" i="3"/>
  <c r="G2795" i="3"/>
  <c r="G2796" i="3"/>
  <c r="G2797" i="3"/>
  <c r="G2798" i="3"/>
  <c r="G2799" i="3"/>
  <c r="G2800" i="3"/>
  <c r="G2801" i="3"/>
  <c r="G2802" i="3"/>
  <c r="G2803" i="3"/>
  <c r="G2804" i="3"/>
  <c r="G2805" i="3"/>
  <c r="G2806" i="3"/>
  <c r="G2807" i="3"/>
  <c r="G2808" i="3"/>
  <c r="G2809" i="3"/>
  <c r="G2810" i="3"/>
  <c r="G2811" i="3"/>
  <c r="G2812" i="3"/>
  <c r="G2813" i="3"/>
  <c r="G2814" i="3"/>
  <c r="G2815" i="3"/>
  <c r="G2816" i="3"/>
  <c r="G2817" i="3"/>
  <c r="G2818" i="3"/>
  <c r="G2819" i="3"/>
  <c r="G2820" i="3"/>
  <c r="G2821" i="3"/>
  <c r="G2822" i="3"/>
  <c r="G2823" i="3"/>
  <c r="G2824" i="3"/>
  <c r="G2825" i="3"/>
  <c r="G2826" i="3"/>
  <c r="G2827" i="3"/>
  <c r="G2828" i="3"/>
  <c r="G2829" i="3"/>
  <c r="G2830" i="3"/>
  <c r="G2831" i="3"/>
  <c r="G2832" i="3"/>
  <c r="G2833" i="3"/>
  <c r="G2834" i="3"/>
  <c r="G2835" i="3"/>
  <c r="G2836" i="3"/>
  <c r="G2837" i="3"/>
  <c r="G2838" i="3"/>
  <c r="G2839" i="3"/>
  <c r="G2840" i="3"/>
  <c r="G2841" i="3"/>
  <c r="G2842" i="3"/>
  <c r="G2843" i="3"/>
  <c r="G2844" i="3"/>
  <c r="G2845" i="3"/>
  <c r="G2846" i="3"/>
  <c r="G2847" i="3"/>
  <c r="G2848" i="3"/>
  <c r="G2849" i="3"/>
  <c r="G2850" i="3"/>
  <c r="G2851" i="3"/>
  <c r="G2852" i="3"/>
  <c r="G2853" i="3"/>
  <c r="G2854" i="3"/>
  <c r="G2855" i="3"/>
  <c r="G2856" i="3"/>
  <c r="G2857" i="3"/>
  <c r="G2858" i="3"/>
  <c r="G2859" i="3"/>
  <c r="G2860" i="3"/>
  <c r="G2861" i="3"/>
  <c r="G2862" i="3"/>
  <c r="G2863" i="3"/>
  <c r="G2864" i="3"/>
  <c r="G2865" i="3"/>
  <c r="G2866" i="3"/>
  <c r="G2867" i="3"/>
  <c r="G2868" i="3"/>
  <c r="G2869" i="3"/>
  <c r="G2870" i="3"/>
  <c r="G2871" i="3"/>
  <c r="G2872" i="3"/>
  <c r="G2873" i="3"/>
  <c r="G2874" i="3"/>
  <c r="G2875" i="3"/>
  <c r="G2876" i="3"/>
  <c r="G2877" i="3"/>
  <c r="G2878" i="3"/>
  <c r="G2879" i="3"/>
  <c r="G2880" i="3"/>
  <c r="G2881" i="3"/>
  <c r="G2882" i="3"/>
  <c r="G2883" i="3"/>
  <c r="G2884" i="3"/>
  <c r="G2" i="3"/>
  <c r="F3" i="3"/>
  <c r="F4" i="3"/>
  <c r="F5" i="3"/>
  <c r="F6" i="3"/>
  <c r="F7" i="3"/>
  <c r="F8" i="3"/>
  <c r="F9" i="3"/>
  <c r="F10" i="3"/>
  <c r="F11" i="3"/>
  <c r="F12" i="3"/>
  <c r="F13" i="3"/>
  <c r="F14" i="3"/>
  <c r="F15" i="3"/>
  <c r="F16" i="3"/>
  <c r="F17" i="3"/>
  <c r="F18" i="3"/>
  <c r="F19" i="3"/>
  <c r="F20" i="3"/>
  <c r="F21" i="3"/>
  <c r="F22" i="3"/>
  <c r="F23" i="3"/>
  <c r="F24" i="3"/>
  <c r="F25" i="3"/>
  <c r="F26" i="3"/>
  <c r="F27" i="3"/>
  <c r="F28" i="3"/>
  <c r="F29" i="3"/>
  <c r="F30" i="3"/>
  <c r="F31" i="3"/>
  <c r="F32" i="3"/>
  <c r="F33" i="3"/>
  <c r="F34" i="3"/>
  <c r="F35" i="3"/>
  <c r="F36" i="3"/>
  <c r="F37" i="3"/>
  <c r="F38" i="3"/>
  <c r="F39" i="3"/>
  <c r="F40" i="3"/>
  <c r="F41" i="3"/>
  <c r="F42" i="3"/>
  <c r="F43" i="3"/>
  <c r="F44" i="3"/>
  <c r="F45" i="3"/>
  <c r="F46" i="3"/>
  <c r="F47" i="3"/>
  <c r="F48" i="3"/>
  <c r="F49" i="3"/>
  <c r="F50" i="3"/>
  <c r="F51" i="3"/>
  <c r="F52" i="3"/>
  <c r="F53" i="3"/>
  <c r="F54" i="3"/>
  <c r="F55" i="3"/>
  <c r="F56" i="3"/>
  <c r="F57" i="3"/>
  <c r="F58" i="3"/>
  <c r="F59" i="3"/>
  <c r="F60" i="3"/>
  <c r="F61" i="3"/>
  <c r="F62" i="3"/>
  <c r="F63" i="3"/>
  <c r="F64" i="3"/>
  <c r="F65" i="3"/>
  <c r="F66" i="3"/>
  <c r="F67" i="3"/>
  <c r="F68" i="3"/>
  <c r="F69" i="3"/>
  <c r="F70" i="3"/>
  <c r="F71" i="3"/>
  <c r="F72" i="3"/>
  <c r="F73" i="3"/>
  <c r="F74" i="3"/>
  <c r="F75" i="3"/>
  <c r="F76" i="3"/>
  <c r="F77" i="3"/>
  <c r="F78" i="3"/>
  <c r="F79" i="3"/>
  <c r="F80" i="3"/>
  <c r="F81" i="3"/>
  <c r="F82" i="3"/>
  <c r="F83" i="3"/>
  <c r="F84" i="3"/>
  <c r="F85" i="3"/>
  <c r="F86" i="3"/>
  <c r="F87" i="3"/>
  <c r="F88" i="3"/>
  <c r="F89" i="3"/>
  <c r="F90" i="3"/>
  <c r="F91" i="3"/>
  <c r="F92" i="3"/>
  <c r="F93" i="3"/>
  <c r="F94" i="3"/>
  <c r="F95" i="3"/>
  <c r="F96" i="3"/>
  <c r="F97" i="3"/>
  <c r="F98" i="3"/>
  <c r="F99" i="3"/>
  <c r="F100" i="3"/>
  <c r="F101" i="3"/>
  <c r="F102" i="3"/>
  <c r="F103" i="3"/>
  <c r="F104" i="3"/>
  <c r="F105" i="3"/>
  <c r="F106" i="3"/>
  <c r="F107" i="3"/>
  <c r="F108" i="3"/>
  <c r="F109" i="3"/>
  <c r="F110" i="3"/>
  <c r="F111" i="3"/>
  <c r="F112" i="3"/>
  <c r="F113" i="3"/>
  <c r="F114" i="3"/>
  <c r="F115" i="3"/>
  <c r="F116" i="3"/>
  <c r="F117" i="3"/>
  <c r="F118" i="3"/>
  <c r="F119" i="3"/>
  <c r="F120" i="3"/>
  <c r="F121" i="3"/>
  <c r="F122" i="3"/>
  <c r="F123" i="3"/>
  <c r="F124" i="3"/>
  <c r="F125" i="3"/>
  <c r="F126" i="3"/>
  <c r="F127" i="3"/>
  <c r="F128" i="3"/>
  <c r="F129" i="3"/>
  <c r="F130" i="3"/>
  <c r="F131" i="3"/>
  <c r="F132" i="3"/>
  <c r="F133" i="3"/>
  <c r="F134" i="3"/>
  <c r="F135" i="3"/>
  <c r="F136" i="3"/>
  <c r="F137" i="3"/>
  <c r="F138" i="3"/>
  <c r="F139" i="3"/>
  <c r="F140" i="3"/>
  <c r="F141" i="3"/>
  <c r="F142" i="3"/>
  <c r="F143" i="3"/>
  <c r="F144" i="3"/>
  <c r="F145" i="3"/>
  <c r="F146" i="3"/>
  <c r="F147" i="3"/>
  <c r="F148" i="3"/>
  <c r="F149" i="3"/>
  <c r="F150" i="3"/>
  <c r="F151" i="3"/>
  <c r="F152" i="3"/>
  <c r="F153" i="3"/>
  <c r="F154" i="3"/>
  <c r="F155" i="3"/>
  <c r="F156" i="3"/>
  <c r="F157" i="3"/>
  <c r="F158" i="3"/>
  <c r="F159" i="3"/>
  <c r="F160" i="3"/>
  <c r="F161" i="3"/>
  <c r="F162" i="3"/>
  <c r="F163" i="3"/>
  <c r="F164" i="3"/>
  <c r="F165" i="3"/>
  <c r="F166" i="3"/>
  <c r="F167" i="3"/>
  <c r="F168" i="3"/>
  <c r="F169" i="3"/>
  <c r="F170" i="3"/>
  <c r="F171" i="3"/>
  <c r="F172" i="3"/>
  <c r="F173" i="3"/>
  <c r="F174" i="3"/>
  <c r="F175" i="3"/>
  <c r="F176" i="3"/>
  <c r="F177" i="3"/>
  <c r="F178" i="3"/>
  <c r="F179" i="3"/>
  <c r="F180" i="3"/>
  <c r="F181" i="3"/>
  <c r="F182" i="3"/>
  <c r="F183" i="3"/>
  <c r="F184" i="3"/>
  <c r="F185" i="3"/>
  <c r="F186" i="3"/>
  <c r="F187" i="3"/>
  <c r="F188" i="3"/>
  <c r="F189" i="3"/>
  <c r="F190" i="3"/>
  <c r="F191" i="3"/>
  <c r="F192" i="3"/>
  <c r="F193" i="3"/>
  <c r="F194" i="3"/>
  <c r="F195" i="3"/>
  <c r="F196" i="3"/>
  <c r="F197" i="3"/>
  <c r="F198" i="3"/>
  <c r="F199" i="3"/>
  <c r="F200" i="3"/>
  <c r="F201" i="3"/>
  <c r="F202" i="3"/>
  <c r="F203" i="3"/>
  <c r="F204" i="3"/>
  <c r="F205" i="3"/>
  <c r="F206" i="3"/>
  <c r="F207" i="3"/>
  <c r="F208" i="3"/>
  <c r="F209" i="3"/>
  <c r="F210" i="3"/>
  <c r="F211" i="3"/>
  <c r="F212" i="3"/>
  <c r="F213" i="3"/>
  <c r="F214" i="3"/>
  <c r="F215" i="3"/>
  <c r="F216" i="3"/>
  <c r="F217" i="3"/>
  <c r="F218" i="3"/>
  <c r="F219" i="3"/>
  <c r="F220" i="3"/>
  <c r="F221" i="3"/>
  <c r="F222" i="3"/>
  <c r="F223" i="3"/>
  <c r="F224" i="3"/>
  <c r="F225" i="3"/>
  <c r="F226" i="3"/>
  <c r="F227" i="3"/>
  <c r="F228" i="3"/>
  <c r="F229" i="3"/>
  <c r="F230" i="3"/>
  <c r="F231" i="3"/>
  <c r="F232" i="3"/>
  <c r="F233" i="3"/>
  <c r="F234" i="3"/>
  <c r="F235" i="3"/>
  <c r="F236" i="3"/>
  <c r="F237" i="3"/>
  <c r="F238" i="3"/>
  <c r="F239" i="3"/>
  <c r="F240" i="3"/>
  <c r="F241" i="3"/>
  <c r="F242" i="3"/>
  <c r="F243" i="3"/>
  <c r="F244" i="3"/>
  <c r="F245" i="3"/>
  <c r="F246" i="3"/>
  <c r="F247" i="3"/>
  <c r="F248" i="3"/>
  <c r="F249" i="3"/>
  <c r="F250" i="3"/>
  <c r="F251" i="3"/>
  <c r="F252" i="3"/>
  <c r="F253" i="3"/>
  <c r="F254" i="3"/>
  <c r="F255" i="3"/>
  <c r="F256" i="3"/>
  <c r="F257" i="3"/>
  <c r="F258" i="3"/>
  <c r="F259" i="3"/>
  <c r="F260" i="3"/>
  <c r="F261" i="3"/>
  <c r="F262" i="3"/>
  <c r="F263" i="3"/>
  <c r="F264" i="3"/>
  <c r="F265" i="3"/>
  <c r="F266" i="3"/>
  <c r="F267" i="3"/>
  <c r="F268" i="3"/>
  <c r="F269" i="3"/>
  <c r="F270" i="3"/>
  <c r="F271" i="3"/>
  <c r="F272" i="3"/>
  <c r="F273" i="3"/>
  <c r="F274" i="3"/>
  <c r="F275" i="3"/>
  <c r="F276" i="3"/>
  <c r="F277" i="3"/>
  <c r="F278" i="3"/>
  <c r="F279" i="3"/>
  <c r="F280" i="3"/>
  <c r="F281" i="3"/>
  <c r="F282" i="3"/>
  <c r="F283" i="3"/>
  <c r="F284" i="3"/>
  <c r="F285" i="3"/>
  <c r="F286" i="3"/>
  <c r="F287" i="3"/>
  <c r="F288" i="3"/>
  <c r="F289" i="3"/>
  <c r="F290" i="3"/>
  <c r="F291" i="3"/>
  <c r="F292" i="3"/>
  <c r="F293" i="3"/>
  <c r="F294" i="3"/>
  <c r="F295" i="3"/>
  <c r="F296" i="3"/>
  <c r="F297" i="3"/>
  <c r="F298" i="3"/>
  <c r="F299" i="3"/>
  <c r="F300" i="3"/>
  <c r="F301" i="3"/>
  <c r="F302" i="3"/>
  <c r="F303" i="3"/>
  <c r="F304" i="3"/>
  <c r="F305" i="3"/>
  <c r="F306" i="3"/>
  <c r="F307" i="3"/>
  <c r="F308" i="3"/>
  <c r="F309" i="3"/>
  <c r="F310" i="3"/>
  <c r="F311" i="3"/>
  <c r="F312" i="3"/>
  <c r="F313" i="3"/>
  <c r="F314" i="3"/>
  <c r="F315" i="3"/>
  <c r="F316" i="3"/>
  <c r="F317" i="3"/>
  <c r="F318" i="3"/>
  <c r="F319" i="3"/>
  <c r="F320" i="3"/>
  <c r="F321" i="3"/>
  <c r="F322" i="3"/>
  <c r="F323" i="3"/>
  <c r="F324" i="3"/>
  <c r="F325" i="3"/>
  <c r="F326" i="3"/>
  <c r="F327" i="3"/>
  <c r="F328" i="3"/>
  <c r="F329" i="3"/>
  <c r="F330" i="3"/>
  <c r="F331" i="3"/>
  <c r="F332" i="3"/>
  <c r="F333" i="3"/>
  <c r="F334" i="3"/>
  <c r="F335" i="3"/>
  <c r="F336" i="3"/>
  <c r="F337" i="3"/>
  <c r="F338" i="3"/>
  <c r="F339" i="3"/>
  <c r="F340" i="3"/>
  <c r="F341" i="3"/>
  <c r="F342" i="3"/>
  <c r="F343" i="3"/>
  <c r="F344" i="3"/>
  <c r="F345" i="3"/>
  <c r="F346" i="3"/>
  <c r="F347" i="3"/>
  <c r="F348" i="3"/>
  <c r="F349" i="3"/>
  <c r="F350" i="3"/>
  <c r="F351" i="3"/>
  <c r="F352" i="3"/>
  <c r="F353" i="3"/>
  <c r="F354" i="3"/>
  <c r="F355" i="3"/>
  <c r="F356" i="3"/>
  <c r="F357" i="3"/>
  <c r="F358" i="3"/>
  <c r="F359" i="3"/>
  <c r="F360" i="3"/>
  <c r="F361" i="3"/>
  <c r="F362" i="3"/>
  <c r="F363" i="3"/>
  <c r="F364" i="3"/>
  <c r="F365" i="3"/>
  <c r="F366" i="3"/>
  <c r="F367" i="3"/>
  <c r="F368" i="3"/>
  <c r="F369" i="3"/>
  <c r="F370" i="3"/>
  <c r="F371" i="3"/>
  <c r="F372" i="3"/>
  <c r="F373" i="3"/>
  <c r="F374" i="3"/>
  <c r="F375" i="3"/>
  <c r="F376" i="3"/>
  <c r="F377" i="3"/>
  <c r="F378" i="3"/>
  <c r="F379" i="3"/>
  <c r="F380" i="3"/>
  <c r="F381" i="3"/>
  <c r="F382" i="3"/>
  <c r="F383" i="3"/>
  <c r="F384" i="3"/>
  <c r="F385" i="3"/>
  <c r="F386" i="3"/>
  <c r="F387" i="3"/>
  <c r="F388" i="3"/>
  <c r="F389" i="3"/>
  <c r="F390" i="3"/>
  <c r="F391" i="3"/>
  <c r="F392" i="3"/>
  <c r="F393" i="3"/>
  <c r="F394" i="3"/>
  <c r="F395" i="3"/>
  <c r="F396" i="3"/>
  <c r="F397" i="3"/>
  <c r="F398" i="3"/>
  <c r="F399" i="3"/>
  <c r="F400" i="3"/>
  <c r="F401" i="3"/>
  <c r="F402" i="3"/>
  <c r="F403" i="3"/>
  <c r="F404" i="3"/>
  <c r="F405" i="3"/>
  <c r="F406" i="3"/>
  <c r="F407" i="3"/>
  <c r="F408" i="3"/>
  <c r="F409" i="3"/>
  <c r="F410" i="3"/>
  <c r="F411" i="3"/>
  <c r="F412" i="3"/>
  <c r="F413" i="3"/>
  <c r="F414" i="3"/>
  <c r="F415" i="3"/>
  <c r="F416" i="3"/>
  <c r="F417" i="3"/>
  <c r="F418" i="3"/>
  <c r="F419" i="3"/>
  <c r="F420" i="3"/>
  <c r="F421" i="3"/>
  <c r="F422" i="3"/>
  <c r="F423" i="3"/>
  <c r="F424" i="3"/>
  <c r="F425" i="3"/>
  <c r="F426" i="3"/>
  <c r="F427" i="3"/>
  <c r="F428" i="3"/>
  <c r="F429" i="3"/>
  <c r="F430" i="3"/>
  <c r="F431" i="3"/>
  <c r="F432" i="3"/>
  <c r="F433" i="3"/>
  <c r="F434" i="3"/>
  <c r="F435" i="3"/>
  <c r="F436" i="3"/>
  <c r="F437" i="3"/>
  <c r="F438" i="3"/>
  <c r="F439" i="3"/>
  <c r="F440" i="3"/>
  <c r="F441" i="3"/>
  <c r="F442" i="3"/>
  <c r="F443" i="3"/>
  <c r="F444" i="3"/>
  <c r="F445" i="3"/>
  <c r="F446" i="3"/>
  <c r="F447" i="3"/>
  <c r="F448" i="3"/>
  <c r="F449" i="3"/>
  <c r="F450" i="3"/>
  <c r="F451" i="3"/>
  <c r="F452" i="3"/>
  <c r="F453" i="3"/>
  <c r="F454" i="3"/>
  <c r="F455" i="3"/>
  <c r="F456" i="3"/>
  <c r="F457" i="3"/>
  <c r="F458" i="3"/>
  <c r="F459" i="3"/>
  <c r="F460" i="3"/>
  <c r="F461" i="3"/>
  <c r="F462" i="3"/>
  <c r="F463" i="3"/>
  <c r="F464" i="3"/>
  <c r="F465" i="3"/>
  <c r="F466" i="3"/>
  <c r="F467" i="3"/>
  <c r="F468" i="3"/>
  <c r="F469" i="3"/>
  <c r="F470" i="3"/>
  <c r="F471" i="3"/>
  <c r="F472" i="3"/>
  <c r="F473" i="3"/>
  <c r="F474" i="3"/>
  <c r="F475" i="3"/>
  <c r="F476" i="3"/>
  <c r="F477" i="3"/>
  <c r="F478" i="3"/>
  <c r="F479" i="3"/>
  <c r="F480" i="3"/>
  <c r="F481" i="3"/>
  <c r="F482" i="3"/>
  <c r="F483" i="3"/>
  <c r="F484" i="3"/>
  <c r="F485" i="3"/>
  <c r="F486" i="3"/>
  <c r="F487" i="3"/>
  <c r="F488" i="3"/>
  <c r="F489" i="3"/>
  <c r="F490" i="3"/>
  <c r="F491" i="3"/>
  <c r="F492" i="3"/>
  <c r="F493" i="3"/>
  <c r="F494" i="3"/>
  <c r="F495" i="3"/>
  <c r="F496" i="3"/>
  <c r="F497" i="3"/>
  <c r="F498" i="3"/>
  <c r="F499" i="3"/>
  <c r="F500" i="3"/>
  <c r="F501" i="3"/>
  <c r="F502" i="3"/>
  <c r="F503" i="3"/>
  <c r="F504" i="3"/>
  <c r="F505" i="3"/>
  <c r="F506" i="3"/>
  <c r="F507" i="3"/>
  <c r="F508" i="3"/>
  <c r="F509" i="3"/>
  <c r="F510" i="3"/>
  <c r="F511" i="3"/>
  <c r="F512" i="3"/>
  <c r="F513" i="3"/>
  <c r="F514" i="3"/>
  <c r="F515" i="3"/>
  <c r="F516" i="3"/>
  <c r="F517" i="3"/>
  <c r="F518" i="3"/>
  <c r="F519" i="3"/>
  <c r="F520" i="3"/>
  <c r="F521" i="3"/>
  <c r="F522" i="3"/>
  <c r="F523" i="3"/>
  <c r="F524" i="3"/>
  <c r="F525" i="3"/>
  <c r="F526" i="3"/>
  <c r="F527" i="3"/>
  <c r="F528" i="3"/>
  <c r="F529" i="3"/>
  <c r="F530" i="3"/>
  <c r="F531" i="3"/>
  <c r="F532" i="3"/>
  <c r="F533" i="3"/>
  <c r="F534" i="3"/>
  <c r="F535" i="3"/>
  <c r="F536" i="3"/>
  <c r="F537" i="3"/>
  <c r="F538" i="3"/>
  <c r="F539" i="3"/>
  <c r="F540" i="3"/>
  <c r="F541" i="3"/>
  <c r="F542" i="3"/>
  <c r="F543" i="3"/>
  <c r="F544" i="3"/>
  <c r="F545" i="3"/>
  <c r="F546" i="3"/>
  <c r="F547" i="3"/>
  <c r="F548" i="3"/>
  <c r="F549" i="3"/>
  <c r="F550" i="3"/>
  <c r="F551" i="3"/>
  <c r="F552" i="3"/>
  <c r="F553" i="3"/>
  <c r="F554" i="3"/>
  <c r="F555" i="3"/>
  <c r="F556" i="3"/>
  <c r="F557" i="3"/>
  <c r="F558" i="3"/>
  <c r="F559" i="3"/>
  <c r="F560" i="3"/>
  <c r="F561" i="3"/>
  <c r="F562" i="3"/>
  <c r="F563" i="3"/>
  <c r="F564" i="3"/>
  <c r="F565" i="3"/>
  <c r="F566" i="3"/>
  <c r="F567" i="3"/>
  <c r="F568" i="3"/>
  <c r="F569" i="3"/>
  <c r="F570" i="3"/>
  <c r="F571" i="3"/>
  <c r="F572" i="3"/>
  <c r="F573" i="3"/>
  <c r="F574" i="3"/>
  <c r="F575" i="3"/>
  <c r="F576" i="3"/>
  <c r="F577" i="3"/>
  <c r="F578" i="3"/>
  <c r="F579" i="3"/>
  <c r="F580" i="3"/>
  <c r="F581" i="3"/>
  <c r="F582" i="3"/>
  <c r="F583" i="3"/>
  <c r="F584" i="3"/>
  <c r="F585" i="3"/>
  <c r="F586" i="3"/>
  <c r="F587" i="3"/>
  <c r="F588" i="3"/>
  <c r="F589" i="3"/>
  <c r="F590" i="3"/>
  <c r="F591" i="3"/>
  <c r="F592" i="3"/>
  <c r="F593" i="3"/>
  <c r="F594" i="3"/>
  <c r="F595" i="3"/>
  <c r="F596" i="3"/>
  <c r="F597" i="3"/>
  <c r="F598" i="3"/>
  <c r="F599" i="3"/>
  <c r="F600" i="3"/>
  <c r="F601" i="3"/>
  <c r="F602" i="3"/>
  <c r="F603" i="3"/>
  <c r="F604" i="3"/>
  <c r="F605" i="3"/>
  <c r="F606" i="3"/>
  <c r="F607" i="3"/>
  <c r="F608" i="3"/>
  <c r="F609" i="3"/>
  <c r="F610" i="3"/>
  <c r="F611" i="3"/>
  <c r="F612" i="3"/>
  <c r="F613" i="3"/>
  <c r="F614" i="3"/>
  <c r="F615" i="3"/>
  <c r="F616" i="3"/>
  <c r="F617" i="3"/>
  <c r="F618" i="3"/>
  <c r="F619" i="3"/>
  <c r="F620" i="3"/>
  <c r="F621" i="3"/>
  <c r="F622" i="3"/>
  <c r="F623" i="3"/>
  <c r="F624" i="3"/>
  <c r="F625" i="3"/>
  <c r="F626" i="3"/>
  <c r="F627" i="3"/>
  <c r="F628" i="3"/>
  <c r="F629" i="3"/>
  <c r="F630" i="3"/>
  <c r="F631" i="3"/>
  <c r="F632" i="3"/>
  <c r="F633" i="3"/>
  <c r="F634" i="3"/>
  <c r="F635" i="3"/>
  <c r="F636" i="3"/>
  <c r="F637" i="3"/>
  <c r="F638" i="3"/>
  <c r="F639" i="3"/>
  <c r="F640" i="3"/>
  <c r="F641" i="3"/>
  <c r="F642" i="3"/>
  <c r="F643" i="3"/>
  <c r="F644" i="3"/>
  <c r="F645" i="3"/>
  <c r="F646" i="3"/>
  <c r="F647" i="3"/>
  <c r="F648" i="3"/>
  <c r="F649" i="3"/>
  <c r="F650" i="3"/>
  <c r="F651" i="3"/>
  <c r="F652" i="3"/>
  <c r="F653" i="3"/>
  <c r="F654" i="3"/>
  <c r="F655" i="3"/>
  <c r="F656" i="3"/>
  <c r="F657" i="3"/>
  <c r="F658" i="3"/>
  <c r="F659" i="3"/>
  <c r="F660" i="3"/>
  <c r="F661" i="3"/>
  <c r="F662" i="3"/>
  <c r="F663" i="3"/>
  <c r="F664" i="3"/>
  <c r="F665" i="3"/>
  <c r="F666" i="3"/>
  <c r="F667" i="3"/>
  <c r="F668" i="3"/>
  <c r="F669" i="3"/>
  <c r="F670" i="3"/>
  <c r="F671" i="3"/>
  <c r="F672" i="3"/>
  <c r="F673" i="3"/>
  <c r="F674" i="3"/>
  <c r="F675" i="3"/>
  <c r="F676" i="3"/>
  <c r="F677" i="3"/>
  <c r="F678" i="3"/>
  <c r="F679" i="3"/>
  <c r="F680" i="3"/>
  <c r="F681" i="3"/>
  <c r="F682" i="3"/>
  <c r="F683" i="3"/>
  <c r="F684" i="3"/>
  <c r="F685" i="3"/>
  <c r="F686" i="3"/>
  <c r="F687" i="3"/>
  <c r="F688" i="3"/>
  <c r="F689" i="3"/>
  <c r="F690" i="3"/>
  <c r="F691" i="3"/>
  <c r="F692" i="3"/>
  <c r="F693" i="3"/>
  <c r="F694" i="3"/>
  <c r="F695" i="3"/>
  <c r="F696" i="3"/>
  <c r="F697" i="3"/>
  <c r="F698" i="3"/>
  <c r="F699" i="3"/>
  <c r="F700" i="3"/>
  <c r="F701" i="3"/>
  <c r="F702" i="3"/>
  <c r="F703" i="3"/>
  <c r="F704" i="3"/>
  <c r="F705" i="3"/>
  <c r="F706" i="3"/>
  <c r="F707" i="3"/>
  <c r="F708" i="3"/>
  <c r="F709" i="3"/>
  <c r="F710" i="3"/>
  <c r="F711" i="3"/>
  <c r="F712" i="3"/>
  <c r="F713" i="3"/>
  <c r="F714" i="3"/>
  <c r="F715" i="3"/>
  <c r="F716" i="3"/>
  <c r="F717" i="3"/>
  <c r="F718" i="3"/>
  <c r="F719" i="3"/>
  <c r="F720" i="3"/>
  <c r="F721" i="3"/>
  <c r="F722" i="3"/>
  <c r="F723" i="3"/>
  <c r="F724" i="3"/>
  <c r="F725" i="3"/>
  <c r="F726" i="3"/>
  <c r="F727" i="3"/>
  <c r="F728" i="3"/>
  <c r="F729" i="3"/>
  <c r="F730" i="3"/>
  <c r="F731" i="3"/>
  <c r="F732" i="3"/>
  <c r="F733" i="3"/>
  <c r="F734" i="3"/>
  <c r="F735" i="3"/>
  <c r="F736" i="3"/>
  <c r="F737" i="3"/>
  <c r="F738" i="3"/>
  <c r="F739" i="3"/>
  <c r="F740" i="3"/>
  <c r="F741" i="3"/>
  <c r="F742" i="3"/>
  <c r="F743" i="3"/>
  <c r="F744" i="3"/>
  <c r="F745" i="3"/>
  <c r="F746" i="3"/>
  <c r="F747" i="3"/>
  <c r="F748" i="3"/>
  <c r="F749" i="3"/>
  <c r="F750" i="3"/>
  <c r="F751" i="3"/>
  <c r="F752" i="3"/>
  <c r="F753" i="3"/>
  <c r="F754" i="3"/>
  <c r="F755" i="3"/>
  <c r="F756" i="3"/>
  <c r="F757" i="3"/>
  <c r="F758" i="3"/>
  <c r="F759" i="3"/>
  <c r="F760" i="3"/>
  <c r="F761" i="3"/>
  <c r="F762" i="3"/>
  <c r="F763" i="3"/>
  <c r="F764" i="3"/>
  <c r="F765" i="3"/>
  <c r="F766" i="3"/>
  <c r="F767" i="3"/>
  <c r="F768" i="3"/>
  <c r="F769" i="3"/>
  <c r="F770" i="3"/>
  <c r="F771" i="3"/>
  <c r="F772" i="3"/>
  <c r="F773" i="3"/>
  <c r="F774" i="3"/>
  <c r="F775" i="3"/>
  <c r="F776" i="3"/>
  <c r="F777" i="3"/>
  <c r="F778" i="3"/>
  <c r="F779" i="3"/>
  <c r="F780" i="3"/>
  <c r="F781" i="3"/>
  <c r="F782" i="3"/>
  <c r="F783" i="3"/>
  <c r="F784" i="3"/>
  <c r="F785" i="3"/>
  <c r="F786" i="3"/>
  <c r="F787" i="3"/>
  <c r="F788" i="3"/>
  <c r="F789" i="3"/>
  <c r="F790" i="3"/>
  <c r="F791" i="3"/>
  <c r="F792" i="3"/>
  <c r="F793" i="3"/>
  <c r="F794" i="3"/>
  <c r="F795" i="3"/>
  <c r="F796" i="3"/>
  <c r="F797" i="3"/>
  <c r="F798" i="3"/>
  <c r="F799" i="3"/>
  <c r="F800" i="3"/>
  <c r="F801" i="3"/>
  <c r="F802" i="3"/>
  <c r="F803" i="3"/>
  <c r="F804" i="3"/>
  <c r="F805" i="3"/>
  <c r="F806" i="3"/>
  <c r="F807" i="3"/>
  <c r="F808" i="3"/>
  <c r="F809" i="3"/>
  <c r="F810" i="3"/>
  <c r="F811" i="3"/>
  <c r="F812" i="3"/>
  <c r="F813" i="3"/>
  <c r="F814" i="3"/>
  <c r="F815" i="3"/>
  <c r="F816" i="3"/>
  <c r="F817" i="3"/>
  <c r="F818" i="3"/>
  <c r="F819" i="3"/>
  <c r="F820" i="3"/>
  <c r="F821" i="3"/>
  <c r="F822" i="3"/>
  <c r="F823" i="3"/>
  <c r="F824" i="3"/>
  <c r="F825" i="3"/>
  <c r="F826" i="3"/>
  <c r="F827" i="3"/>
  <c r="F828" i="3"/>
  <c r="F829" i="3"/>
  <c r="F830" i="3"/>
  <c r="F831" i="3"/>
  <c r="F832" i="3"/>
  <c r="F833" i="3"/>
  <c r="F834" i="3"/>
  <c r="F835" i="3"/>
  <c r="F836" i="3"/>
  <c r="F837" i="3"/>
  <c r="F838" i="3"/>
  <c r="F839" i="3"/>
  <c r="F840" i="3"/>
  <c r="F841" i="3"/>
  <c r="F842" i="3"/>
  <c r="F843" i="3"/>
  <c r="F844" i="3"/>
  <c r="F845" i="3"/>
  <c r="F846" i="3"/>
  <c r="F847" i="3"/>
  <c r="F848" i="3"/>
  <c r="F849" i="3"/>
  <c r="F850" i="3"/>
  <c r="F851" i="3"/>
  <c r="F852" i="3"/>
  <c r="F853" i="3"/>
  <c r="F854" i="3"/>
  <c r="F855" i="3"/>
  <c r="F856" i="3"/>
  <c r="F857" i="3"/>
  <c r="F858" i="3"/>
  <c r="F859" i="3"/>
  <c r="F860" i="3"/>
  <c r="F861" i="3"/>
  <c r="F862" i="3"/>
  <c r="F863" i="3"/>
  <c r="F864" i="3"/>
  <c r="F865" i="3"/>
  <c r="F866" i="3"/>
  <c r="F867" i="3"/>
  <c r="F868" i="3"/>
  <c r="F869" i="3"/>
  <c r="F870" i="3"/>
  <c r="F871" i="3"/>
  <c r="F872" i="3"/>
  <c r="F873" i="3"/>
  <c r="F874" i="3"/>
  <c r="F875" i="3"/>
  <c r="F876" i="3"/>
  <c r="F877" i="3"/>
  <c r="F878" i="3"/>
  <c r="F879" i="3"/>
  <c r="F880" i="3"/>
  <c r="F881" i="3"/>
  <c r="F882" i="3"/>
  <c r="F883" i="3"/>
  <c r="F884" i="3"/>
  <c r="F885" i="3"/>
  <c r="F886" i="3"/>
  <c r="F887" i="3"/>
  <c r="F888" i="3"/>
  <c r="F889" i="3"/>
  <c r="F890" i="3"/>
  <c r="F891" i="3"/>
  <c r="F892" i="3"/>
  <c r="F893" i="3"/>
  <c r="F894" i="3"/>
  <c r="F895" i="3"/>
  <c r="F896" i="3"/>
  <c r="F897" i="3"/>
  <c r="F898" i="3"/>
  <c r="F899" i="3"/>
  <c r="F900" i="3"/>
  <c r="F901" i="3"/>
  <c r="F902" i="3"/>
  <c r="F903" i="3"/>
  <c r="F904" i="3"/>
  <c r="F905" i="3"/>
  <c r="F906" i="3"/>
  <c r="F907" i="3"/>
  <c r="F908" i="3"/>
  <c r="F909" i="3"/>
  <c r="F910" i="3"/>
  <c r="F911" i="3"/>
  <c r="F912" i="3"/>
  <c r="F913" i="3"/>
  <c r="F914" i="3"/>
  <c r="F915" i="3"/>
  <c r="F916" i="3"/>
  <c r="F917" i="3"/>
  <c r="F918" i="3"/>
  <c r="F919" i="3"/>
  <c r="F920" i="3"/>
  <c r="F921" i="3"/>
  <c r="F922" i="3"/>
  <c r="F923" i="3"/>
  <c r="F924" i="3"/>
  <c r="F925" i="3"/>
  <c r="F926" i="3"/>
  <c r="F927" i="3"/>
  <c r="F928" i="3"/>
  <c r="F929" i="3"/>
  <c r="F930" i="3"/>
  <c r="F931" i="3"/>
  <c r="F932" i="3"/>
  <c r="F933" i="3"/>
  <c r="F934" i="3"/>
  <c r="F935" i="3"/>
  <c r="F936" i="3"/>
  <c r="F937" i="3"/>
  <c r="F938" i="3"/>
  <c r="F939" i="3"/>
  <c r="F940" i="3"/>
  <c r="F941" i="3"/>
  <c r="F942" i="3"/>
  <c r="F943" i="3"/>
  <c r="F944" i="3"/>
  <c r="F945" i="3"/>
  <c r="F946" i="3"/>
  <c r="F947" i="3"/>
  <c r="F948" i="3"/>
  <c r="F949" i="3"/>
  <c r="F950" i="3"/>
  <c r="F951" i="3"/>
  <c r="F952" i="3"/>
  <c r="F953" i="3"/>
  <c r="F954" i="3"/>
  <c r="F955" i="3"/>
  <c r="F956" i="3"/>
  <c r="F957" i="3"/>
  <c r="F958" i="3"/>
  <c r="F959" i="3"/>
  <c r="F960" i="3"/>
  <c r="F961" i="3"/>
  <c r="F962" i="3"/>
  <c r="F963" i="3"/>
  <c r="F964" i="3"/>
  <c r="F965" i="3"/>
  <c r="F966" i="3"/>
  <c r="F967" i="3"/>
  <c r="F968" i="3"/>
  <c r="F969" i="3"/>
  <c r="F970" i="3"/>
  <c r="F971" i="3"/>
  <c r="F972" i="3"/>
  <c r="F973" i="3"/>
  <c r="F974" i="3"/>
  <c r="F975" i="3"/>
  <c r="F976" i="3"/>
  <c r="F977" i="3"/>
  <c r="F978" i="3"/>
  <c r="F979" i="3"/>
  <c r="F980" i="3"/>
  <c r="F981" i="3"/>
  <c r="F982" i="3"/>
  <c r="F983" i="3"/>
  <c r="F984" i="3"/>
  <c r="F985" i="3"/>
  <c r="F986" i="3"/>
  <c r="F987" i="3"/>
  <c r="F988" i="3"/>
  <c r="F989" i="3"/>
  <c r="F990" i="3"/>
  <c r="F991" i="3"/>
  <c r="F992" i="3"/>
  <c r="F993" i="3"/>
  <c r="F994" i="3"/>
  <c r="F995" i="3"/>
  <c r="F996" i="3"/>
  <c r="F997" i="3"/>
  <c r="F998" i="3"/>
  <c r="F999" i="3"/>
  <c r="F1000" i="3"/>
  <c r="F1001" i="3"/>
  <c r="F1002" i="3"/>
  <c r="F1003" i="3"/>
  <c r="F1004" i="3"/>
  <c r="F1005" i="3"/>
  <c r="F1006" i="3"/>
  <c r="F1007" i="3"/>
  <c r="F1008" i="3"/>
  <c r="F1009" i="3"/>
  <c r="F1010" i="3"/>
  <c r="F1011" i="3"/>
  <c r="F1012" i="3"/>
  <c r="F1013" i="3"/>
  <c r="F1014" i="3"/>
  <c r="F1015" i="3"/>
  <c r="F1016" i="3"/>
  <c r="F1017" i="3"/>
  <c r="F1018" i="3"/>
  <c r="F1019" i="3"/>
  <c r="F1020" i="3"/>
  <c r="F1021" i="3"/>
  <c r="F1022" i="3"/>
  <c r="F1023" i="3"/>
  <c r="F1024" i="3"/>
  <c r="F1025" i="3"/>
  <c r="F1026" i="3"/>
  <c r="F1027" i="3"/>
  <c r="F1028" i="3"/>
  <c r="F1029" i="3"/>
  <c r="F1030" i="3"/>
  <c r="F1031" i="3"/>
  <c r="F1032" i="3"/>
  <c r="F1033" i="3"/>
  <c r="F1034" i="3"/>
  <c r="F1035" i="3"/>
  <c r="F1036" i="3"/>
  <c r="F1037" i="3"/>
  <c r="F1038" i="3"/>
  <c r="F1039" i="3"/>
  <c r="F1040" i="3"/>
  <c r="F1041" i="3"/>
  <c r="F1042" i="3"/>
  <c r="F1043" i="3"/>
  <c r="F1044" i="3"/>
  <c r="F1045" i="3"/>
  <c r="F1046" i="3"/>
  <c r="F1047" i="3"/>
  <c r="F1048" i="3"/>
  <c r="F1049" i="3"/>
  <c r="F1050" i="3"/>
  <c r="F1051" i="3"/>
  <c r="F1052" i="3"/>
  <c r="F1053" i="3"/>
  <c r="F1054" i="3"/>
  <c r="F1055" i="3"/>
  <c r="F1056" i="3"/>
  <c r="F1057" i="3"/>
  <c r="F1058" i="3"/>
  <c r="F1059" i="3"/>
  <c r="F1060" i="3"/>
  <c r="F1061" i="3"/>
  <c r="F1062" i="3"/>
  <c r="F1063" i="3"/>
  <c r="F1064" i="3"/>
  <c r="F1065" i="3"/>
  <c r="F1066" i="3"/>
  <c r="F1067" i="3"/>
  <c r="F1068" i="3"/>
  <c r="F1069" i="3"/>
  <c r="F1070" i="3"/>
  <c r="F1071" i="3"/>
  <c r="F1072" i="3"/>
  <c r="F1073" i="3"/>
  <c r="F1074" i="3"/>
  <c r="F1075" i="3"/>
  <c r="F1076" i="3"/>
  <c r="F1077" i="3"/>
  <c r="F1078" i="3"/>
  <c r="F1079" i="3"/>
  <c r="F1080" i="3"/>
  <c r="F1081" i="3"/>
  <c r="F1082" i="3"/>
  <c r="F1083" i="3"/>
  <c r="F1084" i="3"/>
  <c r="F1085" i="3"/>
  <c r="F1086" i="3"/>
  <c r="F1087" i="3"/>
  <c r="F1088" i="3"/>
  <c r="F1089" i="3"/>
  <c r="F1090" i="3"/>
  <c r="F1091" i="3"/>
  <c r="F1092" i="3"/>
  <c r="F1093" i="3"/>
  <c r="F1094" i="3"/>
  <c r="F1095" i="3"/>
  <c r="F1096" i="3"/>
  <c r="F1097" i="3"/>
  <c r="F1098" i="3"/>
  <c r="F1099" i="3"/>
  <c r="F1100" i="3"/>
  <c r="F1101" i="3"/>
  <c r="F1102" i="3"/>
  <c r="F1103" i="3"/>
  <c r="F1104" i="3"/>
  <c r="F1105" i="3"/>
  <c r="F1106" i="3"/>
  <c r="F1107" i="3"/>
  <c r="F1108" i="3"/>
  <c r="F1109" i="3"/>
  <c r="F1110" i="3"/>
  <c r="F1111" i="3"/>
  <c r="F1112" i="3"/>
  <c r="F1113" i="3"/>
  <c r="F1114" i="3"/>
  <c r="F1115" i="3"/>
  <c r="F1116" i="3"/>
  <c r="F1117" i="3"/>
  <c r="F1118" i="3"/>
  <c r="F1119" i="3"/>
  <c r="F1120" i="3"/>
  <c r="F1121" i="3"/>
  <c r="F1122" i="3"/>
  <c r="F1123" i="3"/>
  <c r="F1124" i="3"/>
  <c r="F1125" i="3"/>
  <c r="F1126" i="3"/>
  <c r="F1127" i="3"/>
  <c r="F1128" i="3"/>
  <c r="F1129" i="3"/>
  <c r="F1130" i="3"/>
  <c r="F1131" i="3"/>
  <c r="F1132" i="3"/>
  <c r="F1133" i="3"/>
  <c r="F1134" i="3"/>
  <c r="F1135" i="3"/>
  <c r="F1136" i="3"/>
  <c r="F1137" i="3"/>
  <c r="F1138" i="3"/>
  <c r="F1139" i="3"/>
  <c r="F1140" i="3"/>
  <c r="F1141" i="3"/>
  <c r="F1142" i="3"/>
  <c r="F1143" i="3"/>
  <c r="F1144" i="3"/>
  <c r="F1145" i="3"/>
  <c r="F1146" i="3"/>
  <c r="F1147" i="3"/>
  <c r="F1148" i="3"/>
  <c r="F1149" i="3"/>
  <c r="F1150" i="3"/>
  <c r="F1151" i="3"/>
  <c r="F1152" i="3"/>
  <c r="F1153" i="3"/>
  <c r="F1154" i="3"/>
  <c r="F1155" i="3"/>
  <c r="F1156" i="3"/>
  <c r="F1157" i="3"/>
  <c r="F1158" i="3"/>
  <c r="F1159" i="3"/>
  <c r="F1160" i="3"/>
  <c r="F1161" i="3"/>
  <c r="F1162" i="3"/>
  <c r="F1163" i="3"/>
  <c r="F1164" i="3"/>
  <c r="F1165" i="3"/>
  <c r="F1166" i="3"/>
  <c r="F1167" i="3"/>
  <c r="F1168" i="3"/>
  <c r="F1169" i="3"/>
  <c r="F1170" i="3"/>
  <c r="F1171" i="3"/>
  <c r="F1172" i="3"/>
  <c r="F1173" i="3"/>
  <c r="F1174" i="3"/>
  <c r="F1175" i="3"/>
  <c r="F1176" i="3"/>
  <c r="F1177" i="3"/>
  <c r="F1178" i="3"/>
  <c r="F1179" i="3"/>
  <c r="F1180" i="3"/>
  <c r="F1181" i="3"/>
  <c r="F1182" i="3"/>
  <c r="F1183" i="3"/>
  <c r="F1184" i="3"/>
  <c r="F1185" i="3"/>
  <c r="F1186" i="3"/>
  <c r="F1187" i="3"/>
  <c r="F1188" i="3"/>
  <c r="F1189" i="3"/>
  <c r="F1190" i="3"/>
  <c r="F1191" i="3"/>
  <c r="F1192" i="3"/>
  <c r="F1193" i="3"/>
  <c r="F1194" i="3"/>
  <c r="F1195" i="3"/>
  <c r="F1196" i="3"/>
  <c r="F1197" i="3"/>
  <c r="F1198" i="3"/>
  <c r="F1199" i="3"/>
  <c r="F1200" i="3"/>
  <c r="F1201" i="3"/>
  <c r="F1202" i="3"/>
  <c r="F1203" i="3"/>
  <c r="F1204" i="3"/>
  <c r="F1205" i="3"/>
  <c r="F1206" i="3"/>
  <c r="F1207" i="3"/>
  <c r="F1208" i="3"/>
  <c r="F1209" i="3"/>
  <c r="F1210" i="3"/>
  <c r="F1211" i="3"/>
  <c r="F1212" i="3"/>
  <c r="F1213" i="3"/>
  <c r="F1214" i="3"/>
  <c r="F1215" i="3"/>
  <c r="F1216" i="3"/>
  <c r="F1217" i="3"/>
  <c r="F1218" i="3"/>
  <c r="F1219" i="3"/>
  <c r="F1220" i="3"/>
  <c r="F1221" i="3"/>
  <c r="F1222" i="3"/>
  <c r="F1223" i="3"/>
  <c r="F1224" i="3"/>
  <c r="F1225" i="3"/>
  <c r="F1226" i="3"/>
  <c r="F1227" i="3"/>
  <c r="F1228" i="3"/>
  <c r="F1229" i="3"/>
  <c r="F1230" i="3"/>
  <c r="F1231" i="3"/>
  <c r="F1232" i="3"/>
  <c r="F1233" i="3"/>
  <c r="F1234" i="3"/>
  <c r="F1235" i="3"/>
  <c r="F1236" i="3"/>
  <c r="F1237" i="3"/>
  <c r="F1238" i="3"/>
  <c r="F1239" i="3"/>
  <c r="F1240" i="3"/>
  <c r="F1241" i="3"/>
  <c r="F1242" i="3"/>
  <c r="F1243" i="3"/>
  <c r="F1244" i="3"/>
  <c r="F1245" i="3"/>
  <c r="F1246" i="3"/>
  <c r="F1247" i="3"/>
  <c r="F1248" i="3"/>
  <c r="F1249" i="3"/>
  <c r="F1250" i="3"/>
  <c r="F1251" i="3"/>
  <c r="F1252" i="3"/>
  <c r="F1253" i="3"/>
  <c r="F1254" i="3"/>
  <c r="F1255" i="3"/>
  <c r="F1256" i="3"/>
  <c r="F1257" i="3"/>
  <c r="F1258" i="3"/>
  <c r="F1259" i="3"/>
  <c r="F1260" i="3"/>
  <c r="F1261" i="3"/>
  <c r="F1262" i="3"/>
  <c r="F1263" i="3"/>
  <c r="F1264" i="3"/>
  <c r="F1265" i="3"/>
  <c r="F1266" i="3"/>
  <c r="F1267" i="3"/>
  <c r="F1268" i="3"/>
  <c r="F1269" i="3"/>
  <c r="F1270" i="3"/>
  <c r="F1271" i="3"/>
  <c r="F1272" i="3"/>
  <c r="F1273" i="3"/>
  <c r="F1274" i="3"/>
  <c r="F1275" i="3"/>
  <c r="F1276" i="3"/>
  <c r="F1277" i="3"/>
  <c r="F1278" i="3"/>
  <c r="F1279" i="3"/>
  <c r="F1280" i="3"/>
  <c r="F1281" i="3"/>
  <c r="F1282" i="3"/>
  <c r="F1283" i="3"/>
  <c r="F1284" i="3"/>
  <c r="F1285" i="3"/>
  <c r="F1286" i="3"/>
  <c r="F1287" i="3"/>
  <c r="F1288" i="3"/>
  <c r="F1289" i="3"/>
  <c r="F1290" i="3"/>
  <c r="F1291" i="3"/>
  <c r="F1292" i="3"/>
  <c r="F1293" i="3"/>
  <c r="F1294" i="3"/>
  <c r="F1295" i="3"/>
  <c r="F1296" i="3"/>
  <c r="F1297" i="3"/>
  <c r="F1298" i="3"/>
  <c r="F1299" i="3"/>
  <c r="F1300" i="3"/>
  <c r="F1301" i="3"/>
  <c r="F1302" i="3"/>
  <c r="F1303" i="3"/>
  <c r="F1304" i="3"/>
  <c r="F1305" i="3"/>
  <c r="F1306" i="3"/>
  <c r="F1307" i="3"/>
  <c r="F1308" i="3"/>
  <c r="F1309" i="3"/>
  <c r="F1310" i="3"/>
  <c r="F1311" i="3"/>
  <c r="F1312" i="3"/>
  <c r="F1313" i="3"/>
  <c r="F1314" i="3"/>
  <c r="F1315" i="3"/>
  <c r="F1316" i="3"/>
  <c r="F1317" i="3"/>
  <c r="F1318" i="3"/>
  <c r="F1319" i="3"/>
  <c r="F1320" i="3"/>
  <c r="F1321" i="3"/>
  <c r="F1322" i="3"/>
  <c r="F1323" i="3"/>
  <c r="F1324" i="3"/>
  <c r="F1325" i="3"/>
  <c r="F1326" i="3"/>
  <c r="F1327" i="3"/>
  <c r="F1328" i="3"/>
  <c r="F1329" i="3"/>
  <c r="F1330" i="3"/>
  <c r="F1331" i="3"/>
  <c r="F1332" i="3"/>
  <c r="F1333" i="3"/>
  <c r="F1334" i="3"/>
  <c r="F1335" i="3"/>
  <c r="F1336" i="3"/>
  <c r="F1337" i="3"/>
  <c r="F1338" i="3"/>
  <c r="F1339" i="3"/>
  <c r="F1340" i="3"/>
  <c r="F1341" i="3"/>
  <c r="F1342" i="3"/>
  <c r="F1343" i="3"/>
  <c r="F1344" i="3"/>
  <c r="F1345" i="3"/>
  <c r="F1346" i="3"/>
  <c r="F1347" i="3"/>
  <c r="F1348" i="3"/>
  <c r="F1349" i="3"/>
  <c r="F1350" i="3"/>
  <c r="F1351" i="3"/>
  <c r="F1352" i="3"/>
  <c r="F1353" i="3"/>
  <c r="F1354" i="3"/>
  <c r="F1355" i="3"/>
  <c r="F1356" i="3"/>
  <c r="F1357" i="3"/>
  <c r="F1358" i="3"/>
  <c r="F1359" i="3"/>
  <c r="F1360" i="3"/>
  <c r="F1361" i="3"/>
  <c r="F1362" i="3"/>
  <c r="F1363" i="3"/>
  <c r="F1364" i="3"/>
  <c r="F1365" i="3"/>
  <c r="F1366" i="3"/>
  <c r="F1367" i="3"/>
  <c r="F1368" i="3"/>
  <c r="F1369" i="3"/>
  <c r="F1370" i="3"/>
  <c r="F1371" i="3"/>
  <c r="F1372" i="3"/>
  <c r="F1373" i="3"/>
  <c r="F1374" i="3"/>
  <c r="F1375" i="3"/>
  <c r="F1376" i="3"/>
  <c r="F1377" i="3"/>
  <c r="F1378" i="3"/>
  <c r="F1379" i="3"/>
  <c r="F1380" i="3"/>
  <c r="F1381" i="3"/>
  <c r="F1382" i="3"/>
  <c r="F1383" i="3"/>
  <c r="F1384" i="3"/>
  <c r="F1385" i="3"/>
  <c r="F1386" i="3"/>
  <c r="F1387" i="3"/>
  <c r="F1388" i="3"/>
  <c r="F1389" i="3"/>
  <c r="F1390" i="3"/>
  <c r="F1391" i="3"/>
  <c r="F1392" i="3"/>
  <c r="F1393" i="3"/>
  <c r="F1394" i="3"/>
  <c r="F1395" i="3"/>
  <c r="F1396" i="3"/>
  <c r="F1397" i="3"/>
  <c r="F1398" i="3"/>
  <c r="F1399" i="3"/>
  <c r="F1400" i="3"/>
  <c r="F1401" i="3"/>
  <c r="F1402" i="3"/>
  <c r="F1403" i="3"/>
  <c r="F1404" i="3"/>
  <c r="F1405" i="3"/>
  <c r="F1406" i="3"/>
  <c r="F1407" i="3"/>
  <c r="F1408" i="3"/>
  <c r="F1409" i="3"/>
  <c r="F1410" i="3"/>
  <c r="F1411" i="3"/>
  <c r="F1412" i="3"/>
  <c r="F1413" i="3"/>
  <c r="F1414" i="3"/>
  <c r="F1415" i="3"/>
  <c r="F1416" i="3"/>
  <c r="F1417" i="3"/>
  <c r="F1418" i="3"/>
  <c r="F1419" i="3"/>
  <c r="F1420" i="3"/>
  <c r="F1421" i="3"/>
  <c r="F1422" i="3"/>
  <c r="F1423" i="3"/>
  <c r="F1424" i="3"/>
  <c r="F1425" i="3"/>
  <c r="F1426" i="3"/>
  <c r="F1427" i="3"/>
  <c r="F1428" i="3"/>
  <c r="F1429" i="3"/>
  <c r="F1430" i="3"/>
  <c r="F1431" i="3"/>
  <c r="F1432" i="3"/>
  <c r="F1433" i="3"/>
  <c r="F1434" i="3"/>
  <c r="F1435" i="3"/>
  <c r="F1436" i="3"/>
  <c r="F1437" i="3"/>
  <c r="F1438" i="3"/>
  <c r="F1439" i="3"/>
  <c r="F1440" i="3"/>
  <c r="F1441" i="3"/>
  <c r="F1442" i="3"/>
  <c r="F1443" i="3"/>
  <c r="F1444" i="3"/>
  <c r="F1445" i="3"/>
  <c r="F1446" i="3"/>
  <c r="F1447" i="3"/>
  <c r="F1448" i="3"/>
  <c r="F1449" i="3"/>
  <c r="F1450" i="3"/>
  <c r="F1451" i="3"/>
  <c r="F1452" i="3"/>
  <c r="F1453" i="3"/>
  <c r="F1454" i="3"/>
  <c r="F1455" i="3"/>
  <c r="F1456" i="3"/>
  <c r="F1457" i="3"/>
  <c r="F1458" i="3"/>
  <c r="F1459" i="3"/>
  <c r="F1460" i="3"/>
  <c r="F1461" i="3"/>
  <c r="F1462" i="3"/>
  <c r="F1463" i="3"/>
  <c r="F1464" i="3"/>
  <c r="F1465" i="3"/>
  <c r="F1466" i="3"/>
  <c r="F1467" i="3"/>
  <c r="F1468" i="3"/>
  <c r="F1469" i="3"/>
  <c r="F1470" i="3"/>
  <c r="F1471" i="3"/>
  <c r="F1472" i="3"/>
  <c r="F1473" i="3"/>
  <c r="F1474" i="3"/>
  <c r="F1475" i="3"/>
  <c r="F1476" i="3"/>
  <c r="F1477" i="3"/>
  <c r="F1478" i="3"/>
  <c r="F1479" i="3"/>
  <c r="F1480" i="3"/>
  <c r="F1481" i="3"/>
  <c r="F1482" i="3"/>
  <c r="F1483" i="3"/>
  <c r="F1484" i="3"/>
  <c r="F1485" i="3"/>
  <c r="F1486" i="3"/>
  <c r="F1487" i="3"/>
  <c r="F1488" i="3"/>
  <c r="F1489" i="3"/>
  <c r="F1490" i="3"/>
  <c r="F1491" i="3"/>
  <c r="F1492" i="3"/>
  <c r="F1493" i="3"/>
  <c r="F1494" i="3"/>
  <c r="F1495" i="3"/>
  <c r="F1496" i="3"/>
  <c r="F1497" i="3"/>
  <c r="F1498" i="3"/>
  <c r="F1499" i="3"/>
  <c r="F1500" i="3"/>
  <c r="F1501" i="3"/>
  <c r="F1502" i="3"/>
  <c r="F1503" i="3"/>
  <c r="F1504" i="3"/>
  <c r="F1505" i="3"/>
  <c r="F1506" i="3"/>
  <c r="F1507" i="3"/>
  <c r="F1508" i="3"/>
  <c r="F1509" i="3"/>
  <c r="F1510" i="3"/>
  <c r="F1511" i="3"/>
  <c r="F1512" i="3"/>
  <c r="F1513" i="3"/>
  <c r="F1514" i="3"/>
  <c r="F1515" i="3"/>
  <c r="F1516" i="3"/>
  <c r="F1517" i="3"/>
  <c r="F1518" i="3"/>
  <c r="F1519" i="3"/>
  <c r="F1520" i="3"/>
  <c r="F1521" i="3"/>
  <c r="F1522" i="3"/>
  <c r="F1523" i="3"/>
  <c r="F1524" i="3"/>
  <c r="F1525" i="3"/>
  <c r="F1526" i="3"/>
  <c r="F1527" i="3"/>
  <c r="F1528" i="3"/>
  <c r="F1529" i="3"/>
  <c r="F1530" i="3"/>
  <c r="F1531" i="3"/>
  <c r="F1532" i="3"/>
  <c r="F1533" i="3"/>
  <c r="F1534" i="3"/>
  <c r="F1535" i="3"/>
  <c r="F1536" i="3"/>
  <c r="F1537" i="3"/>
  <c r="F1538" i="3"/>
  <c r="F1539" i="3"/>
  <c r="F1540" i="3"/>
  <c r="F1541" i="3"/>
  <c r="F1542" i="3"/>
  <c r="F1543" i="3"/>
  <c r="F1544" i="3"/>
  <c r="F1545" i="3"/>
  <c r="F1546" i="3"/>
  <c r="F1547" i="3"/>
  <c r="F1548" i="3"/>
  <c r="F1549" i="3"/>
  <c r="F1550" i="3"/>
  <c r="F1551" i="3"/>
  <c r="F1552" i="3"/>
  <c r="F1553" i="3"/>
  <c r="F1554" i="3"/>
  <c r="F1555" i="3"/>
  <c r="F1556" i="3"/>
  <c r="F1557" i="3"/>
  <c r="F1558" i="3"/>
  <c r="F1559" i="3"/>
  <c r="F1560" i="3"/>
  <c r="F1561" i="3"/>
  <c r="F1562" i="3"/>
  <c r="F1563" i="3"/>
  <c r="F1564" i="3"/>
  <c r="F1565" i="3"/>
  <c r="F1566" i="3"/>
  <c r="F1567" i="3"/>
  <c r="F1568" i="3"/>
  <c r="F1569" i="3"/>
  <c r="F1570" i="3"/>
  <c r="F1571" i="3"/>
  <c r="F1572" i="3"/>
  <c r="F1573" i="3"/>
  <c r="F1574" i="3"/>
  <c r="F1575" i="3"/>
  <c r="F1576" i="3"/>
  <c r="F1577" i="3"/>
  <c r="F1578" i="3"/>
  <c r="F1579" i="3"/>
  <c r="F1580" i="3"/>
  <c r="F1581" i="3"/>
  <c r="F1582" i="3"/>
  <c r="F1583" i="3"/>
  <c r="F1584" i="3"/>
  <c r="F1585" i="3"/>
  <c r="F1586" i="3"/>
  <c r="F1587" i="3"/>
  <c r="F1588" i="3"/>
  <c r="F1589" i="3"/>
  <c r="F1590" i="3"/>
  <c r="F1591" i="3"/>
  <c r="F1592" i="3"/>
  <c r="F1593" i="3"/>
  <c r="F1594" i="3"/>
  <c r="F1595" i="3"/>
  <c r="F1596" i="3"/>
  <c r="F1597" i="3"/>
  <c r="F1598" i="3"/>
  <c r="F1599" i="3"/>
  <c r="F1600" i="3"/>
  <c r="F1601" i="3"/>
  <c r="F1602" i="3"/>
  <c r="F1603" i="3"/>
  <c r="F1604" i="3"/>
  <c r="F1605" i="3"/>
  <c r="F1606" i="3"/>
  <c r="F1607" i="3"/>
  <c r="F1608" i="3"/>
  <c r="F1609" i="3"/>
  <c r="F1610" i="3"/>
  <c r="F1611" i="3"/>
  <c r="F1612" i="3"/>
  <c r="F1613" i="3"/>
  <c r="F1614" i="3"/>
  <c r="F1615" i="3"/>
  <c r="F1616" i="3"/>
  <c r="F1617" i="3"/>
  <c r="F1618" i="3"/>
  <c r="F1619" i="3"/>
  <c r="F1620" i="3"/>
  <c r="F1621" i="3"/>
  <c r="F1622" i="3"/>
  <c r="F1623" i="3"/>
  <c r="F1624" i="3"/>
  <c r="F1625" i="3"/>
  <c r="F1626" i="3"/>
  <c r="F1627" i="3"/>
  <c r="F1628" i="3"/>
  <c r="F1629" i="3"/>
  <c r="F1630" i="3"/>
  <c r="F1631" i="3"/>
  <c r="F1632" i="3"/>
  <c r="F1633" i="3"/>
  <c r="F1634" i="3"/>
  <c r="F1635" i="3"/>
  <c r="F1636" i="3"/>
  <c r="F1637" i="3"/>
  <c r="F1638" i="3"/>
  <c r="F1639" i="3"/>
  <c r="F1640" i="3"/>
  <c r="F1641" i="3"/>
  <c r="F1642" i="3"/>
  <c r="F1643" i="3"/>
  <c r="F1644" i="3"/>
  <c r="F1645" i="3"/>
  <c r="F1646" i="3"/>
  <c r="F1647" i="3"/>
  <c r="F1648" i="3"/>
  <c r="F1649" i="3"/>
  <c r="F1650" i="3"/>
  <c r="F1651" i="3"/>
  <c r="F1652" i="3"/>
  <c r="F1653" i="3"/>
  <c r="F1654" i="3"/>
  <c r="F1655" i="3"/>
  <c r="F1656" i="3"/>
  <c r="F1657" i="3"/>
  <c r="F1658" i="3"/>
  <c r="F1659" i="3"/>
  <c r="F1660" i="3"/>
  <c r="F1661" i="3"/>
  <c r="F1662" i="3"/>
  <c r="F1663" i="3"/>
  <c r="F1664" i="3"/>
  <c r="F1665" i="3"/>
  <c r="F1666" i="3"/>
  <c r="F1667" i="3"/>
  <c r="F1668" i="3"/>
  <c r="F1669" i="3"/>
  <c r="F1670" i="3"/>
  <c r="F1671" i="3"/>
  <c r="F1672" i="3"/>
  <c r="F1673" i="3"/>
  <c r="F1674" i="3"/>
  <c r="F1675" i="3"/>
  <c r="F1676" i="3"/>
  <c r="F1677" i="3"/>
  <c r="F1678" i="3"/>
  <c r="F1679" i="3"/>
  <c r="F1680" i="3"/>
  <c r="F1681" i="3"/>
  <c r="F1682" i="3"/>
  <c r="F1683" i="3"/>
  <c r="F1684" i="3"/>
  <c r="F1685" i="3"/>
  <c r="F1686" i="3"/>
  <c r="F1687" i="3"/>
  <c r="F1688" i="3"/>
  <c r="F1689" i="3"/>
  <c r="F1690" i="3"/>
  <c r="F1691" i="3"/>
  <c r="F1692" i="3"/>
  <c r="F1693" i="3"/>
  <c r="F1694" i="3"/>
  <c r="F1695" i="3"/>
  <c r="F1696" i="3"/>
  <c r="F1697" i="3"/>
  <c r="F1698" i="3"/>
  <c r="F1699" i="3"/>
  <c r="F1700" i="3"/>
  <c r="F1701" i="3"/>
  <c r="F1702" i="3"/>
  <c r="F1703" i="3"/>
  <c r="F1704" i="3"/>
  <c r="F1705" i="3"/>
  <c r="F1706" i="3"/>
  <c r="F1707" i="3"/>
  <c r="F1708" i="3"/>
  <c r="F1709" i="3"/>
  <c r="F1710" i="3"/>
  <c r="F1711" i="3"/>
  <c r="F1712" i="3"/>
  <c r="F1713" i="3"/>
  <c r="F1714" i="3"/>
  <c r="F1715" i="3"/>
  <c r="F1716" i="3"/>
  <c r="F1717" i="3"/>
  <c r="F1718" i="3"/>
  <c r="F1719" i="3"/>
  <c r="F1720" i="3"/>
  <c r="F1721" i="3"/>
  <c r="F1722" i="3"/>
  <c r="F1723" i="3"/>
  <c r="F1724" i="3"/>
  <c r="F1725" i="3"/>
  <c r="F1726" i="3"/>
  <c r="F1727" i="3"/>
  <c r="F1728" i="3"/>
  <c r="F1729" i="3"/>
  <c r="F1730" i="3"/>
  <c r="F1731" i="3"/>
  <c r="F1732" i="3"/>
  <c r="F1733" i="3"/>
  <c r="F1734" i="3"/>
  <c r="F1735" i="3"/>
  <c r="F1736" i="3"/>
  <c r="F1737" i="3"/>
  <c r="F1738" i="3"/>
  <c r="F1739" i="3"/>
  <c r="F1740" i="3"/>
  <c r="F1741" i="3"/>
  <c r="F1742" i="3"/>
  <c r="F1743" i="3"/>
  <c r="F1744" i="3"/>
  <c r="F1745" i="3"/>
  <c r="F1746" i="3"/>
  <c r="F1747" i="3"/>
  <c r="F1748" i="3"/>
  <c r="F1749" i="3"/>
  <c r="F1750" i="3"/>
  <c r="F1751" i="3"/>
  <c r="F1752" i="3"/>
  <c r="F1753" i="3"/>
  <c r="F1754" i="3"/>
  <c r="F1755" i="3"/>
  <c r="F1756" i="3"/>
  <c r="F1757" i="3"/>
  <c r="F1758" i="3"/>
  <c r="F1759" i="3"/>
  <c r="F1760" i="3"/>
  <c r="F1761" i="3"/>
  <c r="F1762" i="3"/>
  <c r="F1763" i="3"/>
  <c r="F1764" i="3"/>
  <c r="F1765" i="3"/>
  <c r="F1766" i="3"/>
  <c r="F1767" i="3"/>
  <c r="F1768" i="3"/>
  <c r="F1769" i="3"/>
  <c r="F1770" i="3"/>
  <c r="F1771" i="3"/>
  <c r="F1772" i="3"/>
  <c r="F1773" i="3"/>
  <c r="F1774" i="3"/>
  <c r="F1775" i="3"/>
  <c r="F1776" i="3"/>
  <c r="F1777" i="3"/>
  <c r="F1778" i="3"/>
  <c r="F1779" i="3"/>
  <c r="F1780" i="3"/>
  <c r="F1781" i="3"/>
  <c r="F1782" i="3"/>
  <c r="F1783" i="3"/>
  <c r="F1784" i="3"/>
  <c r="F1785" i="3"/>
  <c r="F1786" i="3"/>
  <c r="F1787" i="3"/>
  <c r="F1788" i="3"/>
  <c r="F1789" i="3"/>
  <c r="F1790" i="3"/>
  <c r="F1791" i="3"/>
  <c r="F1792" i="3"/>
  <c r="F1793" i="3"/>
  <c r="F1794" i="3"/>
  <c r="F1795" i="3"/>
  <c r="F1796" i="3"/>
  <c r="F1797" i="3"/>
  <c r="F1798" i="3"/>
  <c r="F1799" i="3"/>
  <c r="F1800" i="3"/>
  <c r="F1801" i="3"/>
  <c r="F1802" i="3"/>
  <c r="F1803" i="3"/>
  <c r="F1804" i="3"/>
  <c r="F1805" i="3"/>
  <c r="F1806" i="3"/>
  <c r="F1807" i="3"/>
  <c r="F1808" i="3"/>
  <c r="F1809" i="3"/>
  <c r="F1810" i="3"/>
  <c r="F1811" i="3"/>
  <c r="F1812" i="3"/>
  <c r="F1813" i="3"/>
  <c r="F1814" i="3"/>
  <c r="F1815" i="3"/>
  <c r="F1816" i="3"/>
  <c r="F1817" i="3"/>
  <c r="F1818" i="3"/>
  <c r="F1819" i="3"/>
  <c r="F1820" i="3"/>
  <c r="F1821" i="3"/>
  <c r="F1822" i="3"/>
  <c r="F1823" i="3"/>
  <c r="F1824" i="3"/>
  <c r="F1825" i="3"/>
  <c r="F1826" i="3"/>
  <c r="F1827" i="3"/>
  <c r="F1828" i="3"/>
  <c r="F1829" i="3"/>
  <c r="F1830" i="3"/>
  <c r="F1831" i="3"/>
  <c r="F1832" i="3"/>
  <c r="F1833" i="3"/>
  <c r="F1834" i="3"/>
  <c r="F1835" i="3"/>
  <c r="F1836" i="3"/>
  <c r="F1837" i="3"/>
  <c r="F1838" i="3"/>
  <c r="F1839" i="3"/>
  <c r="F1840" i="3"/>
  <c r="F1841" i="3"/>
  <c r="F1842" i="3"/>
  <c r="F1843" i="3"/>
  <c r="F1844" i="3"/>
  <c r="F1845" i="3"/>
  <c r="F1846" i="3"/>
  <c r="F1847" i="3"/>
  <c r="F1848" i="3"/>
  <c r="F1849" i="3"/>
  <c r="F1850" i="3"/>
  <c r="F1851" i="3"/>
  <c r="F1852" i="3"/>
  <c r="F1853" i="3"/>
  <c r="F1854" i="3"/>
  <c r="F1855" i="3"/>
  <c r="F1856" i="3"/>
  <c r="F1857" i="3"/>
  <c r="F1858" i="3"/>
  <c r="F1859" i="3"/>
  <c r="F1860" i="3"/>
  <c r="F1861" i="3"/>
  <c r="F1862" i="3"/>
  <c r="F1863" i="3"/>
  <c r="F1864" i="3"/>
  <c r="F1865" i="3"/>
  <c r="F1866" i="3"/>
  <c r="F1867" i="3"/>
  <c r="F1868" i="3"/>
  <c r="F1869" i="3"/>
  <c r="F1870" i="3"/>
  <c r="F1871" i="3"/>
  <c r="F1872" i="3"/>
  <c r="F1873" i="3"/>
  <c r="F1874" i="3"/>
  <c r="F1875" i="3"/>
  <c r="F1876" i="3"/>
  <c r="F1877" i="3"/>
  <c r="F1878" i="3"/>
  <c r="F1879" i="3"/>
  <c r="F1880" i="3"/>
  <c r="F1881" i="3"/>
  <c r="F1882" i="3"/>
  <c r="F1883" i="3"/>
  <c r="F1884" i="3"/>
  <c r="F1885" i="3"/>
  <c r="F1886" i="3"/>
  <c r="F1887" i="3"/>
  <c r="F1888" i="3"/>
  <c r="F1889" i="3"/>
  <c r="F1890" i="3"/>
  <c r="F1891" i="3"/>
  <c r="F1892" i="3"/>
  <c r="F1893" i="3"/>
  <c r="F1894" i="3"/>
  <c r="F1895" i="3"/>
  <c r="F1896" i="3"/>
  <c r="F1897" i="3"/>
  <c r="F1898" i="3"/>
  <c r="F1899" i="3"/>
  <c r="F1900" i="3"/>
  <c r="F1901" i="3"/>
  <c r="F1902" i="3"/>
  <c r="F1903" i="3"/>
  <c r="F1904" i="3"/>
  <c r="F1905" i="3"/>
  <c r="F1906" i="3"/>
  <c r="F1907" i="3"/>
  <c r="F1908" i="3"/>
  <c r="F1909" i="3"/>
  <c r="F1910" i="3"/>
  <c r="F1911" i="3"/>
  <c r="F1912" i="3"/>
  <c r="F1913" i="3"/>
  <c r="F1914" i="3"/>
  <c r="F1915" i="3"/>
  <c r="F1916" i="3"/>
  <c r="F1917" i="3"/>
  <c r="F1918" i="3"/>
  <c r="F1919" i="3"/>
  <c r="F1920" i="3"/>
  <c r="F1921" i="3"/>
  <c r="F1922" i="3"/>
  <c r="F1923" i="3"/>
  <c r="F1924" i="3"/>
  <c r="F1925" i="3"/>
  <c r="F1926" i="3"/>
  <c r="F1927" i="3"/>
  <c r="F1928" i="3"/>
  <c r="F1929" i="3"/>
  <c r="F1930" i="3"/>
  <c r="F1931" i="3"/>
  <c r="F1932" i="3"/>
  <c r="F1933" i="3"/>
  <c r="F1934" i="3"/>
  <c r="F1935" i="3"/>
  <c r="F1936" i="3"/>
  <c r="F1937" i="3"/>
  <c r="F1938" i="3"/>
  <c r="F1939" i="3"/>
  <c r="F1940" i="3"/>
  <c r="F1941" i="3"/>
  <c r="F1942" i="3"/>
  <c r="F1943" i="3"/>
  <c r="F1944" i="3"/>
  <c r="F1945" i="3"/>
  <c r="F1946" i="3"/>
  <c r="F1947" i="3"/>
  <c r="F1948" i="3"/>
  <c r="F1949" i="3"/>
  <c r="F1950" i="3"/>
  <c r="F1951" i="3"/>
  <c r="F1952" i="3"/>
  <c r="F1953" i="3"/>
  <c r="F1954" i="3"/>
  <c r="F1955" i="3"/>
  <c r="F1956" i="3"/>
  <c r="F1957" i="3"/>
  <c r="F1958" i="3"/>
  <c r="F1959" i="3"/>
  <c r="F1960" i="3"/>
  <c r="F1961" i="3"/>
  <c r="F1962" i="3"/>
  <c r="F1963" i="3"/>
  <c r="F1964" i="3"/>
  <c r="F1965" i="3"/>
  <c r="F1966" i="3"/>
  <c r="F1967" i="3"/>
  <c r="F1968" i="3"/>
  <c r="F1969" i="3"/>
  <c r="F1970" i="3"/>
  <c r="F1971" i="3"/>
  <c r="F1972" i="3"/>
  <c r="F1973" i="3"/>
  <c r="F1974" i="3"/>
  <c r="F1975" i="3"/>
  <c r="F1976" i="3"/>
  <c r="F1977" i="3"/>
  <c r="F1978" i="3"/>
  <c r="F1979" i="3"/>
  <c r="F1980" i="3"/>
  <c r="F1981" i="3"/>
  <c r="F1982" i="3"/>
  <c r="F1983" i="3"/>
  <c r="F1984" i="3"/>
  <c r="F1985" i="3"/>
  <c r="F1986" i="3"/>
  <c r="F1987" i="3"/>
  <c r="F1988" i="3"/>
  <c r="F1989" i="3"/>
  <c r="F1990" i="3"/>
  <c r="F1991" i="3"/>
  <c r="F1992" i="3"/>
  <c r="F1993" i="3"/>
  <c r="F1994" i="3"/>
  <c r="F1995" i="3"/>
  <c r="F1996" i="3"/>
  <c r="F1997" i="3"/>
  <c r="F1998" i="3"/>
  <c r="F1999" i="3"/>
  <c r="F2000" i="3"/>
  <c r="F2001" i="3"/>
  <c r="F2002" i="3"/>
  <c r="F2003" i="3"/>
  <c r="F2004" i="3"/>
  <c r="F2005" i="3"/>
  <c r="F2006" i="3"/>
  <c r="F2007" i="3"/>
  <c r="F2008" i="3"/>
  <c r="F2009" i="3"/>
  <c r="F2010" i="3"/>
  <c r="F2011" i="3"/>
  <c r="F2012" i="3"/>
  <c r="F2013" i="3"/>
  <c r="F2014" i="3"/>
  <c r="F2015" i="3"/>
  <c r="F2016" i="3"/>
  <c r="F2017" i="3"/>
  <c r="F2018" i="3"/>
  <c r="F2019" i="3"/>
  <c r="F2020" i="3"/>
  <c r="F2021" i="3"/>
  <c r="F2022" i="3"/>
  <c r="F2023" i="3"/>
  <c r="F2024" i="3"/>
  <c r="F2025" i="3"/>
  <c r="F2026" i="3"/>
  <c r="F2027" i="3"/>
  <c r="F2028" i="3"/>
  <c r="F2029" i="3"/>
  <c r="F2030" i="3"/>
  <c r="F2031" i="3"/>
  <c r="F2032" i="3"/>
  <c r="F2033" i="3"/>
  <c r="F2034" i="3"/>
  <c r="F2035" i="3"/>
  <c r="F2036" i="3"/>
  <c r="F2037" i="3"/>
  <c r="F2038" i="3"/>
  <c r="F2039" i="3"/>
  <c r="F2040" i="3"/>
  <c r="F2041" i="3"/>
  <c r="F2042" i="3"/>
  <c r="F2043" i="3"/>
  <c r="F2044" i="3"/>
  <c r="F2045" i="3"/>
  <c r="F2046" i="3"/>
  <c r="F2047" i="3"/>
  <c r="F2048" i="3"/>
  <c r="F2049" i="3"/>
  <c r="F2050" i="3"/>
  <c r="F2051" i="3"/>
  <c r="F2052" i="3"/>
  <c r="F2053" i="3"/>
  <c r="F2054" i="3"/>
  <c r="F2055" i="3"/>
  <c r="F2056" i="3"/>
  <c r="F2057" i="3"/>
  <c r="F2058" i="3"/>
  <c r="F2059" i="3"/>
  <c r="F2060" i="3"/>
  <c r="F2061" i="3"/>
  <c r="F2062" i="3"/>
  <c r="F2063" i="3"/>
  <c r="F2064" i="3"/>
  <c r="F2065" i="3"/>
  <c r="F2066" i="3"/>
  <c r="F2067" i="3"/>
  <c r="F2068" i="3"/>
  <c r="F2069" i="3"/>
  <c r="F2070" i="3"/>
  <c r="F2071" i="3"/>
  <c r="F2072" i="3"/>
  <c r="F2073" i="3"/>
  <c r="F2074" i="3"/>
  <c r="F2075" i="3"/>
  <c r="F2076" i="3"/>
  <c r="F2077" i="3"/>
  <c r="F2078" i="3"/>
  <c r="F2079" i="3"/>
  <c r="F2080" i="3"/>
  <c r="F2081" i="3"/>
  <c r="F2082" i="3"/>
  <c r="F2083" i="3"/>
  <c r="F2084" i="3"/>
  <c r="F2085" i="3"/>
  <c r="F2086" i="3"/>
  <c r="F2087" i="3"/>
  <c r="F2088" i="3"/>
  <c r="F2089" i="3"/>
  <c r="F2090" i="3"/>
  <c r="F2091" i="3"/>
  <c r="F2092" i="3"/>
  <c r="F2093" i="3"/>
  <c r="F2094" i="3"/>
  <c r="F2095" i="3"/>
  <c r="F2096" i="3"/>
  <c r="F2097" i="3"/>
  <c r="F2098" i="3"/>
  <c r="F2099" i="3"/>
  <c r="F2100" i="3"/>
  <c r="F2101" i="3"/>
  <c r="F2102" i="3"/>
  <c r="F2103" i="3"/>
  <c r="F2104" i="3"/>
  <c r="F2105" i="3"/>
  <c r="F2106" i="3"/>
  <c r="F2107" i="3"/>
  <c r="F2108" i="3"/>
  <c r="F2109" i="3"/>
  <c r="F2110" i="3"/>
  <c r="F2111" i="3"/>
  <c r="F2112" i="3"/>
  <c r="F2113" i="3"/>
  <c r="F2114" i="3"/>
  <c r="F2115" i="3"/>
  <c r="F2116" i="3"/>
  <c r="F2117" i="3"/>
  <c r="F2118" i="3"/>
  <c r="F2119" i="3"/>
  <c r="F2120" i="3"/>
  <c r="F2121" i="3"/>
  <c r="F2122" i="3"/>
  <c r="F2123" i="3"/>
  <c r="F2124" i="3"/>
  <c r="F2125" i="3"/>
  <c r="F2126" i="3"/>
  <c r="F2127" i="3"/>
  <c r="F2128" i="3"/>
  <c r="F2129" i="3"/>
  <c r="F2130" i="3"/>
  <c r="F2131" i="3"/>
  <c r="F2132" i="3"/>
  <c r="F2133" i="3"/>
  <c r="F2134" i="3"/>
  <c r="F2135" i="3"/>
  <c r="F2136" i="3"/>
  <c r="F2137" i="3"/>
  <c r="F2138" i="3"/>
  <c r="F2139" i="3"/>
  <c r="F2140" i="3"/>
  <c r="F2141" i="3"/>
  <c r="F2142" i="3"/>
  <c r="F2143" i="3"/>
  <c r="F2144" i="3"/>
  <c r="F2145" i="3"/>
  <c r="F2146" i="3"/>
  <c r="F2147" i="3"/>
  <c r="F2148" i="3"/>
  <c r="F2149" i="3"/>
  <c r="F2150" i="3"/>
  <c r="F2151" i="3"/>
  <c r="F2152" i="3"/>
  <c r="F2153" i="3"/>
  <c r="F2154" i="3"/>
  <c r="F2155" i="3"/>
  <c r="F2156" i="3"/>
  <c r="F2157" i="3"/>
  <c r="F2158" i="3"/>
  <c r="F2159" i="3"/>
  <c r="F2160" i="3"/>
  <c r="F2161" i="3"/>
  <c r="F2162" i="3"/>
  <c r="F2163" i="3"/>
  <c r="F2164" i="3"/>
  <c r="F2165" i="3"/>
  <c r="F2166" i="3"/>
  <c r="F2167" i="3"/>
  <c r="F2168" i="3"/>
  <c r="F2169" i="3"/>
  <c r="F2170" i="3"/>
  <c r="F2171" i="3"/>
  <c r="F2172" i="3"/>
  <c r="F2173" i="3"/>
  <c r="F2174" i="3"/>
  <c r="F2175" i="3"/>
  <c r="F2176" i="3"/>
  <c r="F2177" i="3"/>
  <c r="F2178" i="3"/>
  <c r="F2179" i="3"/>
  <c r="F2180" i="3"/>
  <c r="F2181" i="3"/>
  <c r="F2182" i="3"/>
  <c r="F2183" i="3"/>
  <c r="F2184" i="3"/>
  <c r="F2185" i="3"/>
  <c r="F2186" i="3"/>
  <c r="F2187" i="3"/>
  <c r="F2188" i="3"/>
  <c r="F2189" i="3"/>
  <c r="F2190" i="3"/>
  <c r="F2191" i="3"/>
  <c r="F2192" i="3"/>
  <c r="F2193" i="3"/>
  <c r="F2194" i="3"/>
  <c r="F2195" i="3"/>
  <c r="F2196" i="3"/>
  <c r="F2197" i="3"/>
  <c r="F2198" i="3"/>
  <c r="F2199" i="3"/>
  <c r="F2200" i="3"/>
  <c r="F2201" i="3"/>
  <c r="F2202" i="3"/>
  <c r="F2203" i="3"/>
  <c r="F2204" i="3"/>
  <c r="F2205" i="3"/>
  <c r="F2206" i="3"/>
  <c r="F2207" i="3"/>
  <c r="F2208" i="3"/>
  <c r="F2209" i="3"/>
  <c r="F2210" i="3"/>
  <c r="F2211" i="3"/>
  <c r="F2212" i="3"/>
  <c r="F2213" i="3"/>
  <c r="F2214" i="3"/>
  <c r="F2215" i="3"/>
  <c r="F2216" i="3"/>
  <c r="F2217" i="3"/>
  <c r="F2218" i="3"/>
  <c r="F2219" i="3"/>
  <c r="F2220" i="3"/>
  <c r="F2221" i="3"/>
  <c r="F2222" i="3"/>
  <c r="F2223" i="3"/>
  <c r="F2224" i="3"/>
  <c r="F2225" i="3"/>
  <c r="F2226" i="3"/>
  <c r="F2227" i="3"/>
  <c r="F2228" i="3"/>
  <c r="F2229" i="3"/>
  <c r="F2230" i="3"/>
  <c r="F2231" i="3"/>
  <c r="F2232" i="3"/>
  <c r="F2233" i="3"/>
  <c r="F2234" i="3"/>
  <c r="F2235" i="3"/>
  <c r="F2236" i="3"/>
  <c r="F2237" i="3"/>
  <c r="F2238" i="3"/>
  <c r="F2239" i="3"/>
  <c r="F2240" i="3"/>
  <c r="F2241" i="3"/>
  <c r="F2242" i="3"/>
  <c r="F2243" i="3"/>
  <c r="F2244" i="3"/>
  <c r="F2245" i="3"/>
  <c r="F2246" i="3"/>
  <c r="F2247" i="3"/>
  <c r="F2248" i="3"/>
  <c r="F2249" i="3"/>
  <c r="F2250" i="3"/>
  <c r="F2251" i="3"/>
  <c r="F2252" i="3"/>
  <c r="F2253" i="3"/>
  <c r="F2254" i="3"/>
  <c r="F2255" i="3"/>
  <c r="F2256" i="3"/>
  <c r="F2257" i="3"/>
  <c r="F2258" i="3"/>
  <c r="F2259" i="3"/>
  <c r="F2260" i="3"/>
  <c r="F2261" i="3"/>
  <c r="F2262" i="3"/>
  <c r="F2263" i="3"/>
  <c r="F2264" i="3"/>
  <c r="F2265" i="3"/>
  <c r="F2266" i="3"/>
  <c r="F2267" i="3"/>
  <c r="F2268" i="3"/>
  <c r="F2269" i="3"/>
  <c r="F2270" i="3"/>
  <c r="F2271" i="3"/>
  <c r="F2272" i="3"/>
  <c r="F2273" i="3"/>
  <c r="F2274" i="3"/>
  <c r="F2275" i="3"/>
  <c r="F2276" i="3"/>
  <c r="F2277" i="3"/>
  <c r="F2278" i="3"/>
  <c r="F2279" i="3"/>
  <c r="F2280" i="3"/>
  <c r="F2281" i="3"/>
  <c r="F2282" i="3"/>
  <c r="F2283" i="3"/>
  <c r="F2284" i="3"/>
  <c r="F2285" i="3"/>
  <c r="F2286" i="3"/>
  <c r="F2287" i="3"/>
  <c r="F2288" i="3"/>
  <c r="F2289" i="3"/>
  <c r="F2290" i="3"/>
  <c r="F2291" i="3"/>
  <c r="F2292" i="3"/>
  <c r="F2293" i="3"/>
  <c r="F2294" i="3"/>
  <c r="F2295" i="3"/>
  <c r="F2296" i="3"/>
  <c r="F2297" i="3"/>
  <c r="F2298" i="3"/>
  <c r="F2299" i="3"/>
  <c r="F2300" i="3"/>
  <c r="F2301" i="3"/>
  <c r="F2302" i="3"/>
  <c r="F2303" i="3"/>
  <c r="F2304" i="3"/>
  <c r="F2305" i="3"/>
  <c r="F2306" i="3"/>
  <c r="F2307" i="3"/>
  <c r="F2308" i="3"/>
  <c r="F2309" i="3"/>
  <c r="F2310" i="3"/>
  <c r="F2311" i="3"/>
  <c r="F2312" i="3"/>
  <c r="F2313" i="3"/>
  <c r="F2314" i="3"/>
  <c r="F2315" i="3"/>
  <c r="F2316" i="3"/>
  <c r="F2317" i="3"/>
  <c r="F2318" i="3"/>
  <c r="F2319" i="3"/>
  <c r="F2320" i="3"/>
  <c r="F2321" i="3"/>
  <c r="F2322" i="3"/>
  <c r="F2323" i="3"/>
  <c r="F2324" i="3"/>
  <c r="F2325" i="3"/>
  <c r="F2326" i="3"/>
  <c r="F2327" i="3"/>
  <c r="F2328" i="3"/>
  <c r="F2329" i="3"/>
  <c r="F2330" i="3"/>
  <c r="F2331" i="3"/>
  <c r="F2332" i="3"/>
  <c r="F2333" i="3"/>
  <c r="F2334" i="3"/>
  <c r="F2335" i="3"/>
  <c r="F2336" i="3"/>
  <c r="F2337" i="3"/>
  <c r="F2338" i="3"/>
  <c r="F2339" i="3"/>
  <c r="F2340" i="3"/>
  <c r="F2341" i="3"/>
  <c r="F2342" i="3"/>
  <c r="F2343" i="3"/>
  <c r="F2344" i="3"/>
  <c r="F2345" i="3"/>
  <c r="F2346" i="3"/>
  <c r="F2347" i="3"/>
  <c r="F2348" i="3"/>
  <c r="F2349" i="3"/>
  <c r="F2350" i="3"/>
  <c r="F2351" i="3"/>
  <c r="F2352" i="3"/>
  <c r="F2353" i="3"/>
  <c r="F2354" i="3"/>
  <c r="F2355" i="3"/>
  <c r="F2356" i="3"/>
  <c r="F2357" i="3"/>
  <c r="F2358" i="3"/>
  <c r="F2359" i="3"/>
  <c r="F2360" i="3"/>
  <c r="F2361" i="3"/>
  <c r="F2362" i="3"/>
  <c r="F2363" i="3"/>
  <c r="F2364" i="3"/>
  <c r="F2365" i="3"/>
  <c r="F2366" i="3"/>
  <c r="F2367" i="3"/>
  <c r="F2368" i="3"/>
  <c r="F2369" i="3"/>
  <c r="F2370" i="3"/>
  <c r="F2371" i="3"/>
  <c r="F2372" i="3"/>
  <c r="F2373" i="3"/>
  <c r="F2374" i="3"/>
  <c r="F2375" i="3"/>
  <c r="F2376" i="3"/>
  <c r="F2377" i="3"/>
  <c r="F2378" i="3"/>
  <c r="F2379" i="3"/>
  <c r="F2380" i="3"/>
  <c r="F2381" i="3"/>
  <c r="F2382" i="3"/>
  <c r="F2383" i="3"/>
  <c r="F2384" i="3"/>
  <c r="F2385" i="3"/>
  <c r="F2386" i="3"/>
  <c r="F2387" i="3"/>
  <c r="F2388" i="3"/>
  <c r="F2389" i="3"/>
  <c r="F2390" i="3"/>
  <c r="F2391" i="3"/>
  <c r="F2392" i="3"/>
  <c r="F2393" i="3"/>
  <c r="F2394" i="3"/>
  <c r="F2395" i="3"/>
  <c r="F2396" i="3"/>
  <c r="F2397" i="3"/>
  <c r="F2398" i="3"/>
  <c r="F2399" i="3"/>
  <c r="F2400" i="3"/>
  <c r="F2401" i="3"/>
  <c r="F2402" i="3"/>
  <c r="F2403" i="3"/>
  <c r="F2404" i="3"/>
  <c r="F2405" i="3"/>
  <c r="F2406" i="3"/>
  <c r="F2407" i="3"/>
  <c r="F2408" i="3"/>
  <c r="F2409" i="3"/>
  <c r="F2410" i="3"/>
  <c r="F2411" i="3"/>
  <c r="F2412" i="3"/>
  <c r="F2413" i="3"/>
  <c r="F2414" i="3"/>
  <c r="F2415" i="3"/>
  <c r="F2416" i="3"/>
  <c r="F2417" i="3"/>
  <c r="F2418" i="3"/>
  <c r="F2419" i="3"/>
  <c r="F2420" i="3"/>
  <c r="F2421" i="3"/>
  <c r="F2422" i="3"/>
  <c r="F2423" i="3"/>
  <c r="F2424" i="3"/>
  <c r="F2425" i="3"/>
  <c r="F2426" i="3"/>
  <c r="F2427" i="3"/>
  <c r="F2428" i="3"/>
  <c r="F2429" i="3"/>
  <c r="F2430" i="3"/>
  <c r="F2431" i="3"/>
  <c r="F2432" i="3"/>
  <c r="F2433" i="3"/>
  <c r="F2434" i="3"/>
  <c r="F2435" i="3"/>
  <c r="F2436" i="3"/>
  <c r="F2437" i="3"/>
  <c r="F2438" i="3"/>
  <c r="F2439" i="3"/>
  <c r="F2440" i="3"/>
  <c r="F2441" i="3"/>
  <c r="F2442" i="3"/>
  <c r="F2443" i="3"/>
  <c r="F2444" i="3"/>
  <c r="F2445" i="3"/>
  <c r="F2446" i="3"/>
  <c r="F2447" i="3"/>
  <c r="F2448" i="3"/>
  <c r="F2449" i="3"/>
  <c r="F2450" i="3"/>
  <c r="F2451" i="3"/>
  <c r="F2452" i="3"/>
  <c r="F2453" i="3"/>
  <c r="F2454" i="3"/>
  <c r="F2455" i="3"/>
  <c r="F2456" i="3"/>
  <c r="F2457" i="3"/>
  <c r="F2458" i="3"/>
  <c r="F2459" i="3"/>
  <c r="F2460" i="3"/>
  <c r="F2461" i="3"/>
  <c r="F2462" i="3"/>
  <c r="F2463" i="3"/>
  <c r="F2464" i="3"/>
  <c r="F2465" i="3"/>
  <c r="F2466" i="3"/>
  <c r="F2467" i="3"/>
  <c r="F2468" i="3"/>
  <c r="F2469" i="3"/>
  <c r="F2470" i="3"/>
  <c r="F2471" i="3"/>
  <c r="F2472" i="3"/>
  <c r="F2473" i="3"/>
  <c r="F2474" i="3"/>
  <c r="F2475" i="3"/>
  <c r="F2476" i="3"/>
  <c r="F2477" i="3"/>
  <c r="F2478" i="3"/>
  <c r="F2479" i="3"/>
  <c r="F2480" i="3"/>
  <c r="F2481" i="3"/>
  <c r="F2482" i="3"/>
  <c r="F2483" i="3"/>
  <c r="F2484" i="3"/>
  <c r="F2485" i="3"/>
  <c r="F2486" i="3"/>
  <c r="F2487" i="3"/>
  <c r="F2488" i="3"/>
  <c r="F2489" i="3"/>
  <c r="F2490" i="3"/>
  <c r="F2491" i="3"/>
  <c r="F2492" i="3"/>
  <c r="F2493" i="3"/>
  <c r="F2494" i="3"/>
  <c r="F2495" i="3"/>
  <c r="F2496" i="3"/>
  <c r="F2497" i="3"/>
  <c r="F2498" i="3"/>
  <c r="F2499" i="3"/>
  <c r="F2500" i="3"/>
  <c r="F2501" i="3"/>
  <c r="F2502" i="3"/>
  <c r="F2503" i="3"/>
  <c r="F2504" i="3"/>
  <c r="F2505" i="3"/>
  <c r="F2506" i="3"/>
  <c r="F2507" i="3"/>
  <c r="F2508" i="3"/>
  <c r="F2509" i="3"/>
  <c r="F2510" i="3"/>
  <c r="F2511" i="3"/>
  <c r="F2512" i="3"/>
  <c r="F2513" i="3"/>
  <c r="F2514" i="3"/>
  <c r="F2515" i="3"/>
  <c r="F2516" i="3"/>
  <c r="F2517" i="3"/>
  <c r="F2518" i="3"/>
  <c r="F2519" i="3"/>
  <c r="F2520" i="3"/>
  <c r="F2521" i="3"/>
  <c r="F2522" i="3"/>
  <c r="F2523" i="3"/>
  <c r="F2524" i="3"/>
  <c r="F2525" i="3"/>
  <c r="F2526" i="3"/>
  <c r="F2527" i="3"/>
  <c r="F2528" i="3"/>
  <c r="F2529" i="3"/>
  <c r="F2530" i="3"/>
  <c r="F2531" i="3"/>
  <c r="F2532" i="3"/>
  <c r="F2533" i="3"/>
  <c r="F2534" i="3"/>
  <c r="F2535" i="3"/>
  <c r="F2536" i="3"/>
  <c r="F2537" i="3"/>
  <c r="F2538" i="3"/>
  <c r="F2539" i="3"/>
  <c r="F2540" i="3"/>
  <c r="F2541" i="3"/>
  <c r="F2542" i="3"/>
  <c r="F2543" i="3"/>
  <c r="F2544" i="3"/>
  <c r="F2545" i="3"/>
  <c r="F2546" i="3"/>
  <c r="F2547" i="3"/>
  <c r="F2548" i="3"/>
  <c r="F2549" i="3"/>
  <c r="F2550" i="3"/>
  <c r="F2551" i="3"/>
  <c r="F2552" i="3"/>
  <c r="F2553" i="3"/>
  <c r="F2554" i="3"/>
  <c r="F2555" i="3"/>
  <c r="F2556" i="3"/>
  <c r="F2557" i="3"/>
  <c r="F2558" i="3"/>
  <c r="F2559" i="3"/>
  <c r="F2560" i="3"/>
  <c r="F2561" i="3"/>
  <c r="F2562" i="3"/>
  <c r="F2563" i="3"/>
  <c r="F2564" i="3"/>
  <c r="F2565" i="3"/>
  <c r="F2566" i="3"/>
  <c r="F2567" i="3"/>
  <c r="F2568" i="3"/>
  <c r="F2569" i="3"/>
  <c r="F2570" i="3"/>
  <c r="F2571" i="3"/>
  <c r="F2572" i="3"/>
  <c r="F2573" i="3"/>
  <c r="F2574" i="3"/>
  <c r="F2575" i="3"/>
  <c r="F2576" i="3"/>
  <c r="F2577" i="3"/>
  <c r="F2578" i="3"/>
  <c r="F2579" i="3"/>
  <c r="F2580" i="3"/>
  <c r="F2581" i="3"/>
  <c r="F2582" i="3"/>
  <c r="F2583" i="3"/>
  <c r="F2584" i="3"/>
  <c r="F2585" i="3"/>
  <c r="F2586" i="3"/>
  <c r="F2587" i="3"/>
  <c r="F2588" i="3"/>
  <c r="F2589" i="3"/>
  <c r="F2590" i="3"/>
  <c r="F2591" i="3"/>
  <c r="F2592" i="3"/>
  <c r="F2593" i="3"/>
  <c r="F2594" i="3"/>
  <c r="F2595" i="3"/>
  <c r="F2596" i="3"/>
  <c r="F2597" i="3"/>
  <c r="F2598" i="3"/>
  <c r="F2599" i="3"/>
  <c r="F2600" i="3"/>
  <c r="F2601" i="3"/>
  <c r="F2602" i="3"/>
  <c r="F2603" i="3"/>
  <c r="F2604" i="3"/>
  <c r="F2605" i="3"/>
  <c r="F2606" i="3"/>
  <c r="F2607" i="3"/>
  <c r="F2608" i="3"/>
  <c r="F2609" i="3"/>
  <c r="F2610" i="3"/>
  <c r="F2611" i="3"/>
  <c r="F2612" i="3"/>
  <c r="F2613" i="3"/>
  <c r="F2614" i="3"/>
  <c r="F2615" i="3"/>
  <c r="F2616" i="3"/>
  <c r="F2617" i="3"/>
  <c r="F2618" i="3"/>
  <c r="F2619" i="3"/>
  <c r="F2620" i="3"/>
  <c r="F2621" i="3"/>
  <c r="F2622" i="3"/>
  <c r="F2623" i="3"/>
  <c r="F2624" i="3"/>
  <c r="F2625" i="3"/>
  <c r="F2626" i="3"/>
  <c r="F2627" i="3"/>
  <c r="F2628" i="3"/>
  <c r="F2629" i="3"/>
  <c r="F2630" i="3"/>
  <c r="F2631" i="3"/>
  <c r="F2632" i="3"/>
  <c r="F2633" i="3"/>
  <c r="F2634" i="3"/>
  <c r="F2635" i="3"/>
  <c r="F2636" i="3"/>
  <c r="F2637" i="3"/>
  <c r="F2638" i="3"/>
  <c r="F2639" i="3"/>
  <c r="F2640" i="3"/>
  <c r="F2641" i="3"/>
  <c r="F2642" i="3"/>
  <c r="F2643" i="3"/>
  <c r="F2644" i="3"/>
  <c r="F2645" i="3"/>
  <c r="F2646" i="3"/>
  <c r="F2647" i="3"/>
  <c r="F2648" i="3"/>
  <c r="F2649" i="3"/>
  <c r="F2650" i="3"/>
  <c r="F2651" i="3"/>
  <c r="F2652" i="3"/>
  <c r="F2653" i="3"/>
  <c r="F2654" i="3"/>
  <c r="F2655" i="3"/>
  <c r="F2656" i="3"/>
  <c r="F2657" i="3"/>
  <c r="F2658" i="3"/>
  <c r="F2659" i="3"/>
  <c r="F2660" i="3"/>
  <c r="F2661" i="3"/>
  <c r="F2662" i="3"/>
  <c r="F2663" i="3"/>
  <c r="F2664" i="3"/>
  <c r="F2665" i="3"/>
  <c r="F2666" i="3"/>
  <c r="F2667" i="3"/>
  <c r="F2668" i="3"/>
  <c r="F2669" i="3"/>
  <c r="F2670" i="3"/>
  <c r="F2671" i="3"/>
  <c r="F2672" i="3"/>
  <c r="F2673" i="3"/>
  <c r="F2674" i="3"/>
  <c r="F2675" i="3"/>
  <c r="F2676" i="3"/>
  <c r="F2677" i="3"/>
  <c r="F2678" i="3"/>
  <c r="F2679" i="3"/>
  <c r="F2680" i="3"/>
  <c r="F2681" i="3"/>
  <c r="F2682" i="3"/>
  <c r="F2683" i="3"/>
  <c r="F2684" i="3"/>
  <c r="F2685" i="3"/>
  <c r="F2686" i="3"/>
  <c r="F2687" i="3"/>
  <c r="F2688" i="3"/>
  <c r="F2689" i="3"/>
  <c r="F2690" i="3"/>
  <c r="F2691" i="3"/>
  <c r="F2692" i="3"/>
  <c r="F2693" i="3"/>
  <c r="F2694" i="3"/>
  <c r="F2695" i="3"/>
  <c r="F2696" i="3"/>
  <c r="F2697" i="3"/>
  <c r="F2698" i="3"/>
  <c r="F2699" i="3"/>
  <c r="F2700" i="3"/>
  <c r="F2701" i="3"/>
  <c r="F2702" i="3"/>
  <c r="F2703" i="3"/>
  <c r="F2704" i="3"/>
  <c r="F2705" i="3"/>
  <c r="F2706" i="3"/>
  <c r="F2707" i="3"/>
  <c r="F2708" i="3"/>
  <c r="F2709" i="3"/>
  <c r="F2710" i="3"/>
  <c r="F2711" i="3"/>
  <c r="F2712" i="3"/>
  <c r="F2713" i="3"/>
  <c r="F2714" i="3"/>
  <c r="F2715" i="3"/>
  <c r="F2716" i="3"/>
  <c r="F2717" i="3"/>
  <c r="F2718" i="3"/>
  <c r="F2719" i="3"/>
  <c r="F2720" i="3"/>
  <c r="F2721" i="3"/>
  <c r="F2722" i="3"/>
  <c r="F2723" i="3"/>
  <c r="F2724" i="3"/>
  <c r="F2725" i="3"/>
  <c r="F2726" i="3"/>
  <c r="F2727" i="3"/>
  <c r="F2728" i="3"/>
  <c r="F2729" i="3"/>
  <c r="F2730" i="3"/>
  <c r="F2731" i="3"/>
  <c r="F2732" i="3"/>
  <c r="F2733" i="3"/>
  <c r="F2734" i="3"/>
  <c r="F2735" i="3"/>
  <c r="F2736" i="3"/>
  <c r="F2737" i="3"/>
  <c r="F2738" i="3"/>
  <c r="F2739" i="3"/>
  <c r="F2740" i="3"/>
  <c r="F2741" i="3"/>
  <c r="F2742" i="3"/>
  <c r="F2743" i="3"/>
  <c r="F2744" i="3"/>
  <c r="F2745" i="3"/>
  <c r="F2746" i="3"/>
  <c r="F2747" i="3"/>
  <c r="F2748" i="3"/>
  <c r="F2749" i="3"/>
  <c r="F2750" i="3"/>
  <c r="F2751" i="3"/>
  <c r="F2752" i="3"/>
  <c r="F2753" i="3"/>
  <c r="F2754" i="3"/>
  <c r="F2755" i="3"/>
  <c r="F2756" i="3"/>
  <c r="F2757" i="3"/>
  <c r="F2758" i="3"/>
  <c r="F2759" i="3"/>
  <c r="F2760" i="3"/>
  <c r="F2761" i="3"/>
  <c r="F2762" i="3"/>
  <c r="F2763" i="3"/>
  <c r="F2764" i="3"/>
  <c r="F2765" i="3"/>
  <c r="F2766" i="3"/>
  <c r="F2767" i="3"/>
  <c r="F2768" i="3"/>
  <c r="F2769" i="3"/>
  <c r="F2770" i="3"/>
  <c r="F2771" i="3"/>
  <c r="F2772" i="3"/>
  <c r="F2773" i="3"/>
  <c r="F2774" i="3"/>
  <c r="F2775" i="3"/>
  <c r="F2776" i="3"/>
  <c r="F2777" i="3"/>
  <c r="F2778" i="3"/>
  <c r="F2779" i="3"/>
  <c r="F2780" i="3"/>
  <c r="F2781" i="3"/>
  <c r="F2782" i="3"/>
  <c r="F2783" i="3"/>
  <c r="F2784" i="3"/>
  <c r="F2785" i="3"/>
  <c r="F2786" i="3"/>
  <c r="F2787" i="3"/>
  <c r="F2788" i="3"/>
  <c r="F2789" i="3"/>
  <c r="F2790" i="3"/>
  <c r="F2791" i="3"/>
  <c r="F2792" i="3"/>
  <c r="F2793" i="3"/>
  <c r="F2794" i="3"/>
  <c r="F2795" i="3"/>
  <c r="F2796" i="3"/>
  <c r="F2797" i="3"/>
  <c r="F2798" i="3"/>
  <c r="F2799" i="3"/>
  <c r="F2800" i="3"/>
  <c r="F2801" i="3"/>
  <c r="F2802" i="3"/>
  <c r="F2803" i="3"/>
  <c r="F2804" i="3"/>
  <c r="F2805" i="3"/>
  <c r="F2806" i="3"/>
  <c r="F2807" i="3"/>
  <c r="F2808" i="3"/>
  <c r="F2809" i="3"/>
  <c r="F2810" i="3"/>
  <c r="F2811" i="3"/>
  <c r="F2812" i="3"/>
  <c r="F2813" i="3"/>
  <c r="F2814" i="3"/>
  <c r="F2815" i="3"/>
  <c r="F2816" i="3"/>
  <c r="F2817" i="3"/>
  <c r="F2818" i="3"/>
  <c r="F2819" i="3"/>
  <c r="F2820" i="3"/>
  <c r="F2821" i="3"/>
  <c r="F2822" i="3"/>
  <c r="F2823" i="3"/>
  <c r="F2824" i="3"/>
  <c r="F2825" i="3"/>
  <c r="F2826" i="3"/>
  <c r="F2827" i="3"/>
  <c r="F2828" i="3"/>
  <c r="F2829" i="3"/>
  <c r="F2830" i="3"/>
  <c r="F2831" i="3"/>
  <c r="F2832" i="3"/>
  <c r="F2833" i="3"/>
  <c r="F2834" i="3"/>
  <c r="F2835" i="3"/>
  <c r="F2836" i="3"/>
  <c r="F2837" i="3"/>
  <c r="F2838" i="3"/>
  <c r="F2839" i="3"/>
  <c r="F2840" i="3"/>
  <c r="F2841" i="3"/>
  <c r="F2842" i="3"/>
  <c r="F2843" i="3"/>
  <c r="F2844" i="3"/>
  <c r="F2845" i="3"/>
  <c r="F2846" i="3"/>
  <c r="F2847" i="3"/>
  <c r="F2848" i="3"/>
  <c r="F2849" i="3"/>
  <c r="F2850" i="3"/>
  <c r="F2851" i="3"/>
  <c r="F2852" i="3"/>
  <c r="F2853" i="3"/>
  <c r="F2854" i="3"/>
  <c r="F2855" i="3"/>
  <c r="F2856" i="3"/>
  <c r="F2857" i="3"/>
  <c r="F2858" i="3"/>
  <c r="F2859" i="3"/>
  <c r="F2860" i="3"/>
  <c r="F2861" i="3"/>
  <c r="F2862" i="3"/>
  <c r="F2863" i="3"/>
  <c r="F2864" i="3"/>
  <c r="F2865" i="3"/>
  <c r="F2866" i="3"/>
  <c r="F2867" i="3"/>
  <c r="F2868" i="3"/>
  <c r="F2869" i="3"/>
  <c r="F2870" i="3"/>
  <c r="F2871" i="3"/>
  <c r="F2872" i="3"/>
  <c r="F2873" i="3"/>
  <c r="F2874" i="3"/>
  <c r="F2875" i="3"/>
  <c r="F2876" i="3"/>
  <c r="F2877" i="3"/>
  <c r="F2878" i="3"/>
  <c r="F2879" i="3"/>
  <c r="F2880" i="3"/>
  <c r="F2881" i="3"/>
  <c r="F2882" i="3"/>
  <c r="F2883" i="3"/>
  <c r="F2884" i="3"/>
  <c r="F2" i="3"/>
  <c r="E3" i="3"/>
  <c r="E4" i="3"/>
  <c r="E5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31" i="3"/>
  <c r="E32" i="3"/>
  <c r="E33" i="3"/>
  <c r="E34" i="3"/>
  <c r="E35" i="3"/>
  <c r="E36" i="3"/>
  <c r="E37" i="3"/>
  <c r="E38" i="3"/>
  <c r="E39" i="3"/>
  <c r="E40" i="3"/>
  <c r="E41" i="3"/>
  <c r="E42" i="3"/>
  <c r="E43" i="3"/>
  <c r="E44" i="3"/>
  <c r="E45" i="3"/>
  <c r="E46" i="3"/>
  <c r="E47" i="3"/>
  <c r="E48" i="3"/>
  <c r="E49" i="3"/>
  <c r="E50" i="3"/>
  <c r="E51" i="3"/>
  <c r="E52" i="3"/>
  <c r="E53" i="3"/>
  <c r="E54" i="3"/>
  <c r="E55" i="3"/>
  <c r="E56" i="3"/>
  <c r="E57" i="3"/>
  <c r="E58" i="3"/>
  <c r="E59" i="3"/>
  <c r="E60" i="3"/>
  <c r="E61" i="3"/>
  <c r="E62" i="3"/>
  <c r="E63" i="3"/>
  <c r="E64" i="3"/>
  <c r="E65" i="3"/>
  <c r="E66" i="3"/>
  <c r="E67" i="3"/>
  <c r="E68" i="3"/>
  <c r="E69" i="3"/>
  <c r="E70" i="3"/>
  <c r="E71" i="3"/>
  <c r="E72" i="3"/>
  <c r="E73" i="3"/>
  <c r="E74" i="3"/>
  <c r="E75" i="3"/>
  <c r="E76" i="3"/>
  <c r="E77" i="3"/>
  <c r="E78" i="3"/>
  <c r="E79" i="3"/>
  <c r="E80" i="3"/>
  <c r="E81" i="3"/>
  <c r="E82" i="3"/>
  <c r="E83" i="3"/>
  <c r="E84" i="3"/>
  <c r="E85" i="3"/>
  <c r="E86" i="3"/>
  <c r="E87" i="3"/>
  <c r="E88" i="3"/>
  <c r="E89" i="3"/>
  <c r="E90" i="3"/>
  <c r="E91" i="3"/>
  <c r="E92" i="3"/>
  <c r="E93" i="3"/>
  <c r="E94" i="3"/>
  <c r="E95" i="3"/>
  <c r="E96" i="3"/>
  <c r="E97" i="3"/>
  <c r="E98" i="3"/>
  <c r="E99" i="3"/>
  <c r="E100" i="3"/>
  <c r="E101" i="3"/>
  <c r="E102" i="3"/>
  <c r="E103" i="3"/>
  <c r="E104" i="3"/>
  <c r="E105" i="3"/>
  <c r="E106" i="3"/>
  <c r="E107" i="3"/>
  <c r="E108" i="3"/>
  <c r="E109" i="3"/>
  <c r="E110" i="3"/>
  <c r="E111" i="3"/>
  <c r="E112" i="3"/>
  <c r="E113" i="3"/>
  <c r="E114" i="3"/>
  <c r="E115" i="3"/>
  <c r="E116" i="3"/>
  <c r="E117" i="3"/>
  <c r="E118" i="3"/>
  <c r="E119" i="3"/>
  <c r="E120" i="3"/>
  <c r="E121" i="3"/>
  <c r="E122" i="3"/>
  <c r="E123" i="3"/>
  <c r="E124" i="3"/>
  <c r="E125" i="3"/>
  <c r="E126" i="3"/>
  <c r="E127" i="3"/>
  <c r="E128" i="3"/>
  <c r="E129" i="3"/>
  <c r="E130" i="3"/>
  <c r="E131" i="3"/>
  <c r="E132" i="3"/>
  <c r="E133" i="3"/>
  <c r="E134" i="3"/>
  <c r="E135" i="3"/>
  <c r="E136" i="3"/>
  <c r="E137" i="3"/>
  <c r="E138" i="3"/>
  <c r="E139" i="3"/>
  <c r="E140" i="3"/>
  <c r="E141" i="3"/>
  <c r="E142" i="3"/>
  <c r="E143" i="3"/>
  <c r="E144" i="3"/>
  <c r="E145" i="3"/>
  <c r="E146" i="3"/>
  <c r="E147" i="3"/>
  <c r="E148" i="3"/>
  <c r="E149" i="3"/>
  <c r="E150" i="3"/>
  <c r="E151" i="3"/>
  <c r="E152" i="3"/>
  <c r="E153" i="3"/>
  <c r="E154" i="3"/>
  <c r="E155" i="3"/>
  <c r="E156" i="3"/>
  <c r="E157" i="3"/>
  <c r="E158" i="3"/>
  <c r="E159" i="3"/>
  <c r="E160" i="3"/>
  <c r="E161" i="3"/>
  <c r="E162" i="3"/>
  <c r="E163" i="3"/>
  <c r="E164" i="3"/>
  <c r="E165" i="3"/>
  <c r="E166" i="3"/>
  <c r="E167" i="3"/>
  <c r="E168" i="3"/>
  <c r="E169" i="3"/>
  <c r="E170" i="3"/>
  <c r="E171" i="3"/>
  <c r="E172" i="3"/>
  <c r="E173" i="3"/>
  <c r="E174" i="3"/>
  <c r="E175" i="3"/>
  <c r="E176" i="3"/>
  <c r="E177" i="3"/>
  <c r="E178" i="3"/>
  <c r="E179" i="3"/>
  <c r="E180" i="3"/>
  <c r="E181" i="3"/>
  <c r="E182" i="3"/>
  <c r="E183" i="3"/>
  <c r="E184" i="3"/>
  <c r="E185" i="3"/>
  <c r="E186" i="3"/>
  <c r="E187" i="3"/>
  <c r="E188" i="3"/>
  <c r="E189" i="3"/>
  <c r="E190" i="3"/>
  <c r="E191" i="3"/>
  <c r="E192" i="3"/>
  <c r="E193" i="3"/>
  <c r="E194" i="3"/>
  <c r="E195" i="3"/>
  <c r="E196" i="3"/>
  <c r="E197" i="3"/>
  <c r="E198" i="3"/>
  <c r="E199" i="3"/>
  <c r="E200" i="3"/>
  <c r="E201" i="3"/>
  <c r="E202" i="3"/>
  <c r="E203" i="3"/>
  <c r="E204" i="3"/>
  <c r="E205" i="3"/>
  <c r="E206" i="3"/>
  <c r="E207" i="3"/>
  <c r="E208" i="3"/>
  <c r="E209" i="3"/>
  <c r="E210" i="3"/>
  <c r="E211" i="3"/>
  <c r="E212" i="3"/>
  <c r="E213" i="3"/>
  <c r="E214" i="3"/>
  <c r="E215" i="3"/>
  <c r="E216" i="3"/>
  <c r="E217" i="3"/>
  <c r="E218" i="3"/>
  <c r="E219" i="3"/>
  <c r="E220" i="3"/>
  <c r="E221" i="3"/>
  <c r="E222" i="3"/>
  <c r="E223" i="3"/>
  <c r="E224" i="3"/>
  <c r="E225" i="3"/>
  <c r="E226" i="3"/>
  <c r="E227" i="3"/>
  <c r="E228" i="3"/>
  <c r="E229" i="3"/>
  <c r="E230" i="3"/>
  <c r="E231" i="3"/>
  <c r="E232" i="3"/>
  <c r="E233" i="3"/>
  <c r="E234" i="3"/>
  <c r="E235" i="3"/>
  <c r="E236" i="3"/>
  <c r="E237" i="3"/>
  <c r="E238" i="3"/>
  <c r="E239" i="3"/>
  <c r="E240" i="3"/>
  <c r="E241" i="3"/>
  <c r="E242" i="3"/>
  <c r="E243" i="3"/>
  <c r="E244" i="3"/>
  <c r="E245" i="3"/>
  <c r="E246" i="3"/>
  <c r="E247" i="3"/>
  <c r="E248" i="3"/>
  <c r="E249" i="3"/>
  <c r="E250" i="3"/>
  <c r="E251" i="3"/>
  <c r="E252" i="3"/>
  <c r="E253" i="3"/>
  <c r="E254" i="3"/>
  <c r="E255" i="3"/>
  <c r="E256" i="3"/>
  <c r="E257" i="3"/>
  <c r="E258" i="3"/>
  <c r="E259" i="3"/>
  <c r="E260" i="3"/>
  <c r="E261" i="3"/>
  <c r="E262" i="3"/>
  <c r="E263" i="3"/>
  <c r="E264" i="3"/>
  <c r="E265" i="3"/>
  <c r="E266" i="3"/>
  <c r="E267" i="3"/>
  <c r="E268" i="3"/>
  <c r="E269" i="3"/>
  <c r="E270" i="3"/>
  <c r="E271" i="3"/>
  <c r="E272" i="3"/>
  <c r="E273" i="3"/>
  <c r="E274" i="3"/>
  <c r="E275" i="3"/>
  <c r="E276" i="3"/>
  <c r="E277" i="3"/>
  <c r="E278" i="3"/>
  <c r="E279" i="3"/>
  <c r="E280" i="3"/>
  <c r="E281" i="3"/>
  <c r="E282" i="3"/>
  <c r="E283" i="3"/>
  <c r="E284" i="3"/>
  <c r="E285" i="3"/>
  <c r="E286" i="3"/>
  <c r="E287" i="3"/>
  <c r="E288" i="3"/>
  <c r="E289" i="3"/>
  <c r="E290" i="3"/>
  <c r="E291" i="3"/>
  <c r="E292" i="3"/>
  <c r="E293" i="3"/>
  <c r="E294" i="3"/>
  <c r="E295" i="3"/>
  <c r="E296" i="3"/>
  <c r="E297" i="3"/>
  <c r="E298" i="3"/>
  <c r="E299" i="3"/>
  <c r="E300" i="3"/>
  <c r="E301" i="3"/>
  <c r="E302" i="3"/>
  <c r="E303" i="3"/>
  <c r="E304" i="3"/>
  <c r="E305" i="3"/>
  <c r="E306" i="3"/>
  <c r="E307" i="3"/>
  <c r="E308" i="3"/>
  <c r="E309" i="3"/>
  <c r="E310" i="3"/>
  <c r="E311" i="3"/>
  <c r="E312" i="3"/>
  <c r="E313" i="3"/>
  <c r="E314" i="3"/>
  <c r="E315" i="3"/>
  <c r="E316" i="3"/>
  <c r="E317" i="3"/>
  <c r="E318" i="3"/>
  <c r="E319" i="3"/>
  <c r="E320" i="3"/>
  <c r="E321" i="3"/>
  <c r="E322" i="3"/>
  <c r="E323" i="3"/>
  <c r="E324" i="3"/>
  <c r="E325" i="3"/>
  <c r="E326" i="3"/>
  <c r="E327" i="3"/>
  <c r="E328" i="3"/>
  <c r="E329" i="3"/>
  <c r="E330" i="3"/>
  <c r="E331" i="3"/>
  <c r="E332" i="3"/>
  <c r="E333" i="3"/>
  <c r="E334" i="3"/>
  <c r="E335" i="3"/>
  <c r="E336" i="3"/>
  <c r="E337" i="3"/>
  <c r="E338" i="3"/>
  <c r="E339" i="3"/>
  <c r="E340" i="3"/>
  <c r="E341" i="3"/>
  <c r="E342" i="3"/>
  <c r="E343" i="3"/>
  <c r="E344" i="3"/>
  <c r="E345" i="3"/>
  <c r="E346" i="3"/>
  <c r="E347" i="3"/>
  <c r="E348" i="3"/>
  <c r="E349" i="3"/>
  <c r="E350" i="3"/>
  <c r="E351" i="3"/>
  <c r="E352" i="3"/>
  <c r="E353" i="3"/>
  <c r="E354" i="3"/>
  <c r="E355" i="3"/>
  <c r="E356" i="3"/>
  <c r="E357" i="3"/>
  <c r="E358" i="3"/>
  <c r="E359" i="3"/>
  <c r="E360" i="3"/>
  <c r="E361" i="3"/>
  <c r="E362" i="3"/>
  <c r="E363" i="3"/>
  <c r="E364" i="3"/>
  <c r="E365" i="3"/>
  <c r="E366" i="3"/>
  <c r="E367" i="3"/>
  <c r="E368" i="3"/>
  <c r="E369" i="3"/>
  <c r="E370" i="3"/>
  <c r="E371" i="3"/>
  <c r="E372" i="3"/>
  <c r="E373" i="3"/>
  <c r="E374" i="3"/>
  <c r="E375" i="3"/>
  <c r="E376" i="3"/>
  <c r="E377" i="3"/>
  <c r="E378" i="3"/>
  <c r="E379" i="3"/>
  <c r="E380" i="3"/>
  <c r="E381" i="3"/>
  <c r="E382" i="3"/>
  <c r="E383" i="3"/>
  <c r="E384" i="3"/>
  <c r="E385" i="3"/>
  <c r="E386" i="3"/>
  <c r="E387" i="3"/>
  <c r="E388" i="3"/>
  <c r="E389" i="3"/>
  <c r="E390" i="3"/>
  <c r="E391" i="3"/>
  <c r="E392" i="3"/>
  <c r="E393" i="3"/>
  <c r="E394" i="3"/>
  <c r="E395" i="3"/>
  <c r="E396" i="3"/>
  <c r="E397" i="3"/>
  <c r="E398" i="3"/>
  <c r="E399" i="3"/>
  <c r="E400" i="3"/>
  <c r="E401" i="3"/>
  <c r="E402" i="3"/>
  <c r="E403" i="3"/>
  <c r="E404" i="3"/>
  <c r="E405" i="3"/>
  <c r="E406" i="3"/>
  <c r="E407" i="3"/>
  <c r="E408" i="3"/>
  <c r="E409" i="3"/>
  <c r="E410" i="3"/>
  <c r="E411" i="3"/>
  <c r="E412" i="3"/>
  <c r="E413" i="3"/>
  <c r="E414" i="3"/>
  <c r="E415" i="3"/>
  <c r="E416" i="3"/>
  <c r="E417" i="3"/>
  <c r="E418" i="3"/>
  <c r="E419" i="3"/>
  <c r="E420" i="3"/>
  <c r="E421" i="3"/>
  <c r="E422" i="3"/>
  <c r="E423" i="3"/>
  <c r="E424" i="3"/>
  <c r="E425" i="3"/>
  <c r="E426" i="3"/>
  <c r="E427" i="3"/>
  <c r="E428" i="3"/>
  <c r="E429" i="3"/>
  <c r="E430" i="3"/>
  <c r="E431" i="3"/>
  <c r="E432" i="3"/>
  <c r="E433" i="3"/>
  <c r="E434" i="3"/>
  <c r="E435" i="3"/>
  <c r="E436" i="3"/>
  <c r="E437" i="3"/>
  <c r="E438" i="3"/>
  <c r="E439" i="3"/>
  <c r="E440" i="3"/>
  <c r="E441" i="3"/>
  <c r="E442" i="3"/>
  <c r="E443" i="3"/>
  <c r="E444" i="3"/>
  <c r="E445" i="3"/>
  <c r="E446" i="3"/>
  <c r="E447" i="3"/>
  <c r="E448" i="3"/>
  <c r="E449" i="3"/>
  <c r="E450" i="3"/>
  <c r="E451" i="3"/>
  <c r="E452" i="3"/>
  <c r="E453" i="3"/>
  <c r="E454" i="3"/>
  <c r="E455" i="3"/>
  <c r="E456" i="3"/>
  <c r="E457" i="3"/>
  <c r="E458" i="3"/>
  <c r="E459" i="3"/>
  <c r="E460" i="3"/>
  <c r="E461" i="3"/>
  <c r="E462" i="3"/>
  <c r="E463" i="3"/>
  <c r="E464" i="3"/>
  <c r="E465" i="3"/>
  <c r="E466" i="3"/>
  <c r="E467" i="3"/>
  <c r="E468" i="3"/>
  <c r="E469" i="3"/>
  <c r="E470" i="3"/>
  <c r="E471" i="3"/>
  <c r="E472" i="3"/>
  <c r="E473" i="3"/>
  <c r="E474" i="3"/>
  <c r="E475" i="3"/>
  <c r="E476" i="3"/>
  <c r="E477" i="3"/>
  <c r="E478" i="3"/>
  <c r="E479" i="3"/>
  <c r="E480" i="3"/>
  <c r="E481" i="3"/>
  <c r="E482" i="3"/>
  <c r="E483" i="3"/>
  <c r="E484" i="3"/>
  <c r="E485" i="3"/>
  <c r="E486" i="3"/>
  <c r="E487" i="3"/>
  <c r="E488" i="3"/>
  <c r="E489" i="3"/>
  <c r="E490" i="3"/>
  <c r="E491" i="3"/>
  <c r="E492" i="3"/>
  <c r="E493" i="3"/>
  <c r="E494" i="3"/>
  <c r="E495" i="3"/>
  <c r="E496" i="3"/>
  <c r="E497" i="3"/>
  <c r="E498" i="3"/>
  <c r="E499" i="3"/>
  <c r="E500" i="3"/>
  <c r="E501" i="3"/>
  <c r="E502" i="3"/>
  <c r="E503" i="3"/>
  <c r="E504" i="3"/>
  <c r="E505" i="3"/>
  <c r="E506" i="3"/>
  <c r="E507" i="3"/>
  <c r="E508" i="3"/>
  <c r="E509" i="3"/>
  <c r="E510" i="3"/>
  <c r="E511" i="3"/>
  <c r="E512" i="3"/>
  <c r="E513" i="3"/>
  <c r="E514" i="3"/>
  <c r="E515" i="3"/>
  <c r="E516" i="3"/>
  <c r="E517" i="3"/>
  <c r="E518" i="3"/>
  <c r="E519" i="3"/>
  <c r="E520" i="3"/>
  <c r="E521" i="3"/>
  <c r="E522" i="3"/>
  <c r="E523" i="3"/>
  <c r="E524" i="3"/>
  <c r="E525" i="3"/>
  <c r="E526" i="3"/>
  <c r="E527" i="3"/>
  <c r="E528" i="3"/>
  <c r="E529" i="3"/>
  <c r="E530" i="3"/>
  <c r="E531" i="3"/>
  <c r="E532" i="3"/>
  <c r="E533" i="3"/>
  <c r="E534" i="3"/>
  <c r="E535" i="3"/>
  <c r="E536" i="3"/>
  <c r="E537" i="3"/>
  <c r="E538" i="3"/>
  <c r="E539" i="3"/>
  <c r="E540" i="3"/>
  <c r="E541" i="3"/>
  <c r="E542" i="3"/>
  <c r="E543" i="3"/>
  <c r="E544" i="3"/>
  <c r="E545" i="3"/>
  <c r="E546" i="3"/>
  <c r="E547" i="3"/>
  <c r="E548" i="3"/>
  <c r="E549" i="3"/>
  <c r="E550" i="3"/>
  <c r="E551" i="3"/>
  <c r="E552" i="3"/>
  <c r="E553" i="3"/>
  <c r="E554" i="3"/>
  <c r="E555" i="3"/>
  <c r="E556" i="3"/>
  <c r="E557" i="3"/>
  <c r="E558" i="3"/>
  <c r="E559" i="3"/>
  <c r="E560" i="3"/>
  <c r="E561" i="3"/>
  <c r="E562" i="3"/>
  <c r="E563" i="3"/>
  <c r="E564" i="3"/>
  <c r="E565" i="3"/>
  <c r="E566" i="3"/>
  <c r="E567" i="3"/>
  <c r="E568" i="3"/>
  <c r="E569" i="3"/>
  <c r="E570" i="3"/>
  <c r="E571" i="3"/>
  <c r="E572" i="3"/>
  <c r="E573" i="3"/>
  <c r="E574" i="3"/>
  <c r="E575" i="3"/>
  <c r="E576" i="3"/>
  <c r="E577" i="3"/>
  <c r="E578" i="3"/>
  <c r="E579" i="3"/>
  <c r="E580" i="3"/>
  <c r="E581" i="3"/>
  <c r="E582" i="3"/>
  <c r="E583" i="3"/>
  <c r="E584" i="3"/>
  <c r="E585" i="3"/>
  <c r="E586" i="3"/>
  <c r="E587" i="3"/>
  <c r="E588" i="3"/>
  <c r="E589" i="3"/>
  <c r="E590" i="3"/>
  <c r="E591" i="3"/>
  <c r="E592" i="3"/>
  <c r="E593" i="3"/>
  <c r="E594" i="3"/>
  <c r="E595" i="3"/>
  <c r="E596" i="3"/>
  <c r="E597" i="3"/>
  <c r="E598" i="3"/>
  <c r="E599" i="3"/>
  <c r="E600" i="3"/>
  <c r="E601" i="3"/>
  <c r="E602" i="3"/>
  <c r="E603" i="3"/>
  <c r="E604" i="3"/>
  <c r="E605" i="3"/>
  <c r="E606" i="3"/>
  <c r="E607" i="3"/>
  <c r="E608" i="3"/>
  <c r="E609" i="3"/>
  <c r="E610" i="3"/>
  <c r="E611" i="3"/>
  <c r="E612" i="3"/>
  <c r="E613" i="3"/>
  <c r="E614" i="3"/>
  <c r="E615" i="3"/>
  <c r="E616" i="3"/>
  <c r="E617" i="3"/>
  <c r="E618" i="3"/>
  <c r="E619" i="3"/>
  <c r="E620" i="3"/>
  <c r="E621" i="3"/>
  <c r="E622" i="3"/>
  <c r="E623" i="3"/>
  <c r="E624" i="3"/>
  <c r="E625" i="3"/>
  <c r="E626" i="3"/>
  <c r="E627" i="3"/>
  <c r="E628" i="3"/>
  <c r="E629" i="3"/>
  <c r="E630" i="3"/>
  <c r="E631" i="3"/>
  <c r="E632" i="3"/>
  <c r="E633" i="3"/>
  <c r="E634" i="3"/>
  <c r="E635" i="3"/>
  <c r="E636" i="3"/>
  <c r="E637" i="3"/>
  <c r="E638" i="3"/>
  <c r="E639" i="3"/>
  <c r="E640" i="3"/>
  <c r="E641" i="3"/>
  <c r="E642" i="3"/>
  <c r="E643" i="3"/>
  <c r="E644" i="3"/>
  <c r="E645" i="3"/>
  <c r="E646" i="3"/>
  <c r="E647" i="3"/>
  <c r="E648" i="3"/>
  <c r="E649" i="3"/>
  <c r="E650" i="3"/>
  <c r="E651" i="3"/>
  <c r="E652" i="3"/>
  <c r="E653" i="3"/>
  <c r="E654" i="3"/>
  <c r="E655" i="3"/>
  <c r="E656" i="3"/>
  <c r="E657" i="3"/>
  <c r="E658" i="3"/>
  <c r="E659" i="3"/>
  <c r="E660" i="3"/>
  <c r="E661" i="3"/>
  <c r="E662" i="3"/>
  <c r="E663" i="3"/>
  <c r="E664" i="3"/>
  <c r="E665" i="3"/>
  <c r="E666" i="3"/>
  <c r="E667" i="3"/>
  <c r="E668" i="3"/>
  <c r="E669" i="3"/>
  <c r="E670" i="3"/>
  <c r="E671" i="3"/>
  <c r="E672" i="3"/>
  <c r="E673" i="3"/>
  <c r="E674" i="3"/>
  <c r="E675" i="3"/>
  <c r="E676" i="3"/>
  <c r="E677" i="3"/>
  <c r="E678" i="3"/>
  <c r="E679" i="3"/>
  <c r="E680" i="3"/>
  <c r="E681" i="3"/>
  <c r="E682" i="3"/>
  <c r="E683" i="3"/>
  <c r="E684" i="3"/>
  <c r="E685" i="3"/>
  <c r="E686" i="3"/>
  <c r="E687" i="3"/>
  <c r="E688" i="3"/>
  <c r="E689" i="3"/>
  <c r="E690" i="3"/>
  <c r="E691" i="3"/>
  <c r="E692" i="3"/>
  <c r="E693" i="3"/>
  <c r="E694" i="3"/>
  <c r="E695" i="3"/>
  <c r="E696" i="3"/>
  <c r="E697" i="3"/>
  <c r="E698" i="3"/>
  <c r="E699" i="3"/>
  <c r="E700" i="3"/>
  <c r="E701" i="3"/>
  <c r="E702" i="3"/>
  <c r="E703" i="3"/>
  <c r="E704" i="3"/>
  <c r="E705" i="3"/>
  <c r="E706" i="3"/>
  <c r="E707" i="3"/>
  <c r="E708" i="3"/>
  <c r="E709" i="3"/>
  <c r="E710" i="3"/>
  <c r="E711" i="3"/>
  <c r="E712" i="3"/>
  <c r="E713" i="3"/>
  <c r="E714" i="3"/>
  <c r="E715" i="3"/>
  <c r="E716" i="3"/>
  <c r="E717" i="3"/>
  <c r="E718" i="3"/>
  <c r="E719" i="3"/>
  <c r="E720" i="3"/>
  <c r="E721" i="3"/>
  <c r="E722" i="3"/>
  <c r="E723" i="3"/>
  <c r="E724" i="3"/>
  <c r="E725" i="3"/>
  <c r="E726" i="3"/>
  <c r="E727" i="3"/>
  <c r="E728" i="3"/>
  <c r="E729" i="3"/>
  <c r="E730" i="3"/>
  <c r="E731" i="3"/>
  <c r="E732" i="3"/>
  <c r="E733" i="3"/>
  <c r="E734" i="3"/>
  <c r="E735" i="3"/>
  <c r="E736" i="3"/>
  <c r="E737" i="3"/>
  <c r="E738" i="3"/>
  <c r="E739" i="3"/>
  <c r="E740" i="3"/>
  <c r="E741" i="3"/>
  <c r="E742" i="3"/>
  <c r="E743" i="3"/>
  <c r="E744" i="3"/>
  <c r="E745" i="3"/>
  <c r="E746" i="3"/>
  <c r="E747" i="3"/>
  <c r="E748" i="3"/>
  <c r="E749" i="3"/>
  <c r="E750" i="3"/>
  <c r="E751" i="3"/>
  <c r="E752" i="3"/>
  <c r="E753" i="3"/>
  <c r="E754" i="3"/>
  <c r="E755" i="3"/>
  <c r="E756" i="3"/>
  <c r="E757" i="3"/>
  <c r="E758" i="3"/>
  <c r="E759" i="3"/>
  <c r="E760" i="3"/>
  <c r="E761" i="3"/>
  <c r="E762" i="3"/>
  <c r="E763" i="3"/>
  <c r="E764" i="3"/>
  <c r="E765" i="3"/>
  <c r="E766" i="3"/>
  <c r="E767" i="3"/>
  <c r="E768" i="3"/>
  <c r="E769" i="3"/>
  <c r="E770" i="3"/>
  <c r="E771" i="3"/>
  <c r="E772" i="3"/>
  <c r="E773" i="3"/>
  <c r="E774" i="3"/>
  <c r="E775" i="3"/>
  <c r="E776" i="3"/>
  <c r="E777" i="3"/>
  <c r="E778" i="3"/>
  <c r="E779" i="3"/>
  <c r="E780" i="3"/>
  <c r="E781" i="3"/>
  <c r="E782" i="3"/>
  <c r="E783" i="3"/>
  <c r="E784" i="3"/>
  <c r="E785" i="3"/>
  <c r="E786" i="3"/>
  <c r="E787" i="3"/>
  <c r="E788" i="3"/>
  <c r="E789" i="3"/>
  <c r="E790" i="3"/>
  <c r="E791" i="3"/>
  <c r="E792" i="3"/>
  <c r="E793" i="3"/>
  <c r="E794" i="3"/>
  <c r="E795" i="3"/>
  <c r="E796" i="3"/>
  <c r="E797" i="3"/>
  <c r="E798" i="3"/>
  <c r="E799" i="3"/>
  <c r="E800" i="3"/>
  <c r="E801" i="3"/>
  <c r="E802" i="3"/>
  <c r="E803" i="3"/>
  <c r="E804" i="3"/>
  <c r="E805" i="3"/>
  <c r="E806" i="3"/>
  <c r="E807" i="3"/>
  <c r="E808" i="3"/>
  <c r="E809" i="3"/>
  <c r="E810" i="3"/>
  <c r="E811" i="3"/>
  <c r="E812" i="3"/>
  <c r="E813" i="3"/>
  <c r="E814" i="3"/>
  <c r="E815" i="3"/>
  <c r="E816" i="3"/>
  <c r="E817" i="3"/>
  <c r="E818" i="3"/>
  <c r="E819" i="3"/>
  <c r="E820" i="3"/>
  <c r="E821" i="3"/>
  <c r="E822" i="3"/>
  <c r="E823" i="3"/>
  <c r="E824" i="3"/>
  <c r="E825" i="3"/>
  <c r="E826" i="3"/>
  <c r="E827" i="3"/>
  <c r="E828" i="3"/>
  <c r="E829" i="3"/>
  <c r="E830" i="3"/>
  <c r="E831" i="3"/>
  <c r="E832" i="3"/>
  <c r="E833" i="3"/>
  <c r="E834" i="3"/>
  <c r="E835" i="3"/>
  <c r="E836" i="3"/>
  <c r="E837" i="3"/>
  <c r="E838" i="3"/>
  <c r="E839" i="3"/>
  <c r="E840" i="3"/>
  <c r="E841" i="3"/>
  <c r="E842" i="3"/>
  <c r="E843" i="3"/>
  <c r="E844" i="3"/>
  <c r="E845" i="3"/>
  <c r="E846" i="3"/>
  <c r="E847" i="3"/>
  <c r="E848" i="3"/>
  <c r="E849" i="3"/>
  <c r="E850" i="3"/>
  <c r="E851" i="3"/>
  <c r="E852" i="3"/>
  <c r="E853" i="3"/>
  <c r="E854" i="3"/>
  <c r="E855" i="3"/>
  <c r="E856" i="3"/>
  <c r="E857" i="3"/>
  <c r="E858" i="3"/>
  <c r="E859" i="3"/>
  <c r="E860" i="3"/>
  <c r="E861" i="3"/>
  <c r="E862" i="3"/>
  <c r="E863" i="3"/>
  <c r="E864" i="3"/>
  <c r="E865" i="3"/>
  <c r="E866" i="3"/>
  <c r="E867" i="3"/>
  <c r="E868" i="3"/>
  <c r="E869" i="3"/>
  <c r="E870" i="3"/>
  <c r="E871" i="3"/>
  <c r="E872" i="3"/>
  <c r="E873" i="3"/>
  <c r="E874" i="3"/>
  <c r="E875" i="3"/>
  <c r="E876" i="3"/>
  <c r="E877" i="3"/>
  <c r="E878" i="3"/>
  <c r="E879" i="3"/>
  <c r="E880" i="3"/>
  <c r="E881" i="3"/>
  <c r="E882" i="3"/>
  <c r="E883" i="3"/>
  <c r="E884" i="3"/>
  <c r="E885" i="3"/>
  <c r="E886" i="3"/>
  <c r="E887" i="3"/>
  <c r="E888" i="3"/>
  <c r="E889" i="3"/>
  <c r="E890" i="3"/>
  <c r="E891" i="3"/>
  <c r="E892" i="3"/>
  <c r="E893" i="3"/>
  <c r="E894" i="3"/>
  <c r="E895" i="3"/>
  <c r="E896" i="3"/>
  <c r="E897" i="3"/>
  <c r="E898" i="3"/>
  <c r="E899" i="3"/>
  <c r="E900" i="3"/>
  <c r="E901" i="3"/>
  <c r="E902" i="3"/>
  <c r="E903" i="3"/>
  <c r="E904" i="3"/>
  <c r="E905" i="3"/>
  <c r="E906" i="3"/>
  <c r="E907" i="3"/>
  <c r="E908" i="3"/>
  <c r="E909" i="3"/>
  <c r="E910" i="3"/>
  <c r="E911" i="3"/>
  <c r="E912" i="3"/>
  <c r="E913" i="3"/>
  <c r="E914" i="3"/>
  <c r="E915" i="3"/>
  <c r="E916" i="3"/>
  <c r="E917" i="3"/>
  <c r="E918" i="3"/>
  <c r="E919" i="3"/>
  <c r="E920" i="3"/>
  <c r="E921" i="3"/>
  <c r="E922" i="3"/>
  <c r="E923" i="3"/>
  <c r="E924" i="3"/>
  <c r="E925" i="3"/>
  <c r="E926" i="3"/>
  <c r="E927" i="3"/>
  <c r="E928" i="3"/>
  <c r="E929" i="3"/>
  <c r="E930" i="3"/>
  <c r="E931" i="3"/>
  <c r="E932" i="3"/>
  <c r="E933" i="3"/>
  <c r="E934" i="3"/>
  <c r="E935" i="3"/>
  <c r="E936" i="3"/>
  <c r="E937" i="3"/>
  <c r="E938" i="3"/>
  <c r="E939" i="3"/>
  <c r="E940" i="3"/>
  <c r="E941" i="3"/>
  <c r="E942" i="3"/>
  <c r="E943" i="3"/>
  <c r="E944" i="3"/>
  <c r="E945" i="3"/>
  <c r="E946" i="3"/>
  <c r="E947" i="3"/>
  <c r="E948" i="3"/>
  <c r="E949" i="3"/>
  <c r="E950" i="3"/>
  <c r="E951" i="3"/>
  <c r="E952" i="3"/>
  <c r="E953" i="3"/>
  <c r="E954" i="3"/>
  <c r="E955" i="3"/>
  <c r="E956" i="3"/>
  <c r="E957" i="3"/>
  <c r="E958" i="3"/>
  <c r="E959" i="3"/>
  <c r="E960" i="3"/>
  <c r="E961" i="3"/>
  <c r="E962" i="3"/>
  <c r="E963" i="3"/>
  <c r="E964" i="3"/>
  <c r="E965" i="3"/>
  <c r="E966" i="3"/>
  <c r="E967" i="3"/>
  <c r="E968" i="3"/>
  <c r="E969" i="3"/>
  <c r="E970" i="3"/>
  <c r="E971" i="3"/>
  <c r="E972" i="3"/>
  <c r="E973" i="3"/>
  <c r="E974" i="3"/>
  <c r="E975" i="3"/>
  <c r="E976" i="3"/>
  <c r="E977" i="3"/>
  <c r="E978" i="3"/>
  <c r="E979" i="3"/>
  <c r="E980" i="3"/>
  <c r="E981" i="3"/>
  <c r="E982" i="3"/>
  <c r="E983" i="3"/>
  <c r="E984" i="3"/>
  <c r="E985" i="3"/>
  <c r="E986" i="3"/>
  <c r="E987" i="3"/>
  <c r="E988" i="3"/>
  <c r="E989" i="3"/>
  <c r="E990" i="3"/>
  <c r="E991" i="3"/>
  <c r="E992" i="3"/>
  <c r="E993" i="3"/>
  <c r="E994" i="3"/>
  <c r="E995" i="3"/>
  <c r="E996" i="3"/>
  <c r="E997" i="3"/>
  <c r="E998" i="3"/>
  <c r="E999" i="3"/>
  <c r="E1000" i="3"/>
  <c r="E1001" i="3"/>
  <c r="E1002" i="3"/>
  <c r="E1003" i="3"/>
  <c r="E1004" i="3"/>
  <c r="E1005" i="3"/>
  <c r="E1006" i="3"/>
  <c r="E1007" i="3"/>
  <c r="E1008" i="3"/>
  <c r="E1009" i="3"/>
  <c r="E1010" i="3"/>
  <c r="E1011" i="3"/>
  <c r="E1012" i="3"/>
  <c r="E1013" i="3"/>
  <c r="E1014" i="3"/>
  <c r="E1015" i="3"/>
  <c r="E1016" i="3"/>
  <c r="E1017" i="3"/>
  <c r="E1018" i="3"/>
  <c r="E1019" i="3"/>
  <c r="E1020" i="3"/>
  <c r="E1021" i="3"/>
  <c r="E1022" i="3"/>
  <c r="E1023" i="3"/>
  <c r="E1024" i="3"/>
  <c r="E1025" i="3"/>
  <c r="E1026" i="3"/>
  <c r="E1027" i="3"/>
  <c r="E1028" i="3"/>
  <c r="E1029" i="3"/>
  <c r="E1030" i="3"/>
  <c r="E1031" i="3"/>
  <c r="E1032" i="3"/>
  <c r="E1033" i="3"/>
  <c r="E1034" i="3"/>
  <c r="E1035" i="3"/>
  <c r="E1036" i="3"/>
  <c r="E1037" i="3"/>
  <c r="E1038" i="3"/>
  <c r="E1039" i="3"/>
  <c r="E1040" i="3"/>
  <c r="E1041" i="3"/>
  <c r="E1042" i="3"/>
  <c r="E1043" i="3"/>
  <c r="E1044" i="3"/>
  <c r="E1045" i="3"/>
  <c r="E1046" i="3"/>
  <c r="E1047" i="3"/>
  <c r="E1048" i="3"/>
  <c r="E1049" i="3"/>
  <c r="E1050" i="3"/>
  <c r="E1051" i="3"/>
  <c r="E1052" i="3"/>
  <c r="E1053" i="3"/>
  <c r="E1054" i="3"/>
  <c r="E1055" i="3"/>
  <c r="E1056" i="3"/>
  <c r="E1057" i="3"/>
  <c r="E1058" i="3"/>
  <c r="E1059" i="3"/>
  <c r="E1060" i="3"/>
  <c r="E1061" i="3"/>
  <c r="E1062" i="3"/>
  <c r="E1063" i="3"/>
  <c r="E1064" i="3"/>
  <c r="E1065" i="3"/>
  <c r="E1066" i="3"/>
  <c r="E1067" i="3"/>
  <c r="E1068" i="3"/>
  <c r="E1069" i="3"/>
  <c r="E1070" i="3"/>
  <c r="E1071" i="3"/>
  <c r="E1072" i="3"/>
  <c r="E1073" i="3"/>
  <c r="E1074" i="3"/>
  <c r="E1075" i="3"/>
  <c r="E1076" i="3"/>
  <c r="E1077" i="3"/>
  <c r="E1078" i="3"/>
  <c r="E1079" i="3"/>
  <c r="E1080" i="3"/>
  <c r="E1081" i="3"/>
  <c r="E1082" i="3"/>
  <c r="E1083" i="3"/>
  <c r="E1084" i="3"/>
  <c r="E1085" i="3"/>
  <c r="E1086" i="3"/>
  <c r="E1087" i="3"/>
  <c r="E1088" i="3"/>
  <c r="E1089" i="3"/>
  <c r="E1090" i="3"/>
  <c r="E1091" i="3"/>
  <c r="E1092" i="3"/>
  <c r="E1093" i="3"/>
  <c r="E1094" i="3"/>
  <c r="E1095" i="3"/>
  <c r="E1096" i="3"/>
  <c r="E1097" i="3"/>
  <c r="E1098" i="3"/>
  <c r="E1099" i="3"/>
  <c r="E1100" i="3"/>
  <c r="E1101" i="3"/>
  <c r="E1102" i="3"/>
  <c r="E1103" i="3"/>
  <c r="E1104" i="3"/>
  <c r="E1105" i="3"/>
  <c r="E1106" i="3"/>
  <c r="E1107" i="3"/>
  <c r="E1108" i="3"/>
  <c r="E1109" i="3"/>
  <c r="E1110" i="3"/>
  <c r="E1111" i="3"/>
  <c r="E1112" i="3"/>
  <c r="E1113" i="3"/>
  <c r="E1114" i="3"/>
  <c r="E1115" i="3"/>
  <c r="E1116" i="3"/>
  <c r="E1117" i="3"/>
  <c r="E1118" i="3"/>
  <c r="E1119" i="3"/>
  <c r="E1120" i="3"/>
  <c r="E1121" i="3"/>
  <c r="E1122" i="3"/>
  <c r="E1123" i="3"/>
  <c r="E1124" i="3"/>
  <c r="E1125" i="3"/>
  <c r="E1126" i="3"/>
  <c r="E1127" i="3"/>
  <c r="E1128" i="3"/>
  <c r="E1129" i="3"/>
  <c r="E1130" i="3"/>
  <c r="E1131" i="3"/>
  <c r="E1132" i="3"/>
  <c r="E1133" i="3"/>
  <c r="E1134" i="3"/>
  <c r="E1135" i="3"/>
  <c r="E1136" i="3"/>
  <c r="E1137" i="3"/>
  <c r="E1138" i="3"/>
  <c r="E1139" i="3"/>
  <c r="E1140" i="3"/>
  <c r="E1141" i="3"/>
  <c r="E1142" i="3"/>
  <c r="E1143" i="3"/>
  <c r="E1144" i="3"/>
  <c r="E1145" i="3"/>
  <c r="E1146" i="3"/>
  <c r="E1147" i="3"/>
  <c r="E1148" i="3"/>
  <c r="E1149" i="3"/>
  <c r="E1150" i="3"/>
  <c r="E1151" i="3"/>
  <c r="E1152" i="3"/>
  <c r="E1153" i="3"/>
  <c r="E1154" i="3"/>
  <c r="E1155" i="3"/>
  <c r="E1156" i="3"/>
  <c r="E1157" i="3"/>
  <c r="E1158" i="3"/>
  <c r="E1159" i="3"/>
  <c r="E1160" i="3"/>
  <c r="E1161" i="3"/>
  <c r="E1162" i="3"/>
  <c r="E1163" i="3"/>
  <c r="E1164" i="3"/>
  <c r="E1165" i="3"/>
  <c r="E1166" i="3"/>
  <c r="E1167" i="3"/>
  <c r="E1168" i="3"/>
  <c r="E1169" i="3"/>
  <c r="E1170" i="3"/>
  <c r="E1171" i="3"/>
  <c r="E1172" i="3"/>
  <c r="E1173" i="3"/>
  <c r="E1174" i="3"/>
  <c r="E1175" i="3"/>
  <c r="E1176" i="3"/>
  <c r="E1177" i="3"/>
  <c r="E1178" i="3"/>
  <c r="E1179" i="3"/>
  <c r="E1180" i="3"/>
  <c r="E1181" i="3"/>
  <c r="E1182" i="3"/>
  <c r="E1183" i="3"/>
  <c r="E1184" i="3"/>
  <c r="E1185" i="3"/>
  <c r="E1186" i="3"/>
  <c r="E1187" i="3"/>
  <c r="E1188" i="3"/>
  <c r="E1189" i="3"/>
  <c r="E1190" i="3"/>
  <c r="E1191" i="3"/>
  <c r="E1192" i="3"/>
  <c r="E1193" i="3"/>
  <c r="E1194" i="3"/>
  <c r="E1195" i="3"/>
  <c r="E1196" i="3"/>
  <c r="E1197" i="3"/>
  <c r="E1198" i="3"/>
  <c r="E1199" i="3"/>
  <c r="E1200" i="3"/>
  <c r="E1201" i="3"/>
  <c r="E1202" i="3"/>
  <c r="E1203" i="3"/>
  <c r="E1204" i="3"/>
  <c r="E1205" i="3"/>
  <c r="E1206" i="3"/>
  <c r="E1207" i="3"/>
  <c r="E1208" i="3"/>
  <c r="E1209" i="3"/>
  <c r="E1210" i="3"/>
  <c r="E1211" i="3"/>
  <c r="E1212" i="3"/>
  <c r="E1213" i="3"/>
  <c r="E1214" i="3"/>
  <c r="E1215" i="3"/>
  <c r="E1216" i="3"/>
  <c r="E1217" i="3"/>
  <c r="E1218" i="3"/>
  <c r="E1219" i="3"/>
  <c r="E1220" i="3"/>
  <c r="E1221" i="3"/>
  <c r="E1222" i="3"/>
  <c r="E1223" i="3"/>
  <c r="E1224" i="3"/>
  <c r="E1225" i="3"/>
  <c r="E1226" i="3"/>
  <c r="E1227" i="3"/>
  <c r="E1228" i="3"/>
  <c r="E1229" i="3"/>
  <c r="E1230" i="3"/>
  <c r="E1231" i="3"/>
  <c r="E1232" i="3"/>
  <c r="E1233" i="3"/>
  <c r="E1234" i="3"/>
  <c r="E1235" i="3"/>
  <c r="E1236" i="3"/>
  <c r="E1237" i="3"/>
  <c r="E1238" i="3"/>
  <c r="E1239" i="3"/>
  <c r="E1240" i="3"/>
  <c r="E1241" i="3"/>
  <c r="E1242" i="3"/>
  <c r="E1243" i="3"/>
  <c r="E1244" i="3"/>
  <c r="E1245" i="3"/>
  <c r="E1246" i="3"/>
  <c r="E1247" i="3"/>
  <c r="E1248" i="3"/>
  <c r="E1249" i="3"/>
  <c r="E1250" i="3"/>
  <c r="E1251" i="3"/>
  <c r="E1252" i="3"/>
  <c r="E1253" i="3"/>
  <c r="E1254" i="3"/>
  <c r="E1255" i="3"/>
  <c r="E1256" i="3"/>
  <c r="E1257" i="3"/>
  <c r="E1258" i="3"/>
  <c r="E1259" i="3"/>
  <c r="E1260" i="3"/>
  <c r="E1261" i="3"/>
  <c r="E1262" i="3"/>
  <c r="E1263" i="3"/>
  <c r="E1264" i="3"/>
  <c r="E1265" i="3"/>
  <c r="E1266" i="3"/>
  <c r="E1267" i="3"/>
  <c r="E1268" i="3"/>
  <c r="E1269" i="3"/>
  <c r="E1270" i="3"/>
  <c r="E1271" i="3"/>
  <c r="E1272" i="3"/>
  <c r="E1273" i="3"/>
  <c r="E1274" i="3"/>
  <c r="E1275" i="3"/>
  <c r="E1276" i="3"/>
  <c r="E1277" i="3"/>
  <c r="E1278" i="3"/>
  <c r="E1279" i="3"/>
  <c r="E1280" i="3"/>
  <c r="E1281" i="3"/>
  <c r="E1282" i="3"/>
  <c r="E1283" i="3"/>
  <c r="E1284" i="3"/>
  <c r="E1285" i="3"/>
  <c r="E1286" i="3"/>
  <c r="E1287" i="3"/>
  <c r="E1288" i="3"/>
  <c r="E1289" i="3"/>
  <c r="E1290" i="3"/>
  <c r="E1291" i="3"/>
  <c r="E1292" i="3"/>
  <c r="E1293" i="3"/>
  <c r="E1294" i="3"/>
  <c r="E1295" i="3"/>
  <c r="E1296" i="3"/>
  <c r="E1297" i="3"/>
  <c r="E1298" i="3"/>
  <c r="E1299" i="3"/>
  <c r="E1300" i="3"/>
  <c r="E1301" i="3"/>
  <c r="E1302" i="3"/>
  <c r="E1303" i="3"/>
  <c r="E1304" i="3"/>
  <c r="E1305" i="3"/>
  <c r="E1306" i="3"/>
  <c r="E1307" i="3"/>
  <c r="E1308" i="3"/>
  <c r="E1309" i="3"/>
  <c r="E1310" i="3"/>
  <c r="E1311" i="3"/>
  <c r="E1312" i="3"/>
  <c r="E1313" i="3"/>
  <c r="E1314" i="3"/>
  <c r="E1315" i="3"/>
  <c r="E1316" i="3"/>
  <c r="E1317" i="3"/>
  <c r="E1318" i="3"/>
  <c r="E1319" i="3"/>
  <c r="E1320" i="3"/>
  <c r="E1321" i="3"/>
  <c r="E1322" i="3"/>
  <c r="E1323" i="3"/>
  <c r="E1324" i="3"/>
  <c r="E1325" i="3"/>
  <c r="E1326" i="3"/>
  <c r="E1327" i="3"/>
  <c r="E1328" i="3"/>
  <c r="E1329" i="3"/>
  <c r="E1330" i="3"/>
  <c r="E1331" i="3"/>
  <c r="E1332" i="3"/>
  <c r="E1333" i="3"/>
  <c r="E1334" i="3"/>
  <c r="E1335" i="3"/>
  <c r="E1336" i="3"/>
  <c r="E1337" i="3"/>
  <c r="E1338" i="3"/>
  <c r="E1339" i="3"/>
  <c r="E1340" i="3"/>
  <c r="E1341" i="3"/>
  <c r="E1342" i="3"/>
  <c r="E1343" i="3"/>
  <c r="E1344" i="3"/>
  <c r="E1345" i="3"/>
  <c r="E1346" i="3"/>
  <c r="E1347" i="3"/>
  <c r="E1348" i="3"/>
  <c r="E1349" i="3"/>
  <c r="E1350" i="3"/>
  <c r="E1351" i="3"/>
  <c r="E1352" i="3"/>
  <c r="E1353" i="3"/>
  <c r="E1354" i="3"/>
  <c r="E1355" i="3"/>
  <c r="E1356" i="3"/>
  <c r="E1357" i="3"/>
  <c r="E1358" i="3"/>
  <c r="E1359" i="3"/>
  <c r="E1360" i="3"/>
  <c r="E1361" i="3"/>
  <c r="E1362" i="3"/>
  <c r="E1363" i="3"/>
  <c r="E1364" i="3"/>
  <c r="E1365" i="3"/>
  <c r="E1366" i="3"/>
  <c r="E1367" i="3"/>
  <c r="E1368" i="3"/>
  <c r="E1369" i="3"/>
  <c r="E1370" i="3"/>
  <c r="E1371" i="3"/>
  <c r="E1372" i="3"/>
  <c r="E1373" i="3"/>
  <c r="E1374" i="3"/>
  <c r="E1375" i="3"/>
  <c r="E1376" i="3"/>
  <c r="E1377" i="3"/>
  <c r="E1378" i="3"/>
  <c r="E1379" i="3"/>
  <c r="E1380" i="3"/>
  <c r="E1381" i="3"/>
  <c r="E1382" i="3"/>
  <c r="E1383" i="3"/>
  <c r="E1384" i="3"/>
  <c r="E1385" i="3"/>
  <c r="E1386" i="3"/>
  <c r="E1387" i="3"/>
  <c r="E1388" i="3"/>
  <c r="E1389" i="3"/>
  <c r="E1390" i="3"/>
  <c r="E1391" i="3"/>
  <c r="E1392" i="3"/>
  <c r="E1393" i="3"/>
  <c r="E1394" i="3"/>
  <c r="E1395" i="3"/>
  <c r="E1396" i="3"/>
  <c r="E1397" i="3"/>
  <c r="E1398" i="3"/>
  <c r="E1399" i="3"/>
  <c r="E1400" i="3"/>
  <c r="E1401" i="3"/>
  <c r="E1402" i="3"/>
  <c r="E1403" i="3"/>
  <c r="E1404" i="3"/>
  <c r="E1405" i="3"/>
  <c r="E1406" i="3"/>
  <c r="E1407" i="3"/>
  <c r="E1408" i="3"/>
  <c r="E1409" i="3"/>
  <c r="E1410" i="3"/>
  <c r="E1411" i="3"/>
  <c r="E1412" i="3"/>
  <c r="E1413" i="3"/>
  <c r="E1414" i="3"/>
  <c r="E1415" i="3"/>
  <c r="E1416" i="3"/>
  <c r="E1417" i="3"/>
  <c r="E1418" i="3"/>
  <c r="E1419" i="3"/>
  <c r="E1420" i="3"/>
  <c r="E1421" i="3"/>
  <c r="E1422" i="3"/>
  <c r="E1423" i="3"/>
  <c r="E1424" i="3"/>
  <c r="E1425" i="3"/>
  <c r="E1426" i="3"/>
  <c r="E1427" i="3"/>
  <c r="E1428" i="3"/>
  <c r="E1429" i="3"/>
  <c r="E1430" i="3"/>
  <c r="E1431" i="3"/>
  <c r="E1432" i="3"/>
  <c r="E1433" i="3"/>
  <c r="E1434" i="3"/>
  <c r="E1435" i="3"/>
  <c r="E1436" i="3"/>
  <c r="E1437" i="3"/>
  <c r="E1438" i="3"/>
  <c r="E1439" i="3"/>
  <c r="E1440" i="3"/>
  <c r="E1441" i="3"/>
  <c r="E1442" i="3"/>
  <c r="E1443" i="3"/>
  <c r="E1444" i="3"/>
  <c r="E1445" i="3"/>
  <c r="E1446" i="3"/>
  <c r="E1447" i="3"/>
  <c r="E1448" i="3"/>
  <c r="E1449" i="3"/>
  <c r="E1450" i="3"/>
  <c r="E1451" i="3"/>
  <c r="E1452" i="3"/>
  <c r="E1453" i="3"/>
  <c r="E1454" i="3"/>
  <c r="E1455" i="3"/>
  <c r="E1456" i="3"/>
  <c r="E1457" i="3"/>
  <c r="E1458" i="3"/>
  <c r="E1459" i="3"/>
  <c r="E1460" i="3"/>
  <c r="E1461" i="3"/>
  <c r="E1462" i="3"/>
  <c r="E1463" i="3"/>
  <c r="E1464" i="3"/>
  <c r="E1465" i="3"/>
  <c r="E1466" i="3"/>
  <c r="E1467" i="3"/>
  <c r="E1468" i="3"/>
  <c r="E1469" i="3"/>
  <c r="E1470" i="3"/>
  <c r="E1471" i="3"/>
  <c r="E1472" i="3"/>
  <c r="E1473" i="3"/>
  <c r="E1474" i="3"/>
  <c r="E1475" i="3"/>
  <c r="E1476" i="3"/>
  <c r="E1477" i="3"/>
  <c r="E1478" i="3"/>
  <c r="E1479" i="3"/>
  <c r="E1480" i="3"/>
  <c r="E1481" i="3"/>
  <c r="E1482" i="3"/>
  <c r="E1483" i="3"/>
  <c r="E1484" i="3"/>
  <c r="E1485" i="3"/>
  <c r="E1486" i="3"/>
  <c r="E1487" i="3"/>
  <c r="E1488" i="3"/>
  <c r="E1489" i="3"/>
  <c r="E1490" i="3"/>
  <c r="E1491" i="3"/>
  <c r="E1492" i="3"/>
  <c r="E1493" i="3"/>
  <c r="E1494" i="3"/>
  <c r="E1495" i="3"/>
  <c r="E1496" i="3"/>
  <c r="E1497" i="3"/>
  <c r="E1498" i="3"/>
  <c r="E1499" i="3"/>
  <c r="E1500" i="3"/>
  <c r="E1501" i="3"/>
  <c r="E1502" i="3"/>
  <c r="E1503" i="3"/>
  <c r="E1504" i="3"/>
  <c r="E1505" i="3"/>
  <c r="E1506" i="3"/>
  <c r="E1507" i="3"/>
  <c r="E1508" i="3"/>
  <c r="E1509" i="3"/>
  <c r="E1510" i="3"/>
  <c r="E1511" i="3"/>
  <c r="E1512" i="3"/>
  <c r="E1513" i="3"/>
  <c r="E1514" i="3"/>
  <c r="E1515" i="3"/>
  <c r="E1516" i="3"/>
  <c r="E1517" i="3"/>
  <c r="E1518" i="3"/>
  <c r="E1519" i="3"/>
  <c r="E1520" i="3"/>
  <c r="E1521" i="3"/>
  <c r="E1522" i="3"/>
  <c r="E1523" i="3"/>
  <c r="E1524" i="3"/>
  <c r="E1525" i="3"/>
  <c r="E1526" i="3"/>
  <c r="E1527" i="3"/>
  <c r="E1528" i="3"/>
  <c r="E1529" i="3"/>
  <c r="E1530" i="3"/>
  <c r="E1531" i="3"/>
  <c r="E1532" i="3"/>
  <c r="E1533" i="3"/>
  <c r="E1534" i="3"/>
  <c r="E1535" i="3"/>
  <c r="E1536" i="3"/>
  <c r="E1537" i="3"/>
  <c r="E1538" i="3"/>
  <c r="E1539" i="3"/>
  <c r="E1540" i="3"/>
  <c r="E1541" i="3"/>
  <c r="E1542" i="3"/>
  <c r="E1543" i="3"/>
  <c r="E1544" i="3"/>
  <c r="E1545" i="3"/>
  <c r="E1546" i="3"/>
  <c r="E1547" i="3"/>
  <c r="E1548" i="3"/>
  <c r="E1549" i="3"/>
  <c r="E1550" i="3"/>
  <c r="E1551" i="3"/>
  <c r="E1552" i="3"/>
  <c r="E1553" i="3"/>
  <c r="E1554" i="3"/>
  <c r="E1555" i="3"/>
  <c r="E1556" i="3"/>
  <c r="E1557" i="3"/>
  <c r="E1558" i="3"/>
  <c r="E1559" i="3"/>
  <c r="E1560" i="3"/>
  <c r="E1561" i="3"/>
  <c r="E1562" i="3"/>
  <c r="E1563" i="3"/>
  <c r="E1564" i="3"/>
  <c r="E1565" i="3"/>
  <c r="E1566" i="3"/>
  <c r="E1567" i="3"/>
  <c r="E1568" i="3"/>
  <c r="E1569" i="3"/>
  <c r="E1570" i="3"/>
  <c r="E1571" i="3"/>
  <c r="E1572" i="3"/>
  <c r="E1573" i="3"/>
  <c r="E1574" i="3"/>
  <c r="E1575" i="3"/>
  <c r="E1576" i="3"/>
  <c r="E1577" i="3"/>
  <c r="E1578" i="3"/>
  <c r="E1579" i="3"/>
  <c r="E1580" i="3"/>
  <c r="E1581" i="3"/>
  <c r="E1582" i="3"/>
  <c r="E1583" i="3"/>
  <c r="E1584" i="3"/>
  <c r="E1585" i="3"/>
  <c r="E1586" i="3"/>
  <c r="E1587" i="3"/>
  <c r="E1588" i="3"/>
  <c r="E1589" i="3"/>
  <c r="E1590" i="3"/>
  <c r="E1591" i="3"/>
  <c r="E1592" i="3"/>
  <c r="E1593" i="3"/>
  <c r="E1594" i="3"/>
  <c r="E1595" i="3"/>
  <c r="E1596" i="3"/>
  <c r="E1597" i="3"/>
  <c r="E1598" i="3"/>
  <c r="E1599" i="3"/>
  <c r="E1600" i="3"/>
  <c r="E1601" i="3"/>
  <c r="E1602" i="3"/>
  <c r="E1603" i="3"/>
  <c r="E1604" i="3"/>
  <c r="E1605" i="3"/>
  <c r="E1606" i="3"/>
  <c r="E1607" i="3"/>
  <c r="E1608" i="3"/>
  <c r="E1609" i="3"/>
  <c r="E1610" i="3"/>
  <c r="E1611" i="3"/>
  <c r="E1612" i="3"/>
  <c r="E1613" i="3"/>
  <c r="E1614" i="3"/>
  <c r="E1615" i="3"/>
  <c r="E1616" i="3"/>
  <c r="E1617" i="3"/>
  <c r="E1618" i="3"/>
  <c r="E1619" i="3"/>
  <c r="E1620" i="3"/>
  <c r="E1621" i="3"/>
  <c r="E1622" i="3"/>
  <c r="E1623" i="3"/>
  <c r="E1624" i="3"/>
  <c r="E1625" i="3"/>
  <c r="E1626" i="3"/>
  <c r="E1627" i="3"/>
  <c r="E1628" i="3"/>
  <c r="E1629" i="3"/>
  <c r="E1630" i="3"/>
  <c r="E1631" i="3"/>
  <c r="E1632" i="3"/>
  <c r="E1633" i="3"/>
  <c r="E1634" i="3"/>
  <c r="E1635" i="3"/>
  <c r="E1636" i="3"/>
  <c r="E1637" i="3"/>
  <c r="E1638" i="3"/>
  <c r="E1639" i="3"/>
  <c r="E1640" i="3"/>
  <c r="E1641" i="3"/>
  <c r="E1642" i="3"/>
  <c r="E1643" i="3"/>
  <c r="E1644" i="3"/>
  <c r="E1645" i="3"/>
  <c r="E1646" i="3"/>
  <c r="E1647" i="3"/>
  <c r="E1648" i="3"/>
  <c r="E1649" i="3"/>
  <c r="E1650" i="3"/>
  <c r="E1651" i="3"/>
  <c r="E1652" i="3"/>
  <c r="E1653" i="3"/>
  <c r="E1654" i="3"/>
  <c r="E1655" i="3"/>
  <c r="E1656" i="3"/>
  <c r="E1657" i="3"/>
  <c r="E1658" i="3"/>
  <c r="E1659" i="3"/>
  <c r="E1660" i="3"/>
  <c r="E1661" i="3"/>
  <c r="E1662" i="3"/>
  <c r="E1663" i="3"/>
  <c r="E1664" i="3"/>
  <c r="E1665" i="3"/>
  <c r="E1666" i="3"/>
  <c r="E1667" i="3"/>
  <c r="E1668" i="3"/>
  <c r="E1669" i="3"/>
  <c r="E1670" i="3"/>
  <c r="E1671" i="3"/>
  <c r="E1672" i="3"/>
  <c r="E1673" i="3"/>
  <c r="E1674" i="3"/>
  <c r="E1675" i="3"/>
  <c r="E1676" i="3"/>
  <c r="E1677" i="3"/>
  <c r="E1678" i="3"/>
  <c r="E1679" i="3"/>
  <c r="E1680" i="3"/>
  <c r="E1681" i="3"/>
  <c r="E1682" i="3"/>
  <c r="E1683" i="3"/>
  <c r="E1684" i="3"/>
  <c r="E1685" i="3"/>
  <c r="E1686" i="3"/>
  <c r="E1687" i="3"/>
  <c r="E1688" i="3"/>
  <c r="E1689" i="3"/>
  <c r="E1690" i="3"/>
  <c r="E1691" i="3"/>
  <c r="E1692" i="3"/>
  <c r="E1693" i="3"/>
  <c r="E1694" i="3"/>
  <c r="E1695" i="3"/>
  <c r="E1696" i="3"/>
  <c r="E1697" i="3"/>
  <c r="E1698" i="3"/>
  <c r="E1699" i="3"/>
  <c r="E1700" i="3"/>
  <c r="E1701" i="3"/>
  <c r="E1702" i="3"/>
  <c r="E1703" i="3"/>
  <c r="E1704" i="3"/>
  <c r="E1705" i="3"/>
  <c r="E1706" i="3"/>
  <c r="E1707" i="3"/>
  <c r="E1708" i="3"/>
  <c r="E1709" i="3"/>
  <c r="E1710" i="3"/>
  <c r="E1711" i="3"/>
  <c r="E1712" i="3"/>
  <c r="E1713" i="3"/>
  <c r="E1714" i="3"/>
  <c r="E1715" i="3"/>
  <c r="E1716" i="3"/>
  <c r="E1717" i="3"/>
  <c r="E1718" i="3"/>
  <c r="E1719" i="3"/>
  <c r="E1720" i="3"/>
  <c r="E1721" i="3"/>
  <c r="E1722" i="3"/>
  <c r="E1723" i="3"/>
  <c r="E1724" i="3"/>
  <c r="E1725" i="3"/>
  <c r="E1726" i="3"/>
  <c r="E1727" i="3"/>
  <c r="E1728" i="3"/>
  <c r="E1729" i="3"/>
  <c r="E1730" i="3"/>
  <c r="E1731" i="3"/>
  <c r="E1732" i="3"/>
  <c r="E1733" i="3"/>
  <c r="E1734" i="3"/>
  <c r="E1735" i="3"/>
  <c r="E1736" i="3"/>
  <c r="E1737" i="3"/>
  <c r="E1738" i="3"/>
  <c r="E1739" i="3"/>
  <c r="E1740" i="3"/>
  <c r="E1741" i="3"/>
  <c r="E1742" i="3"/>
  <c r="E1743" i="3"/>
  <c r="E1744" i="3"/>
  <c r="E1745" i="3"/>
  <c r="E1746" i="3"/>
  <c r="E1747" i="3"/>
  <c r="E1748" i="3"/>
  <c r="E1749" i="3"/>
  <c r="E1750" i="3"/>
  <c r="E1751" i="3"/>
  <c r="E1752" i="3"/>
  <c r="E1753" i="3"/>
  <c r="E1754" i="3"/>
  <c r="E1755" i="3"/>
  <c r="E1756" i="3"/>
  <c r="E1757" i="3"/>
  <c r="E1758" i="3"/>
  <c r="E1759" i="3"/>
  <c r="E1760" i="3"/>
  <c r="E1761" i="3"/>
  <c r="E1762" i="3"/>
  <c r="E1763" i="3"/>
  <c r="E1764" i="3"/>
  <c r="E1765" i="3"/>
  <c r="E1766" i="3"/>
  <c r="E1767" i="3"/>
  <c r="E1768" i="3"/>
  <c r="E1769" i="3"/>
  <c r="E1770" i="3"/>
  <c r="E1771" i="3"/>
  <c r="E1772" i="3"/>
  <c r="E1773" i="3"/>
  <c r="E1774" i="3"/>
  <c r="E1775" i="3"/>
  <c r="E1776" i="3"/>
  <c r="E1777" i="3"/>
  <c r="E1778" i="3"/>
  <c r="E1779" i="3"/>
  <c r="E1780" i="3"/>
  <c r="E1781" i="3"/>
  <c r="E1782" i="3"/>
  <c r="E1783" i="3"/>
  <c r="E1784" i="3"/>
  <c r="E1785" i="3"/>
  <c r="E1786" i="3"/>
  <c r="E1787" i="3"/>
  <c r="E1788" i="3"/>
  <c r="E1789" i="3"/>
  <c r="E1790" i="3"/>
  <c r="E1791" i="3"/>
  <c r="E1792" i="3"/>
  <c r="E1793" i="3"/>
  <c r="E1794" i="3"/>
  <c r="E1795" i="3"/>
  <c r="E1796" i="3"/>
  <c r="E1797" i="3"/>
  <c r="E1798" i="3"/>
  <c r="E1799" i="3"/>
  <c r="E1800" i="3"/>
  <c r="E1801" i="3"/>
  <c r="E1802" i="3"/>
  <c r="E1803" i="3"/>
  <c r="E1804" i="3"/>
  <c r="E1805" i="3"/>
  <c r="E1806" i="3"/>
  <c r="E1807" i="3"/>
  <c r="E1808" i="3"/>
  <c r="E1809" i="3"/>
  <c r="E1810" i="3"/>
  <c r="E1811" i="3"/>
  <c r="E1812" i="3"/>
  <c r="E1813" i="3"/>
  <c r="E1814" i="3"/>
  <c r="E1815" i="3"/>
  <c r="E1816" i="3"/>
  <c r="E1817" i="3"/>
  <c r="E1818" i="3"/>
  <c r="E1819" i="3"/>
  <c r="E1820" i="3"/>
  <c r="E1821" i="3"/>
  <c r="E1822" i="3"/>
  <c r="E1823" i="3"/>
  <c r="E1824" i="3"/>
  <c r="E1825" i="3"/>
  <c r="E1826" i="3"/>
  <c r="E1827" i="3"/>
  <c r="E1828" i="3"/>
  <c r="E1829" i="3"/>
  <c r="E1830" i="3"/>
  <c r="E1831" i="3"/>
  <c r="E1832" i="3"/>
  <c r="E1833" i="3"/>
  <c r="E1834" i="3"/>
  <c r="E1835" i="3"/>
  <c r="E1836" i="3"/>
  <c r="E1837" i="3"/>
  <c r="E1838" i="3"/>
  <c r="E1839" i="3"/>
  <c r="E1840" i="3"/>
  <c r="E1841" i="3"/>
  <c r="E1842" i="3"/>
  <c r="E1843" i="3"/>
  <c r="E1844" i="3"/>
  <c r="E1845" i="3"/>
  <c r="E1846" i="3"/>
  <c r="E1847" i="3"/>
  <c r="E1848" i="3"/>
  <c r="E1849" i="3"/>
  <c r="E1850" i="3"/>
  <c r="E1851" i="3"/>
  <c r="E1852" i="3"/>
  <c r="E1853" i="3"/>
  <c r="E1854" i="3"/>
  <c r="E1855" i="3"/>
  <c r="E1856" i="3"/>
  <c r="E1857" i="3"/>
  <c r="E1858" i="3"/>
  <c r="E1859" i="3"/>
  <c r="E1860" i="3"/>
  <c r="E1861" i="3"/>
  <c r="E1862" i="3"/>
  <c r="E1863" i="3"/>
  <c r="E1864" i="3"/>
  <c r="E1865" i="3"/>
  <c r="E1866" i="3"/>
  <c r="E1867" i="3"/>
  <c r="E1868" i="3"/>
  <c r="E1869" i="3"/>
  <c r="E1870" i="3"/>
  <c r="E1871" i="3"/>
  <c r="E1872" i="3"/>
  <c r="E1873" i="3"/>
  <c r="E1874" i="3"/>
  <c r="E1875" i="3"/>
  <c r="E1876" i="3"/>
  <c r="E1877" i="3"/>
  <c r="E1878" i="3"/>
  <c r="E1879" i="3"/>
  <c r="E1880" i="3"/>
  <c r="E1881" i="3"/>
  <c r="E1882" i="3"/>
  <c r="E1883" i="3"/>
  <c r="E1884" i="3"/>
  <c r="E1885" i="3"/>
  <c r="E1886" i="3"/>
  <c r="E1887" i="3"/>
  <c r="E1888" i="3"/>
  <c r="E1889" i="3"/>
  <c r="E1890" i="3"/>
  <c r="E1891" i="3"/>
  <c r="E1892" i="3"/>
  <c r="E1893" i="3"/>
  <c r="E1894" i="3"/>
  <c r="E1895" i="3"/>
  <c r="E1896" i="3"/>
  <c r="E1897" i="3"/>
  <c r="E1898" i="3"/>
  <c r="E1899" i="3"/>
  <c r="E1900" i="3"/>
  <c r="E1901" i="3"/>
  <c r="E1902" i="3"/>
  <c r="E1903" i="3"/>
  <c r="E1904" i="3"/>
  <c r="E1905" i="3"/>
  <c r="E1906" i="3"/>
  <c r="E1907" i="3"/>
  <c r="E1908" i="3"/>
  <c r="E1909" i="3"/>
  <c r="E1910" i="3"/>
  <c r="E1911" i="3"/>
  <c r="E1912" i="3"/>
  <c r="E1913" i="3"/>
  <c r="E1914" i="3"/>
  <c r="E1915" i="3"/>
  <c r="E1916" i="3"/>
  <c r="E1917" i="3"/>
  <c r="E1918" i="3"/>
  <c r="E1919" i="3"/>
  <c r="E1920" i="3"/>
  <c r="E1921" i="3"/>
  <c r="E1922" i="3"/>
  <c r="E1923" i="3"/>
  <c r="E1924" i="3"/>
  <c r="E1925" i="3"/>
  <c r="E1926" i="3"/>
  <c r="E1927" i="3"/>
  <c r="E1928" i="3"/>
  <c r="E1929" i="3"/>
  <c r="E1930" i="3"/>
  <c r="E1931" i="3"/>
  <c r="E1932" i="3"/>
  <c r="E1933" i="3"/>
  <c r="E1934" i="3"/>
  <c r="E1935" i="3"/>
  <c r="E1936" i="3"/>
  <c r="E1937" i="3"/>
  <c r="E1938" i="3"/>
  <c r="E1939" i="3"/>
  <c r="E1940" i="3"/>
  <c r="E1941" i="3"/>
  <c r="E1942" i="3"/>
  <c r="E1943" i="3"/>
  <c r="E1944" i="3"/>
  <c r="E1945" i="3"/>
  <c r="E1946" i="3"/>
  <c r="E1947" i="3"/>
  <c r="E1948" i="3"/>
  <c r="E1949" i="3"/>
  <c r="E1950" i="3"/>
  <c r="E1951" i="3"/>
  <c r="E1952" i="3"/>
  <c r="E1953" i="3"/>
  <c r="E1954" i="3"/>
  <c r="E1955" i="3"/>
  <c r="E1956" i="3"/>
  <c r="E1957" i="3"/>
  <c r="E1958" i="3"/>
  <c r="E1959" i="3"/>
  <c r="E1960" i="3"/>
  <c r="E1961" i="3"/>
  <c r="E1962" i="3"/>
  <c r="E1963" i="3"/>
  <c r="E1964" i="3"/>
  <c r="E1965" i="3"/>
  <c r="E1966" i="3"/>
  <c r="E1967" i="3"/>
  <c r="E1968" i="3"/>
  <c r="E1969" i="3"/>
  <c r="E1970" i="3"/>
  <c r="E1971" i="3"/>
  <c r="E1972" i="3"/>
  <c r="E1973" i="3"/>
  <c r="E1974" i="3"/>
  <c r="E1975" i="3"/>
  <c r="E1976" i="3"/>
  <c r="E1977" i="3"/>
  <c r="E1978" i="3"/>
  <c r="E1979" i="3"/>
  <c r="E1980" i="3"/>
  <c r="E1981" i="3"/>
  <c r="E1982" i="3"/>
  <c r="E1983" i="3"/>
  <c r="E1984" i="3"/>
  <c r="E1985" i="3"/>
  <c r="E1986" i="3"/>
  <c r="E1987" i="3"/>
  <c r="E1988" i="3"/>
  <c r="E1989" i="3"/>
  <c r="E1990" i="3"/>
  <c r="E1991" i="3"/>
  <c r="E1992" i="3"/>
  <c r="E1993" i="3"/>
  <c r="E1994" i="3"/>
  <c r="E1995" i="3"/>
  <c r="E1996" i="3"/>
  <c r="E1997" i="3"/>
  <c r="E1998" i="3"/>
  <c r="E1999" i="3"/>
  <c r="E2000" i="3"/>
  <c r="E2001" i="3"/>
  <c r="E2002" i="3"/>
  <c r="E2003" i="3"/>
  <c r="E2004" i="3"/>
  <c r="E2005" i="3"/>
  <c r="E2006" i="3"/>
  <c r="E2007" i="3"/>
  <c r="E2008" i="3"/>
  <c r="E2009" i="3"/>
  <c r="E2010" i="3"/>
  <c r="E2011" i="3"/>
  <c r="E2012" i="3"/>
  <c r="E2013" i="3"/>
  <c r="E2014" i="3"/>
  <c r="E2015" i="3"/>
  <c r="E2016" i="3"/>
  <c r="E2017" i="3"/>
  <c r="E2018" i="3"/>
  <c r="E2019" i="3"/>
  <c r="E2020" i="3"/>
  <c r="E2021" i="3"/>
  <c r="E2022" i="3"/>
  <c r="E2023" i="3"/>
  <c r="E2024" i="3"/>
  <c r="E2025" i="3"/>
  <c r="E2026" i="3"/>
  <c r="E2027" i="3"/>
  <c r="E2028" i="3"/>
  <c r="E2029" i="3"/>
  <c r="E2030" i="3"/>
  <c r="E2031" i="3"/>
  <c r="E2032" i="3"/>
  <c r="E2033" i="3"/>
  <c r="E2034" i="3"/>
  <c r="E2035" i="3"/>
  <c r="E2036" i="3"/>
  <c r="E2037" i="3"/>
  <c r="E2038" i="3"/>
  <c r="E2039" i="3"/>
  <c r="E2040" i="3"/>
  <c r="E2041" i="3"/>
  <c r="E2042" i="3"/>
  <c r="E2043" i="3"/>
  <c r="E2044" i="3"/>
  <c r="E2045" i="3"/>
  <c r="E2046" i="3"/>
  <c r="E2047" i="3"/>
  <c r="E2048" i="3"/>
  <c r="E2049" i="3"/>
  <c r="E2050" i="3"/>
  <c r="E2051" i="3"/>
  <c r="E2052" i="3"/>
  <c r="E2053" i="3"/>
  <c r="E2054" i="3"/>
  <c r="E2055" i="3"/>
  <c r="E2056" i="3"/>
  <c r="E2057" i="3"/>
  <c r="E2058" i="3"/>
  <c r="E2059" i="3"/>
  <c r="E2060" i="3"/>
  <c r="E2061" i="3"/>
  <c r="E2062" i="3"/>
  <c r="E2063" i="3"/>
  <c r="E2064" i="3"/>
  <c r="E2065" i="3"/>
  <c r="E2066" i="3"/>
  <c r="E2067" i="3"/>
  <c r="E2068" i="3"/>
  <c r="E2069" i="3"/>
  <c r="E2070" i="3"/>
  <c r="E2071" i="3"/>
  <c r="E2072" i="3"/>
  <c r="E2073" i="3"/>
  <c r="E2074" i="3"/>
  <c r="E2075" i="3"/>
  <c r="E2076" i="3"/>
  <c r="E2077" i="3"/>
  <c r="E2078" i="3"/>
  <c r="E2079" i="3"/>
  <c r="E2080" i="3"/>
  <c r="E2081" i="3"/>
  <c r="E2082" i="3"/>
  <c r="E2083" i="3"/>
  <c r="E2084" i="3"/>
  <c r="E2085" i="3"/>
  <c r="E2086" i="3"/>
  <c r="E2087" i="3"/>
  <c r="E2088" i="3"/>
  <c r="E2089" i="3"/>
  <c r="E2090" i="3"/>
  <c r="E2091" i="3"/>
  <c r="E2092" i="3"/>
  <c r="E2093" i="3"/>
  <c r="E2094" i="3"/>
  <c r="E2095" i="3"/>
  <c r="E2096" i="3"/>
  <c r="E2097" i="3"/>
  <c r="E2098" i="3"/>
  <c r="E2099" i="3"/>
  <c r="E2100" i="3"/>
  <c r="E2101" i="3"/>
  <c r="E2102" i="3"/>
  <c r="E2103" i="3"/>
  <c r="E2104" i="3"/>
  <c r="E2105" i="3"/>
  <c r="E2106" i="3"/>
  <c r="E2107" i="3"/>
  <c r="E2108" i="3"/>
  <c r="E2109" i="3"/>
  <c r="E2110" i="3"/>
  <c r="E2111" i="3"/>
  <c r="E2112" i="3"/>
  <c r="E2113" i="3"/>
  <c r="E2114" i="3"/>
  <c r="E2115" i="3"/>
  <c r="E2116" i="3"/>
  <c r="E2117" i="3"/>
  <c r="E2118" i="3"/>
  <c r="E2119" i="3"/>
  <c r="E2120" i="3"/>
  <c r="E2121" i="3"/>
  <c r="E2122" i="3"/>
  <c r="E2123" i="3"/>
  <c r="E2124" i="3"/>
  <c r="E2125" i="3"/>
  <c r="E2126" i="3"/>
  <c r="E2127" i="3"/>
  <c r="E2128" i="3"/>
  <c r="E2129" i="3"/>
  <c r="E2130" i="3"/>
  <c r="E2131" i="3"/>
  <c r="E2132" i="3"/>
  <c r="E2133" i="3"/>
  <c r="E2134" i="3"/>
  <c r="E2135" i="3"/>
  <c r="E2136" i="3"/>
  <c r="E2137" i="3"/>
  <c r="E2138" i="3"/>
  <c r="E2139" i="3"/>
  <c r="E2140" i="3"/>
  <c r="E2141" i="3"/>
  <c r="E2142" i="3"/>
  <c r="E2143" i="3"/>
  <c r="E2144" i="3"/>
  <c r="E2145" i="3"/>
  <c r="E2146" i="3"/>
  <c r="E2147" i="3"/>
  <c r="E2148" i="3"/>
  <c r="E2149" i="3"/>
  <c r="E2150" i="3"/>
  <c r="E2151" i="3"/>
  <c r="E2152" i="3"/>
  <c r="E2153" i="3"/>
  <c r="E2154" i="3"/>
  <c r="E2155" i="3"/>
  <c r="E2156" i="3"/>
  <c r="E2157" i="3"/>
  <c r="E2158" i="3"/>
  <c r="E2159" i="3"/>
  <c r="E2160" i="3"/>
  <c r="E2161" i="3"/>
  <c r="E2162" i="3"/>
  <c r="E2163" i="3"/>
  <c r="E2164" i="3"/>
  <c r="E2165" i="3"/>
  <c r="E2166" i="3"/>
  <c r="E2167" i="3"/>
  <c r="E2168" i="3"/>
  <c r="E2169" i="3"/>
  <c r="E2170" i="3"/>
  <c r="E2171" i="3"/>
  <c r="E2172" i="3"/>
  <c r="E2173" i="3"/>
  <c r="E2174" i="3"/>
  <c r="E2175" i="3"/>
  <c r="E2176" i="3"/>
  <c r="E2177" i="3"/>
  <c r="E2178" i="3"/>
  <c r="E2179" i="3"/>
  <c r="E2180" i="3"/>
  <c r="E2181" i="3"/>
  <c r="E2182" i="3"/>
  <c r="E2183" i="3"/>
  <c r="E2184" i="3"/>
  <c r="E2185" i="3"/>
  <c r="E2186" i="3"/>
  <c r="E2187" i="3"/>
  <c r="E2188" i="3"/>
  <c r="E2189" i="3"/>
  <c r="E2190" i="3"/>
  <c r="E2191" i="3"/>
  <c r="E2192" i="3"/>
  <c r="E2193" i="3"/>
  <c r="E2194" i="3"/>
  <c r="E2195" i="3"/>
  <c r="E2196" i="3"/>
  <c r="E2197" i="3"/>
  <c r="E2198" i="3"/>
  <c r="E2199" i="3"/>
  <c r="E2200" i="3"/>
  <c r="E2201" i="3"/>
  <c r="E2202" i="3"/>
  <c r="E2203" i="3"/>
  <c r="E2204" i="3"/>
  <c r="E2205" i="3"/>
  <c r="E2206" i="3"/>
  <c r="E2207" i="3"/>
  <c r="E2208" i="3"/>
  <c r="E2209" i="3"/>
  <c r="E2210" i="3"/>
  <c r="E2211" i="3"/>
  <c r="E2212" i="3"/>
  <c r="E2213" i="3"/>
  <c r="E2214" i="3"/>
  <c r="E2215" i="3"/>
  <c r="E2216" i="3"/>
  <c r="E2217" i="3"/>
  <c r="E2218" i="3"/>
  <c r="E2219" i="3"/>
  <c r="E2220" i="3"/>
  <c r="E2221" i="3"/>
  <c r="E2222" i="3"/>
  <c r="E2223" i="3"/>
  <c r="E2224" i="3"/>
  <c r="E2225" i="3"/>
  <c r="E2226" i="3"/>
  <c r="E2227" i="3"/>
  <c r="E2228" i="3"/>
  <c r="E2229" i="3"/>
  <c r="E2230" i="3"/>
  <c r="E2231" i="3"/>
  <c r="E2232" i="3"/>
  <c r="E2233" i="3"/>
  <c r="E2234" i="3"/>
  <c r="E2235" i="3"/>
  <c r="E2236" i="3"/>
  <c r="E2237" i="3"/>
  <c r="E2238" i="3"/>
  <c r="E2239" i="3"/>
  <c r="E2240" i="3"/>
  <c r="E2241" i="3"/>
  <c r="E2242" i="3"/>
  <c r="E2243" i="3"/>
  <c r="E2244" i="3"/>
  <c r="E2245" i="3"/>
  <c r="E2246" i="3"/>
  <c r="E2247" i="3"/>
  <c r="E2248" i="3"/>
  <c r="E2249" i="3"/>
  <c r="E2250" i="3"/>
  <c r="E2251" i="3"/>
  <c r="E2252" i="3"/>
  <c r="E2253" i="3"/>
  <c r="E2254" i="3"/>
  <c r="E2255" i="3"/>
  <c r="E2256" i="3"/>
  <c r="E2257" i="3"/>
  <c r="E2258" i="3"/>
  <c r="E2259" i="3"/>
  <c r="E2260" i="3"/>
  <c r="E2261" i="3"/>
  <c r="E2262" i="3"/>
  <c r="E2263" i="3"/>
  <c r="E2264" i="3"/>
  <c r="E2265" i="3"/>
  <c r="E2266" i="3"/>
  <c r="E2267" i="3"/>
  <c r="E2268" i="3"/>
  <c r="E2269" i="3"/>
  <c r="E2270" i="3"/>
  <c r="E2271" i="3"/>
  <c r="E2272" i="3"/>
  <c r="E2273" i="3"/>
  <c r="E2274" i="3"/>
  <c r="E2275" i="3"/>
  <c r="E2276" i="3"/>
  <c r="E2277" i="3"/>
  <c r="E2278" i="3"/>
  <c r="E2279" i="3"/>
  <c r="E2280" i="3"/>
  <c r="E2281" i="3"/>
  <c r="E2282" i="3"/>
  <c r="E2283" i="3"/>
  <c r="E2284" i="3"/>
  <c r="E2285" i="3"/>
  <c r="E2286" i="3"/>
  <c r="E2287" i="3"/>
  <c r="E2288" i="3"/>
  <c r="E2289" i="3"/>
  <c r="E2290" i="3"/>
  <c r="E2291" i="3"/>
  <c r="E2292" i="3"/>
  <c r="E2293" i="3"/>
  <c r="E2294" i="3"/>
  <c r="E2295" i="3"/>
  <c r="E2296" i="3"/>
  <c r="E2297" i="3"/>
  <c r="E2298" i="3"/>
  <c r="E2299" i="3"/>
  <c r="E2300" i="3"/>
  <c r="E2301" i="3"/>
  <c r="E2302" i="3"/>
  <c r="E2303" i="3"/>
  <c r="E2304" i="3"/>
  <c r="E2305" i="3"/>
  <c r="E2306" i="3"/>
  <c r="E2307" i="3"/>
  <c r="E2308" i="3"/>
  <c r="E2309" i="3"/>
  <c r="E2310" i="3"/>
  <c r="E2311" i="3"/>
  <c r="E2312" i="3"/>
  <c r="E2313" i="3"/>
  <c r="E2314" i="3"/>
  <c r="E2315" i="3"/>
  <c r="E2316" i="3"/>
  <c r="E2317" i="3"/>
  <c r="E2318" i="3"/>
  <c r="E2319" i="3"/>
  <c r="E2320" i="3"/>
  <c r="E2321" i="3"/>
  <c r="E2322" i="3"/>
  <c r="E2323" i="3"/>
  <c r="E2324" i="3"/>
  <c r="E2325" i="3"/>
  <c r="E2326" i="3"/>
  <c r="E2327" i="3"/>
  <c r="E2328" i="3"/>
  <c r="E2329" i="3"/>
  <c r="E2330" i="3"/>
  <c r="E2331" i="3"/>
  <c r="E2332" i="3"/>
  <c r="E2333" i="3"/>
  <c r="E2334" i="3"/>
  <c r="E2335" i="3"/>
  <c r="E2336" i="3"/>
  <c r="E2337" i="3"/>
  <c r="E2338" i="3"/>
  <c r="E2339" i="3"/>
  <c r="E2340" i="3"/>
  <c r="E2341" i="3"/>
  <c r="E2342" i="3"/>
  <c r="E2343" i="3"/>
  <c r="E2344" i="3"/>
  <c r="E2345" i="3"/>
  <c r="E2346" i="3"/>
  <c r="E2347" i="3"/>
  <c r="E2348" i="3"/>
  <c r="E2349" i="3"/>
  <c r="E2350" i="3"/>
  <c r="E2351" i="3"/>
  <c r="E2352" i="3"/>
  <c r="E2353" i="3"/>
  <c r="E2354" i="3"/>
  <c r="E2355" i="3"/>
  <c r="E2356" i="3"/>
  <c r="E2357" i="3"/>
  <c r="E2358" i="3"/>
  <c r="E2359" i="3"/>
  <c r="E2360" i="3"/>
  <c r="E2361" i="3"/>
  <c r="E2362" i="3"/>
  <c r="E2363" i="3"/>
  <c r="E2364" i="3"/>
  <c r="E2365" i="3"/>
  <c r="E2366" i="3"/>
  <c r="E2367" i="3"/>
  <c r="E2368" i="3"/>
  <c r="E2369" i="3"/>
  <c r="E2370" i="3"/>
  <c r="E2371" i="3"/>
  <c r="E2372" i="3"/>
  <c r="E2373" i="3"/>
  <c r="E2374" i="3"/>
  <c r="E2375" i="3"/>
  <c r="E2376" i="3"/>
  <c r="E2377" i="3"/>
  <c r="E2378" i="3"/>
  <c r="E2379" i="3"/>
  <c r="E2380" i="3"/>
  <c r="E2381" i="3"/>
  <c r="E2382" i="3"/>
  <c r="E2383" i="3"/>
  <c r="E2384" i="3"/>
  <c r="E2385" i="3"/>
  <c r="E2386" i="3"/>
  <c r="E2387" i="3"/>
  <c r="E2388" i="3"/>
  <c r="E2389" i="3"/>
  <c r="E2390" i="3"/>
  <c r="E2391" i="3"/>
  <c r="E2392" i="3"/>
  <c r="E2393" i="3"/>
  <c r="E2394" i="3"/>
  <c r="E2395" i="3"/>
  <c r="E2396" i="3"/>
  <c r="E2397" i="3"/>
  <c r="E2398" i="3"/>
  <c r="E2399" i="3"/>
  <c r="E2400" i="3"/>
  <c r="E2401" i="3"/>
  <c r="E2402" i="3"/>
  <c r="E2403" i="3"/>
  <c r="E2404" i="3"/>
  <c r="E2405" i="3"/>
  <c r="E2406" i="3"/>
  <c r="E2407" i="3"/>
  <c r="E2408" i="3"/>
  <c r="E2409" i="3"/>
  <c r="E2410" i="3"/>
  <c r="E2411" i="3"/>
  <c r="E2412" i="3"/>
  <c r="E2413" i="3"/>
  <c r="E2414" i="3"/>
  <c r="E2415" i="3"/>
  <c r="E2416" i="3"/>
  <c r="E2417" i="3"/>
  <c r="E2418" i="3"/>
  <c r="E2419" i="3"/>
  <c r="E2420" i="3"/>
  <c r="E2421" i="3"/>
  <c r="E2422" i="3"/>
  <c r="E2423" i="3"/>
  <c r="E2424" i="3"/>
  <c r="E2425" i="3"/>
  <c r="E2426" i="3"/>
  <c r="E2427" i="3"/>
  <c r="E2428" i="3"/>
  <c r="E2429" i="3"/>
  <c r="E2430" i="3"/>
  <c r="E2431" i="3"/>
  <c r="E2432" i="3"/>
  <c r="E2433" i="3"/>
  <c r="E2434" i="3"/>
  <c r="E2435" i="3"/>
  <c r="E2436" i="3"/>
  <c r="E2437" i="3"/>
  <c r="E2438" i="3"/>
  <c r="E2439" i="3"/>
  <c r="E2440" i="3"/>
  <c r="E2441" i="3"/>
  <c r="E2442" i="3"/>
  <c r="E2443" i="3"/>
  <c r="E2444" i="3"/>
  <c r="E2445" i="3"/>
  <c r="E2446" i="3"/>
  <c r="E2447" i="3"/>
  <c r="E2448" i="3"/>
  <c r="E2449" i="3"/>
  <c r="E2450" i="3"/>
  <c r="E2451" i="3"/>
  <c r="E2452" i="3"/>
  <c r="E2453" i="3"/>
  <c r="E2454" i="3"/>
  <c r="E2455" i="3"/>
  <c r="E2456" i="3"/>
  <c r="E2457" i="3"/>
  <c r="E2458" i="3"/>
  <c r="E2459" i="3"/>
  <c r="E2460" i="3"/>
  <c r="E2461" i="3"/>
  <c r="E2462" i="3"/>
  <c r="E2463" i="3"/>
  <c r="E2464" i="3"/>
  <c r="E2465" i="3"/>
  <c r="E2466" i="3"/>
  <c r="E2467" i="3"/>
  <c r="E2468" i="3"/>
  <c r="E2469" i="3"/>
  <c r="E2470" i="3"/>
  <c r="E2471" i="3"/>
  <c r="E2472" i="3"/>
  <c r="E2473" i="3"/>
  <c r="E2474" i="3"/>
  <c r="E2475" i="3"/>
  <c r="E2476" i="3"/>
  <c r="E2477" i="3"/>
  <c r="E2478" i="3"/>
  <c r="E2479" i="3"/>
  <c r="E2480" i="3"/>
  <c r="E2481" i="3"/>
  <c r="E2482" i="3"/>
  <c r="E2483" i="3"/>
  <c r="E2484" i="3"/>
  <c r="E2485" i="3"/>
  <c r="E2486" i="3"/>
  <c r="E2487" i="3"/>
  <c r="E2488" i="3"/>
  <c r="E2489" i="3"/>
  <c r="E2490" i="3"/>
  <c r="E2491" i="3"/>
  <c r="E2492" i="3"/>
  <c r="E2493" i="3"/>
  <c r="E2494" i="3"/>
  <c r="E2495" i="3"/>
  <c r="E2496" i="3"/>
  <c r="E2497" i="3"/>
  <c r="E2498" i="3"/>
  <c r="E2499" i="3"/>
  <c r="E2500" i="3"/>
  <c r="E2501" i="3"/>
  <c r="E2502" i="3"/>
  <c r="E2503" i="3"/>
  <c r="E2504" i="3"/>
  <c r="E2505" i="3"/>
  <c r="E2506" i="3"/>
  <c r="E2507" i="3"/>
  <c r="E2508" i="3"/>
  <c r="E2509" i="3"/>
  <c r="E2510" i="3"/>
  <c r="E2511" i="3"/>
  <c r="E2512" i="3"/>
  <c r="E2513" i="3"/>
  <c r="E2514" i="3"/>
  <c r="E2515" i="3"/>
  <c r="E2516" i="3"/>
  <c r="E2517" i="3"/>
  <c r="E2518" i="3"/>
  <c r="E2519" i="3"/>
  <c r="E2520" i="3"/>
  <c r="E2521" i="3"/>
  <c r="E2522" i="3"/>
  <c r="E2523" i="3"/>
  <c r="E2524" i="3"/>
  <c r="E2525" i="3"/>
  <c r="E2526" i="3"/>
  <c r="E2527" i="3"/>
  <c r="E2528" i="3"/>
  <c r="E2529" i="3"/>
  <c r="E2530" i="3"/>
  <c r="E2531" i="3"/>
  <c r="E2532" i="3"/>
  <c r="E2533" i="3"/>
  <c r="E2534" i="3"/>
  <c r="E2535" i="3"/>
  <c r="E2536" i="3"/>
  <c r="E2537" i="3"/>
  <c r="E2538" i="3"/>
  <c r="E2539" i="3"/>
  <c r="E2540" i="3"/>
  <c r="E2541" i="3"/>
  <c r="E2542" i="3"/>
  <c r="E2543" i="3"/>
  <c r="E2544" i="3"/>
  <c r="E2545" i="3"/>
  <c r="E2546" i="3"/>
  <c r="E2547" i="3"/>
  <c r="E2548" i="3"/>
  <c r="E2549" i="3"/>
  <c r="E2550" i="3"/>
  <c r="E2551" i="3"/>
  <c r="E2552" i="3"/>
  <c r="E2553" i="3"/>
  <c r="E2554" i="3"/>
  <c r="E2555" i="3"/>
  <c r="E2556" i="3"/>
  <c r="E2557" i="3"/>
  <c r="E2558" i="3"/>
  <c r="E2559" i="3"/>
  <c r="E2560" i="3"/>
  <c r="E2561" i="3"/>
  <c r="E2562" i="3"/>
  <c r="E2563" i="3"/>
  <c r="E2564" i="3"/>
  <c r="E2565" i="3"/>
  <c r="E2566" i="3"/>
  <c r="E2567" i="3"/>
  <c r="E2568" i="3"/>
  <c r="E2569" i="3"/>
  <c r="E2570" i="3"/>
  <c r="E2571" i="3"/>
  <c r="E2572" i="3"/>
  <c r="E2573" i="3"/>
  <c r="E2574" i="3"/>
  <c r="E2575" i="3"/>
  <c r="E2576" i="3"/>
  <c r="E2577" i="3"/>
  <c r="E2578" i="3"/>
  <c r="E2579" i="3"/>
  <c r="E2580" i="3"/>
  <c r="E2581" i="3"/>
  <c r="E2582" i="3"/>
  <c r="E2583" i="3"/>
  <c r="E2584" i="3"/>
  <c r="E2585" i="3"/>
  <c r="E2586" i="3"/>
  <c r="E2587" i="3"/>
  <c r="E2588" i="3"/>
  <c r="E2589" i="3"/>
  <c r="E2590" i="3"/>
  <c r="E2591" i="3"/>
  <c r="E2592" i="3"/>
  <c r="E2593" i="3"/>
  <c r="E2594" i="3"/>
  <c r="E2595" i="3"/>
  <c r="E2596" i="3"/>
  <c r="E2597" i="3"/>
  <c r="E2598" i="3"/>
  <c r="E2599" i="3"/>
  <c r="E2600" i="3"/>
  <c r="E2601" i="3"/>
  <c r="E2602" i="3"/>
  <c r="E2603" i="3"/>
  <c r="E2604" i="3"/>
  <c r="E2605" i="3"/>
  <c r="E2606" i="3"/>
  <c r="E2607" i="3"/>
  <c r="E2608" i="3"/>
  <c r="E2609" i="3"/>
  <c r="E2610" i="3"/>
  <c r="E2611" i="3"/>
  <c r="E2612" i="3"/>
  <c r="E2613" i="3"/>
  <c r="E2614" i="3"/>
  <c r="E2615" i="3"/>
  <c r="E2616" i="3"/>
  <c r="E2617" i="3"/>
  <c r="E2618" i="3"/>
  <c r="E2619" i="3"/>
  <c r="E2620" i="3"/>
  <c r="E2621" i="3"/>
  <c r="E2622" i="3"/>
  <c r="E2623" i="3"/>
  <c r="E2624" i="3"/>
  <c r="E2625" i="3"/>
  <c r="E2626" i="3"/>
  <c r="E2627" i="3"/>
  <c r="E2628" i="3"/>
  <c r="E2629" i="3"/>
  <c r="E2630" i="3"/>
  <c r="E2631" i="3"/>
  <c r="E2632" i="3"/>
  <c r="E2633" i="3"/>
  <c r="E2634" i="3"/>
  <c r="E2635" i="3"/>
  <c r="E2636" i="3"/>
  <c r="E2637" i="3"/>
  <c r="E2638" i="3"/>
  <c r="E2639" i="3"/>
  <c r="E2640" i="3"/>
  <c r="E2641" i="3"/>
  <c r="E2642" i="3"/>
  <c r="E2643" i="3"/>
  <c r="E2644" i="3"/>
  <c r="E2645" i="3"/>
  <c r="E2646" i="3"/>
  <c r="E2647" i="3"/>
  <c r="E2648" i="3"/>
  <c r="E2649" i="3"/>
  <c r="E2650" i="3"/>
  <c r="E2651" i="3"/>
  <c r="E2652" i="3"/>
  <c r="E2653" i="3"/>
  <c r="E2654" i="3"/>
  <c r="E2655" i="3"/>
  <c r="E2656" i="3"/>
  <c r="E2657" i="3"/>
  <c r="E2658" i="3"/>
  <c r="E2659" i="3"/>
  <c r="E2660" i="3"/>
  <c r="E2661" i="3"/>
  <c r="E2662" i="3"/>
  <c r="E2663" i="3"/>
  <c r="E2664" i="3"/>
  <c r="E2665" i="3"/>
  <c r="E2666" i="3"/>
  <c r="E2667" i="3"/>
  <c r="E2668" i="3"/>
  <c r="E2669" i="3"/>
  <c r="E2670" i="3"/>
  <c r="E2671" i="3"/>
  <c r="E2672" i="3"/>
  <c r="E2673" i="3"/>
  <c r="E2674" i="3"/>
  <c r="E2675" i="3"/>
  <c r="E2676" i="3"/>
  <c r="E2677" i="3"/>
  <c r="E2678" i="3"/>
  <c r="E2679" i="3"/>
  <c r="E2680" i="3"/>
  <c r="E2681" i="3"/>
  <c r="E2682" i="3"/>
  <c r="E2683" i="3"/>
  <c r="E2684" i="3"/>
  <c r="E2685" i="3"/>
  <c r="E2686" i="3"/>
  <c r="E2687" i="3"/>
  <c r="E2688" i="3"/>
  <c r="E2689" i="3"/>
  <c r="E2690" i="3"/>
  <c r="E2691" i="3"/>
  <c r="E2692" i="3"/>
  <c r="E2693" i="3"/>
  <c r="E2694" i="3"/>
  <c r="E2695" i="3"/>
  <c r="E2696" i="3"/>
  <c r="E2697" i="3"/>
  <c r="E2698" i="3"/>
  <c r="E2699" i="3"/>
  <c r="E2700" i="3"/>
  <c r="E2701" i="3"/>
  <c r="E2702" i="3"/>
  <c r="E2703" i="3"/>
  <c r="E2704" i="3"/>
  <c r="E2705" i="3"/>
  <c r="E2706" i="3"/>
  <c r="E2707" i="3"/>
  <c r="E2708" i="3"/>
  <c r="E2709" i="3"/>
  <c r="E2710" i="3"/>
  <c r="E2711" i="3"/>
  <c r="E2712" i="3"/>
  <c r="E2713" i="3"/>
  <c r="E2714" i="3"/>
  <c r="E2715" i="3"/>
  <c r="E2716" i="3"/>
  <c r="E2717" i="3"/>
  <c r="E2718" i="3"/>
  <c r="E2719" i="3"/>
  <c r="E2720" i="3"/>
  <c r="E2721" i="3"/>
  <c r="E2722" i="3"/>
  <c r="E2723" i="3"/>
  <c r="E2724" i="3"/>
  <c r="E2725" i="3"/>
  <c r="E2726" i="3"/>
  <c r="E2727" i="3"/>
  <c r="E2728" i="3"/>
  <c r="E2729" i="3"/>
  <c r="E2730" i="3"/>
  <c r="E2731" i="3"/>
  <c r="E2732" i="3"/>
  <c r="E2733" i="3"/>
  <c r="E2734" i="3"/>
  <c r="E2735" i="3"/>
  <c r="E2736" i="3"/>
  <c r="E2737" i="3"/>
  <c r="E2738" i="3"/>
  <c r="E2739" i="3"/>
  <c r="E2740" i="3"/>
  <c r="E2741" i="3"/>
  <c r="E2742" i="3"/>
  <c r="E2743" i="3"/>
  <c r="E2744" i="3"/>
  <c r="E2745" i="3"/>
  <c r="E2746" i="3"/>
  <c r="E2747" i="3"/>
  <c r="E2748" i="3"/>
  <c r="E2749" i="3"/>
  <c r="E2750" i="3"/>
  <c r="E2751" i="3"/>
  <c r="E2752" i="3"/>
  <c r="E2753" i="3"/>
  <c r="E2754" i="3"/>
  <c r="E2755" i="3"/>
  <c r="E2756" i="3"/>
  <c r="E2757" i="3"/>
  <c r="E2758" i="3"/>
  <c r="E2759" i="3"/>
  <c r="E2760" i="3"/>
  <c r="E2761" i="3"/>
  <c r="E2762" i="3"/>
  <c r="E2763" i="3"/>
  <c r="E2764" i="3"/>
  <c r="E2765" i="3"/>
  <c r="E2766" i="3"/>
  <c r="E2767" i="3"/>
  <c r="E2768" i="3"/>
  <c r="E2769" i="3"/>
  <c r="E2770" i="3"/>
  <c r="E2771" i="3"/>
  <c r="E2772" i="3"/>
  <c r="E2773" i="3"/>
  <c r="E2774" i="3"/>
  <c r="E2775" i="3"/>
  <c r="E2776" i="3"/>
  <c r="E2777" i="3"/>
  <c r="E2778" i="3"/>
  <c r="E2779" i="3"/>
  <c r="E2780" i="3"/>
  <c r="E2781" i="3"/>
  <c r="E2782" i="3"/>
  <c r="E2783" i="3"/>
  <c r="E2784" i="3"/>
  <c r="E2785" i="3"/>
  <c r="E2786" i="3"/>
  <c r="E2787" i="3"/>
  <c r="E2788" i="3"/>
  <c r="E2789" i="3"/>
  <c r="E2790" i="3"/>
  <c r="E2791" i="3"/>
  <c r="E2792" i="3"/>
  <c r="E2793" i="3"/>
  <c r="E2794" i="3"/>
  <c r="E2795" i="3"/>
  <c r="E2796" i="3"/>
  <c r="E2797" i="3"/>
  <c r="E2798" i="3"/>
  <c r="E2799" i="3"/>
  <c r="E2800" i="3"/>
  <c r="E2801" i="3"/>
  <c r="E2802" i="3"/>
  <c r="E2803" i="3"/>
  <c r="E2804" i="3"/>
  <c r="E2805" i="3"/>
  <c r="E2806" i="3"/>
  <c r="E2807" i="3"/>
  <c r="E2808" i="3"/>
  <c r="E2809" i="3"/>
  <c r="E2810" i="3"/>
  <c r="E2811" i="3"/>
  <c r="E2812" i="3"/>
  <c r="E2813" i="3"/>
  <c r="E2814" i="3"/>
  <c r="E2815" i="3"/>
  <c r="E2816" i="3"/>
  <c r="E2817" i="3"/>
  <c r="E2818" i="3"/>
  <c r="E2819" i="3"/>
  <c r="E2820" i="3"/>
  <c r="E2821" i="3"/>
  <c r="E2822" i="3"/>
  <c r="E2823" i="3"/>
  <c r="E2824" i="3"/>
  <c r="E2825" i="3"/>
  <c r="E2826" i="3"/>
  <c r="E2827" i="3"/>
  <c r="E2828" i="3"/>
  <c r="E2829" i="3"/>
  <c r="E2830" i="3"/>
  <c r="E2831" i="3"/>
  <c r="E2832" i="3"/>
  <c r="E2833" i="3"/>
  <c r="E2834" i="3"/>
  <c r="E2835" i="3"/>
  <c r="E2836" i="3"/>
  <c r="E2837" i="3"/>
  <c r="E2838" i="3"/>
  <c r="E2839" i="3"/>
  <c r="E2840" i="3"/>
  <c r="E2841" i="3"/>
  <c r="E2842" i="3"/>
  <c r="E2843" i="3"/>
  <c r="E2844" i="3"/>
  <c r="E2845" i="3"/>
  <c r="E2846" i="3"/>
  <c r="E2847" i="3"/>
  <c r="E2848" i="3"/>
  <c r="E2849" i="3"/>
  <c r="E2850" i="3"/>
  <c r="E2851" i="3"/>
  <c r="E2852" i="3"/>
  <c r="E2853" i="3"/>
  <c r="E2854" i="3"/>
  <c r="E2855" i="3"/>
  <c r="E2856" i="3"/>
  <c r="E2857" i="3"/>
  <c r="E2858" i="3"/>
  <c r="E2859" i="3"/>
  <c r="E2860" i="3"/>
  <c r="E2861" i="3"/>
  <c r="E2862" i="3"/>
  <c r="E2863" i="3"/>
  <c r="E2864" i="3"/>
  <c r="E2865" i="3"/>
  <c r="E2866" i="3"/>
  <c r="E2867" i="3"/>
  <c r="E2868" i="3"/>
  <c r="E2869" i="3"/>
  <c r="E2870" i="3"/>
  <c r="E2871" i="3"/>
  <c r="E2872" i="3"/>
  <c r="E2873" i="3"/>
  <c r="E2874" i="3"/>
  <c r="E2875" i="3"/>
  <c r="E2876" i="3"/>
  <c r="E2877" i="3"/>
  <c r="E2878" i="3"/>
  <c r="E2879" i="3"/>
  <c r="E2880" i="3"/>
  <c r="E2881" i="3"/>
  <c r="E2882" i="3"/>
  <c r="E2883" i="3"/>
  <c r="E2884" i="3"/>
  <c r="E2" i="3"/>
  <c r="D3" i="3"/>
  <c r="D4" i="3"/>
  <c r="D5" i="3"/>
  <c r="D6" i="3"/>
  <c r="D7" i="3"/>
  <c r="D8" i="3"/>
  <c r="D9" i="3"/>
  <c r="D10" i="3"/>
  <c r="D11" i="3"/>
  <c r="D12" i="3"/>
  <c r="D13" i="3"/>
  <c r="D14" i="3"/>
  <c r="D15" i="3"/>
  <c r="D16" i="3"/>
  <c r="D17" i="3"/>
  <c r="D18" i="3"/>
  <c r="D19" i="3"/>
  <c r="D20" i="3"/>
  <c r="D21" i="3"/>
  <c r="D22" i="3"/>
  <c r="D23" i="3"/>
  <c r="D24" i="3"/>
  <c r="D25" i="3"/>
  <c r="D26" i="3"/>
  <c r="D27" i="3"/>
  <c r="D28" i="3"/>
  <c r="D29" i="3"/>
  <c r="D30" i="3"/>
  <c r="D31" i="3"/>
  <c r="D32" i="3"/>
  <c r="D33" i="3"/>
  <c r="D34" i="3"/>
  <c r="D35" i="3"/>
  <c r="D36" i="3"/>
  <c r="D37" i="3"/>
  <c r="D38" i="3"/>
  <c r="D39" i="3"/>
  <c r="D40" i="3"/>
  <c r="D41" i="3"/>
  <c r="D42" i="3"/>
  <c r="D43" i="3"/>
  <c r="D44" i="3"/>
  <c r="D45" i="3"/>
  <c r="D46" i="3"/>
  <c r="D47" i="3"/>
  <c r="D48" i="3"/>
  <c r="D49" i="3"/>
  <c r="D50" i="3"/>
  <c r="D51" i="3"/>
  <c r="D52" i="3"/>
  <c r="D53" i="3"/>
  <c r="D54" i="3"/>
  <c r="D55" i="3"/>
  <c r="D56" i="3"/>
  <c r="D57" i="3"/>
  <c r="D58" i="3"/>
  <c r="D59" i="3"/>
  <c r="D60" i="3"/>
  <c r="D61" i="3"/>
  <c r="D62" i="3"/>
  <c r="D63" i="3"/>
  <c r="D64" i="3"/>
  <c r="D65" i="3"/>
  <c r="D66" i="3"/>
  <c r="D67" i="3"/>
  <c r="D68" i="3"/>
  <c r="D69" i="3"/>
  <c r="D70" i="3"/>
  <c r="D71" i="3"/>
  <c r="D72" i="3"/>
  <c r="D73" i="3"/>
  <c r="D74" i="3"/>
  <c r="D75" i="3"/>
  <c r="D76" i="3"/>
  <c r="D77" i="3"/>
  <c r="D78" i="3"/>
  <c r="D79" i="3"/>
  <c r="D80" i="3"/>
  <c r="D81" i="3"/>
  <c r="D82" i="3"/>
  <c r="D83" i="3"/>
  <c r="D84" i="3"/>
  <c r="D85" i="3"/>
  <c r="D86" i="3"/>
  <c r="D87" i="3"/>
  <c r="D88" i="3"/>
  <c r="D89" i="3"/>
  <c r="D90" i="3"/>
  <c r="D91" i="3"/>
  <c r="D92" i="3"/>
  <c r="D93" i="3"/>
  <c r="D94" i="3"/>
  <c r="D95" i="3"/>
  <c r="D96" i="3"/>
  <c r="D97" i="3"/>
  <c r="D98" i="3"/>
  <c r="D99" i="3"/>
  <c r="D100" i="3"/>
  <c r="D101" i="3"/>
  <c r="D102" i="3"/>
  <c r="D103" i="3"/>
  <c r="D104" i="3"/>
  <c r="D105" i="3"/>
  <c r="D106" i="3"/>
  <c r="D107" i="3"/>
  <c r="D108" i="3"/>
  <c r="D109" i="3"/>
  <c r="D110" i="3"/>
  <c r="D111" i="3"/>
  <c r="D112" i="3"/>
  <c r="D113" i="3"/>
  <c r="D114" i="3"/>
  <c r="D115" i="3"/>
  <c r="D116" i="3"/>
  <c r="D117" i="3"/>
  <c r="D118" i="3"/>
  <c r="D119" i="3"/>
  <c r="D120" i="3"/>
  <c r="D121" i="3"/>
  <c r="D122" i="3"/>
  <c r="D123" i="3"/>
  <c r="D124" i="3"/>
  <c r="D125" i="3"/>
  <c r="D126" i="3"/>
  <c r="D127" i="3"/>
  <c r="D128" i="3"/>
  <c r="D129" i="3"/>
  <c r="D130" i="3"/>
  <c r="D131" i="3"/>
  <c r="D132" i="3"/>
  <c r="D133" i="3"/>
  <c r="D134" i="3"/>
  <c r="D135" i="3"/>
  <c r="D136" i="3"/>
  <c r="D137" i="3"/>
  <c r="D138" i="3"/>
  <c r="D139" i="3"/>
  <c r="D140" i="3"/>
  <c r="D141" i="3"/>
  <c r="D142" i="3"/>
  <c r="D143" i="3"/>
  <c r="D144" i="3"/>
  <c r="D145" i="3"/>
  <c r="D146" i="3"/>
  <c r="D147" i="3"/>
  <c r="D148" i="3"/>
  <c r="D149" i="3"/>
  <c r="D150" i="3"/>
  <c r="D151" i="3"/>
  <c r="D152" i="3"/>
  <c r="D153" i="3"/>
  <c r="D154" i="3"/>
  <c r="D155" i="3"/>
  <c r="D156" i="3"/>
  <c r="D157" i="3"/>
  <c r="D158" i="3"/>
  <c r="D159" i="3"/>
  <c r="D160" i="3"/>
  <c r="D161" i="3"/>
  <c r="D162" i="3"/>
  <c r="D163" i="3"/>
  <c r="D164" i="3"/>
  <c r="D165" i="3"/>
  <c r="D166" i="3"/>
  <c r="D167" i="3"/>
  <c r="D168" i="3"/>
  <c r="D169" i="3"/>
  <c r="D170" i="3"/>
  <c r="D171" i="3"/>
  <c r="D172" i="3"/>
  <c r="D173" i="3"/>
  <c r="D174" i="3"/>
  <c r="D175" i="3"/>
  <c r="D176" i="3"/>
  <c r="D177" i="3"/>
  <c r="D178" i="3"/>
  <c r="D179" i="3"/>
  <c r="D180" i="3"/>
  <c r="D181" i="3"/>
  <c r="D182" i="3"/>
  <c r="D183" i="3"/>
  <c r="D184" i="3"/>
  <c r="D185" i="3"/>
  <c r="D186" i="3"/>
  <c r="D187" i="3"/>
  <c r="D188" i="3"/>
  <c r="D189" i="3"/>
  <c r="D190" i="3"/>
  <c r="D191" i="3"/>
  <c r="D192" i="3"/>
  <c r="D193" i="3"/>
  <c r="D194" i="3"/>
  <c r="D195" i="3"/>
  <c r="D196" i="3"/>
  <c r="D197" i="3"/>
  <c r="D198" i="3"/>
  <c r="D199" i="3"/>
  <c r="D200" i="3"/>
  <c r="D201" i="3"/>
  <c r="D202" i="3"/>
  <c r="D203" i="3"/>
  <c r="D204" i="3"/>
  <c r="D205" i="3"/>
  <c r="D206" i="3"/>
  <c r="D207" i="3"/>
  <c r="D208" i="3"/>
  <c r="D209" i="3"/>
  <c r="D210" i="3"/>
  <c r="D211" i="3"/>
  <c r="D212" i="3"/>
  <c r="D213" i="3"/>
  <c r="D214" i="3"/>
  <c r="D215" i="3"/>
  <c r="D216" i="3"/>
  <c r="D217" i="3"/>
  <c r="D218" i="3"/>
  <c r="D219" i="3"/>
  <c r="D220" i="3"/>
  <c r="D221" i="3"/>
  <c r="D222" i="3"/>
  <c r="D223" i="3"/>
  <c r="D224" i="3"/>
  <c r="D225" i="3"/>
  <c r="D226" i="3"/>
  <c r="D227" i="3"/>
  <c r="D228" i="3"/>
  <c r="D229" i="3"/>
  <c r="D230" i="3"/>
  <c r="D231" i="3"/>
  <c r="D232" i="3"/>
  <c r="D233" i="3"/>
  <c r="D234" i="3"/>
  <c r="D235" i="3"/>
  <c r="D236" i="3"/>
  <c r="D237" i="3"/>
  <c r="D238" i="3"/>
  <c r="D239" i="3"/>
  <c r="D240" i="3"/>
  <c r="D241" i="3"/>
  <c r="D242" i="3"/>
  <c r="D243" i="3"/>
  <c r="D244" i="3"/>
  <c r="D245" i="3"/>
  <c r="D246" i="3"/>
  <c r="D247" i="3"/>
  <c r="D248" i="3"/>
  <c r="D249" i="3"/>
  <c r="D250" i="3"/>
  <c r="D251" i="3"/>
  <c r="D252" i="3"/>
  <c r="D253" i="3"/>
  <c r="D254" i="3"/>
  <c r="D255" i="3"/>
  <c r="D256" i="3"/>
  <c r="D257" i="3"/>
  <c r="D258" i="3"/>
  <c r="D259" i="3"/>
  <c r="D260" i="3"/>
  <c r="D261" i="3"/>
  <c r="D262" i="3"/>
  <c r="D263" i="3"/>
  <c r="D264" i="3"/>
  <c r="D265" i="3"/>
  <c r="D266" i="3"/>
  <c r="D267" i="3"/>
  <c r="D268" i="3"/>
  <c r="D269" i="3"/>
  <c r="D270" i="3"/>
  <c r="D271" i="3"/>
  <c r="D272" i="3"/>
  <c r="D273" i="3"/>
  <c r="D274" i="3"/>
  <c r="D275" i="3"/>
  <c r="D276" i="3"/>
  <c r="D277" i="3"/>
  <c r="D278" i="3"/>
  <c r="D279" i="3"/>
  <c r="D280" i="3"/>
  <c r="D281" i="3"/>
  <c r="D282" i="3"/>
  <c r="D283" i="3"/>
  <c r="D284" i="3"/>
  <c r="D285" i="3"/>
  <c r="D286" i="3"/>
  <c r="D287" i="3"/>
  <c r="D288" i="3"/>
  <c r="D289" i="3"/>
  <c r="D290" i="3"/>
  <c r="D291" i="3"/>
  <c r="D292" i="3"/>
  <c r="D293" i="3"/>
  <c r="D294" i="3"/>
  <c r="D295" i="3"/>
  <c r="D296" i="3"/>
  <c r="D297" i="3"/>
  <c r="D298" i="3"/>
  <c r="D299" i="3"/>
  <c r="D300" i="3"/>
  <c r="D301" i="3"/>
  <c r="D302" i="3"/>
  <c r="D303" i="3"/>
  <c r="D304" i="3"/>
  <c r="D305" i="3"/>
  <c r="D306" i="3"/>
  <c r="D307" i="3"/>
  <c r="D308" i="3"/>
  <c r="D309" i="3"/>
  <c r="D310" i="3"/>
  <c r="D311" i="3"/>
  <c r="D312" i="3"/>
  <c r="D313" i="3"/>
  <c r="D314" i="3"/>
  <c r="D315" i="3"/>
  <c r="D316" i="3"/>
  <c r="D317" i="3"/>
  <c r="D318" i="3"/>
  <c r="D319" i="3"/>
  <c r="D320" i="3"/>
  <c r="D321" i="3"/>
  <c r="D322" i="3"/>
  <c r="D323" i="3"/>
  <c r="D324" i="3"/>
  <c r="D325" i="3"/>
  <c r="D326" i="3"/>
  <c r="D327" i="3"/>
  <c r="D328" i="3"/>
  <c r="D329" i="3"/>
  <c r="D330" i="3"/>
  <c r="D331" i="3"/>
  <c r="D332" i="3"/>
  <c r="D333" i="3"/>
  <c r="D334" i="3"/>
  <c r="D335" i="3"/>
  <c r="D336" i="3"/>
  <c r="D337" i="3"/>
  <c r="D338" i="3"/>
  <c r="D339" i="3"/>
  <c r="D340" i="3"/>
  <c r="D341" i="3"/>
  <c r="D342" i="3"/>
  <c r="D343" i="3"/>
  <c r="D344" i="3"/>
  <c r="D345" i="3"/>
  <c r="D346" i="3"/>
  <c r="D347" i="3"/>
  <c r="D348" i="3"/>
  <c r="D349" i="3"/>
  <c r="D350" i="3"/>
  <c r="D351" i="3"/>
  <c r="D352" i="3"/>
  <c r="D353" i="3"/>
  <c r="D354" i="3"/>
  <c r="D355" i="3"/>
  <c r="D356" i="3"/>
  <c r="D357" i="3"/>
  <c r="D358" i="3"/>
  <c r="D359" i="3"/>
  <c r="D360" i="3"/>
  <c r="D361" i="3"/>
  <c r="D362" i="3"/>
  <c r="D363" i="3"/>
  <c r="D364" i="3"/>
  <c r="D365" i="3"/>
  <c r="D366" i="3"/>
  <c r="D367" i="3"/>
  <c r="D368" i="3"/>
  <c r="D369" i="3"/>
  <c r="D370" i="3"/>
  <c r="D371" i="3"/>
  <c r="D372" i="3"/>
  <c r="D373" i="3"/>
  <c r="D374" i="3"/>
  <c r="D375" i="3"/>
  <c r="D376" i="3"/>
  <c r="D377" i="3"/>
  <c r="D378" i="3"/>
  <c r="D379" i="3"/>
  <c r="D380" i="3"/>
  <c r="D381" i="3"/>
  <c r="D382" i="3"/>
  <c r="D383" i="3"/>
  <c r="D384" i="3"/>
  <c r="D385" i="3"/>
  <c r="D386" i="3"/>
  <c r="D387" i="3"/>
  <c r="D388" i="3"/>
  <c r="D389" i="3"/>
  <c r="D390" i="3"/>
  <c r="D391" i="3"/>
  <c r="D392" i="3"/>
  <c r="D393" i="3"/>
  <c r="D394" i="3"/>
  <c r="D395" i="3"/>
  <c r="D396" i="3"/>
  <c r="D397" i="3"/>
  <c r="D398" i="3"/>
  <c r="D399" i="3"/>
  <c r="D400" i="3"/>
  <c r="D401" i="3"/>
  <c r="D402" i="3"/>
  <c r="D403" i="3"/>
  <c r="D404" i="3"/>
  <c r="D405" i="3"/>
  <c r="D406" i="3"/>
  <c r="D407" i="3"/>
  <c r="D408" i="3"/>
  <c r="D409" i="3"/>
  <c r="D410" i="3"/>
  <c r="D411" i="3"/>
  <c r="D412" i="3"/>
  <c r="D413" i="3"/>
  <c r="D414" i="3"/>
  <c r="D415" i="3"/>
  <c r="D416" i="3"/>
  <c r="D417" i="3"/>
  <c r="D418" i="3"/>
  <c r="D419" i="3"/>
  <c r="D420" i="3"/>
  <c r="D421" i="3"/>
  <c r="D422" i="3"/>
  <c r="D423" i="3"/>
  <c r="D424" i="3"/>
  <c r="D425" i="3"/>
  <c r="D426" i="3"/>
  <c r="D427" i="3"/>
  <c r="D428" i="3"/>
  <c r="D429" i="3"/>
  <c r="D430" i="3"/>
  <c r="D431" i="3"/>
  <c r="D432" i="3"/>
  <c r="D433" i="3"/>
  <c r="D434" i="3"/>
  <c r="D435" i="3"/>
  <c r="D436" i="3"/>
  <c r="D437" i="3"/>
  <c r="D438" i="3"/>
  <c r="D439" i="3"/>
  <c r="D440" i="3"/>
  <c r="D441" i="3"/>
  <c r="D442" i="3"/>
  <c r="D443" i="3"/>
  <c r="D444" i="3"/>
  <c r="D445" i="3"/>
  <c r="D446" i="3"/>
  <c r="D447" i="3"/>
  <c r="D448" i="3"/>
  <c r="D449" i="3"/>
  <c r="D450" i="3"/>
  <c r="D451" i="3"/>
  <c r="D452" i="3"/>
  <c r="D453" i="3"/>
  <c r="D454" i="3"/>
  <c r="D455" i="3"/>
  <c r="D456" i="3"/>
  <c r="D457" i="3"/>
  <c r="D458" i="3"/>
  <c r="D459" i="3"/>
  <c r="D460" i="3"/>
  <c r="D461" i="3"/>
  <c r="D462" i="3"/>
  <c r="D463" i="3"/>
  <c r="D464" i="3"/>
  <c r="D465" i="3"/>
  <c r="D466" i="3"/>
  <c r="D467" i="3"/>
  <c r="D468" i="3"/>
  <c r="D469" i="3"/>
  <c r="D470" i="3"/>
  <c r="D471" i="3"/>
  <c r="D472" i="3"/>
  <c r="D473" i="3"/>
  <c r="D474" i="3"/>
  <c r="D475" i="3"/>
  <c r="D476" i="3"/>
  <c r="D477" i="3"/>
  <c r="D478" i="3"/>
  <c r="D479" i="3"/>
  <c r="D480" i="3"/>
  <c r="D481" i="3"/>
  <c r="D482" i="3"/>
  <c r="D483" i="3"/>
  <c r="D484" i="3"/>
  <c r="D485" i="3"/>
  <c r="D486" i="3"/>
  <c r="D487" i="3"/>
  <c r="D488" i="3"/>
  <c r="D489" i="3"/>
  <c r="D490" i="3"/>
  <c r="D491" i="3"/>
  <c r="D492" i="3"/>
  <c r="D493" i="3"/>
  <c r="D494" i="3"/>
  <c r="D495" i="3"/>
  <c r="D496" i="3"/>
  <c r="D497" i="3"/>
  <c r="D498" i="3"/>
  <c r="D499" i="3"/>
  <c r="D500" i="3"/>
  <c r="D501" i="3"/>
  <c r="D502" i="3"/>
  <c r="D503" i="3"/>
  <c r="D504" i="3"/>
  <c r="D505" i="3"/>
  <c r="D506" i="3"/>
  <c r="D507" i="3"/>
  <c r="D508" i="3"/>
  <c r="D509" i="3"/>
  <c r="D510" i="3"/>
  <c r="D511" i="3"/>
  <c r="D512" i="3"/>
  <c r="D513" i="3"/>
  <c r="D514" i="3"/>
  <c r="D515" i="3"/>
  <c r="D516" i="3"/>
  <c r="D517" i="3"/>
  <c r="D518" i="3"/>
  <c r="D519" i="3"/>
  <c r="D520" i="3"/>
  <c r="D521" i="3"/>
  <c r="D522" i="3"/>
  <c r="D523" i="3"/>
  <c r="D524" i="3"/>
  <c r="D525" i="3"/>
  <c r="D526" i="3"/>
  <c r="D527" i="3"/>
  <c r="D528" i="3"/>
  <c r="D529" i="3"/>
  <c r="D530" i="3"/>
  <c r="D531" i="3"/>
  <c r="D532" i="3"/>
  <c r="D533" i="3"/>
  <c r="D534" i="3"/>
  <c r="D535" i="3"/>
  <c r="D536" i="3"/>
  <c r="D537" i="3"/>
  <c r="D538" i="3"/>
  <c r="D539" i="3"/>
  <c r="D540" i="3"/>
  <c r="D541" i="3"/>
  <c r="D542" i="3"/>
  <c r="D543" i="3"/>
  <c r="D544" i="3"/>
  <c r="D545" i="3"/>
  <c r="D546" i="3"/>
  <c r="D547" i="3"/>
  <c r="D548" i="3"/>
  <c r="D549" i="3"/>
  <c r="D550" i="3"/>
  <c r="D551" i="3"/>
  <c r="D552" i="3"/>
  <c r="D553" i="3"/>
  <c r="D554" i="3"/>
  <c r="D555" i="3"/>
  <c r="D556" i="3"/>
  <c r="D557" i="3"/>
  <c r="D558" i="3"/>
  <c r="D559" i="3"/>
  <c r="D560" i="3"/>
  <c r="D561" i="3"/>
  <c r="D562" i="3"/>
  <c r="D563" i="3"/>
  <c r="D564" i="3"/>
  <c r="D565" i="3"/>
  <c r="D566" i="3"/>
  <c r="D567" i="3"/>
  <c r="D568" i="3"/>
  <c r="D569" i="3"/>
  <c r="D570" i="3"/>
  <c r="D571" i="3"/>
  <c r="D572" i="3"/>
  <c r="D573" i="3"/>
  <c r="D574" i="3"/>
  <c r="D575" i="3"/>
  <c r="D576" i="3"/>
  <c r="D577" i="3"/>
  <c r="D578" i="3"/>
  <c r="D579" i="3"/>
  <c r="D580" i="3"/>
  <c r="D581" i="3"/>
  <c r="D582" i="3"/>
  <c r="D583" i="3"/>
  <c r="D584" i="3"/>
  <c r="D585" i="3"/>
  <c r="D586" i="3"/>
  <c r="D587" i="3"/>
  <c r="D588" i="3"/>
  <c r="D589" i="3"/>
  <c r="D590" i="3"/>
  <c r="D591" i="3"/>
  <c r="D592" i="3"/>
  <c r="D593" i="3"/>
  <c r="D594" i="3"/>
  <c r="D595" i="3"/>
  <c r="D596" i="3"/>
  <c r="D597" i="3"/>
  <c r="D598" i="3"/>
  <c r="D599" i="3"/>
  <c r="D600" i="3"/>
  <c r="D601" i="3"/>
  <c r="D602" i="3"/>
  <c r="D603" i="3"/>
  <c r="D604" i="3"/>
  <c r="D605" i="3"/>
  <c r="D606" i="3"/>
  <c r="D607" i="3"/>
  <c r="D608" i="3"/>
  <c r="D609" i="3"/>
  <c r="D610" i="3"/>
  <c r="D611" i="3"/>
  <c r="D612" i="3"/>
  <c r="D613" i="3"/>
  <c r="D614" i="3"/>
  <c r="D615" i="3"/>
  <c r="D616" i="3"/>
  <c r="D617" i="3"/>
  <c r="D618" i="3"/>
  <c r="D619" i="3"/>
  <c r="D620" i="3"/>
  <c r="D621" i="3"/>
  <c r="D622" i="3"/>
  <c r="D623" i="3"/>
  <c r="D624" i="3"/>
  <c r="D625" i="3"/>
  <c r="D626" i="3"/>
  <c r="D627" i="3"/>
  <c r="D628" i="3"/>
  <c r="D629" i="3"/>
  <c r="D630" i="3"/>
  <c r="D631" i="3"/>
  <c r="D632" i="3"/>
  <c r="D633" i="3"/>
  <c r="D634" i="3"/>
  <c r="D635" i="3"/>
  <c r="D636" i="3"/>
  <c r="D637" i="3"/>
  <c r="D638" i="3"/>
  <c r="D639" i="3"/>
  <c r="D640" i="3"/>
  <c r="D641" i="3"/>
  <c r="D642" i="3"/>
  <c r="D643" i="3"/>
  <c r="D644" i="3"/>
  <c r="D645" i="3"/>
  <c r="D646" i="3"/>
  <c r="D647" i="3"/>
  <c r="D648" i="3"/>
  <c r="D649" i="3"/>
  <c r="D650" i="3"/>
  <c r="D651" i="3"/>
  <c r="D652" i="3"/>
  <c r="D653" i="3"/>
  <c r="D654" i="3"/>
  <c r="D655" i="3"/>
  <c r="D656" i="3"/>
  <c r="D657" i="3"/>
  <c r="D658" i="3"/>
  <c r="D659" i="3"/>
  <c r="D660" i="3"/>
  <c r="D661" i="3"/>
  <c r="D662" i="3"/>
  <c r="D663" i="3"/>
  <c r="D664" i="3"/>
  <c r="D665" i="3"/>
  <c r="D666" i="3"/>
  <c r="D667" i="3"/>
  <c r="D668" i="3"/>
  <c r="D669" i="3"/>
  <c r="D670" i="3"/>
  <c r="D671" i="3"/>
  <c r="D672" i="3"/>
  <c r="D673" i="3"/>
  <c r="D674" i="3"/>
  <c r="D675" i="3"/>
  <c r="D676" i="3"/>
  <c r="D677" i="3"/>
  <c r="D678" i="3"/>
  <c r="D679" i="3"/>
  <c r="D680" i="3"/>
  <c r="D681" i="3"/>
  <c r="D682" i="3"/>
  <c r="D683" i="3"/>
  <c r="D684" i="3"/>
  <c r="D685" i="3"/>
  <c r="D686" i="3"/>
  <c r="D687" i="3"/>
  <c r="D688" i="3"/>
  <c r="D689" i="3"/>
  <c r="D690" i="3"/>
  <c r="D691" i="3"/>
  <c r="D692" i="3"/>
  <c r="D693" i="3"/>
  <c r="D694" i="3"/>
  <c r="D695" i="3"/>
  <c r="D696" i="3"/>
  <c r="D697" i="3"/>
  <c r="D698" i="3"/>
  <c r="D699" i="3"/>
  <c r="D700" i="3"/>
  <c r="D701" i="3"/>
  <c r="D702" i="3"/>
  <c r="D703" i="3"/>
  <c r="D704" i="3"/>
  <c r="D705" i="3"/>
  <c r="D706" i="3"/>
  <c r="D707" i="3"/>
  <c r="D708" i="3"/>
  <c r="D709" i="3"/>
  <c r="D710" i="3"/>
  <c r="D711" i="3"/>
  <c r="D712" i="3"/>
  <c r="D713" i="3"/>
  <c r="D714" i="3"/>
  <c r="D715" i="3"/>
  <c r="D716" i="3"/>
  <c r="D717" i="3"/>
  <c r="D718" i="3"/>
  <c r="D719" i="3"/>
  <c r="D720" i="3"/>
  <c r="D721" i="3"/>
  <c r="D722" i="3"/>
  <c r="D723" i="3"/>
  <c r="D724" i="3"/>
  <c r="D725" i="3"/>
  <c r="D726" i="3"/>
  <c r="D727" i="3"/>
  <c r="D728" i="3"/>
  <c r="D729" i="3"/>
  <c r="D730" i="3"/>
  <c r="D731" i="3"/>
  <c r="D732" i="3"/>
  <c r="D733" i="3"/>
  <c r="D734" i="3"/>
  <c r="D735" i="3"/>
  <c r="D736" i="3"/>
  <c r="D737" i="3"/>
  <c r="D738" i="3"/>
  <c r="D739" i="3"/>
  <c r="D740" i="3"/>
  <c r="D741" i="3"/>
  <c r="D742" i="3"/>
  <c r="D743" i="3"/>
  <c r="D744" i="3"/>
  <c r="D745" i="3"/>
  <c r="D746" i="3"/>
  <c r="D747" i="3"/>
  <c r="D748" i="3"/>
  <c r="D749" i="3"/>
  <c r="D750" i="3"/>
  <c r="D751" i="3"/>
  <c r="D752" i="3"/>
  <c r="D753" i="3"/>
  <c r="D754" i="3"/>
  <c r="D755" i="3"/>
  <c r="D756" i="3"/>
  <c r="D757" i="3"/>
  <c r="D758" i="3"/>
  <c r="D759" i="3"/>
  <c r="D760" i="3"/>
  <c r="D761" i="3"/>
  <c r="D762" i="3"/>
  <c r="D763" i="3"/>
  <c r="D764" i="3"/>
  <c r="D765" i="3"/>
  <c r="D766" i="3"/>
  <c r="D767" i="3"/>
  <c r="D768" i="3"/>
  <c r="D769" i="3"/>
  <c r="D770" i="3"/>
  <c r="D771" i="3"/>
  <c r="D772" i="3"/>
  <c r="D773" i="3"/>
  <c r="D774" i="3"/>
  <c r="D775" i="3"/>
  <c r="D776" i="3"/>
  <c r="D777" i="3"/>
  <c r="D778" i="3"/>
  <c r="D779" i="3"/>
  <c r="D780" i="3"/>
  <c r="D781" i="3"/>
  <c r="D782" i="3"/>
  <c r="D783" i="3"/>
  <c r="D784" i="3"/>
  <c r="D785" i="3"/>
  <c r="D786" i="3"/>
  <c r="D787" i="3"/>
  <c r="D788" i="3"/>
  <c r="D789" i="3"/>
  <c r="D790" i="3"/>
  <c r="D791" i="3"/>
  <c r="D792" i="3"/>
  <c r="D793" i="3"/>
  <c r="D794" i="3"/>
  <c r="D795" i="3"/>
  <c r="D796" i="3"/>
  <c r="D797" i="3"/>
  <c r="D798" i="3"/>
  <c r="D799" i="3"/>
  <c r="D800" i="3"/>
  <c r="D801" i="3"/>
  <c r="D802" i="3"/>
  <c r="D803" i="3"/>
  <c r="D804" i="3"/>
  <c r="D805" i="3"/>
  <c r="D806" i="3"/>
  <c r="D807" i="3"/>
  <c r="D808" i="3"/>
  <c r="D809" i="3"/>
  <c r="D810" i="3"/>
  <c r="D811" i="3"/>
  <c r="D812" i="3"/>
  <c r="D813" i="3"/>
  <c r="D814" i="3"/>
  <c r="D815" i="3"/>
  <c r="D816" i="3"/>
  <c r="D817" i="3"/>
  <c r="D818" i="3"/>
  <c r="D819" i="3"/>
  <c r="D820" i="3"/>
  <c r="D821" i="3"/>
  <c r="D822" i="3"/>
  <c r="D823" i="3"/>
  <c r="D824" i="3"/>
  <c r="D825" i="3"/>
  <c r="D826" i="3"/>
  <c r="D827" i="3"/>
  <c r="D828" i="3"/>
  <c r="D829" i="3"/>
  <c r="D830" i="3"/>
  <c r="D831" i="3"/>
  <c r="D832" i="3"/>
  <c r="D833" i="3"/>
  <c r="D834" i="3"/>
  <c r="D835" i="3"/>
  <c r="D836" i="3"/>
  <c r="D837" i="3"/>
  <c r="D838" i="3"/>
  <c r="D839" i="3"/>
  <c r="D840" i="3"/>
  <c r="D841" i="3"/>
  <c r="D842" i="3"/>
  <c r="D843" i="3"/>
  <c r="D844" i="3"/>
  <c r="D845" i="3"/>
  <c r="D846" i="3"/>
  <c r="D847" i="3"/>
  <c r="D848" i="3"/>
  <c r="D849" i="3"/>
  <c r="D850" i="3"/>
  <c r="D851" i="3"/>
  <c r="D852" i="3"/>
  <c r="D853" i="3"/>
  <c r="D854" i="3"/>
  <c r="D855" i="3"/>
  <c r="D856" i="3"/>
  <c r="D857" i="3"/>
  <c r="D858" i="3"/>
  <c r="D859" i="3"/>
  <c r="D860" i="3"/>
  <c r="D861" i="3"/>
  <c r="D862" i="3"/>
  <c r="D863" i="3"/>
  <c r="D864" i="3"/>
  <c r="D865" i="3"/>
  <c r="D866" i="3"/>
  <c r="D867" i="3"/>
  <c r="D868" i="3"/>
  <c r="D869" i="3"/>
  <c r="D870" i="3"/>
  <c r="D871" i="3"/>
  <c r="D872" i="3"/>
  <c r="D873" i="3"/>
  <c r="D874" i="3"/>
  <c r="D875" i="3"/>
  <c r="D876" i="3"/>
  <c r="D877" i="3"/>
  <c r="D878" i="3"/>
  <c r="D879" i="3"/>
  <c r="D880" i="3"/>
  <c r="D881" i="3"/>
  <c r="D882" i="3"/>
  <c r="D883" i="3"/>
  <c r="D884" i="3"/>
  <c r="D885" i="3"/>
  <c r="D886" i="3"/>
  <c r="D887" i="3"/>
  <c r="D888" i="3"/>
  <c r="D889" i="3"/>
  <c r="D890" i="3"/>
  <c r="D891" i="3"/>
  <c r="D892" i="3"/>
  <c r="D893" i="3"/>
  <c r="D894" i="3"/>
  <c r="D895" i="3"/>
  <c r="D896" i="3"/>
  <c r="D897" i="3"/>
  <c r="D898" i="3"/>
  <c r="D899" i="3"/>
  <c r="D900" i="3"/>
  <c r="D901" i="3"/>
  <c r="D902" i="3"/>
  <c r="D903" i="3"/>
  <c r="D904" i="3"/>
  <c r="D905" i="3"/>
  <c r="D906" i="3"/>
  <c r="D907" i="3"/>
  <c r="D908" i="3"/>
  <c r="D909" i="3"/>
  <c r="D910" i="3"/>
  <c r="D911" i="3"/>
  <c r="D912" i="3"/>
  <c r="D913" i="3"/>
  <c r="D914" i="3"/>
  <c r="D915" i="3"/>
  <c r="D916" i="3"/>
  <c r="D917" i="3"/>
  <c r="D918" i="3"/>
  <c r="D919" i="3"/>
  <c r="D920" i="3"/>
  <c r="D921" i="3"/>
  <c r="D922" i="3"/>
  <c r="D923" i="3"/>
  <c r="D924" i="3"/>
  <c r="D925" i="3"/>
  <c r="D926" i="3"/>
  <c r="D927" i="3"/>
  <c r="D928" i="3"/>
  <c r="D929" i="3"/>
  <c r="D930" i="3"/>
  <c r="D931" i="3"/>
  <c r="D932" i="3"/>
  <c r="D933" i="3"/>
  <c r="D934" i="3"/>
  <c r="D935" i="3"/>
  <c r="D936" i="3"/>
  <c r="D937" i="3"/>
  <c r="D938" i="3"/>
  <c r="D939" i="3"/>
  <c r="D940" i="3"/>
  <c r="D941" i="3"/>
  <c r="D942" i="3"/>
  <c r="D943" i="3"/>
  <c r="D944" i="3"/>
  <c r="D945" i="3"/>
  <c r="D946" i="3"/>
  <c r="D947" i="3"/>
  <c r="D948" i="3"/>
  <c r="D949" i="3"/>
  <c r="D950" i="3"/>
  <c r="D951" i="3"/>
  <c r="D952" i="3"/>
  <c r="D953" i="3"/>
  <c r="D954" i="3"/>
  <c r="D955" i="3"/>
  <c r="D956" i="3"/>
  <c r="D957" i="3"/>
  <c r="D958" i="3"/>
  <c r="D959" i="3"/>
  <c r="D960" i="3"/>
  <c r="D961" i="3"/>
  <c r="D962" i="3"/>
  <c r="D963" i="3"/>
  <c r="D964" i="3"/>
  <c r="D965" i="3"/>
  <c r="D966" i="3"/>
  <c r="D967" i="3"/>
  <c r="D968" i="3"/>
  <c r="D969" i="3"/>
  <c r="D970" i="3"/>
  <c r="D971" i="3"/>
  <c r="D972" i="3"/>
  <c r="D973" i="3"/>
  <c r="D974" i="3"/>
  <c r="D975" i="3"/>
  <c r="D976" i="3"/>
  <c r="D977" i="3"/>
  <c r="D978" i="3"/>
  <c r="D979" i="3"/>
  <c r="D980" i="3"/>
  <c r="D981" i="3"/>
  <c r="D982" i="3"/>
  <c r="D983" i="3"/>
  <c r="D984" i="3"/>
  <c r="D985" i="3"/>
  <c r="D986" i="3"/>
  <c r="D987" i="3"/>
  <c r="D988" i="3"/>
  <c r="D989" i="3"/>
  <c r="D990" i="3"/>
  <c r="D991" i="3"/>
  <c r="D992" i="3"/>
  <c r="D993" i="3"/>
  <c r="D994" i="3"/>
  <c r="D995" i="3"/>
  <c r="D996" i="3"/>
  <c r="D997" i="3"/>
  <c r="D998" i="3"/>
  <c r="D999" i="3"/>
  <c r="D1000" i="3"/>
  <c r="D1001" i="3"/>
  <c r="D1002" i="3"/>
  <c r="D1003" i="3"/>
  <c r="D1004" i="3"/>
  <c r="D1005" i="3"/>
  <c r="D1006" i="3"/>
  <c r="D1007" i="3"/>
  <c r="D1008" i="3"/>
  <c r="D1009" i="3"/>
  <c r="D1010" i="3"/>
  <c r="D1011" i="3"/>
  <c r="D1012" i="3"/>
  <c r="D1013" i="3"/>
  <c r="D1014" i="3"/>
  <c r="D1015" i="3"/>
  <c r="D1016" i="3"/>
  <c r="D1017" i="3"/>
  <c r="D1018" i="3"/>
  <c r="D1019" i="3"/>
  <c r="D1020" i="3"/>
  <c r="D1021" i="3"/>
  <c r="D1022" i="3"/>
  <c r="D1023" i="3"/>
  <c r="D1024" i="3"/>
  <c r="D1025" i="3"/>
  <c r="D1026" i="3"/>
  <c r="D1027" i="3"/>
  <c r="D1028" i="3"/>
  <c r="D1029" i="3"/>
  <c r="D1030" i="3"/>
  <c r="D1031" i="3"/>
  <c r="D1032" i="3"/>
  <c r="D1033" i="3"/>
  <c r="D1034" i="3"/>
  <c r="D1035" i="3"/>
  <c r="D1036" i="3"/>
  <c r="D1037" i="3"/>
  <c r="D1038" i="3"/>
  <c r="D1039" i="3"/>
  <c r="D1040" i="3"/>
  <c r="D1041" i="3"/>
  <c r="D1042" i="3"/>
  <c r="D1043" i="3"/>
  <c r="D1044" i="3"/>
  <c r="D1045" i="3"/>
  <c r="D1046" i="3"/>
  <c r="D1047" i="3"/>
  <c r="D1048" i="3"/>
  <c r="D1049" i="3"/>
  <c r="D1050" i="3"/>
  <c r="D1051" i="3"/>
  <c r="D1052" i="3"/>
  <c r="D1053" i="3"/>
  <c r="D1054" i="3"/>
  <c r="D1055" i="3"/>
  <c r="D1056" i="3"/>
  <c r="D1057" i="3"/>
  <c r="D1058" i="3"/>
  <c r="D1059" i="3"/>
  <c r="D1060" i="3"/>
  <c r="D1061" i="3"/>
  <c r="D1062" i="3"/>
  <c r="D1063" i="3"/>
  <c r="D1064" i="3"/>
  <c r="D1065" i="3"/>
  <c r="D1066" i="3"/>
  <c r="D1067" i="3"/>
  <c r="D1068" i="3"/>
  <c r="D1069" i="3"/>
  <c r="D1070" i="3"/>
  <c r="D1071" i="3"/>
  <c r="D1072" i="3"/>
  <c r="D1073" i="3"/>
  <c r="D1074" i="3"/>
  <c r="D1075" i="3"/>
  <c r="D1076" i="3"/>
  <c r="D1077" i="3"/>
  <c r="D1078" i="3"/>
  <c r="D1079" i="3"/>
  <c r="D1080" i="3"/>
  <c r="D1081" i="3"/>
  <c r="D1082" i="3"/>
  <c r="D1083" i="3"/>
  <c r="D1084" i="3"/>
  <c r="D1085" i="3"/>
  <c r="D1086" i="3"/>
  <c r="D1087" i="3"/>
  <c r="D1088" i="3"/>
  <c r="D1089" i="3"/>
  <c r="D1090" i="3"/>
  <c r="D1091" i="3"/>
  <c r="D1092" i="3"/>
  <c r="D1093" i="3"/>
  <c r="D1094" i="3"/>
  <c r="D1095" i="3"/>
  <c r="D1096" i="3"/>
  <c r="D1097" i="3"/>
  <c r="D1098" i="3"/>
  <c r="D1099" i="3"/>
  <c r="D1100" i="3"/>
  <c r="D1101" i="3"/>
  <c r="D1102" i="3"/>
  <c r="D1103" i="3"/>
  <c r="D1104" i="3"/>
  <c r="D1105" i="3"/>
  <c r="D1106" i="3"/>
  <c r="D1107" i="3"/>
  <c r="D1108" i="3"/>
  <c r="D1109" i="3"/>
  <c r="D1110" i="3"/>
  <c r="D1111" i="3"/>
  <c r="D1112" i="3"/>
  <c r="D1113" i="3"/>
  <c r="D1114" i="3"/>
  <c r="D1115" i="3"/>
  <c r="D1116" i="3"/>
  <c r="D1117" i="3"/>
  <c r="D1118" i="3"/>
  <c r="D1119" i="3"/>
  <c r="D1120" i="3"/>
  <c r="D1121" i="3"/>
  <c r="D1122" i="3"/>
  <c r="D1123" i="3"/>
  <c r="D1124" i="3"/>
  <c r="D1125" i="3"/>
  <c r="D1126" i="3"/>
  <c r="D1127" i="3"/>
  <c r="D1128" i="3"/>
  <c r="D1129" i="3"/>
  <c r="D1130" i="3"/>
  <c r="D1131" i="3"/>
  <c r="D1132" i="3"/>
  <c r="D1133" i="3"/>
  <c r="D1134" i="3"/>
  <c r="D1135" i="3"/>
  <c r="D1136" i="3"/>
  <c r="D1137" i="3"/>
  <c r="D1138" i="3"/>
  <c r="D1139" i="3"/>
  <c r="D1140" i="3"/>
  <c r="D1141" i="3"/>
  <c r="D1142" i="3"/>
  <c r="D1143" i="3"/>
  <c r="D1144" i="3"/>
  <c r="D1145" i="3"/>
  <c r="D1146" i="3"/>
  <c r="D1147" i="3"/>
  <c r="D1148" i="3"/>
  <c r="D1149" i="3"/>
  <c r="D1150" i="3"/>
  <c r="D1151" i="3"/>
  <c r="D1152" i="3"/>
  <c r="D1153" i="3"/>
  <c r="D1154" i="3"/>
  <c r="D1155" i="3"/>
  <c r="D1156" i="3"/>
  <c r="D1157" i="3"/>
  <c r="D1158" i="3"/>
  <c r="D1159" i="3"/>
  <c r="D1160" i="3"/>
  <c r="D1161" i="3"/>
  <c r="D1162" i="3"/>
  <c r="D1163" i="3"/>
  <c r="D1164" i="3"/>
  <c r="D1165" i="3"/>
  <c r="D1166" i="3"/>
  <c r="D1167" i="3"/>
  <c r="D1168" i="3"/>
  <c r="D1169" i="3"/>
  <c r="D1170" i="3"/>
  <c r="D1171" i="3"/>
  <c r="D1172" i="3"/>
  <c r="D1173" i="3"/>
  <c r="D1174" i="3"/>
  <c r="D1175" i="3"/>
  <c r="D1176" i="3"/>
  <c r="D1177" i="3"/>
  <c r="D1178" i="3"/>
  <c r="D1179" i="3"/>
  <c r="D1180" i="3"/>
  <c r="D1181" i="3"/>
  <c r="D1182" i="3"/>
  <c r="D1183" i="3"/>
  <c r="D1184" i="3"/>
  <c r="D1185" i="3"/>
  <c r="D1186" i="3"/>
  <c r="D1187" i="3"/>
  <c r="D1188" i="3"/>
  <c r="D1189" i="3"/>
  <c r="D1190" i="3"/>
  <c r="D1191" i="3"/>
  <c r="D1192" i="3"/>
  <c r="D1193" i="3"/>
  <c r="D1194" i="3"/>
  <c r="D1195" i="3"/>
  <c r="D1196" i="3"/>
  <c r="D1197" i="3"/>
  <c r="D1198" i="3"/>
  <c r="D1199" i="3"/>
  <c r="D1200" i="3"/>
  <c r="D1201" i="3"/>
  <c r="D1202" i="3"/>
  <c r="D1203" i="3"/>
  <c r="D1204" i="3"/>
  <c r="D1205" i="3"/>
  <c r="D1206" i="3"/>
  <c r="D1207" i="3"/>
  <c r="D1208" i="3"/>
  <c r="D1209" i="3"/>
  <c r="D1210" i="3"/>
  <c r="D1211" i="3"/>
  <c r="D1212" i="3"/>
  <c r="D1213" i="3"/>
  <c r="D1214" i="3"/>
  <c r="D1215" i="3"/>
  <c r="D1216" i="3"/>
  <c r="D1217" i="3"/>
  <c r="D1218" i="3"/>
  <c r="D1219" i="3"/>
  <c r="D1220" i="3"/>
  <c r="D1221" i="3"/>
  <c r="D1222" i="3"/>
  <c r="D1223" i="3"/>
  <c r="D1224" i="3"/>
  <c r="D1225" i="3"/>
  <c r="D1226" i="3"/>
  <c r="D1227" i="3"/>
  <c r="D1228" i="3"/>
  <c r="D1229" i="3"/>
  <c r="D1230" i="3"/>
  <c r="D1231" i="3"/>
  <c r="D1232" i="3"/>
  <c r="D1233" i="3"/>
  <c r="D1234" i="3"/>
  <c r="D1235" i="3"/>
  <c r="D1236" i="3"/>
  <c r="D1237" i="3"/>
  <c r="D1238" i="3"/>
  <c r="D1239" i="3"/>
  <c r="D1240" i="3"/>
  <c r="D1241" i="3"/>
  <c r="D1242" i="3"/>
  <c r="D1243" i="3"/>
  <c r="D1244" i="3"/>
  <c r="D1245" i="3"/>
  <c r="D1246" i="3"/>
  <c r="D1247" i="3"/>
  <c r="D1248" i="3"/>
  <c r="D1249" i="3"/>
  <c r="D1250" i="3"/>
  <c r="D1251" i="3"/>
  <c r="D1252" i="3"/>
  <c r="D1253" i="3"/>
  <c r="D1254" i="3"/>
  <c r="D1255" i="3"/>
  <c r="D1256" i="3"/>
  <c r="D1257" i="3"/>
  <c r="D1258" i="3"/>
  <c r="D1259" i="3"/>
  <c r="D1260" i="3"/>
  <c r="D1261" i="3"/>
  <c r="D1262" i="3"/>
  <c r="D1263" i="3"/>
  <c r="D1264" i="3"/>
  <c r="D1265" i="3"/>
  <c r="D1266" i="3"/>
  <c r="D1267" i="3"/>
  <c r="D1268" i="3"/>
  <c r="D1269" i="3"/>
  <c r="D1270" i="3"/>
  <c r="D1271" i="3"/>
  <c r="D1272" i="3"/>
  <c r="D1273" i="3"/>
  <c r="D1274" i="3"/>
  <c r="D1275" i="3"/>
  <c r="D1276" i="3"/>
  <c r="D1277" i="3"/>
  <c r="D1278" i="3"/>
  <c r="D1279" i="3"/>
  <c r="D1280" i="3"/>
  <c r="D1281" i="3"/>
  <c r="D1282" i="3"/>
  <c r="D1283" i="3"/>
  <c r="D1284" i="3"/>
  <c r="D1285" i="3"/>
  <c r="D1286" i="3"/>
  <c r="D1287" i="3"/>
  <c r="D1288" i="3"/>
  <c r="D1289" i="3"/>
  <c r="D1290" i="3"/>
  <c r="D1291" i="3"/>
  <c r="D1292" i="3"/>
  <c r="D1293" i="3"/>
  <c r="D1294" i="3"/>
  <c r="D1295" i="3"/>
  <c r="D1296" i="3"/>
  <c r="D1297" i="3"/>
  <c r="D1298" i="3"/>
  <c r="D1299" i="3"/>
  <c r="D1300" i="3"/>
  <c r="D1301" i="3"/>
  <c r="D1302" i="3"/>
  <c r="D1303" i="3"/>
  <c r="D1304" i="3"/>
  <c r="D1305" i="3"/>
  <c r="D1306" i="3"/>
  <c r="D1307" i="3"/>
  <c r="D1308" i="3"/>
  <c r="D1309" i="3"/>
  <c r="D1310" i="3"/>
  <c r="D1311" i="3"/>
  <c r="D1312" i="3"/>
  <c r="D1313" i="3"/>
  <c r="D1314" i="3"/>
  <c r="D1315" i="3"/>
  <c r="D1316" i="3"/>
  <c r="D1317" i="3"/>
  <c r="D1318" i="3"/>
  <c r="D1319" i="3"/>
  <c r="D1320" i="3"/>
  <c r="D1321" i="3"/>
  <c r="D1322" i="3"/>
  <c r="D1323" i="3"/>
  <c r="D1324" i="3"/>
  <c r="D1325" i="3"/>
  <c r="D1326" i="3"/>
  <c r="D1327" i="3"/>
  <c r="D1328" i="3"/>
  <c r="D1329" i="3"/>
  <c r="D1330" i="3"/>
  <c r="D1331" i="3"/>
  <c r="D1332" i="3"/>
  <c r="D1333" i="3"/>
  <c r="D1334" i="3"/>
  <c r="D1335" i="3"/>
  <c r="D1336" i="3"/>
  <c r="D1337" i="3"/>
  <c r="D1338" i="3"/>
  <c r="D1339" i="3"/>
  <c r="D1340" i="3"/>
  <c r="D1341" i="3"/>
  <c r="D1342" i="3"/>
  <c r="D1343" i="3"/>
  <c r="D1344" i="3"/>
  <c r="D1345" i="3"/>
  <c r="D1346" i="3"/>
  <c r="D1347" i="3"/>
  <c r="D1348" i="3"/>
  <c r="D1349" i="3"/>
  <c r="D1350" i="3"/>
  <c r="D1351" i="3"/>
  <c r="D1352" i="3"/>
  <c r="D1353" i="3"/>
  <c r="D1354" i="3"/>
  <c r="D1355" i="3"/>
  <c r="D1356" i="3"/>
  <c r="D1357" i="3"/>
  <c r="D1358" i="3"/>
  <c r="D1359" i="3"/>
  <c r="D1360" i="3"/>
  <c r="D1361" i="3"/>
  <c r="D1362" i="3"/>
  <c r="D1363" i="3"/>
  <c r="D1364" i="3"/>
  <c r="D1365" i="3"/>
  <c r="D1366" i="3"/>
  <c r="D1367" i="3"/>
  <c r="D1368" i="3"/>
  <c r="D1369" i="3"/>
  <c r="D1370" i="3"/>
  <c r="D1371" i="3"/>
  <c r="D1372" i="3"/>
  <c r="D1373" i="3"/>
  <c r="D1374" i="3"/>
  <c r="D1375" i="3"/>
  <c r="D1376" i="3"/>
  <c r="D1377" i="3"/>
  <c r="D1378" i="3"/>
  <c r="D1379" i="3"/>
  <c r="D1380" i="3"/>
  <c r="D1381" i="3"/>
  <c r="D1382" i="3"/>
  <c r="D1383" i="3"/>
  <c r="D1384" i="3"/>
  <c r="D1385" i="3"/>
  <c r="D1386" i="3"/>
  <c r="D1387" i="3"/>
  <c r="D1388" i="3"/>
  <c r="D1389" i="3"/>
  <c r="D1390" i="3"/>
  <c r="D1391" i="3"/>
  <c r="D1392" i="3"/>
  <c r="D1393" i="3"/>
  <c r="D1394" i="3"/>
  <c r="D1395" i="3"/>
  <c r="D1396" i="3"/>
  <c r="D1397" i="3"/>
  <c r="D1398" i="3"/>
  <c r="D1399" i="3"/>
  <c r="D1400" i="3"/>
  <c r="D1401" i="3"/>
  <c r="D1402" i="3"/>
  <c r="D1403" i="3"/>
  <c r="D1404" i="3"/>
  <c r="D1405" i="3"/>
  <c r="D1406" i="3"/>
  <c r="D1407" i="3"/>
  <c r="D1408" i="3"/>
  <c r="D1409" i="3"/>
  <c r="D1410" i="3"/>
  <c r="D1411" i="3"/>
  <c r="D1412" i="3"/>
  <c r="D1413" i="3"/>
  <c r="D1414" i="3"/>
  <c r="D1415" i="3"/>
  <c r="D1416" i="3"/>
  <c r="D1417" i="3"/>
  <c r="D1418" i="3"/>
  <c r="D1419" i="3"/>
  <c r="D1420" i="3"/>
  <c r="D1421" i="3"/>
  <c r="D1422" i="3"/>
  <c r="D1423" i="3"/>
  <c r="D1424" i="3"/>
  <c r="D1425" i="3"/>
  <c r="D1426" i="3"/>
  <c r="D1427" i="3"/>
  <c r="D1428" i="3"/>
  <c r="D1429" i="3"/>
  <c r="D1430" i="3"/>
  <c r="D1431" i="3"/>
  <c r="D1432" i="3"/>
  <c r="D1433" i="3"/>
  <c r="D1434" i="3"/>
  <c r="D1435" i="3"/>
  <c r="D1436" i="3"/>
  <c r="D1437" i="3"/>
  <c r="D1438" i="3"/>
  <c r="D1439" i="3"/>
  <c r="D1440" i="3"/>
  <c r="D1441" i="3"/>
  <c r="D1442" i="3"/>
  <c r="D1443" i="3"/>
  <c r="D1444" i="3"/>
  <c r="D1445" i="3"/>
  <c r="D1446" i="3"/>
  <c r="D1447" i="3"/>
  <c r="D1448" i="3"/>
  <c r="D1449" i="3"/>
  <c r="D1450" i="3"/>
  <c r="D1451" i="3"/>
  <c r="D1452" i="3"/>
  <c r="D1453" i="3"/>
  <c r="D1454" i="3"/>
  <c r="D1455" i="3"/>
  <c r="D1456" i="3"/>
  <c r="D1457" i="3"/>
  <c r="D1458" i="3"/>
  <c r="D1459" i="3"/>
  <c r="D1460" i="3"/>
  <c r="D1461" i="3"/>
  <c r="D1462" i="3"/>
  <c r="D1463" i="3"/>
  <c r="D1464" i="3"/>
  <c r="D1465" i="3"/>
  <c r="D1466" i="3"/>
  <c r="D1467" i="3"/>
  <c r="D1468" i="3"/>
  <c r="D1469" i="3"/>
  <c r="D1470" i="3"/>
  <c r="D1471" i="3"/>
  <c r="D1472" i="3"/>
  <c r="D1473" i="3"/>
  <c r="D1474" i="3"/>
  <c r="D1475" i="3"/>
  <c r="D1476" i="3"/>
  <c r="D1477" i="3"/>
  <c r="D1478" i="3"/>
  <c r="D1479" i="3"/>
  <c r="D1480" i="3"/>
  <c r="D1481" i="3"/>
  <c r="D1482" i="3"/>
  <c r="D1483" i="3"/>
  <c r="D1484" i="3"/>
  <c r="D1485" i="3"/>
  <c r="D1486" i="3"/>
  <c r="D1487" i="3"/>
  <c r="D1488" i="3"/>
  <c r="D1489" i="3"/>
  <c r="D1490" i="3"/>
  <c r="D1491" i="3"/>
  <c r="D1492" i="3"/>
  <c r="D1493" i="3"/>
  <c r="D1494" i="3"/>
  <c r="D1495" i="3"/>
  <c r="D1496" i="3"/>
  <c r="D1497" i="3"/>
  <c r="D1498" i="3"/>
  <c r="D1499" i="3"/>
  <c r="D1500" i="3"/>
  <c r="D1501" i="3"/>
  <c r="D1502" i="3"/>
  <c r="D1503" i="3"/>
  <c r="D1504" i="3"/>
  <c r="D1505" i="3"/>
  <c r="D1506" i="3"/>
  <c r="D1507" i="3"/>
  <c r="D1508" i="3"/>
  <c r="D1509" i="3"/>
  <c r="D1510" i="3"/>
  <c r="D1511" i="3"/>
  <c r="D1512" i="3"/>
  <c r="D1513" i="3"/>
  <c r="D1514" i="3"/>
  <c r="D1515" i="3"/>
  <c r="D1516" i="3"/>
  <c r="D1517" i="3"/>
  <c r="D1518" i="3"/>
  <c r="D1519" i="3"/>
  <c r="D1520" i="3"/>
  <c r="D1521" i="3"/>
  <c r="D1522" i="3"/>
  <c r="D1523" i="3"/>
  <c r="D1524" i="3"/>
  <c r="D1525" i="3"/>
  <c r="D1526" i="3"/>
  <c r="D1527" i="3"/>
  <c r="D1528" i="3"/>
  <c r="D1529" i="3"/>
  <c r="D1530" i="3"/>
  <c r="D1531" i="3"/>
  <c r="D1532" i="3"/>
  <c r="D1533" i="3"/>
  <c r="D1534" i="3"/>
  <c r="D1535" i="3"/>
  <c r="D1536" i="3"/>
  <c r="D1537" i="3"/>
  <c r="D1538" i="3"/>
  <c r="D1539" i="3"/>
  <c r="D1540" i="3"/>
  <c r="D1541" i="3"/>
  <c r="D1542" i="3"/>
  <c r="D1543" i="3"/>
  <c r="D1544" i="3"/>
  <c r="D1545" i="3"/>
  <c r="D1546" i="3"/>
  <c r="D1547" i="3"/>
  <c r="D1548" i="3"/>
  <c r="D1549" i="3"/>
  <c r="D1550" i="3"/>
  <c r="D1551" i="3"/>
  <c r="D1552" i="3"/>
  <c r="D1553" i="3"/>
  <c r="D1554" i="3"/>
  <c r="D1555" i="3"/>
  <c r="D1556" i="3"/>
  <c r="D1557" i="3"/>
  <c r="D1558" i="3"/>
  <c r="D1559" i="3"/>
  <c r="D1560" i="3"/>
  <c r="D1561" i="3"/>
  <c r="D1562" i="3"/>
  <c r="D1563" i="3"/>
  <c r="D1564" i="3"/>
  <c r="D1565" i="3"/>
  <c r="D1566" i="3"/>
  <c r="D1567" i="3"/>
  <c r="D1568" i="3"/>
  <c r="D1569" i="3"/>
  <c r="D1570" i="3"/>
  <c r="D1571" i="3"/>
  <c r="D1572" i="3"/>
  <c r="D1573" i="3"/>
  <c r="D1574" i="3"/>
  <c r="D1575" i="3"/>
  <c r="D1576" i="3"/>
  <c r="D1577" i="3"/>
  <c r="D1578" i="3"/>
  <c r="D1579" i="3"/>
  <c r="D1580" i="3"/>
  <c r="D1581" i="3"/>
  <c r="D1582" i="3"/>
  <c r="D1583" i="3"/>
  <c r="D1584" i="3"/>
  <c r="D1585" i="3"/>
  <c r="D1586" i="3"/>
  <c r="D1587" i="3"/>
  <c r="D1588" i="3"/>
  <c r="D1589" i="3"/>
  <c r="D1590" i="3"/>
  <c r="D1591" i="3"/>
  <c r="D1592" i="3"/>
  <c r="D1593" i="3"/>
  <c r="D1594" i="3"/>
  <c r="D1595" i="3"/>
  <c r="D1596" i="3"/>
  <c r="D1597" i="3"/>
  <c r="D1598" i="3"/>
  <c r="D1599" i="3"/>
  <c r="D1600" i="3"/>
  <c r="D1601" i="3"/>
  <c r="D1602" i="3"/>
  <c r="D1603" i="3"/>
  <c r="D1604" i="3"/>
  <c r="D1605" i="3"/>
  <c r="D1606" i="3"/>
  <c r="D1607" i="3"/>
  <c r="D1608" i="3"/>
  <c r="D1609" i="3"/>
  <c r="D1610" i="3"/>
  <c r="D1611" i="3"/>
  <c r="D1612" i="3"/>
  <c r="D1613" i="3"/>
  <c r="D1614" i="3"/>
  <c r="D1615" i="3"/>
  <c r="D1616" i="3"/>
  <c r="D1617" i="3"/>
  <c r="D1618" i="3"/>
  <c r="D1619" i="3"/>
  <c r="D1620" i="3"/>
  <c r="D1621" i="3"/>
  <c r="D1622" i="3"/>
  <c r="D1623" i="3"/>
  <c r="D1624" i="3"/>
  <c r="D1625" i="3"/>
  <c r="D1626" i="3"/>
  <c r="D1627" i="3"/>
  <c r="D1628" i="3"/>
  <c r="D1629" i="3"/>
  <c r="D1630" i="3"/>
  <c r="D1631" i="3"/>
  <c r="D1632" i="3"/>
  <c r="D1633" i="3"/>
  <c r="D1634" i="3"/>
  <c r="D1635" i="3"/>
  <c r="D1636" i="3"/>
  <c r="D1637" i="3"/>
  <c r="D1638" i="3"/>
  <c r="D1639" i="3"/>
  <c r="D1640" i="3"/>
  <c r="D1641" i="3"/>
  <c r="D1642" i="3"/>
  <c r="D1643" i="3"/>
  <c r="D1644" i="3"/>
  <c r="D1645" i="3"/>
  <c r="D1646" i="3"/>
  <c r="D1647" i="3"/>
  <c r="D1648" i="3"/>
  <c r="D1649" i="3"/>
  <c r="D1650" i="3"/>
  <c r="D1651" i="3"/>
  <c r="D1652" i="3"/>
  <c r="D1653" i="3"/>
  <c r="D1654" i="3"/>
  <c r="D1655" i="3"/>
  <c r="D1656" i="3"/>
  <c r="D1657" i="3"/>
  <c r="D1658" i="3"/>
  <c r="D1659" i="3"/>
  <c r="D1660" i="3"/>
  <c r="D1661" i="3"/>
  <c r="D1662" i="3"/>
  <c r="D1663" i="3"/>
  <c r="D1664" i="3"/>
  <c r="D1665" i="3"/>
  <c r="D1666" i="3"/>
  <c r="D1667" i="3"/>
  <c r="D1668" i="3"/>
  <c r="D1669" i="3"/>
  <c r="D1670" i="3"/>
  <c r="D1671" i="3"/>
  <c r="D1672" i="3"/>
  <c r="D1673" i="3"/>
  <c r="D1674" i="3"/>
  <c r="D1675" i="3"/>
  <c r="D1676" i="3"/>
  <c r="D1677" i="3"/>
  <c r="D1678" i="3"/>
  <c r="D1679" i="3"/>
  <c r="D1680" i="3"/>
  <c r="D1681" i="3"/>
  <c r="D1682" i="3"/>
  <c r="D1683" i="3"/>
  <c r="D1684" i="3"/>
  <c r="D1685" i="3"/>
  <c r="D1686" i="3"/>
  <c r="D1687" i="3"/>
  <c r="D1688" i="3"/>
  <c r="D1689" i="3"/>
  <c r="D1690" i="3"/>
  <c r="D1691" i="3"/>
  <c r="D1692" i="3"/>
  <c r="D1693" i="3"/>
  <c r="D1694" i="3"/>
  <c r="D1695" i="3"/>
  <c r="D1696" i="3"/>
  <c r="D1697" i="3"/>
  <c r="D1698" i="3"/>
  <c r="D1699" i="3"/>
  <c r="D1700" i="3"/>
  <c r="D1701" i="3"/>
  <c r="D1702" i="3"/>
  <c r="D1703" i="3"/>
  <c r="D1704" i="3"/>
  <c r="D1705" i="3"/>
  <c r="D1706" i="3"/>
  <c r="D1707" i="3"/>
  <c r="D1708" i="3"/>
  <c r="D1709" i="3"/>
  <c r="D1710" i="3"/>
  <c r="D1711" i="3"/>
  <c r="D1712" i="3"/>
  <c r="D1713" i="3"/>
  <c r="D1714" i="3"/>
  <c r="D1715" i="3"/>
  <c r="D1716" i="3"/>
  <c r="D1717" i="3"/>
  <c r="D1718" i="3"/>
  <c r="D1719" i="3"/>
  <c r="D1720" i="3"/>
  <c r="D1721" i="3"/>
  <c r="D1722" i="3"/>
  <c r="D1723" i="3"/>
  <c r="D1724" i="3"/>
  <c r="D1725" i="3"/>
  <c r="D1726" i="3"/>
  <c r="D1727" i="3"/>
  <c r="D1728" i="3"/>
  <c r="D1729" i="3"/>
  <c r="D1730" i="3"/>
  <c r="D1731" i="3"/>
  <c r="D1732" i="3"/>
  <c r="D1733" i="3"/>
  <c r="D1734" i="3"/>
  <c r="D1735" i="3"/>
  <c r="D1736" i="3"/>
  <c r="D1737" i="3"/>
  <c r="D1738" i="3"/>
  <c r="D1739" i="3"/>
  <c r="D1740" i="3"/>
  <c r="D1741" i="3"/>
  <c r="D1742" i="3"/>
  <c r="D1743" i="3"/>
  <c r="D1744" i="3"/>
  <c r="D1745" i="3"/>
  <c r="D1746" i="3"/>
  <c r="D1747" i="3"/>
  <c r="D1748" i="3"/>
  <c r="D1749" i="3"/>
  <c r="D1750" i="3"/>
  <c r="D1751" i="3"/>
  <c r="D1752" i="3"/>
  <c r="D1753" i="3"/>
  <c r="D1754" i="3"/>
  <c r="D1755" i="3"/>
  <c r="D1756" i="3"/>
  <c r="D1757" i="3"/>
  <c r="D1758" i="3"/>
  <c r="D1759" i="3"/>
  <c r="D1760" i="3"/>
  <c r="D1761" i="3"/>
  <c r="D1762" i="3"/>
  <c r="D1763" i="3"/>
  <c r="D1764" i="3"/>
  <c r="D1765" i="3"/>
  <c r="D1766" i="3"/>
  <c r="D1767" i="3"/>
  <c r="D1768" i="3"/>
  <c r="D1769" i="3"/>
  <c r="D1770" i="3"/>
  <c r="D1771" i="3"/>
  <c r="D1772" i="3"/>
  <c r="D1773" i="3"/>
  <c r="D1774" i="3"/>
  <c r="D1775" i="3"/>
  <c r="D1776" i="3"/>
  <c r="D1777" i="3"/>
  <c r="D1778" i="3"/>
  <c r="D1779" i="3"/>
  <c r="D1780" i="3"/>
  <c r="D1781" i="3"/>
  <c r="D1782" i="3"/>
  <c r="D1783" i="3"/>
  <c r="D1784" i="3"/>
  <c r="D1785" i="3"/>
  <c r="D1786" i="3"/>
  <c r="D1787" i="3"/>
  <c r="D1788" i="3"/>
  <c r="D1789" i="3"/>
  <c r="D1790" i="3"/>
  <c r="D1791" i="3"/>
  <c r="D1792" i="3"/>
  <c r="D1793" i="3"/>
  <c r="D1794" i="3"/>
  <c r="D1795" i="3"/>
  <c r="D1796" i="3"/>
  <c r="D1797" i="3"/>
  <c r="D1798" i="3"/>
  <c r="D1799" i="3"/>
  <c r="D1800" i="3"/>
  <c r="D1801" i="3"/>
  <c r="D1802" i="3"/>
  <c r="D1803" i="3"/>
  <c r="D1804" i="3"/>
  <c r="D1805" i="3"/>
  <c r="D1806" i="3"/>
  <c r="D1807" i="3"/>
  <c r="D1808" i="3"/>
  <c r="D1809" i="3"/>
  <c r="D1810" i="3"/>
  <c r="D1811" i="3"/>
  <c r="D1812" i="3"/>
  <c r="D1813" i="3"/>
  <c r="D1814" i="3"/>
  <c r="D1815" i="3"/>
  <c r="D1816" i="3"/>
  <c r="D1817" i="3"/>
  <c r="D1818" i="3"/>
  <c r="D1819" i="3"/>
  <c r="D1820" i="3"/>
  <c r="D1821" i="3"/>
  <c r="D1822" i="3"/>
  <c r="D1823" i="3"/>
  <c r="D1824" i="3"/>
  <c r="D1825" i="3"/>
  <c r="D1826" i="3"/>
  <c r="D1827" i="3"/>
  <c r="D1828" i="3"/>
  <c r="D1829" i="3"/>
  <c r="D1830" i="3"/>
  <c r="D1831" i="3"/>
  <c r="D1832" i="3"/>
  <c r="D1833" i="3"/>
  <c r="D1834" i="3"/>
  <c r="D1835" i="3"/>
  <c r="D1836" i="3"/>
  <c r="D1837" i="3"/>
  <c r="D1838" i="3"/>
  <c r="D1839" i="3"/>
  <c r="D1840" i="3"/>
  <c r="D1841" i="3"/>
  <c r="D1842" i="3"/>
  <c r="D1843" i="3"/>
  <c r="D1844" i="3"/>
  <c r="D1845" i="3"/>
  <c r="D1846" i="3"/>
  <c r="D1847" i="3"/>
  <c r="D1848" i="3"/>
  <c r="D1849" i="3"/>
  <c r="D1850" i="3"/>
  <c r="D1851" i="3"/>
  <c r="D1852" i="3"/>
  <c r="D1853" i="3"/>
  <c r="D1854" i="3"/>
  <c r="D1855" i="3"/>
  <c r="D1856" i="3"/>
  <c r="D1857" i="3"/>
  <c r="D1858" i="3"/>
  <c r="D1859" i="3"/>
  <c r="D1860" i="3"/>
  <c r="D1861" i="3"/>
  <c r="D1862" i="3"/>
  <c r="D1863" i="3"/>
  <c r="D1864" i="3"/>
  <c r="D1865" i="3"/>
  <c r="D1866" i="3"/>
  <c r="D1867" i="3"/>
  <c r="D1868" i="3"/>
  <c r="D1869" i="3"/>
  <c r="D1870" i="3"/>
  <c r="D1871" i="3"/>
  <c r="D1872" i="3"/>
  <c r="D1873" i="3"/>
  <c r="D1874" i="3"/>
  <c r="D1875" i="3"/>
  <c r="D1876" i="3"/>
  <c r="D1877" i="3"/>
  <c r="D1878" i="3"/>
  <c r="D1879" i="3"/>
  <c r="D1880" i="3"/>
  <c r="D1881" i="3"/>
  <c r="D1882" i="3"/>
  <c r="D1883" i="3"/>
  <c r="D1884" i="3"/>
  <c r="D1885" i="3"/>
  <c r="D1886" i="3"/>
  <c r="D1887" i="3"/>
  <c r="D1888" i="3"/>
  <c r="D1889" i="3"/>
  <c r="D1890" i="3"/>
  <c r="D1891" i="3"/>
  <c r="D1892" i="3"/>
  <c r="D1893" i="3"/>
  <c r="D1894" i="3"/>
  <c r="D1895" i="3"/>
  <c r="D1896" i="3"/>
  <c r="D1897" i="3"/>
  <c r="D1898" i="3"/>
  <c r="D1899" i="3"/>
  <c r="D1900" i="3"/>
  <c r="D1901" i="3"/>
  <c r="D1902" i="3"/>
  <c r="D1903" i="3"/>
  <c r="D1904" i="3"/>
  <c r="D1905" i="3"/>
  <c r="D1906" i="3"/>
  <c r="D1907" i="3"/>
  <c r="D1908" i="3"/>
  <c r="D1909" i="3"/>
  <c r="D1910" i="3"/>
  <c r="D1911" i="3"/>
  <c r="D1912" i="3"/>
  <c r="D1913" i="3"/>
  <c r="D1914" i="3"/>
  <c r="D1915" i="3"/>
  <c r="D1916" i="3"/>
  <c r="D1917" i="3"/>
  <c r="D1918" i="3"/>
  <c r="D1919" i="3"/>
  <c r="D1920" i="3"/>
  <c r="D1921" i="3"/>
  <c r="D1922" i="3"/>
  <c r="D1923" i="3"/>
  <c r="D1924" i="3"/>
  <c r="D1925" i="3"/>
  <c r="D1926" i="3"/>
  <c r="D1927" i="3"/>
  <c r="D1928" i="3"/>
  <c r="D1929" i="3"/>
  <c r="D1930" i="3"/>
  <c r="D1931" i="3"/>
  <c r="D1932" i="3"/>
  <c r="D1933" i="3"/>
  <c r="D1934" i="3"/>
  <c r="D1935" i="3"/>
  <c r="D1936" i="3"/>
  <c r="D1937" i="3"/>
  <c r="D1938" i="3"/>
  <c r="D1939" i="3"/>
  <c r="D1940" i="3"/>
  <c r="D1941" i="3"/>
  <c r="D1942" i="3"/>
  <c r="D1943" i="3"/>
  <c r="D1944" i="3"/>
  <c r="D1945" i="3"/>
  <c r="D1946" i="3"/>
  <c r="D1947" i="3"/>
  <c r="D1948" i="3"/>
  <c r="D1949" i="3"/>
  <c r="D1950" i="3"/>
  <c r="D1951" i="3"/>
  <c r="D1952" i="3"/>
  <c r="D1953" i="3"/>
  <c r="D1954" i="3"/>
  <c r="D1955" i="3"/>
  <c r="D1956" i="3"/>
  <c r="D1957" i="3"/>
  <c r="D1958" i="3"/>
  <c r="D1959" i="3"/>
  <c r="D1960" i="3"/>
  <c r="D1961" i="3"/>
  <c r="D1962" i="3"/>
  <c r="D1963" i="3"/>
  <c r="D1964" i="3"/>
  <c r="D1965" i="3"/>
  <c r="D1966" i="3"/>
  <c r="D1967" i="3"/>
  <c r="D1968" i="3"/>
  <c r="D1969" i="3"/>
  <c r="D1970" i="3"/>
  <c r="D1971" i="3"/>
  <c r="D1972" i="3"/>
  <c r="D1973" i="3"/>
  <c r="D1974" i="3"/>
  <c r="D1975" i="3"/>
  <c r="D1976" i="3"/>
  <c r="D1977" i="3"/>
  <c r="D1978" i="3"/>
  <c r="D1979" i="3"/>
  <c r="D1980" i="3"/>
  <c r="D1981" i="3"/>
  <c r="D1982" i="3"/>
  <c r="D1983" i="3"/>
  <c r="D1984" i="3"/>
  <c r="D1985" i="3"/>
  <c r="D1986" i="3"/>
  <c r="D1987" i="3"/>
  <c r="D1988" i="3"/>
  <c r="D1989" i="3"/>
  <c r="D1990" i="3"/>
  <c r="D1991" i="3"/>
  <c r="D1992" i="3"/>
  <c r="D1993" i="3"/>
  <c r="D1994" i="3"/>
  <c r="D1995" i="3"/>
  <c r="D1996" i="3"/>
  <c r="D1997" i="3"/>
  <c r="D1998" i="3"/>
  <c r="D1999" i="3"/>
  <c r="D2000" i="3"/>
  <c r="D2001" i="3"/>
  <c r="D2002" i="3"/>
  <c r="D2003" i="3"/>
  <c r="D2004" i="3"/>
  <c r="D2005" i="3"/>
  <c r="D2006" i="3"/>
  <c r="D2007" i="3"/>
  <c r="D2008" i="3"/>
  <c r="D2009" i="3"/>
  <c r="D2010" i="3"/>
  <c r="D2011" i="3"/>
  <c r="D2012" i="3"/>
  <c r="D2013" i="3"/>
  <c r="D2014" i="3"/>
  <c r="D2015" i="3"/>
  <c r="D2016" i="3"/>
  <c r="D2017" i="3"/>
  <c r="D2018" i="3"/>
  <c r="D2019" i="3"/>
  <c r="D2020" i="3"/>
  <c r="D2021" i="3"/>
  <c r="D2022" i="3"/>
  <c r="D2023" i="3"/>
  <c r="D2024" i="3"/>
  <c r="D2025" i="3"/>
  <c r="D2026" i="3"/>
  <c r="D2027" i="3"/>
  <c r="D2028" i="3"/>
  <c r="D2029" i="3"/>
  <c r="D2030" i="3"/>
  <c r="D2031" i="3"/>
  <c r="D2032" i="3"/>
  <c r="D2033" i="3"/>
  <c r="D2034" i="3"/>
  <c r="D2035" i="3"/>
  <c r="D2036" i="3"/>
  <c r="D2037" i="3"/>
  <c r="D2038" i="3"/>
  <c r="D2039" i="3"/>
  <c r="D2040" i="3"/>
  <c r="D2041" i="3"/>
  <c r="D2042" i="3"/>
  <c r="D2043" i="3"/>
  <c r="D2044" i="3"/>
  <c r="D2045" i="3"/>
  <c r="D2046" i="3"/>
  <c r="D2047" i="3"/>
  <c r="D2048" i="3"/>
  <c r="D2049" i="3"/>
  <c r="D2050" i="3"/>
  <c r="D2051" i="3"/>
  <c r="D2052" i="3"/>
  <c r="D2053" i="3"/>
  <c r="D2054" i="3"/>
  <c r="D2055" i="3"/>
  <c r="D2056" i="3"/>
  <c r="D2057" i="3"/>
  <c r="D2058" i="3"/>
  <c r="D2059" i="3"/>
  <c r="D2060" i="3"/>
  <c r="D2061" i="3"/>
  <c r="D2062" i="3"/>
  <c r="D2063" i="3"/>
  <c r="D2064" i="3"/>
  <c r="D2065" i="3"/>
  <c r="D2066" i="3"/>
  <c r="D2067" i="3"/>
  <c r="D2068" i="3"/>
  <c r="D2069" i="3"/>
  <c r="D2070" i="3"/>
  <c r="D2071" i="3"/>
  <c r="D2072" i="3"/>
  <c r="D2073" i="3"/>
  <c r="D2074" i="3"/>
  <c r="D2075" i="3"/>
  <c r="D2076" i="3"/>
  <c r="D2077" i="3"/>
  <c r="D2078" i="3"/>
  <c r="D2079" i="3"/>
  <c r="D2080" i="3"/>
  <c r="D2081" i="3"/>
  <c r="D2082" i="3"/>
  <c r="D2083" i="3"/>
  <c r="D2084" i="3"/>
  <c r="D2085" i="3"/>
  <c r="D2086" i="3"/>
  <c r="D2087" i="3"/>
  <c r="D2088" i="3"/>
  <c r="D2089" i="3"/>
  <c r="D2090" i="3"/>
  <c r="D2091" i="3"/>
  <c r="D2092" i="3"/>
  <c r="D2093" i="3"/>
  <c r="D2094" i="3"/>
  <c r="D2095" i="3"/>
  <c r="D2096" i="3"/>
  <c r="D2097" i="3"/>
  <c r="D2098" i="3"/>
  <c r="D2099" i="3"/>
  <c r="D2100" i="3"/>
  <c r="D2101" i="3"/>
  <c r="D2102" i="3"/>
  <c r="D2103" i="3"/>
  <c r="D2104" i="3"/>
  <c r="D2105" i="3"/>
  <c r="D2106" i="3"/>
  <c r="D2107" i="3"/>
  <c r="D2108" i="3"/>
  <c r="D2109" i="3"/>
  <c r="D2110" i="3"/>
  <c r="D2111" i="3"/>
  <c r="D2112" i="3"/>
  <c r="D2113" i="3"/>
  <c r="D2114" i="3"/>
  <c r="D2115" i="3"/>
  <c r="D2116" i="3"/>
  <c r="D2117" i="3"/>
  <c r="D2118" i="3"/>
  <c r="D2119" i="3"/>
  <c r="D2120" i="3"/>
  <c r="D2121" i="3"/>
  <c r="D2122" i="3"/>
  <c r="D2123" i="3"/>
  <c r="D2124" i="3"/>
  <c r="D2125" i="3"/>
  <c r="D2126" i="3"/>
  <c r="D2127" i="3"/>
  <c r="D2128" i="3"/>
  <c r="D2129" i="3"/>
  <c r="D2130" i="3"/>
  <c r="D2131" i="3"/>
  <c r="D2132" i="3"/>
  <c r="D2133" i="3"/>
  <c r="D2134" i="3"/>
  <c r="D2135" i="3"/>
  <c r="D2136" i="3"/>
  <c r="D2137" i="3"/>
  <c r="D2138" i="3"/>
  <c r="D2139" i="3"/>
  <c r="D2140" i="3"/>
  <c r="D2141" i="3"/>
  <c r="D2142" i="3"/>
  <c r="D2143" i="3"/>
  <c r="D2144" i="3"/>
  <c r="D2145" i="3"/>
  <c r="D2146" i="3"/>
  <c r="D2147" i="3"/>
  <c r="D2148" i="3"/>
  <c r="D2149" i="3"/>
  <c r="D2150" i="3"/>
  <c r="D2151" i="3"/>
  <c r="D2152" i="3"/>
  <c r="D2153" i="3"/>
  <c r="D2154" i="3"/>
  <c r="D2155" i="3"/>
  <c r="D2156" i="3"/>
  <c r="D2157" i="3"/>
  <c r="D2158" i="3"/>
  <c r="D2159" i="3"/>
  <c r="D2160" i="3"/>
  <c r="D2161" i="3"/>
  <c r="D2162" i="3"/>
  <c r="D2163" i="3"/>
  <c r="D2164" i="3"/>
  <c r="D2165" i="3"/>
  <c r="D2166" i="3"/>
  <c r="D2167" i="3"/>
  <c r="D2168" i="3"/>
  <c r="D2169" i="3"/>
  <c r="D2170" i="3"/>
  <c r="D2171" i="3"/>
  <c r="D2172" i="3"/>
  <c r="D2173" i="3"/>
  <c r="D2174" i="3"/>
  <c r="D2175" i="3"/>
  <c r="D2176" i="3"/>
  <c r="D2177" i="3"/>
  <c r="D2178" i="3"/>
  <c r="D2179" i="3"/>
  <c r="D2180" i="3"/>
  <c r="D2181" i="3"/>
  <c r="D2182" i="3"/>
  <c r="D2183" i="3"/>
  <c r="D2184" i="3"/>
  <c r="D2185" i="3"/>
  <c r="D2186" i="3"/>
  <c r="D2187" i="3"/>
  <c r="D2188" i="3"/>
  <c r="D2189" i="3"/>
  <c r="D2190" i="3"/>
  <c r="D2191" i="3"/>
  <c r="D2192" i="3"/>
  <c r="D2193" i="3"/>
  <c r="D2194" i="3"/>
  <c r="D2195" i="3"/>
  <c r="D2196" i="3"/>
  <c r="D2197" i="3"/>
  <c r="D2198" i="3"/>
  <c r="D2199" i="3"/>
  <c r="D2200" i="3"/>
  <c r="D2201" i="3"/>
  <c r="D2202" i="3"/>
  <c r="D2203" i="3"/>
  <c r="D2204" i="3"/>
  <c r="D2205" i="3"/>
  <c r="D2206" i="3"/>
  <c r="D2207" i="3"/>
  <c r="D2208" i="3"/>
  <c r="D2209" i="3"/>
  <c r="D2210" i="3"/>
  <c r="D2211" i="3"/>
  <c r="D2212" i="3"/>
  <c r="D2213" i="3"/>
  <c r="D2214" i="3"/>
  <c r="D2215" i="3"/>
  <c r="D2216" i="3"/>
  <c r="D2217" i="3"/>
  <c r="D2218" i="3"/>
  <c r="D2219" i="3"/>
  <c r="D2220" i="3"/>
  <c r="D2221" i="3"/>
  <c r="D2222" i="3"/>
  <c r="D2223" i="3"/>
  <c r="D2224" i="3"/>
  <c r="D2225" i="3"/>
  <c r="D2226" i="3"/>
  <c r="D2227" i="3"/>
  <c r="D2228" i="3"/>
  <c r="D2229" i="3"/>
  <c r="D2230" i="3"/>
  <c r="D2231" i="3"/>
  <c r="D2232" i="3"/>
  <c r="D2233" i="3"/>
  <c r="D2234" i="3"/>
  <c r="D2235" i="3"/>
  <c r="D2236" i="3"/>
  <c r="D2237" i="3"/>
  <c r="D2238" i="3"/>
  <c r="D2239" i="3"/>
  <c r="D2240" i="3"/>
  <c r="D2241" i="3"/>
  <c r="D2242" i="3"/>
  <c r="D2243" i="3"/>
  <c r="D2244" i="3"/>
  <c r="D2245" i="3"/>
  <c r="D2246" i="3"/>
  <c r="D2247" i="3"/>
  <c r="D2248" i="3"/>
  <c r="D2249" i="3"/>
  <c r="D2250" i="3"/>
  <c r="D2251" i="3"/>
  <c r="D2252" i="3"/>
  <c r="D2253" i="3"/>
  <c r="D2254" i="3"/>
  <c r="D2255" i="3"/>
  <c r="D2256" i="3"/>
  <c r="D2257" i="3"/>
  <c r="D2258" i="3"/>
  <c r="D2259" i="3"/>
  <c r="D2260" i="3"/>
  <c r="D2261" i="3"/>
  <c r="D2262" i="3"/>
  <c r="D2263" i="3"/>
  <c r="D2264" i="3"/>
  <c r="D2265" i="3"/>
  <c r="D2266" i="3"/>
  <c r="D2267" i="3"/>
  <c r="D2268" i="3"/>
  <c r="D2269" i="3"/>
  <c r="D2270" i="3"/>
  <c r="D2271" i="3"/>
  <c r="D2272" i="3"/>
  <c r="D2273" i="3"/>
  <c r="D2274" i="3"/>
  <c r="D2275" i="3"/>
  <c r="D2276" i="3"/>
  <c r="D2277" i="3"/>
  <c r="D2278" i="3"/>
  <c r="D2279" i="3"/>
  <c r="D2280" i="3"/>
  <c r="D2281" i="3"/>
  <c r="D2282" i="3"/>
  <c r="D2283" i="3"/>
  <c r="D2284" i="3"/>
  <c r="D2285" i="3"/>
  <c r="D2286" i="3"/>
  <c r="D2287" i="3"/>
  <c r="D2288" i="3"/>
  <c r="D2289" i="3"/>
  <c r="D2290" i="3"/>
  <c r="D2291" i="3"/>
  <c r="D2292" i="3"/>
  <c r="D2293" i="3"/>
  <c r="D2294" i="3"/>
  <c r="D2295" i="3"/>
  <c r="D2296" i="3"/>
  <c r="D2297" i="3"/>
  <c r="D2298" i="3"/>
  <c r="D2299" i="3"/>
  <c r="D2300" i="3"/>
  <c r="D2301" i="3"/>
  <c r="D2302" i="3"/>
  <c r="D2303" i="3"/>
  <c r="D2304" i="3"/>
  <c r="D2305" i="3"/>
  <c r="D2306" i="3"/>
  <c r="D2307" i="3"/>
  <c r="D2308" i="3"/>
  <c r="D2309" i="3"/>
  <c r="D2310" i="3"/>
  <c r="D2311" i="3"/>
  <c r="D2312" i="3"/>
  <c r="D2313" i="3"/>
  <c r="D2314" i="3"/>
  <c r="D2315" i="3"/>
  <c r="D2316" i="3"/>
  <c r="D2317" i="3"/>
  <c r="D2318" i="3"/>
  <c r="D2319" i="3"/>
  <c r="D2320" i="3"/>
  <c r="D2321" i="3"/>
  <c r="D2322" i="3"/>
  <c r="D2323" i="3"/>
  <c r="D2324" i="3"/>
  <c r="D2325" i="3"/>
  <c r="D2326" i="3"/>
  <c r="D2327" i="3"/>
  <c r="D2328" i="3"/>
  <c r="D2329" i="3"/>
  <c r="D2330" i="3"/>
  <c r="D2331" i="3"/>
  <c r="D2332" i="3"/>
  <c r="D2333" i="3"/>
  <c r="D2334" i="3"/>
  <c r="D2335" i="3"/>
  <c r="D2336" i="3"/>
  <c r="D2337" i="3"/>
  <c r="D2338" i="3"/>
  <c r="D2339" i="3"/>
  <c r="D2340" i="3"/>
  <c r="D2341" i="3"/>
  <c r="D2342" i="3"/>
  <c r="D2343" i="3"/>
  <c r="D2344" i="3"/>
  <c r="D2345" i="3"/>
  <c r="D2346" i="3"/>
  <c r="D2347" i="3"/>
  <c r="D2348" i="3"/>
  <c r="D2349" i="3"/>
  <c r="D2350" i="3"/>
  <c r="D2351" i="3"/>
  <c r="D2352" i="3"/>
  <c r="D2353" i="3"/>
  <c r="D2354" i="3"/>
  <c r="D2355" i="3"/>
  <c r="D2356" i="3"/>
  <c r="D2357" i="3"/>
  <c r="D2358" i="3"/>
  <c r="D2359" i="3"/>
  <c r="D2360" i="3"/>
  <c r="D2361" i="3"/>
  <c r="D2362" i="3"/>
  <c r="D2363" i="3"/>
  <c r="D2364" i="3"/>
  <c r="D2365" i="3"/>
  <c r="D2366" i="3"/>
  <c r="D2367" i="3"/>
  <c r="D2368" i="3"/>
  <c r="D2369" i="3"/>
  <c r="D2370" i="3"/>
  <c r="D2371" i="3"/>
  <c r="D2372" i="3"/>
  <c r="D2373" i="3"/>
  <c r="D2374" i="3"/>
  <c r="D2375" i="3"/>
  <c r="D2376" i="3"/>
  <c r="D2377" i="3"/>
  <c r="D2378" i="3"/>
  <c r="D2379" i="3"/>
  <c r="D2380" i="3"/>
  <c r="D2381" i="3"/>
  <c r="D2382" i="3"/>
  <c r="D2383" i="3"/>
  <c r="D2384" i="3"/>
  <c r="D2385" i="3"/>
  <c r="D2386" i="3"/>
  <c r="D2387" i="3"/>
  <c r="D2388" i="3"/>
  <c r="D2389" i="3"/>
  <c r="D2390" i="3"/>
  <c r="D2391" i="3"/>
  <c r="D2392" i="3"/>
  <c r="D2393" i="3"/>
  <c r="D2394" i="3"/>
  <c r="D2395" i="3"/>
  <c r="D2396" i="3"/>
  <c r="D2397" i="3"/>
  <c r="D2398" i="3"/>
  <c r="D2399" i="3"/>
  <c r="D2400" i="3"/>
  <c r="D2401" i="3"/>
  <c r="D2402" i="3"/>
  <c r="D2403" i="3"/>
  <c r="D2404" i="3"/>
  <c r="D2405" i="3"/>
  <c r="D2406" i="3"/>
  <c r="D2407" i="3"/>
  <c r="D2408" i="3"/>
  <c r="D2409" i="3"/>
  <c r="D2410" i="3"/>
  <c r="D2411" i="3"/>
  <c r="D2412" i="3"/>
  <c r="D2413" i="3"/>
  <c r="D2414" i="3"/>
  <c r="D2415" i="3"/>
  <c r="D2416" i="3"/>
  <c r="D2417" i="3"/>
  <c r="D2418" i="3"/>
  <c r="D2419" i="3"/>
  <c r="D2420" i="3"/>
  <c r="D2421" i="3"/>
  <c r="D2422" i="3"/>
  <c r="D2423" i="3"/>
  <c r="D2424" i="3"/>
  <c r="D2425" i="3"/>
  <c r="D2426" i="3"/>
  <c r="D2427" i="3"/>
  <c r="D2428" i="3"/>
  <c r="D2429" i="3"/>
  <c r="D2430" i="3"/>
  <c r="D2431" i="3"/>
  <c r="D2432" i="3"/>
  <c r="D2433" i="3"/>
  <c r="D2434" i="3"/>
  <c r="D2435" i="3"/>
  <c r="D2436" i="3"/>
  <c r="D2437" i="3"/>
  <c r="D2438" i="3"/>
  <c r="D2439" i="3"/>
  <c r="D2440" i="3"/>
  <c r="D2441" i="3"/>
  <c r="D2442" i="3"/>
  <c r="D2443" i="3"/>
  <c r="D2444" i="3"/>
  <c r="D2445" i="3"/>
  <c r="D2446" i="3"/>
  <c r="D2447" i="3"/>
  <c r="D2448" i="3"/>
  <c r="D2449" i="3"/>
  <c r="D2450" i="3"/>
  <c r="D2451" i="3"/>
  <c r="D2452" i="3"/>
  <c r="D2453" i="3"/>
  <c r="D2454" i="3"/>
  <c r="D2455" i="3"/>
  <c r="D2456" i="3"/>
  <c r="D2457" i="3"/>
  <c r="D2458" i="3"/>
  <c r="D2459" i="3"/>
  <c r="D2460" i="3"/>
  <c r="D2461" i="3"/>
  <c r="D2462" i="3"/>
  <c r="D2463" i="3"/>
  <c r="D2464" i="3"/>
  <c r="D2465" i="3"/>
  <c r="D2466" i="3"/>
  <c r="D2467" i="3"/>
  <c r="D2468" i="3"/>
  <c r="D2469" i="3"/>
  <c r="D2470" i="3"/>
  <c r="D2471" i="3"/>
  <c r="D2472" i="3"/>
  <c r="D2473" i="3"/>
  <c r="D2474" i="3"/>
  <c r="D2475" i="3"/>
  <c r="D2476" i="3"/>
  <c r="D2477" i="3"/>
  <c r="D2478" i="3"/>
  <c r="D2479" i="3"/>
  <c r="D2480" i="3"/>
  <c r="D2481" i="3"/>
  <c r="D2482" i="3"/>
  <c r="D2483" i="3"/>
  <c r="D2484" i="3"/>
  <c r="D2485" i="3"/>
  <c r="D2486" i="3"/>
  <c r="D2487" i="3"/>
  <c r="D2488" i="3"/>
  <c r="D2489" i="3"/>
  <c r="D2490" i="3"/>
  <c r="D2491" i="3"/>
  <c r="D2492" i="3"/>
  <c r="D2493" i="3"/>
  <c r="D2494" i="3"/>
  <c r="D2495" i="3"/>
  <c r="D2496" i="3"/>
  <c r="D2497" i="3"/>
  <c r="D2498" i="3"/>
  <c r="D2499" i="3"/>
  <c r="D2500" i="3"/>
  <c r="D2501" i="3"/>
  <c r="D2502" i="3"/>
  <c r="D2503" i="3"/>
  <c r="D2504" i="3"/>
  <c r="D2505" i="3"/>
  <c r="D2506" i="3"/>
  <c r="D2507" i="3"/>
  <c r="D2508" i="3"/>
  <c r="D2509" i="3"/>
  <c r="D2510" i="3"/>
  <c r="D2511" i="3"/>
  <c r="D2512" i="3"/>
  <c r="D2513" i="3"/>
  <c r="D2514" i="3"/>
  <c r="D2515" i="3"/>
  <c r="D2516" i="3"/>
  <c r="D2517" i="3"/>
  <c r="D2518" i="3"/>
  <c r="D2519" i="3"/>
  <c r="D2520" i="3"/>
  <c r="D2521" i="3"/>
  <c r="D2522" i="3"/>
  <c r="D2523" i="3"/>
  <c r="D2524" i="3"/>
  <c r="D2525" i="3"/>
  <c r="D2526" i="3"/>
  <c r="D2527" i="3"/>
  <c r="D2528" i="3"/>
  <c r="D2529" i="3"/>
  <c r="D2530" i="3"/>
  <c r="D2531" i="3"/>
  <c r="D2532" i="3"/>
  <c r="D2533" i="3"/>
  <c r="D2534" i="3"/>
  <c r="D2535" i="3"/>
  <c r="D2536" i="3"/>
  <c r="D2537" i="3"/>
  <c r="D2538" i="3"/>
  <c r="D2539" i="3"/>
  <c r="D2540" i="3"/>
  <c r="D2541" i="3"/>
  <c r="D2542" i="3"/>
  <c r="D2543" i="3"/>
  <c r="D2544" i="3"/>
  <c r="D2545" i="3"/>
  <c r="D2546" i="3"/>
  <c r="D2547" i="3"/>
  <c r="D2548" i="3"/>
  <c r="D2549" i="3"/>
  <c r="D2550" i="3"/>
  <c r="D2551" i="3"/>
  <c r="D2552" i="3"/>
  <c r="D2553" i="3"/>
  <c r="D2554" i="3"/>
  <c r="D2555" i="3"/>
  <c r="D2556" i="3"/>
  <c r="D2557" i="3"/>
  <c r="D2558" i="3"/>
  <c r="D2559" i="3"/>
  <c r="D2560" i="3"/>
  <c r="D2561" i="3"/>
  <c r="D2562" i="3"/>
  <c r="D2563" i="3"/>
  <c r="D2564" i="3"/>
  <c r="D2565" i="3"/>
  <c r="D2566" i="3"/>
  <c r="D2567" i="3"/>
  <c r="D2568" i="3"/>
  <c r="D2569" i="3"/>
  <c r="D2570" i="3"/>
  <c r="D2571" i="3"/>
  <c r="D2572" i="3"/>
  <c r="D2573" i="3"/>
  <c r="D2574" i="3"/>
  <c r="D2575" i="3"/>
  <c r="D2576" i="3"/>
  <c r="D2577" i="3"/>
  <c r="D2578" i="3"/>
  <c r="D2579" i="3"/>
  <c r="D2580" i="3"/>
  <c r="D2581" i="3"/>
  <c r="D2582" i="3"/>
  <c r="D2583" i="3"/>
  <c r="D2584" i="3"/>
  <c r="D2585" i="3"/>
  <c r="D2586" i="3"/>
  <c r="D2587" i="3"/>
  <c r="D2588" i="3"/>
  <c r="D2589" i="3"/>
  <c r="D2590" i="3"/>
  <c r="D2591" i="3"/>
  <c r="D2592" i="3"/>
  <c r="D2593" i="3"/>
  <c r="D2594" i="3"/>
  <c r="D2595" i="3"/>
  <c r="D2596" i="3"/>
  <c r="D2597" i="3"/>
  <c r="D2598" i="3"/>
  <c r="D2599" i="3"/>
  <c r="D2600" i="3"/>
  <c r="D2601" i="3"/>
  <c r="D2602" i="3"/>
  <c r="D2603" i="3"/>
  <c r="D2604" i="3"/>
  <c r="D2605" i="3"/>
  <c r="D2606" i="3"/>
  <c r="D2607" i="3"/>
  <c r="D2608" i="3"/>
  <c r="D2609" i="3"/>
  <c r="D2610" i="3"/>
  <c r="D2611" i="3"/>
  <c r="D2612" i="3"/>
  <c r="D2613" i="3"/>
  <c r="D2614" i="3"/>
  <c r="D2615" i="3"/>
  <c r="D2616" i="3"/>
  <c r="D2617" i="3"/>
  <c r="D2618" i="3"/>
  <c r="D2619" i="3"/>
  <c r="D2620" i="3"/>
  <c r="D2621" i="3"/>
  <c r="D2622" i="3"/>
  <c r="D2623" i="3"/>
  <c r="D2624" i="3"/>
  <c r="D2625" i="3"/>
  <c r="D2626" i="3"/>
  <c r="D2627" i="3"/>
  <c r="D2628" i="3"/>
  <c r="D2629" i="3"/>
  <c r="D2630" i="3"/>
  <c r="D2631" i="3"/>
  <c r="D2632" i="3"/>
  <c r="D2633" i="3"/>
  <c r="D2634" i="3"/>
  <c r="D2635" i="3"/>
  <c r="D2636" i="3"/>
  <c r="D2637" i="3"/>
  <c r="D2638" i="3"/>
  <c r="D2639" i="3"/>
  <c r="D2640" i="3"/>
  <c r="D2641" i="3"/>
  <c r="D2642" i="3"/>
  <c r="D2643" i="3"/>
  <c r="D2644" i="3"/>
  <c r="D2645" i="3"/>
  <c r="D2646" i="3"/>
  <c r="D2647" i="3"/>
  <c r="D2648" i="3"/>
  <c r="D2649" i="3"/>
  <c r="D2650" i="3"/>
  <c r="D2651" i="3"/>
  <c r="D2652" i="3"/>
  <c r="D2653" i="3"/>
  <c r="D2654" i="3"/>
  <c r="D2655" i="3"/>
  <c r="D2656" i="3"/>
  <c r="D2657" i="3"/>
  <c r="D2658" i="3"/>
  <c r="D2659" i="3"/>
  <c r="D2660" i="3"/>
  <c r="D2661" i="3"/>
  <c r="D2662" i="3"/>
  <c r="D2663" i="3"/>
  <c r="D2664" i="3"/>
  <c r="D2665" i="3"/>
  <c r="D2666" i="3"/>
  <c r="D2667" i="3"/>
  <c r="D2668" i="3"/>
  <c r="D2669" i="3"/>
  <c r="D2670" i="3"/>
  <c r="D2671" i="3"/>
  <c r="D2672" i="3"/>
  <c r="D2673" i="3"/>
  <c r="D2674" i="3"/>
  <c r="D2675" i="3"/>
  <c r="D2676" i="3"/>
  <c r="D2677" i="3"/>
  <c r="D2678" i="3"/>
  <c r="D2679" i="3"/>
  <c r="D2680" i="3"/>
  <c r="D2681" i="3"/>
  <c r="D2682" i="3"/>
  <c r="D2683" i="3"/>
  <c r="D2684" i="3"/>
  <c r="D2685" i="3"/>
  <c r="D2686" i="3"/>
  <c r="D2687" i="3"/>
  <c r="D2688" i="3"/>
  <c r="D2689" i="3"/>
  <c r="D2690" i="3"/>
  <c r="D2691" i="3"/>
  <c r="D2692" i="3"/>
  <c r="D2693" i="3"/>
  <c r="D2694" i="3"/>
  <c r="D2695" i="3"/>
  <c r="D2696" i="3"/>
  <c r="D2697" i="3"/>
  <c r="D2698" i="3"/>
  <c r="D2699" i="3"/>
  <c r="D2700" i="3"/>
  <c r="D2701" i="3"/>
  <c r="D2702" i="3"/>
  <c r="D2703" i="3"/>
  <c r="D2704" i="3"/>
  <c r="D2705" i="3"/>
  <c r="D2706" i="3"/>
  <c r="D2707" i="3"/>
  <c r="D2708" i="3"/>
  <c r="D2709" i="3"/>
  <c r="D2710" i="3"/>
  <c r="D2711" i="3"/>
  <c r="D2712" i="3"/>
  <c r="D2713" i="3"/>
  <c r="D2714" i="3"/>
  <c r="D2715" i="3"/>
  <c r="D2716" i="3"/>
  <c r="D2717" i="3"/>
  <c r="D2718" i="3"/>
  <c r="D2719" i="3"/>
  <c r="D2720" i="3"/>
  <c r="D2721" i="3"/>
  <c r="D2722" i="3"/>
  <c r="D2723" i="3"/>
  <c r="D2724" i="3"/>
  <c r="D2725" i="3"/>
  <c r="D2726" i="3"/>
  <c r="D2727" i="3"/>
  <c r="D2728" i="3"/>
  <c r="D2729" i="3"/>
  <c r="D2730" i="3"/>
  <c r="D2731" i="3"/>
  <c r="D2732" i="3"/>
  <c r="D2733" i="3"/>
  <c r="D2734" i="3"/>
  <c r="D2735" i="3"/>
  <c r="D2736" i="3"/>
  <c r="D2737" i="3"/>
  <c r="D2738" i="3"/>
  <c r="D2739" i="3"/>
  <c r="D2740" i="3"/>
  <c r="D2741" i="3"/>
  <c r="D2742" i="3"/>
  <c r="D2743" i="3"/>
  <c r="D2744" i="3"/>
  <c r="D2745" i="3"/>
  <c r="D2746" i="3"/>
  <c r="D2747" i="3"/>
  <c r="D2748" i="3"/>
  <c r="D2749" i="3"/>
  <c r="D2750" i="3"/>
  <c r="D2751" i="3"/>
  <c r="D2752" i="3"/>
  <c r="D2753" i="3"/>
  <c r="D2754" i="3"/>
  <c r="D2755" i="3"/>
  <c r="D2756" i="3"/>
  <c r="D2757" i="3"/>
  <c r="D2758" i="3"/>
  <c r="D2759" i="3"/>
  <c r="D2760" i="3"/>
  <c r="D2761" i="3"/>
  <c r="D2762" i="3"/>
  <c r="D2763" i="3"/>
  <c r="D2764" i="3"/>
  <c r="D2765" i="3"/>
  <c r="D2766" i="3"/>
  <c r="D2767" i="3"/>
  <c r="D2768" i="3"/>
  <c r="D2769" i="3"/>
  <c r="D2770" i="3"/>
  <c r="D2771" i="3"/>
  <c r="D2772" i="3"/>
  <c r="D2773" i="3"/>
  <c r="D2774" i="3"/>
  <c r="D2775" i="3"/>
  <c r="D2776" i="3"/>
  <c r="D2777" i="3"/>
  <c r="D2778" i="3"/>
  <c r="D2779" i="3"/>
  <c r="D2780" i="3"/>
  <c r="D2781" i="3"/>
  <c r="D2782" i="3"/>
  <c r="D2783" i="3"/>
  <c r="D2784" i="3"/>
  <c r="D2785" i="3"/>
  <c r="D2786" i="3"/>
  <c r="D2787" i="3"/>
  <c r="D2788" i="3"/>
  <c r="D2789" i="3"/>
  <c r="D2790" i="3"/>
  <c r="D2791" i="3"/>
  <c r="D2792" i="3"/>
  <c r="D2793" i="3"/>
  <c r="D2794" i="3"/>
  <c r="D2795" i="3"/>
  <c r="D2796" i="3"/>
  <c r="D2797" i="3"/>
  <c r="D2798" i="3"/>
  <c r="D2799" i="3"/>
  <c r="D2800" i="3"/>
  <c r="D2801" i="3"/>
  <c r="D2802" i="3"/>
  <c r="D2803" i="3"/>
  <c r="D2804" i="3"/>
  <c r="D2805" i="3"/>
  <c r="D2806" i="3"/>
  <c r="D2807" i="3"/>
  <c r="D2808" i="3"/>
  <c r="D2809" i="3"/>
  <c r="D2810" i="3"/>
  <c r="D2811" i="3"/>
  <c r="D2812" i="3"/>
  <c r="D2813" i="3"/>
  <c r="D2814" i="3"/>
  <c r="D2815" i="3"/>
  <c r="D2816" i="3"/>
  <c r="D2817" i="3"/>
  <c r="D2818" i="3"/>
  <c r="D2819" i="3"/>
  <c r="D2820" i="3"/>
  <c r="D2821" i="3"/>
  <c r="D2822" i="3"/>
  <c r="D2823" i="3"/>
  <c r="D2824" i="3"/>
  <c r="D2825" i="3"/>
  <c r="D2826" i="3"/>
  <c r="D2827" i="3"/>
  <c r="D2828" i="3"/>
  <c r="D2829" i="3"/>
  <c r="D2830" i="3"/>
  <c r="D2831" i="3"/>
  <c r="D2832" i="3"/>
  <c r="D2833" i="3"/>
  <c r="D2834" i="3"/>
  <c r="D2835" i="3"/>
  <c r="D2836" i="3"/>
  <c r="D2837" i="3"/>
  <c r="D2838" i="3"/>
  <c r="D2839" i="3"/>
  <c r="D2840" i="3"/>
  <c r="D2841" i="3"/>
  <c r="D2842" i="3"/>
  <c r="D2843" i="3"/>
  <c r="D2844" i="3"/>
  <c r="D2845" i="3"/>
  <c r="D2846" i="3"/>
  <c r="D2847" i="3"/>
  <c r="D2848" i="3"/>
  <c r="D2849" i="3"/>
  <c r="D2850" i="3"/>
  <c r="D2851" i="3"/>
  <c r="D2852" i="3"/>
  <c r="D2853" i="3"/>
  <c r="D2854" i="3"/>
  <c r="D2855" i="3"/>
  <c r="D2856" i="3"/>
  <c r="D2857" i="3"/>
  <c r="D2858" i="3"/>
  <c r="D2859" i="3"/>
  <c r="D2860" i="3"/>
  <c r="D2861" i="3"/>
  <c r="D2862" i="3"/>
  <c r="D2863" i="3"/>
  <c r="D2864" i="3"/>
  <c r="D2865" i="3"/>
  <c r="D2866" i="3"/>
  <c r="D2867" i="3"/>
  <c r="D2868" i="3"/>
  <c r="D2869" i="3"/>
  <c r="D2870" i="3"/>
  <c r="D2871" i="3"/>
  <c r="D2872" i="3"/>
  <c r="D2873" i="3"/>
  <c r="D2874" i="3"/>
  <c r="D2875" i="3"/>
  <c r="D2876" i="3"/>
  <c r="D2877" i="3"/>
  <c r="D2878" i="3"/>
  <c r="D2879" i="3"/>
  <c r="D2880" i="3"/>
  <c r="D2881" i="3"/>
  <c r="D2882" i="3"/>
  <c r="D2883" i="3"/>
  <c r="D2884" i="3"/>
  <c r="D2" i="3"/>
  <c r="C2884" i="3"/>
  <c r="C2883" i="3"/>
  <c r="C2882" i="3"/>
  <c r="C2881" i="3"/>
  <c r="C2880" i="3"/>
  <c r="C2879" i="3"/>
  <c r="C2878" i="3"/>
  <c r="C2877" i="3"/>
  <c r="C2876" i="3"/>
  <c r="C2875" i="3"/>
  <c r="C2874" i="3"/>
  <c r="C2873" i="3"/>
  <c r="C2872" i="3"/>
  <c r="C2871" i="3"/>
  <c r="C2870" i="3"/>
  <c r="C2869" i="3"/>
  <c r="C2868" i="3"/>
  <c r="C2867" i="3"/>
  <c r="C2866" i="3"/>
  <c r="C2865" i="3"/>
  <c r="C2864" i="3"/>
  <c r="C2863" i="3"/>
  <c r="C2862" i="3"/>
  <c r="C2861" i="3"/>
  <c r="C2860" i="3"/>
  <c r="C2859" i="3"/>
  <c r="C2858" i="3"/>
  <c r="C2857" i="3"/>
  <c r="C2856" i="3"/>
  <c r="C2855" i="3"/>
  <c r="C2854" i="3"/>
  <c r="C2853" i="3"/>
  <c r="C2852" i="3"/>
  <c r="C2851" i="3"/>
  <c r="C2850" i="3"/>
  <c r="C2849" i="3"/>
  <c r="C2848" i="3"/>
  <c r="C2847" i="3"/>
  <c r="C2846" i="3"/>
  <c r="C2845" i="3"/>
  <c r="C2844" i="3"/>
  <c r="C2843" i="3"/>
  <c r="C2842" i="3"/>
  <c r="C2841" i="3"/>
  <c r="C2840" i="3"/>
  <c r="C2839" i="3"/>
  <c r="C2838" i="3"/>
  <c r="C2837" i="3"/>
  <c r="C2836" i="3"/>
  <c r="C2835" i="3"/>
  <c r="C2834" i="3"/>
  <c r="C2833" i="3"/>
  <c r="C2832" i="3"/>
  <c r="C2831" i="3"/>
  <c r="C2830" i="3"/>
  <c r="C2829" i="3"/>
  <c r="C2828" i="3"/>
  <c r="C2827" i="3"/>
  <c r="C2826" i="3"/>
  <c r="C2825" i="3"/>
  <c r="C2824" i="3"/>
  <c r="C2823" i="3"/>
  <c r="C2822" i="3"/>
  <c r="C2821" i="3"/>
  <c r="C2820" i="3"/>
  <c r="C2819" i="3"/>
  <c r="C2818" i="3"/>
  <c r="C2817" i="3"/>
  <c r="C2816" i="3"/>
  <c r="C2815" i="3"/>
  <c r="C2814" i="3"/>
  <c r="C2813" i="3"/>
  <c r="C2812" i="3"/>
  <c r="C2811" i="3"/>
  <c r="C2810" i="3"/>
  <c r="C2809" i="3"/>
  <c r="C2808" i="3"/>
  <c r="C2807" i="3"/>
  <c r="C2806" i="3"/>
  <c r="C2805" i="3"/>
  <c r="C2804" i="3"/>
  <c r="C2803" i="3"/>
  <c r="C2802" i="3"/>
  <c r="C2801" i="3"/>
  <c r="C2800" i="3"/>
  <c r="C2799" i="3"/>
  <c r="C2798" i="3"/>
  <c r="C2797" i="3"/>
  <c r="C2796" i="3"/>
  <c r="C2795" i="3"/>
  <c r="C2794" i="3"/>
  <c r="C2793" i="3"/>
  <c r="C2792" i="3"/>
  <c r="C2791" i="3"/>
  <c r="C2790" i="3"/>
  <c r="C2789" i="3"/>
  <c r="C2788" i="3"/>
  <c r="C2787" i="3"/>
  <c r="C2786" i="3"/>
  <c r="C2785" i="3"/>
  <c r="C2784" i="3"/>
  <c r="C2783" i="3"/>
  <c r="C2782" i="3"/>
  <c r="C2781" i="3"/>
  <c r="C2780" i="3"/>
  <c r="C2779" i="3"/>
  <c r="C2778" i="3"/>
  <c r="C2777" i="3"/>
  <c r="C2776" i="3"/>
  <c r="C2775" i="3"/>
  <c r="C2774" i="3"/>
  <c r="C2773" i="3"/>
  <c r="C2772" i="3"/>
  <c r="C2771" i="3"/>
  <c r="C2770" i="3"/>
  <c r="C2769" i="3"/>
  <c r="C2768" i="3"/>
  <c r="C2767" i="3"/>
  <c r="C2766" i="3"/>
  <c r="C2765" i="3"/>
  <c r="C2764" i="3"/>
  <c r="C2763" i="3"/>
  <c r="C2762" i="3"/>
  <c r="C2761" i="3"/>
  <c r="C2760" i="3"/>
  <c r="C2759" i="3"/>
  <c r="C2758" i="3"/>
  <c r="C2757" i="3"/>
  <c r="C2756" i="3"/>
  <c r="C2755" i="3"/>
  <c r="C2754" i="3"/>
  <c r="C2753" i="3"/>
  <c r="C2752" i="3"/>
  <c r="C2751" i="3"/>
  <c r="C2750" i="3"/>
  <c r="C2749" i="3"/>
  <c r="C2748" i="3"/>
  <c r="C2747" i="3"/>
  <c r="C2746" i="3"/>
  <c r="C2745" i="3"/>
  <c r="C2744" i="3"/>
  <c r="C2743" i="3"/>
  <c r="C2742" i="3"/>
  <c r="C2741" i="3"/>
  <c r="C2740" i="3"/>
  <c r="C2739" i="3"/>
  <c r="C2738" i="3"/>
  <c r="C2737" i="3"/>
  <c r="C2736" i="3"/>
  <c r="C2735" i="3"/>
  <c r="C2734" i="3"/>
  <c r="C2733" i="3"/>
  <c r="C2732" i="3"/>
  <c r="C2731" i="3"/>
  <c r="C2730" i="3"/>
  <c r="C2729" i="3"/>
  <c r="C2728" i="3"/>
  <c r="C2727" i="3"/>
  <c r="C2726" i="3"/>
  <c r="C2725" i="3"/>
  <c r="C2724" i="3"/>
  <c r="C2723" i="3"/>
  <c r="C2722" i="3"/>
  <c r="C2721" i="3"/>
  <c r="C2720" i="3"/>
  <c r="C2719" i="3"/>
  <c r="C2718" i="3"/>
  <c r="C2717" i="3"/>
  <c r="C2716" i="3"/>
  <c r="C2715" i="3"/>
  <c r="C2714" i="3"/>
  <c r="C2713" i="3"/>
  <c r="C2712" i="3"/>
  <c r="C2711" i="3"/>
  <c r="C2710" i="3"/>
  <c r="C2709" i="3"/>
  <c r="C2708" i="3"/>
  <c r="C2707" i="3"/>
  <c r="C2706" i="3"/>
  <c r="C2705" i="3"/>
  <c r="C2704" i="3"/>
  <c r="C2703" i="3"/>
  <c r="C2702" i="3"/>
  <c r="C2701" i="3"/>
  <c r="C2700" i="3"/>
  <c r="C2699" i="3"/>
  <c r="C2698" i="3"/>
  <c r="C2697" i="3"/>
  <c r="C2696" i="3"/>
  <c r="C2695" i="3"/>
  <c r="C2694" i="3"/>
  <c r="C2693" i="3"/>
  <c r="C2692" i="3"/>
  <c r="C2691" i="3"/>
  <c r="C2690" i="3"/>
  <c r="C2689" i="3"/>
  <c r="C2688" i="3"/>
  <c r="C2687" i="3"/>
  <c r="C2686" i="3"/>
  <c r="C2685" i="3"/>
  <c r="C2684" i="3"/>
  <c r="C2683" i="3"/>
  <c r="C2682" i="3"/>
  <c r="C2681" i="3"/>
  <c r="C2680" i="3"/>
  <c r="C2679" i="3"/>
  <c r="C2678" i="3"/>
  <c r="C2677" i="3"/>
  <c r="C2676" i="3"/>
  <c r="C2675" i="3"/>
  <c r="C2674" i="3"/>
  <c r="C2673" i="3"/>
  <c r="C2672" i="3"/>
  <c r="C2671" i="3"/>
  <c r="C2670" i="3"/>
  <c r="C2669" i="3"/>
  <c r="C2668" i="3"/>
  <c r="C2667" i="3"/>
  <c r="C2666" i="3"/>
  <c r="C2665" i="3"/>
  <c r="C2664" i="3"/>
  <c r="C2663" i="3"/>
  <c r="C2662" i="3"/>
  <c r="C2661" i="3"/>
  <c r="C2660" i="3"/>
  <c r="C2659" i="3"/>
  <c r="C2658" i="3"/>
  <c r="C2657" i="3"/>
  <c r="C2656" i="3"/>
  <c r="C2655" i="3"/>
  <c r="C2654" i="3"/>
  <c r="C2653" i="3"/>
  <c r="C2652" i="3"/>
  <c r="C2651" i="3"/>
  <c r="C2650" i="3"/>
  <c r="C2649" i="3"/>
  <c r="C2648" i="3"/>
  <c r="C2647" i="3"/>
  <c r="C2646" i="3"/>
  <c r="C2645" i="3"/>
  <c r="C2644" i="3"/>
  <c r="C2643" i="3"/>
  <c r="C2642" i="3"/>
  <c r="C2641" i="3"/>
  <c r="C2640" i="3"/>
  <c r="C2639" i="3"/>
  <c r="C2638" i="3"/>
  <c r="C2637" i="3"/>
  <c r="C2636" i="3"/>
  <c r="C2635" i="3"/>
  <c r="C2634" i="3"/>
  <c r="C2633" i="3"/>
  <c r="C2632" i="3"/>
  <c r="C2631" i="3"/>
  <c r="C2630" i="3"/>
  <c r="C2629" i="3"/>
  <c r="C2628" i="3"/>
  <c r="C2627" i="3"/>
  <c r="C2626" i="3"/>
  <c r="C2625" i="3"/>
  <c r="C2624" i="3"/>
  <c r="C2623" i="3"/>
  <c r="C2622" i="3"/>
  <c r="C2621" i="3"/>
  <c r="C2620" i="3"/>
  <c r="C2619" i="3"/>
  <c r="C2618" i="3"/>
  <c r="C2617" i="3"/>
  <c r="C2616" i="3"/>
  <c r="C2615" i="3"/>
  <c r="C2614" i="3"/>
  <c r="C2613" i="3"/>
  <c r="C2612" i="3"/>
  <c r="C2611" i="3"/>
  <c r="C2610" i="3"/>
  <c r="C2609" i="3"/>
  <c r="C2608" i="3"/>
  <c r="C2607" i="3"/>
  <c r="C2606" i="3"/>
  <c r="C2605" i="3"/>
  <c r="C2604" i="3"/>
  <c r="C2603" i="3"/>
  <c r="C2602" i="3"/>
  <c r="C2601" i="3"/>
  <c r="C2600" i="3"/>
  <c r="C2599" i="3"/>
  <c r="C2598" i="3"/>
  <c r="C2597" i="3"/>
  <c r="C2596" i="3"/>
  <c r="C2595" i="3"/>
  <c r="C2594" i="3"/>
  <c r="C2593" i="3"/>
  <c r="C2592" i="3"/>
  <c r="C2591" i="3"/>
  <c r="C2590" i="3"/>
  <c r="C2589" i="3"/>
  <c r="C2588" i="3"/>
  <c r="C2587" i="3"/>
  <c r="C2586" i="3"/>
  <c r="C2585" i="3"/>
  <c r="C2584" i="3"/>
  <c r="C2583" i="3"/>
  <c r="C2582" i="3"/>
  <c r="C2581" i="3"/>
  <c r="C2580" i="3"/>
  <c r="C2579" i="3"/>
  <c r="C2578" i="3"/>
  <c r="C2577" i="3"/>
  <c r="C2576" i="3"/>
  <c r="C2575" i="3"/>
  <c r="C2574" i="3"/>
  <c r="C2573" i="3"/>
  <c r="C2572" i="3"/>
  <c r="C2571" i="3"/>
  <c r="C2570" i="3"/>
  <c r="C2569" i="3"/>
  <c r="C2568" i="3"/>
  <c r="C2567" i="3"/>
  <c r="C2566" i="3"/>
  <c r="C2565" i="3"/>
  <c r="C2564" i="3"/>
  <c r="C2563" i="3"/>
  <c r="C2562" i="3"/>
  <c r="C2561" i="3"/>
  <c r="C2560" i="3"/>
  <c r="C2559" i="3"/>
  <c r="C2558" i="3"/>
  <c r="C2557" i="3"/>
  <c r="C2556" i="3"/>
  <c r="C2555" i="3"/>
  <c r="C2554" i="3"/>
  <c r="C2553" i="3"/>
  <c r="C2552" i="3"/>
  <c r="C2551" i="3"/>
  <c r="C2550" i="3"/>
  <c r="C2549" i="3"/>
  <c r="C2548" i="3"/>
  <c r="C2547" i="3"/>
  <c r="C2546" i="3"/>
  <c r="C2545" i="3"/>
  <c r="C2544" i="3"/>
  <c r="C2543" i="3"/>
  <c r="C2542" i="3"/>
  <c r="C2541" i="3"/>
  <c r="C2540" i="3"/>
  <c r="C2539" i="3"/>
  <c r="C2538" i="3"/>
  <c r="C2537" i="3"/>
  <c r="C2536" i="3"/>
  <c r="C2535" i="3"/>
  <c r="C2534" i="3"/>
  <c r="C2533" i="3"/>
  <c r="C2532" i="3"/>
  <c r="C2531" i="3"/>
  <c r="C2530" i="3"/>
  <c r="C2529" i="3"/>
  <c r="C2528" i="3"/>
  <c r="C2527" i="3"/>
  <c r="C2526" i="3"/>
  <c r="C2525" i="3"/>
  <c r="C2524" i="3"/>
  <c r="C2523" i="3"/>
  <c r="C2522" i="3"/>
  <c r="C2521" i="3"/>
  <c r="C2520" i="3"/>
  <c r="C2519" i="3"/>
  <c r="C2518" i="3"/>
  <c r="C2517" i="3"/>
  <c r="C2516" i="3"/>
  <c r="C2515" i="3"/>
  <c r="C2514" i="3"/>
  <c r="C2513" i="3"/>
  <c r="C2512" i="3"/>
  <c r="C2511" i="3"/>
  <c r="C2510" i="3"/>
  <c r="C2509" i="3"/>
  <c r="C2508" i="3"/>
  <c r="C2507" i="3"/>
  <c r="C2506" i="3"/>
  <c r="C2505" i="3"/>
  <c r="C2504" i="3"/>
  <c r="C2503" i="3"/>
  <c r="C2502" i="3"/>
  <c r="C2501" i="3"/>
  <c r="C2500" i="3"/>
  <c r="C2499" i="3"/>
  <c r="C2498" i="3"/>
  <c r="C2497" i="3"/>
  <c r="C2496" i="3"/>
  <c r="C2495" i="3"/>
  <c r="C2494" i="3"/>
  <c r="C2493" i="3"/>
  <c r="C2492" i="3"/>
  <c r="C2491" i="3"/>
  <c r="C2490" i="3"/>
  <c r="C2489" i="3"/>
  <c r="C2488" i="3"/>
  <c r="C2487" i="3"/>
  <c r="C2486" i="3"/>
  <c r="C2485" i="3"/>
  <c r="C2484" i="3"/>
  <c r="C2483" i="3"/>
  <c r="C2482" i="3"/>
  <c r="C2481" i="3"/>
  <c r="C2480" i="3"/>
  <c r="C2479" i="3"/>
  <c r="C2478" i="3"/>
  <c r="C2477" i="3"/>
  <c r="C2476" i="3"/>
  <c r="C2475" i="3"/>
  <c r="C2474" i="3"/>
  <c r="C2473" i="3"/>
  <c r="C2472" i="3"/>
  <c r="C2471" i="3"/>
  <c r="C2470" i="3"/>
  <c r="C2469" i="3"/>
  <c r="C2468" i="3"/>
  <c r="C2467" i="3"/>
  <c r="C2466" i="3"/>
  <c r="C2465" i="3"/>
  <c r="C2464" i="3"/>
  <c r="C2463" i="3"/>
  <c r="C2462" i="3"/>
  <c r="C2461" i="3"/>
  <c r="C2460" i="3"/>
  <c r="C2459" i="3"/>
  <c r="C2458" i="3"/>
  <c r="C2457" i="3"/>
  <c r="C2456" i="3"/>
  <c r="C2455" i="3"/>
  <c r="C2454" i="3"/>
  <c r="C2453" i="3"/>
  <c r="C2452" i="3"/>
  <c r="C2451" i="3"/>
  <c r="C2450" i="3"/>
  <c r="C2449" i="3"/>
  <c r="C2448" i="3"/>
  <c r="C2447" i="3"/>
  <c r="C2446" i="3"/>
  <c r="C2445" i="3"/>
  <c r="C2444" i="3"/>
  <c r="C2443" i="3"/>
  <c r="C2442" i="3"/>
  <c r="C2441" i="3"/>
  <c r="C2440" i="3"/>
  <c r="C2439" i="3"/>
  <c r="C2438" i="3"/>
  <c r="C2437" i="3"/>
  <c r="C2436" i="3"/>
  <c r="C2435" i="3"/>
  <c r="C2434" i="3"/>
  <c r="C2433" i="3"/>
  <c r="C2432" i="3"/>
  <c r="C2431" i="3"/>
  <c r="C2430" i="3"/>
  <c r="C2429" i="3"/>
  <c r="C2428" i="3"/>
  <c r="C2427" i="3"/>
  <c r="C2426" i="3"/>
  <c r="C2425" i="3"/>
  <c r="C2424" i="3"/>
  <c r="C2423" i="3"/>
  <c r="C2422" i="3"/>
  <c r="C2421" i="3"/>
  <c r="C2420" i="3"/>
  <c r="C2419" i="3"/>
  <c r="C2418" i="3"/>
  <c r="C2417" i="3"/>
  <c r="C2416" i="3"/>
  <c r="C2415" i="3"/>
  <c r="C2414" i="3"/>
  <c r="C2413" i="3"/>
  <c r="C2412" i="3"/>
  <c r="C2411" i="3"/>
  <c r="C2410" i="3"/>
  <c r="C2409" i="3"/>
  <c r="C2408" i="3"/>
  <c r="C2407" i="3"/>
  <c r="C2406" i="3"/>
  <c r="C2405" i="3"/>
  <c r="C2404" i="3"/>
  <c r="C2403" i="3"/>
  <c r="C2402" i="3"/>
  <c r="C2401" i="3"/>
  <c r="C2400" i="3"/>
  <c r="C2399" i="3"/>
  <c r="C2398" i="3"/>
  <c r="C2397" i="3"/>
  <c r="C2396" i="3"/>
  <c r="C2395" i="3"/>
  <c r="C2394" i="3"/>
  <c r="C2393" i="3"/>
  <c r="C2392" i="3"/>
  <c r="C2391" i="3"/>
  <c r="C2390" i="3"/>
  <c r="C2389" i="3"/>
  <c r="C2388" i="3"/>
  <c r="C2387" i="3"/>
  <c r="C2386" i="3"/>
  <c r="C2385" i="3"/>
  <c r="C2384" i="3"/>
  <c r="C2383" i="3"/>
  <c r="C2382" i="3"/>
  <c r="C2381" i="3"/>
  <c r="C2380" i="3"/>
  <c r="C2379" i="3"/>
  <c r="C2378" i="3"/>
  <c r="C2377" i="3"/>
  <c r="C2376" i="3"/>
  <c r="C2375" i="3"/>
  <c r="C2374" i="3"/>
  <c r="C2373" i="3"/>
  <c r="C2372" i="3"/>
  <c r="C2371" i="3"/>
  <c r="C2370" i="3"/>
  <c r="C2369" i="3"/>
  <c r="C2368" i="3"/>
  <c r="C2367" i="3"/>
  <c r="C2366" i="3"/>
  <c r="C2365" i="3"/>
  <c r="C2364" i="3"/>
  <c r="C2363" i="3"/>
  <c r="C2362" i="3"/>
  <c r="C2361" i="3"/>
  <c r="C2360" i="3"/>
  <c r="C2359" i="3"/>
  <c r="C2358" i="3"/>
  <c r="C2357" i="3"/>
  <c r="C2356" i="3"/>
  <c r="C2355" i="3"/>
  <c r="C2354" i="3"/>
  <c r="C2353" i="3"/>
  <c r="C2352" i="3"/>
  <c r="C2351" i="3"/>
  <c r="C2350" i="3"/>
  <c r="C2349" i="3"/>
  <c r="C2348" i="3"/>
  <c r="C2347" i="3"/>
  <c r="C2346" i="3"/>
  <c r="C2345" i="3"/>
  <c r="C2344" i="3"/>
  <c r="C2343" i="3"/>
  <c r="C2342" i="3"/>
  <c r="C2341" i="3"/>
  <c r="C2340" i="3"/>
  <c r="C2339" i="3"/>
  <c r="C2338" i="3"/>
  <c r="C2337" i="3"/>
  <c r="C2336" i="3"/>
  <c r="C2335" i="3"/>
  <c r="C2334" i="3"/>
  <c r="C2333" i="3"/>
  <c r="C2332" i="3"/>
  <c r="C2331" i="3"/>
  <c r="C2330" i="3"/>
  <c r="C2329" i="3"/>
  <c r="C2328" i="3"/>
  <c r="C2327" i="3"/>
  <c r="C2326" i="3"/>
  <c r="C2325" i="3"/>
  <c r="C2324" i="3"/>
  <c r="C2323" i="3"/>
  <c r="C2322" i="3"/>
  <c r="C2321" i="3"/>
  <c r="C2320" i="3"/>
  <c r="C2319" i="3"/>
  <c r="C2318" i="3"/>
  <c r="C2317" i="3"/>
  <c r="C2316" i="3"/>
  <c r="C2315" i="3"/>
  <c r="C2314" i="3"/>
  <c r="C2313" i="3"/>
  <c r="C2312" i="3"/>
  <c r="C2311" i="3"/>
  <c r="C2310" i="3"/>
  <c r="C2309" i="3"/>
  <c r="C2308" i="3"/>
  <c r="C2307" i="3"/>
  <c r="C2306" i="3"/>
  <c r="C2305" i="3"/>
  <c r="C2304" i="3"/>
  <c r="C2303" i="3"/>
  <c r="C2302" i="3"/>
  <c r="C2301" i="3"/>
  <c r="C2300" i="3"/>
  <c r="C2299" i="3"/>
  <c r="C2298" i="3"/>
  <c r="C2297" i="3"/>
  <c r="C2296" i="3"/>
  <c r="C2295" i="3"/>
  <c r="C2294" i="3"/>
  <c r="C2293" i="3"/>
  <c r="C2292" i="3"/>
  <c r="C2291" i="3"/>
  <c r="C2290" i="3"/>
  <c r="C2289" i="3"/>
  <c r="C2288" i="3"/>
  <c r="C2287" i="3"/>
  <c r="C2286" i="3"/>
  <c r="C2285" i="3"/>
  <c r="C2284" i="3"/>
  <c r="C2283" i="3"/>
  <c r="C2282" i="3"/>
  <c r="C2281" i="3"/>
  <c r="C2280" i="3"/>
  <c r="C2279" i="3"/>
  <c r="C2278" i="3"/>
  <c r="C2277" i="3"/>
  <c r="C2276" i="3"/>
  <c r="C2275" i="3"/>
  <c r="C2274" i="3"/>
  <c r="C2273" i="3"/>
  <c r="C2272" i="3"/>
  <c r="C2271" i="3"/>
  <c r="C2270" i="3"/>
  <c r="C2269" i="3"/>
  <c r="C2268" i="3"/>
  <c r="C2267" i="3"/>
  <c r="C2266" i="3"/>
  <c r="C2265" i="3"/>
  <c r="C2264" i="3"/>
  <c r="C2263" i="3"/>
  <c r="C2262" i="3"/>
  <c r="C2261" i="3"/>
  <c r="C2260" i="3"/>
  <c r="C2259" i="3"/>
  <c r="C2258" i="3"/>
  <c r="C2257" i="3"/>
  <c r="C2256" i="3"/>
  <c r="C2255" i="3"/>
  <c r="C2254" i="3"/>
  <c r="C2253" i="3"/>
  <c r="C2252" i="3"/>
  <c r="C2251" i="3"/>
  <c r="C2250" i="3"/>
  <c r="C2249" i="3"/>
  <c r="C2248" i="3"/>
  <c r="C2247" i="3"/>
  <c r="C2246" i="3"/>
  <c r="C2245" i="3"/>
  <c r="C2244" i="3"/>
  <c r="C2243" i="3"/>
  <c r="C2242" i="3"/>
  <c r="C2241" i="3"/>
  <c r="C2240" i="3"/>
  <c r="C2239" i="3"/>
  <c r="C2238" i="3"/>
  <c r="C2237" i="3"/>
  <c r="C2236" i="3"/>
  <c r="C2235" i="3"/>
  <c r="C2234" i="3"/>
  <c r="C2233" i="3"/>
  <c r="C2232" i="3"/>
  <c r="C2231" i="3"/>
  <c r="C2230" i="3"/>
  <c r="C2229" i="3"/>
  <c r="C2228" i="3"/>
  <c r="C2227" i="3"/>
  <c r="C2226" i="3"/>
  <c r="C2225" i="3"/>
  <c r="C2224" i="3"/>
  <c r="C2223" i="3"/>
  <c r="C2222" i="3"/>
  <c r="C2221" i="3"/>
  <c r="C2220" i="3"/>
  <c r="C2219" i="3"/>
  <c r="C2218" i="3"/>
  <c r="C2217" i="3"/>
  <c r="C2216" i="3"/>
  <c r="C2215" i="3"/>
  <c r="C2214" i="3"/>
  <c r="C2213" i="3"/>
  <c r="C2212" i="3"/>
  <c r="C2211" i="3"/>
  <c r="C2210" i="3"/>
  <c r="C2209" i="3"/>
  <c r="C2208" i="3"/>
  <c r="C2207" i="3"/>
  <c r="C2206" i="3"/>
  <c r="C2205" i="3"/>
  <c r="C2204" i="3"/>
  <c r="C2203" i="3"/>
  <c r="C2202" i="3"/>
  <c r="C2201" i="3"/>
  <c r="C2200" i="3"/>
  <c r="C2199" i="3"/>
  <c r="C2198" i="3"/>
  <c r="C2197" i="3"/>
  <c r="C2196" i="3"/>
  <c r="C2195" i="3"/>
  <c r="C2194" i="3"/>
  <c r="C2193" i="3"/>
  <c r="C2192" i="3"/>
  <c r="C2191" i="3"/>
  <c r="C2190" i="3"/>
  <c r="C2189" i="3"/>
  <c r="C2188" i="3"/>
  <c r="C2187" i="3"/>
  <c r="C2186" i="3"/>
  <c r="C2185" i="3"/>
  <c r="C2184" i="3"/>
  <c r="C2183" i="3"/>
  <c r="C2182" i="3"/>
  <c r="C2181" i="3"/>
  <c r="C2180" i="3"/>
  <c r="C2179" i="3"/>
  <c r="C2178" i="3"/>
  <c r="C2177" i="3"/>
  <c r="C2176" i="3"/>
  <c r="C2175" i="3"/>
  <c r="C2174" i="3"/>
  <c r="C2173" i="3"/>
  <c r="C2172" i="3"/>
  <c r="C2171" i="3"/>
  <c r="C2170" i="3"/>
  <c r="C2169" i="3"/>
  <c r="C2168" i="3"/>
  <c r="C2167" i="3"/>
  <c r="C2166" i="3"/>
  <c r="C2165" i="3"/>
  <c r="C2164" i="3"/>
  <c r="C2163" i="3"/>
  <c r="C2162" i="3"/>
  <c r="C2161" i="3"/>
  <c r="C2160" i="3"/>
  <c r="C2159" i="3"/>
  <c r="C2158" i="3"/>
  <c r="C2157" i="3"/>
  <c r="C2156" i="3"/>
  <c r="C2155" i="3"/>
  <c r="C2154" i="3"/>
  <c r="C2153" i="3"/>
  <c r="C2152" i="3"/>
  <c r="C2151" i="3"/>
  <c r="C2150" i="3"/>
  <c r="C2149" i="3"/>
  <c r="C2148" i="3"/>
  <c r="C2147" i="3"/>
  <c r="C2146" i="3"/>
  <c r="C2145" i="3"/>
  <c r="C2144" i="3"/>
  <c r="C2143" i="3"/>
  <c r="C2142" i="3"/>
  <c r="C2141" i="3"/>
  <c r="C2140" i="3"/>
  <c r="C2139" i="3"/>
  <c r="C2138" i="3"/>
  <c r="C2137" i="3"/>
  <c r="C2136" i="3"/>
  <c r="C2135" i="3"/>
  <c r="C2134" i="3"/>
  <c r="C2133" i="3"/>
  <c r="C2132" i="3"/>
  <c r="C2131" i="3"/>
  <c r="C2130" i="3"/>
  <c r="C2129" i="3"/>
  <c r="C2128" i="3"/>
  <c r="C2127" i="3"/>
  <c r="C2126" i="3"/>
  <c r="C2125" i="3"/>
  <c r="C2124" i="3"/>
  <c r="C2123" i="3"/>
  <c r="C2122" i="3"/>
  <c r="C2121" i="3"/>
  <c r="C2120" i="3"/>
  <c r="C2119" i="3"/>
  <c r="C2118" i="3"/>
  <c r="C2117" i="3"/>
  <c r="C2116" i="3"/>
  <c r="C2115" i="3"/>
  <c r="C2114" i="3"/>
  <c r="C2113" i="3"/>
  <c r="C2112" i="3"/>
  <c r="C2111" i="3"/>
  <c r="C2110" i="3"/>
  <c r="C2109" i="3"/>
  <c r="C2108" i="3"/>
  <c r="C2107" i="3"/>
  <c r="C2106" i="3"/>
  <c r="C2105" i="3"/>
  <c r="C2104" i="3"/>
  <c r="C2103" i="3"/>
  <c r="C2102" i="3"/>
  <c r="C2101" i="3"/>
  <c r="C2100" i="3"/>
  <c r="C2099" i="3"/>
  <c r="C2098" i="3"/>
  <c r="C2097" i="3"/>
  <c r="C2096" i="3"/>
  <c r="C2095" i="3"/>
  <c r="C2094" i="3"/>
  <c r="C2093" i="3"/>
  <c r="C2092" i="3"/>
  <c r="C2091" i="3"/>
  <c r="C2090" i="3"/>
  <c r="C2089" i="3"/>
  <c r="C2088" i="3"/>
  <c r="C2087" i="3"/>
  <c r="C2086" i="3"/>
  <c r="C2085" i="3"/>
  <c r="C2084" i="3"/>
  <c r="C2083" i="3"/>
  <c r="C2082" i="3"/>
  <c r="C2081" i="3"/>
  <c r="C2080" i="3"/>
  <c r="C2079" i="3"/>
  <c r="C2078" i="3"/>
  <c r="C2077" i="3"/>
  <c r="C2076" i="3"/>
  <c r="C2075" i="3"/>
  <c r="C2074" i="3"/>
  <c r="C2073" i="3"/>
  <c r="C2072" i="3"/>
  <c r="C2071" i="3"/>
  <c r="C2070" i="3"/>
  <c r="C2069" i="3"/>
  <c r="C2068" i="3"/>
  <c r="C2067" i="3"/>
  <c r="C2066" i="3"/>
  <c r="C2065" i="3"/>
  <c r="C2064" i="3"/>
  <c r="C2063" i="3"/>
  <c r="C2062" i="3"/>
  <c r="C2061" i="3"/>
  <c r="C2060" i="3"/>
  <c r="C2059" i="3"/>
  <c r="C2058" i="3"/>
  <c r="C2057" i="3"/>
  <c r="C2056" i="3"/>
  <c r="C2055" i="3"/>
  <c r="C2054" i="3"/>
  <c r="C2053" i="3"/>
  <c r="C2052" i="3"/>
  <c r="C2051" i="3"/>
  <c r="C2050" i="3"/>
  <c r="C2049" i="3"/>
  <c r="C2048" i="3"/>
  <c r="C2047" i="3"/>
  <c r="C2046" i="3"/>
  <c r="C2045" i="3"/>
  <c r="C2044" i="3"/>
  <c r="C2043" i="3"/>
  <c r="C2042" i="3"/>
  <c r="C2041" i="3"/>
  <c r="C2040" i="3"/>
  <c r="C2039" i="3"/>
  <c r="C2038" i="3"/>
  <c r="C2037" i="3"/>
  <c r="C2036" i="3"/>
  <c r="C2035" i="3"/>
  <c r="C2034" i="3"/>
  <c r="C2033" i="3"/>
  <c r="C2032" i="3"/>
  <c r="C2031" i="3"/>
  <c r="C2030" i="3"/>
  <c r="C2029" i="3"/>
  <c r="C2028" i="3"/>
  <c r="C2027" i="3"/>
  <c r="C2026" i="3"/>
  <c r="C2025" i="3"/>
  <c r="C2024" i="3"/>
  <c r="C2023" i="3"/>
  <c r="C2022" i="3"/>
  <c r="C2021" i="3"/>
  <c r="C2020" i="3"/>
  <c r="C2019" i="3"/>
  <c r="C2018" i="3"/>
  <c r="C2017" i="3"/>
  <c r="C2016" i="3"/>
  <c r="C2015" i="3"/>
  <c r="C2014" i="3"/>
  <c r="C2013" i="3"/>
  <c r="C2012" i="3"/>
  <c r="C2011" i="3"/>
  <c r="C2010" i="3"/>
  <c r="C2009" i="3"/>
  <c r="C2008" i="3"/>
  <c r="C2007" i="3"/>
  <c r="C2006" i="3"/>
  <c r="C2005" i="3"/>
  <c r="C2004" i="3"/>
  <c r="C2003" i="3"/>
  <c r="C2002" i="3"/>
  <c r="C2001" i="3"/>
  <c r="C2000" i="3"/>
  <c r="C1999" i="3"/>
  <c r="C1998" i="3"/>
  <c r="C1997" i="3"/>
  <c r="C1996" i="3"/>
  <c r="C1995" i="3"/>
  <c r="C1994" i="3"/>
  <c r="C1993" i="3"/>
  <c r="C1992" i="3"/>
  <c r="C1991" i="3"/>
  <c r="C1990" i="3"/>
  <c r="C1989" i="3"/>
  <c r="C1988" i="3"/>
  <c r="C1987" i="3"/>
  <c r="C1986" i="3"/>
  <c r="C1985" i="3"/>
  <c r="C1984" i="3"/>
  <c r="C1983" i="3"/>
  <c r="C1982" i="3"/>
  <c r="C1981" i="3"/>
  <c r="C1980" i="3"/>
  <c r="C1979" i="3"/>
  <c r="C1978" i="3"/>
  <c r="C1977" i="3"/>
  <c r="C1976" i="3"/>
  <c r="C1975" i="3"/>
  <c r="C1974" i="3"/>
  <c r="C1973" i="3"/>
  <c r="C1972" i="3"/>
  <c r="C1971" i="3"/>
  <c r="C1970" i="3"/>
  <c r="C1969" i="3"/>
  <c r="C1968" i="3"/>
  <c r="C1967" i="3"/>
  <c r="C1966" i="3"/>
  <c r="C1965" i="3"/>
  <c r="C1964" i="3"/>
  <c r="C1963" i="3"/>
  <c r="C1962" i="3"/>
  <c r="C1961" i="3"/>
  <c r="C1960" i="3"/>
  <c r="C1959" i="3"/>
  <c r="C1958" i="3"/>
  <c r="C1957" i="3"/>
  <c r="C1956" i="3"/>
  <c r="C1955" i="3"/>
  <c r="C1954" i="3"/>
  <c r="C1953" i="3"/>
  <c r="C1952" i="3"/>
  <c r="C1951" i="3"/>
  <c r="C1950" i="3"/>
  <c r="C1949" i="3"/>
  <c r="C1948" i="3"/>
  <c r="C1947" i="3"/>
  <c r="C1946" i="3"/>
  <c r="C1945" i="3"/>
  <c r="C1944" i="3"/>
  <c r="C1943" i="3"/>
  <c r="C1942" i="3"/>
  <c r="C1941" i="3"/>
  <c r="C1940" i="3"/>
  <c r="C1939" i="3"/>
  <c r="C1938" i="3"/>
  <c r="C1937" i="3"/>
  <c r="C1936" i="3"/>
  <c r="C1935" i="3"/>
  <c r="C1934" i="3"/>
  <c r="C1933" i="3"/>
  <c r="C1932" i="3"/>
  <c r="C1931" i="3"/>
  <c r="C1930" i="3"/>
  <c r="C1929" i="3"/>
  <c r="C1928" i="3"/>
  <c r="C1927" i="3"/>
  <c r="C1926" i="3"/>
  <c r="C1925" i="3"/>
  <c r="C1924" i="3"/>
  <c r="C1923" i="3"/>
  <c r="C1922" i="3"/>
  <c r="C1921" i="3"/>
  <c r="C1920" i="3"/>
  <c r="C1919" i="3"/>
  <c r="C1918" i="3"/>
  <c r="C1917" i="3"/>
  <c r="C1916" i="3"/>
  <c r="C1915" i="3"/>
  <c r="C1914" i="3"/>
  <c r="C1913" i="3"/>
  <c r="C1912" i="3"/>
  <c r="C1911" i="3"/>
  <c r="C1910" i="3"/>
  <c r="C1909" i="3"/>
  <c r="C1908" i="3"/>
  <c r="C1907" i="3"/>
  <c r="C1906" i="3"/>
  <c r="C1905" i="3"/>
  <c r="C1904" i="3"/>
  <c r="C1903" i="3"/>
  <c r="C1902" i="3"/>
  <c r="C1901" i="3"/>
  <c r="C1900" i="3"/>
  <c r="C1899" i="3"/>
  <c r="C1898" i="3"/>
  <c r="C1897" i="3"/>
  <c r="C1896" i="3"/>
  <c r="C1895" i="3"/>
  <c r="C1894" i="3"/>
  <c r="C1893" i="3"/>
  <c r="C1892" i="3"/>
  <c r="C1891" i="3"/>
  <c r="C1890" i="3"/>
  <c r="C1889" i="3"/>
  <c r="C1888" i="3"/>
  <c r="C1887" i="3"/>
  <c r="C1886" i="3"/>
  <c r="C1885" i="3"/>
  <c r="C1884" i="3"/>
  <c r="C1883" i="3"/>
  <c r="C1882" i="3"/>
  <c r="C1881" i="3"/>
  <c r="C1880" i="3"/>
  <c r="C1879" i="3"/>
  <c r="C1878" i="3"/>
  <c r="C1877" i="3"/>
  <c r="C1876" i="3"/>
  <c r="C1875" i="3"/>
  <c r="C1874" i="3"/>
  <c r="C1873" i="3"/>
  <c r="C1872" i="3"/>
  <c r="C1871" i="3"/>
  <c r="C1870" i="3"/>
  <c r="C1869" i="3"/>
  <c r="C1868" i="3"/>
  <c r="C1867" i="3"/>
  <c r="C1866" i="3"/>
  <c r="C1865" i="3"/>
  <c r="C1864" i="3"/>
  <c r="C1863" i="3"/>
  <c r="C1862" i="3"/>
  <c r="C1861" i="3"/>
  <c r="C1860" i="3"/>
  <c r="C1859" i="3"/>
  <c r="C1858" i="3"/>
  <c r="C1857" i="3"/>
  <c r="C1856" i="3"/>
  <c r="C1855" i="3"/>
  <c r="C1854" i="3"/>
  <c r="C1853" i="3"/>
  <c r="C1852" i="3"/>
  <c r="C1851" i="3"/>
  <c r="C1850" i="3"/>
  <c r="C1849" i="3"/>
  <c r="C1848" i="3"/>
  <c r="C1847" i="3"/>
  <c r="C1846" i="3"/>
  <c r="C1845" i="3"/>
  <c r="C1844" i="3"/>
  <c r="C1843" i="3"/>
  <c r="C1842" i="3"/>
  <c r="C1841" i="3"/>
  <c r="C1840" i="3"/>
  <c r="C1839" i="3"/>
  <c r="C1838" i="3"/>
  <c r="C1837" i="3"/>
  <c r="C1836" i="3"/>
  <c r="C1835" i="3"/>
  <c r="C1834" i="3"/>
  <c r="C1833" i="3"/>
  <c r="C1832" i="3"/>
  <c r="C1831" i="3"/>
  <c r="C1830" i="3"/>
  <c r="C1829" i="3"/>
  <c r="C1828" i="3"/>
  <c r="C1827" i="3"/>
  <c r="C1826" i="3"/>
  <c r="C1825" i="3"/>
  <c r="C1824" i="3"/>
  <c r="C1823" i="3"/>
  <c r="C1822" i="3"/>
  <c r="C1821" i="3"/>
  <c r="C1820" i="3"/>
  <c r="C1819" i="3"/>
  <c r="C1818" i="3"/>
  <c r="C1817" i="3"/>
  <c r="C1816" i="3"/>
  <c r="C1815" i="3"/>
  <c r="C1814" i="3"/>
  <c r="C1813" i="3"/>
  <c r="C1812" i="3"/>
  <c r="C1811" i="3"/>
  <c r="C1810" i="3"/>
  <c r="C1809" i="3"/>
  <c r="C1808" i="3"/>
  <c r="C1807" i="3"/>
  <c r="C1806" i="3"/>
  <c r="C1805" i="3"/>
  <c r="C1804" i="3"/>
  <c r="C1803" i="3"/>
  <c r="C1802" i="3"/>
  <c r="C1801" i="3"/>
  <c r="C1800" i="3"/>
  <c r="C1799" i="3"/>
  <c r="C1798" i="3"/>
  <c r="C1797" i="3"/>
  <c r="C1796" i="3"/>
  <c r="C1795" i="3"/>
  <c r="C1794" i="3"/>
  <c r="C1793" i="3"/>
  <c r="C1792" i="3"/>
  <c r="C1791" i="3"/>
  <c r="C1790" i="3"/>
  <c r="C1789" i="3"/>
  <c r="C1788" i="3"/>
  <c r="C1787" i="3"/>
  <c r="C1786" i="3"/>
  <c r="C1785" i="3"/>
  <c r="C1784" i="3"/>
  <c r="C1783" i="3"/>
  <c r="C1782" i="3"/>
  <c r="C1781" i="3"/>
  <c r="C1780" i="3"/>
  <c r="C1779" i="3"/>
  <c r="C1778" i="3"/>
  <c r="C1777" i="3"/>
  <c r="C1776" i="3"/>
  <c r="C1775" i="3"/>
  <c r="C1774" i="3"/>
  <c r="C1773" i="3"/>
  <c r="C1772" i="3"/>
  <c r="C1771" i="3"/>
  <c r="C1770" i="3"/>
  <c r="C1769" i="3"/>
  <c r="C1768" i="3"/>
  <c r="C1767" i="3"/>
  <c r="C1766" i="3"/>
  <c r="C1765" i="3"/>
  <c r="C1764" i="3"/>
  <c r="C1763" i="3"/>
  <c r="C1762" i="3"/>
  <c r="C1761" i="3"/>
  <c r="C1760" i="3"/>
  <c r="C1759" i="3"/>
  <c r="C1758" i="3"/>
  <c r="C1757" i="3"/>
  <c r="C1756" i="3"/>
  <c r="C1755" i="3"/>
  <c r="C1754" i="3"/>
  <c r="C1753" i="3"/>
  <c r="C1752" i="3"/>
  <c r="C1751" i="3"/>
  <c r="C1750" i="3"/>
  <c r="C1749" i="3"/>
  <c r="C1748" i="3"/>
  <c r="C1747" i="3"/>
  <c r="C1746" i="3"/>
  <c r="C1745" i="3"/>
  <c r="C1744" i="3"/>
  <c r="C1743" i="3"/>
  <c r="C1742" i="3"/>
  <c r="C1741" i="3"/>
  <c r="C1740" i="3"/>
  <c r="C1739" i="3"/>
  <c r="C1738" i="3"/>
  <c r="C1737" i="3"/>
  <c r="C1736" i="3"/>
  <c r="C1735" i="3"/>
  <c r="C1734" i="3"/>
  <c r="C1733" i="3"/>
  <c r="C1732" i="3"/>
  <c r="C1731" i="3"/>
  <c r="C1730" i="3"/>
  <c r="C1729" i="3"/>
  <c r="C1728" i="3"/>
  <c r="C1727" i="3"/>
  <c r="C1726" i="3"/>
  <c r="C1725" i="3"/>
  <c r="C1724" i="3"/>
  <c r="C1723" i="3"/>
  <c r="C1722" i="3"/>
  <c r="C1721" i="3"/>
  <c r="C1720" i="3"/>
  <c r="C1719" i="3"/>
  <c r="C1718" i="3"/>
  <c r="C1717" i="3"/>
  <c r="C1716" i="3"/>
  <c r="C1715" i="3"/>
  <c r="C1714" i="3"/>
  <c r="C1713" i="3"/>
  <c r="C1712" i="3"/>
  <c r="C1711" i="3"/>
  <c r="C1710" i="3"/>
  <c r="C1709" i="3"/>
  <c r="C1708" i="3"/>
  <c r="C1707" i="3"/>
  <c r="C1706" i="3"/>
  <c r="C1705" i="3"/>
  <c r="C1704" i="3"/>
  <c r="C1703" i="3"/>
  <c r="C1702" i="3"/>
  <c r="C1701" i="3"/>
  <c r="C1700" i="3"/>
  <c r="C1699" i="3"/>
  <c r="C1698" i="3"/>
  <c r="C1697" i="3"/>
  <c r="C1696" i="3"/>
  <c r="C1695" i="3"/>
  <c r="C1694" i="3"/>
  <c r="C1693" i="3"/>
  <c r="C1692" i="3"/>
  <c r="C1691" i="3"/>
  <c r="C1690" i="3"/>
  <c r="C1689" i="3"/>
  <c r="C1688" i="3"/>
  <c r="C1687" i="3"/>
  <c r="C1686" i="3"/>
  <c r="C1685" i="3"/>
  <c r="C1684" i="3"/>
  <c r="C1683" i="3"/>
  <c r="C1682" i="3"/>
  <c r="C1681" i="3"/>
  <c r="C1680" i="3"/>
  <c r="C1679" i="3"/>
  <c r="C1678" i="3"/>
  <c r="C1677" i="3"/>
  <c r="C1676" i="3"/>
  <c r="C1675" i="3"/>
  <c r="C1674" i="3"/>
  <c r="C1673" i="3"/>
  <c r="C1672" i="3"/>
  <c r="C1671" i="3"/>
  <c r="C1670" i="3"/>
  <c r="C1669" i="3"/>
  <c r="C1668" i="3"/>
  <c r="C1667" i="3"/>
  <c r="C1666" i="3"/>
  <c r="C1665" i="3"/>
  <c r="C1664" i="3"/>
  <c r="C1663" i="3"/>
  <c r="C1662" i="3"/>
  <c r="C1661" i="3"/>
  <c r="C1660" i="3"/>
  <c r="C1659" i="3"/>
  <c r="C1658" i="3"/>
  <c r="C1657" i="3"/>
  <c r="C1656" i="3"/>
  <c r="C1655" i="3"/>
  <c r="C1654" i="3"/>
  <c r="C1653" i="3"/>
  <c r="C1652" i="3"/>
  <c r="C1651" i="3"/>
  <c r="C1650" i="3"/>
  <c r="C1649" i="3"/>
  <c r="C1648" i="3"/>
  <c r="C1647" i="3"/>
  <c r="C1646" i="3"/>
  <c r="C1645" i="3"/>
  <c r="C1644" i="3"/>
  <c r="C1643" i="3"/>
  <c r="C1642" i="3"/>
  <c r="C1641" i="3"/>
  <c r="C1640" i="3"/>
  <c r="C1639" i="3"/>
  <c r="C1638" i="3"/>
  <c r="C1637" i="3"/>
  <c r="C1636" i="3"/>
  <c r="C1635" i="3"/>
  <c r="C1634" i="3"/>
  <c r="C1633" i="3"/>
  <c r="C1632" i="3"/>
  <c r="C1631" i="3"/>
  <c r="C1630" i="3"/>
  <c r="C1629" i="3"/>
  <c r="C1628" i="3"/>
  <c r="C1627" i="3"/>
  <c r="C1626" i="3"/>
  <c r="C1625" i="3"/>
  <c r="C1624" i="3"/>
  <c r="C1623" i="3"/>
  <c r="C1622" i="3"/>
  <c r="C1621" i="3"/>
  <c r="C1620" i="3"/>
  <c r="C1619" i="3"/>
  <c r="C1618" i="3"/>
  <c r="C1617" i="3"/>
  <c r="C1616" i="3"/>
  <c r="C1615" i="3"/>
  <c r="C1614" i="3"/>
  <c r="C1613" i="3"/>
  <c r="C1612" i="3"/>
  <c r="C1611" i="3"/>
  <c r="C1610" i="3"/>
  <c r="C1609" i="3"/>
  <c r="C1608" i="3"/>
  <c r="C1607" i="3"/>
  <c r="C1606" i="3"/>
  <c r="C1605" i="3"/>
  <c r="C1604" i="3"/>
  <c r="C1603" i="3"/>
  <c r="C1602" i="3"/>
  <c r="C1601" i="3"/>
  <c r="C1600" i="3"/>
  <c r="C1599" i="3"/>
  <c r="C1598" i="3"/>
  <c r="C1597" i="3"/>
  <c r="C1596" i="3"/>
  <c r="C1595" i="3"/>
  <c r="C1594" i="3"/>
  <c r="C1593" i="3"/>
  <c r="C1592" i="3"/>
  <c r="C1591" i="3"/>
  <c r="C1590" i="3"/>
  <c r="C1589" i="3"/>
  <c r="C1588" i="3"/>
  <c r="C1587" i="3"/>
  <c r="C1586" i="3"/>
  <c r="C1585" i="3"/>
  <c r="C1584" i="3"/>
  <c r="C1583" i="3"/>
  <c r="C1582" i="3"/>
  <c r="C1581" i="3"/>
  <c r="C1580" i="3"/>
  <c r="C1579" i="3"/>
  <c r="C1578" i="3"/>
  <c r="C1577" i="3"/>
  <c r="C1576" i="3"/>
  <c r="C1575" i="3"/>
  <c r="C1574" i="3"/>
  <c r="C1573" i="3"/>
  <c r="C1572" i="3"/>
  <c r="C1571" i="3"/>
  <c r="C1570" i="3"/>
  <c r="C1569" i="3"/>
  <c r="C1568" i="3"/>
  <c r="C1567" i="3"/>
  <c r="C1566" i="3"/>
  <c r="C1565" i="3"/>
  <c r="C1564" i="3"/>
  <c r="C1563" i="3"/>
  <c r="C1562" i="3"/>
  <c r="C1561" i="3"/>
  <c r="C1560" i="3"/>
  <c r="C1559" i="3"/>
  <c r="C1558" i="3"/>
  <c r="C1557" i="3"/>
  <c r="C1556" i="3"/>
  <c r="C1555" i="3"/>
  <c r="C1554" i="3"/>
  <c r="C1553" i="3"/>
  <c r="C1552" i="3"/>
  <c r="C1551" i="3"/>
  <c r="C1550" i="3"/>
  <c r="C1549" i="3"/>
  <c r="C1548" i="3"/>
  <c r="C1547" i="3"/>
  <c r="C1546" i="3"/>
  <c r="C1545" i="3"/>
  <c r="C1544" i="3"/>
  <c r="C1543" i="3"/>
  <c r="C1542" i="3"/>
  <c r="C1541" i="3"/>
  <c r="C1540" i="3"/>
  <c r="C1539" i="3"/>
  <c r="C1538" i="3"/>
  <c r="C1537" i="3"/>
  <c r="C1536" i="3"/>
  <c r="C1535" i="3"/>
  <c r="C1534" i="3"/>
  <c r="C1533" i="3"/>
  <c r="C1532" i="3"/>
  <c r="C1531" i="3"/>
  <c r="C1530" i="3"/>
  <c r="C1529" i="3"/>
  <c r="C1528" i="3"/>
  <c r="C1527" i="3"/>
  <c r="C1526" i="3"/>
  <c r="C1525" i="3"/>
  <c r="C1524" i="3"/>
  <c r="C1523" i="3"/>
  <c r="C1522" i="3"/>
  <c r="C1521" i="3"/>
  <c r="C1520" i="3"/>
  <c r="C1519" i="3"/>
  <c r="C1518" i="3"/>
  <c r="C1517" i="3"/>
  <c r="C1516" i="3"/>
  <c r="C1515" i="3"/>
  <c r="C1514" i="3"/>
  <c r="C1513" i="3"/>
  <c r="C1512" i="3"/>
  <c r="C1511" i="3"/>
  <c r="C1510" i="3"/>
  <c r="C1509" i="3"/>
  <c r="C1508" i="3"/>
  <c r="C1507" i="3"/>
  <c r="C1506" i="3"/>
  <c r="C1505" i="3"/>
  <c r="C1504" i="3"/>
  <c r="C1503" i="3"/>
  <c r="C1502" i="3"/>
  <c r="C1501" i="3"/>
  <c r="C1500" i="3"/>
  <c r="C1499" i="3"/>
  <c r="C1498" i="3"/>
  <c r="C1497" i="3"/>
  <c r="C1496" i="3"/>
  <c r="C1495" i="3"/>
  <c r="C1494" i="3"/>
  <c r="C1493" i="3"/>
  <c r="C1492" i="3"/>
  <c r="C1491" i="3"/>
  <c r="C1490" i="3"/>
  <c r="C1489" i="3"/>
  <c r="C1488" i="3"/>
  <c r="C1487" i="3"/>
  <c r="C1486" i="3"/>
  <c r="C1485" i="3"/>
  <c r="C1484" i="3"/>
  <c r="C1483" i="3"/>
  <c r="C1482" i="3"/>
  <c r="C1481" i="3"/>
  <c r="C1480" i="3"/>
  <c r="C1479" i="3"/>
  <c r="C1478" i="3"/>
  <c r="C1477" i="3"/>
  <c r="C1476" i="3"/>
  <c r="C1475" i="3"/>
  <c r="C1474" i="3"/>
  <c r="C1473" i="3"/>
  <c r="C1472" i="3"/>
  <c r="C1471" i="3"/>
  <c r="C1470" i="3"/>
  <c r="C1469" i="3"/>
  <c r="C1468" i="3"/>
  <c r="C1467" i="3"/>
  <c r="C1466" i="3"/>
  <c r="C1465" i="3"/>
  <c r="C1464" i="3"/>
  <c r="C1463" i="3"/>
  <c r="C1462" i="3"/>
  <c r="C1461" i="3"/>
  <c r="C1460" i="3"/>
  <c r="C1459" i="3"/>
  <c r="C1458" i="3"/>
  <c r="C1457" i="3"/>
  <c r="C1456" i="3"/>
  <c r="C1455" i="3"/>
  <c r="C1454" i="3"/>
  <c r="C1453" i="3"/>
  <c r="C1452" i="3"/>
  <c r="C1451" i="3"/>
  <c r="C1450" i="3"/>
  <c r="C1449" i="3"/>
  <c r="C1448" i="3"/>
  <c r="C1447" i="3"/>
  <c r="C1446" i="3"/>
  <c r="C1445" i="3"/>
  <c r="C1444" i="3"/>
  <c r="C1443" i="3"/>
  <c r="C1442" i="3"/>
  <c r="C1441" i="3"/>
  <c r="C1440" i="3"/>
  <c r="C1439" i="3"/>
  <c r="C1438" i="3"/>
  <c r="C1437" i="3"/>
  <c r="C1436" i="3"/>
  <c r="C1435" i="3"/>
  <c r="C1434" i="3"/>
  <c r="C1433" i="3"/>
  <c r="C1432" i="3"/>
  <c r="C1431" i="3"/>
  <c r="C1430" i="3"/>
  <c r="C1429" i="3"/>
  <c r="C1428" i="3"/>
  <c r="C1427" i="3"/>
  <c r="C1426" i="3"/>
  <c r="C1425" i="3"/>
  <c r="C1424" i="3"/>
  <c r="C1423" i="3"/>
  <c r="C1422" i="3"/>
  <c r="C1421" i="3"/>
  <c r="C1420" i="3"/>
  <c r="C1419" i="3"/>
  <c r="C1418" i="3"/>
  <c r="C1417" i="3"/>
  <c r="C1416" i="3"/>
  <c r="C1415" i="3"/>
  <c r="C1414" i="3"/>
  <c r="C1413" i="3"/>
  <c r="C1412" i="3"/>
  <c r="C1411" i="3"/>
  <c r="C1410" i="3"/>
  <c r="C1409" i="3"/>
  <c r="C1408" i="3"/>
  <c r="C1407" i="3"/>
  <c r="C1406" i="3"/>
  <c r="C1405" i="3"/>
  <c r="C1404" i="3"/>
  <c r="C1403" i="3"/>
  <c r="C1402" i="3"/>
  <c r="C1401" i="3"/>
  <c r="C1400" i="3"/>
  <c r="C1399" i="3"/>
  <c r="C1398" i="3"/>
  <c r="C1397" i="3"/>
  <c r="C1396" i="3"/>
  <c r="C1395" i="3"/>
  <c r="C1394" i="3"/>
  <c r="C1393" i="3"/>
  <c r="C1392" i="3"/>
  <c r="C1391" i="3"/>
  <c r="C1390" i="3"/>
  <c r="C1389" i="3"/>
  <c r="C1388" i="3"/>
  <c r="C1387" i="3"/>
  <c r="C1386" i="3"/>
  <c r="C1385" i="3"/>
  <c r="C1384" i="3"/>
  <c r="C1383" i="3"/>
  <c r="C1382" i="3"/>
  <c r="C1381" i="3"/>
  <c r="C1380" i="3"/>
  <c r="C1379" i="3"/>
  <c r="C1378" i="3"/>
  <c r="C1377" i="3"/>
  <c r="C1376" i="3"/>
  <c r="C1375" i="3"/>
  <c r="C1374" i="3"/>
  <c r="C1373" i="3"/>
  <c r="C1372" i="3"/>
  <c r="C1371" i="3"/>
  <c r="C1370" i="3"/>
  <c r="C1369" i="3"/>
  <c r="C1368" i="3"/>
  <c r="C1367" i="3"/>
  <c r="C1366" i="3"/>
  <c r="C1365" i="3"/>
  <c r="C1364" i="3"/>
  <c r="C1363" i="3"/>
  <c r="C1362" i="3"/>
  <c r="C1361" i="3"/>
  <c r="C1360" i="3"/>
  <c r="C1359" i="3"/>
  <c r="C1358" i="3"/>
  <c r="C1357" i="3"/>
  <c r="C1356" i="3"/>
  <c r="C1355" i="3"/>
  <c r="C1354" i="3"/>
  <c r="C1353" i="3"/>
  <c r="C1352" i="3"/>
  <c r="C1351" i="3"/>
  <c r="C1350" i="3"/>
  <c r="C1349" i="3"/>
  <c r="C1348" i="3"/>
  <c r="C1347" i="3"/>
  <c r="C1346" i="3"/>
  <c r="C1345" i="3"/>
  <c r="C1344" i="3"/>
  <c r="C1343" i="3"/>
  <c r="C1342" i="3"/>
  <c r="C1341" i="3"/>
  <c r="C1340" i="3"/>
  <c r="C1339" i="3"/>
  <c r="C1338" i="3"/>
  <c r="C1337" i="3"/>
  <c r="C1336" i="3"/>
  <c r="C1335" i="3"/>
  <c r="C1334" i="3"/>
  <c r="C1333" i="3"/>
  <c r="C1332" i="3"/>
  <c r="C1331" i="3"/>
  <c r="C1330" i="3"/>
  <c r="C1329" i="3"/>
  <c r="C1328" i="3"/>
  <c r="C1327" i="3"/>
  <c r="C1326" i="3"/>
  <c r="C1325" i="3"/>
  <c r="C1324" i="3"/>
  <c r="C1323" i="3"/>
  <c r="C1322" i="3"/>
  <c r="C1321" i="3"/>
  <c r="C1320" i="3"/>
  <c r="C1319" i="3"/>
  <c r="C1318" i="3"/>
  <c r="C1317" i="3"/>
  <c r="C1316" i="3"/>
  <c r="C1315" i="3"/>
  <c r="C1314" i="3"/>
  <c r="C1313" i="3"/>
  <c r="C1312" i="3"/>
  <c r="C1311" i="3"/>
  <c r="C1310" i="3"/>
  <c r="C1309" i="3"/>
  <c r="C1308" i="3"/>
  <c r="C1307" i="3"/>
  <c r="C1306" i="3"/>
  <c r="C1305" i="3"/>
  <c r="C1304" i="3"/>
  <c r="C1303" i="3"/>
  <c r="C1302" i="3"/>
  <c r="C1301" i="3"/>
  <c r="C1300" i="3"/>
  <c r="C1299" i="3"/>
  <c r="C1298" i="3"/>
  <c r="C1297" i="3"/>
  <c r="C1296" i="3"/>
  <c r="C1295" i="3"/>
  <c r="C1294" i="3"/>
  <c r="C1293" i="3"/>
  <c r="C1292" i="3"/>
  <c r="C1291" i="3"/>
  <c r="C1290" i="3"/>
  <c r="C1289" i="3"/>
  <c r="C1288" i="3"/>
  <c r="C1287" i="3"/>
  <c r="C1286" i="3"/>
  <c r="C1285" i="3"/>
  <c r="C1284" i="3"/>
  <c r="C1283" i="3"/>
  <c r="C1282" i="3"/>
  <c r="C1281" i="3"/>
  <c r="C1280" i="3"/>
  <c r="C1279" i="3"/>
  <c r="C1278" i="3"/>
  <c r="C1277" i="3"/>
  <c r="C1276" i="3"/>
  <c r="C1275" i="3"/>
  <c r="C1274" i="3"/>
  <c r="C1273" i="3"/>
  <c r="C1272" i="3"/>
  <c r="C1271" i="3"/>
  <c r="C1270" i="3"/>
  <c r="C1269" i="3"/>
  <c r="C1268" i="3"/>
  <c r="C1267" i="3"/>
  <c r="C1266" i="3"/>
  <c r="C1265" i="3"/>
  <c r="C1264" i="3"/>
  <c r="C1263" i="3"/>
  <c r="C1262" i="3"/>
  <c r="C1261" i="3"/>
  <c r="C1260" i="3"/>
  <c r="C1259" i="3"/>
  <c r="C1258" i="3"/>
  <c r="C1257" i="3"/>
  <c r="C1256" i="3"/>
  <c r="C1255" i="3"/>
  <c r="C1254" i="3"/>
  <c r="C1253" i="3"/>
  <c r="C1252" i="3"/>
  <c r="C1251" i="3"/>
  <c r="C1250" i="3"/>
  <c r="C1249" i="3"/>
  <c r="C1248" i="3"/>
  <c r="C1247" i="3"/>
  <c r="C1246" i="3"/>
  <c r="C1245" i="3"/>
  <c r="C1244" i="3"/>
  <c r="C1243" i="3"/>
  <c r="C1242" i="3"/>
  <c r="C1241" i="3"/>
  <c r="C1240" i="3"/>
  <c r="C1239" i="3"/>
  <c r="C1238" i="3"/>
  <c r="C1237" i="3"/>
  <c r="C1236" i="3"/>
  <c r="C1235" i="3"/>
  <c r="C1234" i="3"/>
  <c r="C1233" i="3"/>
  <c r="C1232" i="3"/>
  <c r="C1231" i="3"/>
  <c r="C1230" i="3"/>
  <c r="C1229" i="3"/>
  <c r="C1228" i="3"/>
  <c r="C1227" i="3"/>
  <c r="C1226" i="3"/>
  <c r="C1225" i="3"/>
  <c r="C1224" i="3"/>
  <c r="C1223" i="3"/>
  <c r="C1222" i="3"/>
  <c r="C1221" i="3"/>
  <c r="C1220" i="3"/>
  <c r="C1219" i="3"/>
  <c r="C1218" i="3"/>
  <c r="C1217" i="3"/>
  <c r="C1216" i="3"/>
  <c r="C1215" i="3"/>
  <c r="C1214" i="3"/>
  <c r="C1213" i="3"/>
  <c r="C1212" i="3"/>
  <c r="C1211" i="3"/>
  <c r="C1210" i="3"/>
  <c r="C1209" i="3"/>
  <c r="C1208" i="3"/>
  <c r="C1207" i="3"/>
  <c r="C1206" i="3"/>
  <c r="C1205" i="3"/>
  <c r="C1204" i="3"/>
  <c r="C1203" i="3"/>
  <c r="C1202" i="3"/>
  <c r="C1201" i="3"/>
  <c r="C1200" i="3"/>
  <c r="C1199" i="3"/>
  <c r="C1198" i="3"/>
  <c r="C1197" i="3"/>
  <c r="C1196" i="3"/>
  <c r="C1195" i="3"/>
  <c r="C1194" i="3"/>
  <c r="C1193" i="3"/>
  <c r="C1192" i="3"/>
  <c r="C1191" i="3"/>
  <c r="C1190" i="3"/>
  <c r="C1189" i="3"/>
  <c r="C1188" i="3"/>
  <c r="C1187" i="3"/>
  <c r="C1186" i="3"/>
  <c r="C1185" i="3"/>
  <c r="C1184" i="3"/>
  <c r="C1183" i="3"/>
  <c r="C1182" i="3"/>
  <c r="C1181" i="3"/>
  <c r="C1180" i="3"/>
  <c r="C1179" i="3"/>
  <c r="C1178" i="3"/>
  <c r="C1177" i="3"/>
  <c r="C1176" i="3"/>
  <c r="C1175" i="3"/>
  <c r="C1174" i="3"/>
  <c r="C1173" i="3"/>
  <c r="C1172" i="3"/>
  <c r="C1171" i="3"/>
  <c r="C1170" i="3"/>
  <c r="C1169" i="3"/>
  <c r="C1168" i="3"/>
  <c r="C1167" i="3"/>
  <c r="C1166" i="3"/>
  <c r="C1165" i="3"/>
  <c r="C1164" i="3"/>
  <c r="C1163" i="3"/>
  <c r="C1162" i="3"/>
  <c r="C1161" i="3"/>
  <c r="C1160" i="3"/>
  <c r="C1159" i="3"/>
  <c r="C1158" i="3"/>
  <c r="C1157" i="3"/>
  <c r="C1156" i="3"/>
  <c r="C1155" i="3"/>
  <c r="C1154" i="3"/>
  <c r="C1153" i="3"/>
  <c r="C1152" i="3"/>
  <c r="C1151" i="3"/>
  <c r="C1150" i="3"/>
  <c r="C1149" i="3"/>
  <c r="C1148" i="3"/>
  <c r="C1147" i="3"/>
  <c r="C1146" i="3"/>
  <c r="C1145" i="3"/>
  <c r="C1144" i="3"/>
  <c r="C1143" i="3"/>
  <c r="C1142" i="3"/>
  <c r="C1141" i="3"/>
  <c r="C1140" i="3"/>
  <c r="C1139" i="3"/>
  <c r="C1138" i="3"/>
  <c r="C1137" i="3"/>
  <c r="C1136" i="3"/>
  <c r="C1135" i="3"/>
  <c r="C1134" i="3"/>
  <c r="C1133" i="3"/>
  <c r="C1132" i="3"/>
  <c r="C1131" i="3"/>
  <c r="C1130" i="3"/>
  <c r="C1129" i="3"/>
  <c r="C1128" i="3"/>
  <c r="C1127" i="3"/>
  <c r="C1126" i="3"/>
  <c r="C1125" i="3"/>
  <c r="C1124" i="3"/>
  <c r="C1123" i="3"/>
  <c r="C1122" i="3"/>
  <c r="C1121" i="3"/>
  <c r="C1120" i="3"/>
  <c r="C1119" i="3"/>
  <c r="C1118" i="3"/>
  <c r="C1117" i="3"/>
  <c r="C1116" i="3"/>
  <c r="C1115" i="3"/>
  <c r="C1114" i="3"/>
  <c r="C1113" i="3"/>
  <c r="C1112" i="3"/>
  <c r="C1111" i="3"/>
  <c r="C1110" i="3"/>
  <c r="C1109" i="3"/>
  <c r="C1108" i="3"/>
  <c r="C1107" i="3"/>
  <c r="C1106" i="3"/>
  <c r="C1105" i="3"/>
  <c r="C1104" i="3"/>
  <c r="C1103" i="3"/>
  <c r="C1102" i="3"/>
  <c r="C1101" i="3"/>
  <c r="C1100" i="3"/>
  <c r="C1099" i="3"/>
  <c r="C1098" i="3"/>
  <c r="C1097" i="3"/>
  <c r="C1096" i="3"/>
  <c r="C1095" i="3"/>
  <c r="C1094" i="3"/>
  <c r="C1093" i="3"/>
  <c r="C1092" i="3"/>
  <c r="C1091" i="3"/>
  <c r="C1090" i="3"/>
  <c r="C1089" i="3"/>
  <c r="C1088" i="3"/>
  <c r="C1087" i="3"/>
  <c r="C1086" i="3"/>
  <c r="C1085" i="3"/>
  <c r="C1084" i="3"/>
  <c r="C1083" i="3"/>
  <c r="C1082" i="3"/>
  <c r="C1081" i="3"/>
  <c r="C1080" i="3"/>
  <c r="C1079" i="3"/>
  <c r="C1078" i="3"/>
  <c r="C1077" i="3"/>
  <c r="C1076" i="3"/>
  <c r="C1075" i="3"/>
  <c r="C1074" i="3"/>
  <c r="C1073" i="3"/>
  <c r="C1072" i="3"/>
  <c r="C1071" i="3"/>
  <c r="C1070" i="3"/>
  <c r="C1069" i="3"/>
  <c r="C1068" i="3"/>
  <c r="C1067" i="3"/>
  <c r="C1066" i="3"/>
  <c r="C1065" i="3"/>
  <c r="C1064" i="3"/>
  <c r="C1063" i="3"/>
  <c r="C1062" i="3"/>
  <c r="C1061" i="3"/>
  <c r="C1060" i="3"/>
  <c r="C1059" i="3"/>
  <c r="C1058" i="3"/>
  <c r="C1057" i="3"/>
  <c r="C1056" i="3"/>
  <c r="C1055" i="3"/>
  <c r="C1054" i="3"/>
  <c r="C1053" i="3"/>
  <c r="C1052" i="3"/>
  <c r="C1051" i="3"/>
  <c r="C1050" i="3"/>
  <c r="C1049" i="3"/>
  <c r="C1048" i="3"/>
  <c r="C1047" i="3"/>
  <c r="C1046" i="3"/>
  <c r="C1045" i="3"/>
  <c r="C1044" i="3"/>
  <c r="C1043" i="3"/>
  <c r="C1042" i="3"/>
  <c r="C1041" i="3"/>
  <c r="C1040" i="3"/>
  <c r="C1039" i="3"/>
  <c r="C1038" i="3"/>
  <c r="C1037" i="3"/>
  <c r="C1036" i="3"/>
  <c r="C1035" i="3"/>
  <c r="C1034" i="3"/>
  <c r="C1033" i="3"/>
  <c r="C1032" i="3"/>
  <c r="C1031" i="3"/>
  <c r="C1030" i="3"/>
  <c r="C1029" i="3"/>
  <c r="C1028" i="3"/>
  <c r="C1027" i="3"/>
  <c r="C1026" i="3"/>
  <c r="C1025" i="3"/>
  <c r="C1024" i="3"/>
  <c r="C1023" i="3"/>
  <c r="C1022" i="3"/>
  <c r="C1021" i="3"/>
  <c r="C1020" i="3"/>
  <c r="C1019" i="3"/>
  <c r="C1018" i="3"/>
  <c r="C1017" i="3"/>
  <c r="C1016" i="3"/>
  <c r="C1015" i="3"/>
  <c r="C1014" i="3"/>
  <c r="C1013" i="3"/>
  <c r="C1012" i="3"/>
  <c r="C1011" i="3"/>
  <c r="C1010" i="3"/>
  <c r="C1009" i="3"/>
  <c r="C1008" i="3"/>
  <c r="C1007" i="3"/>
  <c r="C1006" i="3"/>
  <c r="C1005" i="3"/>
  <c r="C1004" i="3"/>
  <c r="C1003" i="3"/>
  <c r="C1002" i="3"/>
  <c r="C1001" i="3"/>
  <c r="C1000" i="3"/>
  <c r="C999" i="3"/>
  <c r="C998" i="3"/>
  <c r="C997" i="3"/>
  <c r="C996" i="3"/>
  <c r="C995" i="3"/>
  <c r="C994" i="3"/>
  <c r="C993" i="3"/>
  <c r="C992" i="3"/>
  <c r="C991" i="3"/>
  <c r="C990" i="3"/>
  <c r="C989" i="3"/>
  <c r="C988" i="3"/>
  <c r="C987" i="3"/>
  <c r="C986" i="3"/>
  <c r="C985" i="3"/>
  <c r="C984" i="3"/>
  <c r="C983" i="3"/>
  <c r="C982" i="3"/>
  <c r="C981" i="3"/>
  <c r="C980" i="3"/>
  <c r="C979" i="3"/>
  <c r="C978" i="3"/>
  <c r="C977" i="3"/>
  <c r="C976" i="3"/>
  <c r="C975" i="3"/>
  <c r="C974" i="3"/>
  <c r="C973" i="3"/>
  <c r="C972" i="3"/>
  <c r="C971" i="3"/>
  <c r="C970" i="3"/>
  <c r="C969" i="3"/>
  <c r="C968" i="3"/>
  <c r="C967" i="3"/>
  <c r="C966" i="3"/>
  <c r="C965" i="3"/>
  <c r="C964" i="3"/>
  <c r="C963" i="3"/>
  <c r="C962" i="3"/>
  <c r="C961" i="3"/>
  <c r="C960" i="3"/>
  <c r="C959" i="3"/>
  <c r="C958" i="3"/>
  <c r="C957" i="3"/>
  <c r="C956" i="3"/>
  <c r="C955" i="3"/>
  <c r="C954" i="3"/>
  <c r="C953" i="3"/>
  <c r="C952" i="3"/>
  <c r="C951" i="3"/>
  <c r="C950" i="3"/>
  <c r="C949" i="3"/>
  <c r="C948" i="3"/>
  <c r="C947" i="3"/>
  <c r="C946" i="3"/>
  <c r="C945" i="3"/>
  <c r="C944" i="3"/>
  <c r="C943" i="3"/>
  <c r="C942" i="3"/>
  <c r="C941" i="3"/>
  <c r="C940" i="3"/>
  <c r="C939" i="3"/>
  <c r="C938" i="3"/>
  <c r="C937" i="3"/>
  <c r="C936" i="3"/>
  <c r="C935" i="3"/>
  <c r="C934" i="3"/>
  <c r="C933" i="3"/>
  <c r="C932" i="3"/>
  <c r="C931" i="3"/>
  <c r="C930" i="3"/>
  <c r="C929" i="3"/>
  <c r="C928" i="3"/>
  <c r="C927" i="3"/>
  <c r="C926" i="3"/>
  <c r="C925" i="3"/>
  <c r="C924" i="3"/>
  <c r="C923" i="3"/>
  <c r="C922" i="3"/>
  <c r="C921" i="3"/>
  <c r="C920" i="3"/>
  <c r="C919" i="3"/>
  <c r="C918" i="3"/>
  <c r="C917" i="3"/>
  <c r="C916" i="3"/>
  <c r="C915" i="3"/>
  <c r="C914" i="3"/>
  <c r="C913" i="3"/>
  <c r="C912" i="3"/>
  <c r="C911" i="3"/>
  <c r="C910" i="3"/>
  <c r="C909" i="3"/>
  <c r="C908" i="3"/>
  <c r="C907" i="3"/>
  <c r="C906" i="3"/>
  <c r="C905" i="3"/>
  <c r="C904" i="3"/>
  <c r="C903" i="3"/>
  <c r="C902" i="3"/>
  <c r="C901" i="3"/>
  <c r="C900" i="3"/>
  <c r="C899" i="3"/>
  <c r="C898" i="3"/>
  <c r="C897" i="3"/>
  <c r="C896" i="3"/>
  <c r="C895" i="3"/>
  <c r="C894" i="3"/>
  <c r="C893" i="3"/>
  <c r="C892" i="3"/>
  <c r="C891" i="3"/>
  <c r="C890" i="3"/>
  <c r="C889" i="3"/>
  <c r="C888" i="3"/>
  <c r="C887" i="3"/>
  <c r="C886" i="3"/>
  <c r="C885" i="3"/>
  <c r="C884" i="3"/>
  <c r="C883" i="3"/>
  <c r="C882" i="3"/>
  <c r="C881" i="3"/>
  <c r="C880" i="3"/>
  <c r="C879" i="3"/>
  <c r="C878" i="3"/>
  <c r="C877" i="3"/>
  <c r="C876" i="3"/>
  <c r="C875" i="3"/>
  <c r="C874" i="3"/>
  <c r="C873" i="3"/>
  <c r="C872" i="3"/>
  <c r="C871" i="3"/>
  <c r="C870" i="3"/>
  <c r="C869" i="3"/>
  <c r="C868" i="3"/>
  <c r="C867" i="3"/>
  <c r="C866" i="3"/>
  <c r="C865" i="3"/>
  <c r="C864" i="3"/>
  <c r="C863" i="3"/>
  <c r="C862" i="3"/>
  <c r="C861" i="3"/>
  <c r="C860" i="3"/>
  <c r="C859" i="3"/>
  <c r="C858" i="3"/>
  <c r="C857" i="3"/>
  <c r="C856" i="3"/>
  <c r="C855" i="3"/>
  <c r="C854" i="3"/>
  <c r="C853" i="3"/>
  <c r="C852" i="3"/>
  <c r="C851" i="3"/>
  <c r="C850" i="3"/>
  <c r="C849" i="3"/>
  <c r="C848" i="3"/>
  <c r="C847" i="3"/>
  <c r="C846" i="3"/>
  <c r="C845" i="3"/>
  <c r="C844" i="3"/>
  <c r="C843" i="3"/>
  <c r="C842" i="3"/>
  <c r="C841" i="3"/>
  <c r="C840" i="3"/>
  <c r="C839" i="3"/>
  <c r="C838" i="3"/>
  <c r="C837" i="3"/>
  <c r="C836" i="3"/>
  <c r="C835" i="3"/>
  <c r="C834" i="3"/>
  <c r="C833" i="3"/>
  <c r="C832" i="3"/>
  <c r="C831" i="3"/>
  <c r="C830" i="3"/>
  <c r="C829" i="3"/>
  <c r="C828" i="3"/>
  <c r="C827" i="3"/>
  <c r="C826" i="3"/>
  <c r="C825" i="3"/>
  <c r="C824" i="3"/>
  <c r="C823" i="3"/>
  <c r="C822" i="3"/>
  <c r="C821" i="3"/>
  <c r="C820" i="3"/>
  <c r="C819" i="3"/>
  <c r="C818" i="3"/>
  <c r="C817" i="3"/>
  <c r="C816" i="3"/>
  <c r="C815" i="3"/>
  <c r="C814" i="3"/>
  <c r="C813" i="3"/>
  <c r="C812" i="3"/>
  <c r="C811" i="3"/>
  <c r="C810" i="3"/>
  <c r="C809" i="3"/>
  <c r="C808" i="3"/>
  <c r="C807" i="3"/>
  <c r="C806" i="3"/>
  <c r="C805" i="3"/>
  <c r="C804" i="3"/>
  <c r="C803" i="3"/>
  <c r="C802" i="3"/>
  <c r="C801" i="3"/>
  <c r="C800" i="3"/>
  <c r="C799" i="3"/>
  <c r="C798" i="3"/>
  <c r="C797" i="3"/>
  <c r="C796" i="3"/>
  <c r="C795" i="3"/>
  <c r="C794" i="3"/>
  <c r="C793" i="3"/>
  <c r="C792" i="3"/>
  <c r="C791" i="3"/>
  <c r="C790" i="3"/>
  <c r="C789" i="3"/>
  <c r="C788" i="3"/>
  <c r="C787" i="3"/>
  <c r="C786" i="3"/>
  <c r="C785" i="3"/>
  <c r="C784" i="3"/>
  <c r="C783" i="3"/>
  <c r="C782" i="3"/>
  <c r="C781" i="3"/>
  <c r="C780" i="3"/>
  <c r="C779" i="3"/>
  <c r="C778" i="3"/>
  <c r="C777" i="3"/>
  <c r="C776" i="3"/>
  <c r="C775" i="3"/>
  <c r="C774" i="3"/>
  <c r="C773" i="3"/>
  <c r="C772" i="3"/>
  <c r="C771" i="3"/>
  <c r="C770" i="3"/>
  <c r="C769" i="3"/>
  <c r="C768" i="3"/>
  <c r="C767" i="3"/>
  <c r="C766" i="3"/>
  <c r="C765" i="3"/>
  <c r="C764" i="3"/>
  <c r="C763" i="3"/>
  <c r="C762" i="3"/>
  <c r="C761" i="3"/>
  <c r="C760" i="3"/>
  <c r="C759" i="3"/>
  <c r="C758" i="3"/>
  <c r="C757" i="3"/>
  <c r="C756" i="3"/>
  <c r="C755" i="3"/>
  <c r="C754" i="3"/>
  <c r="C753" i="3"/>
  <c r="C752" i="3"/>
  <c r="C751" i="3"/>
  <c r="C750" i="3"/>
  <c r="C749" i="3"/>
  <c r="C748" i="3"/>
  <c r="C747" i="3"/>
  <c r="C746" i="3"/>
  <c r="C745" i="3"/>
  <c r="C744" i="3"/>
  <c r="C743" i="3"/>
  <c r="C742" i="3"/>
  <c r="C741" i="3"/>
  <c r="C740" i="3"/>
  <c r="C739" i="3"/>
  <c r="C738" i="3"/>
  <c r="C737" i="3"/>
  <c r="C736" i="3"/>
  <c r="C735" i="3"/>
  <c r="C734" i="3"/>
  <c r="C733" i="3"/>
  <c r="C732" i="3"/>
  <c r="C731" i="3"/>
  <c r="C730" i="3"/>
  <c r="C729" i="3"/>
  <c r="C728" i="3"/>
  <c r="C727" i="3"/>
  <c r="C726" i="3"/>
  <c r="C725" i="3"/>
  <c r="C724" i="3"/>
  <c r="C723" i="3"/>
  <c r="C722" i="3"/>
  <c r="C721" i="3"/>
  <c r="C720" i="3"/>
  <c r="C719" i="3"/>
  <c r="C718" i="3"/>
  <c r="C717" i="3"/>
  <c r="C716" i="3"/>
  <c r="C715" i="3"/>
  <c r="C714" i="3"/>
  <c r="C713" i="3"/>
  <c r="C712" i="3"/>
  <c r="C711" i="3"/>
  <c r="C710" i="3"/>
  <c r="C709" i="3"/>
  <c r="C708" i="3"/>
  <c r="C707" i="3"/>
  <c r="C706" i="3"/>
  <c r="C705" i="3"/>
  <c r="C704" i="3"/>
  <c r="C703" i="3"/>
  <c r="C702" i="3"/>
  <c r="C701" i="3"/>
  <c r="C700" i="3"/>
  <c r="C699" i="3"/>
  <c r="C698" i="3"/>
  <c r="C697" i="3"/>
  <c r="C696" i="3"/>
  <c r="C695" i="3"/>
  <c r="C694" i="3"/>
  <c r="C693" i="3"/>
  <c r="C692" i="3"/>
  <c r="C691" i="3"/>
  <c r="C690" i="3"/>
  <c r="C689" i="3"/>
  <c r="C688" i="3"/>
  <c r="C687" i="3"/>
  <c r="C686" i="3"/>
  <c r="C685" i="3"/>
  <c r="C684" i="3"/>
  <c r="C683" i="3"/>
  <c r="C682" i="3"/>
  <c r="C681" i="3"/>
  <c r="C680" i="3"/>
  <c r="C679" i="3"/>
  <c r="C678" i="3"/>
  <c r="C677" i="3"/>
  <c r="C676" i="3"/>
  <c r="C675" i="3"/>
  <c r="C674" i="3"/>
  <c r="C673" i="3"/>
  <c r="C672" i="3"/>
  <c r="C671" i="3"/>
  <c r="C670" i="3"/>
  <c r="C669" i="3"/>
  <c r="C668" i="3"/>
  <c r="C667" i="3"/>
  <c r="C666" i="3"/>
  <c r="C665" i="3"/>
  <c r="C664" i="3"/>
  <c r="C663" i="3"/>
  <c r="C662" i="3"/>
  <c r="C661" i="3"/>
  <c r="C660" i="3"/>
  <c r="C659" i="3"/>
  <c r="C658" i="3"/>
  <c r="C657" i="3"/>
  <c r="C656" i="3"/>
  <c r="C655" i="3"/>
  <c r="C654" i="3"/>
  <c r="C653" i="3"/>
  <c r="C652" i="3"/>
  <c r="C651" i="3"/>
  <c r="C650" i="3"/>
  <c r="C649" i="3"/>
  <c r="C648" i="3"/>
  <c r="C647" i="3"/>
  <c r="C646" i="3"/>
  <c r="C645" i="3"/>
  <c r="C644" i="3"/>
  <c r="C643" i="3"/>
  <c r="C642" i="3"/>
  <c r="C641" i="3"/>
  <c r="C640" i="3"/>
  <c r="C639" i="3"/>
  <c r="C638" i="3"/>
  <c r="C637" i="3"/>
  <c r="C636" i="3"/>
  <c r="C635" i="3"/>
  <c r="C634" i="3"/>
  <c r="C633" i="3"/>
  <c r="C632" i="3"/>
  <c r="C631" i="3"/>
  <c r="C630" i="3"/>
  <c r="C629" i="3"/>
  <c r="C628" i="3"/>
  <c r="C627" i="3"/>
  <c r="C626" i="3"/>
  <c r="C625" i="3"/>
  <c r="C624" i="3"/>
  <c r="C623" i="3"/>
  <c r="C622" i="3"/>
  <c r="C621" i="3"/>
  <c r="C620" i="3"/>
  <c r="C619" i="3"/>
  <c r="C618" i="3"/>
  <c r="C617" i="3"/>
  <c r="C616" i="3"/>
  <c r="C615" i="3"/>
  <c r="C614" i="3"/>
  <c r="C613" i="3"/>
  <c r="C612" i="3"/>
  <c r="C611" i="3"/>
  <c r="C610" i="3"/>
  <c r="C609" i="3"/>
  <c r="C608" i="3"/>
  <c r="C607" i="3"/>
  <c r="C606" i="3"/>
  <c r="C605" i="3"/>
  <c r="C604" i="3"/>
  <c r="C603" i="3"/>
  <c r="C602" i="3"/>
  <c r="C601" i="3"/>
  <c r="C600" i="3"/>
  <c r="C599" i="3"/>
  <c r="C598" i="3"/>
  <c r="C597" i="3"/>
  <c r="C596" i="3"/>
  <c r="C595" i="3"/>
  <c r="C594" i="3"/>
  <c r="C593" i="3"/>
  <c r="C592" i="3"/>
  <c r="C591" i="3"/>
  <c r="C590" i="3"/>
  <c r="C589" i="3"/>
  <c r="C588" i="3"/>
  <c r="C587" i="3"/>
  <c r="C586" i="3"/>
  <c r="C585" i="3"/>
  <c r="C584" i="3"/>
  <c r="C583" i="3"/>
  <c r="C582" i="3"/>
  <c r="C581" i="3"/>
  <c r="C580" i="3"/>
  <c r="C579" i="3"/>
  <c r="C578" i="3"/>
  <c r="C577" i="3"/>
  <c r="C576" i="3"/>
  <c r="C575" i="3"/>
  <c r="C574" i="3"/>
  <c r="C573" i="3"/>
  <c r="C572" i="3"/>
  <c r="C571" i="3"/>
  <c r="C570" i="3"/>
  <c r="C569" i="3"/>
  <c r="C568" i="3"/>
  <c r="C567" i="3"/>
  <c r="C566" i="3"/>
  <c r="C565" i="3"/>
  <c r="C564" i="3"/>
  <c r="C563" i="3"/>
  <c r="C562" i="3"/>
  <c r="C561" i="3"/>
  <c r="C560" i="3"/>
  <c r="C559" i="3"/>
  <c r="C558" i="3"/>
  <c r="C557" i="3"/>
  <c r="C556" i="3"/>
  <c r="C555" i="3"/>
  <c r="C554" i="3"/>
  <c r="C553" i="3"/>
  <c r="C552" i="3"/>
  <c r="C551" i="3"/>
  <c r="C550" i="3"/>
  <c r="C549" i="3"/>
  <c r="C548" i="3"/>
  <c r="C547" i="3"/>
  <c r="C546" i="3"/>
  <c r="C545" i="3"/>
  <c r="C544" i="3"/>
  <c r="C543" i="3"/>
  <c r="C542" i="3"/>
  <c r="C541" i="3"/>
  <c r="C540" i="3"/>
  <c r="C539" i="3"/>
  <c r="C538" i="3"/>
  <c r="C537" i="3"/>
  <c r="C536" i="3"/>
  <c r="C535" i="3"/>
  <c r="C534" i="3"/>
  <c r="C533" i="3"/>
  <c r="C532" i="3"/>
  <c r="C531" i="3"/>
  <c r="C530" i="3"/>
  <c r="C529" i="3"/>
  <c r="C528" i="3"/>
  <c r="C527" i="3"/>
  <c r="C526" i="3"/>
  <c r="C525" i="3"/>
  <c r="C524" i="3"/>
  <c r="C523" i="3"/>
  <c r="C522" i="3"/>
  <c r="C521" i="3"/>
  <c r="C520" i="3"/>
  <c r="C519" i="3"/>
  <c r="C518" i="3"/>
  <c r="C517" i="3"/>
  <c r="C516" i="3"/>
  <c r="C515" i="3"/>
  <c r="C514" i="3"/>
  <c r="C513" i="3"/>
  <c r="C512" i="3"/>
  <c r="C511" i="3"/>
  <c r="C510" i="3"/>
  <c r="C509" i="3"/>
  <c r="C508" i="3"/>
  <c r="C507" i="3"/>
  <c r="C506" i="3"/>
  <c r="C505" i="3"/>
  <c r="C504" i="3"/>
  <c r="C503" i="3"/>
  <c r="C502" i="3"/>
  <c r="C501" i="3"/>
  <c r="C500" i="3"/>
  <c r="C499" i="3"/>
  <c r="C498" i="3"/>
  <c r="C497" i="3"/>
  <c r="C496" i="3"/>
  <c r="C495" i="3"/>
  <c r="C494" i="3"/>
  <c r="C493" i="3"/>
  <c r="C492" i="3"/>
  <c r="C491" i="3"/>
  <c r="C490" i="3"/>
  <c r="C489" i="3"/>
  <c r="C488" i="3"/>
  <c r="C487" i="3"/>
  <c r="C486" i="3"/>
  <c r="C485" i="3"/>
  <c r="C484" i="3"/>
  <c r="C483" i="3"/>
  <c r="C482" i="3"/>
  <c r="C481" i="3"/>
  <c r="C480" i="3"/>
  <c r="C479" i="3"/>
  <c r="C478" i="3"/>
  <c r="C477" i="3"/>
  <c r="C476" i="3"/>
  <c r="C475" i="3"/>
  <c r="C474" i="3"/>
  <c r="C473" i="3"/>
  <c r="C472" i="3"/>
  <c r="C471" i="3"/>
  <c r="C470" i="3"/>
  <c r="C469" i="3"/>
  <c r="C468" i="3"/>
  <c r="C467" i="3"/>
  <c r="C466" i="3"/>
  <c r="C465" i="3"/>
  <c r="C464" i="3"/>
  <c r="C463" i="3"/>
  <c r="C462" i="3"/>
  <c r="C461" i="3"/>
  <c r="C460" i="3"/>
  <c r="C459" i="3"/>
  <c r="C458" i="3"/>
  <c r="C457" i="3"/>
  <c r="C456" i="3"/>
  <c r="C455" i="3"/>
  <c r="C454" i="3"/>
  <c r="C453" i="3"/>
  <c r="C452" i="3"/>
  <c r="C451" i="3"/>
  <c r="C450" i="3"/>
  <c r="C449" i="3"/>
  <c r="C448" i="3"/>
  <c r="C447" i="3"/>
  <c r="C446" i="3"/>
  <c r="C445" i="3"/>
  <c r="C444" i="3"/>
  <c r="C443" i="3"/>
  <c r="C442" i="3"/>
  <c r="C441" i="3"/>
  <c r="C440" i="3"/>
  <c r="C439" i="3"/>
  <c r="C438" i="3"/>
  <c r="C437" i="3"/>
  <c r="C436" i="3"/>
  <c r="C435" i="3"/>
  <c r="C434" i="3"/>
  <c r="C433" i="3"/>
  <c r="C432" i="3"/>
  <c r="C431" i="3"/>
  <c r="C430" i="3"/>
  <c r="C429" i="3"/>
  <c r="C428" i="3"/>
  <c r="C427" i="3"/>
  <c r="C426" i="3"/>
  <c r="C425" i="3"/>
  <c r="C424" i="3"/>
  <c r="C423" i="3"/>
  <c r="C422" i="3"/>
  <c r="C421" i="3"/>
  <c r="C420" i="3"/>
  <c r="C419" i="3"/>
  <c r="C418" i="3"/>
  <c r="C417" i="3"/>
  <c r="C416" i="3"/>
  <c r="C415" i="3"/>
  <c r="C414" i="3"/>
  <c r="C413" i="3"/>
  <c r="C412" i="3"/>
  <c r="C411" i="3"/>
  <c r="C410" i="3"/>
  <c r="C409" i="3"/>
  <c r="C408" i="3"/>
  <c r="C407" i="3"/>
  <c r="C406" i="3"/>
  <c r="C405" i="3"/>
  <c r="C404" i="3"/>
  <c r="C403" i="3"/>
  <c r="C402" i="3"/>
  <c r="C401" i="3"/>
  <c r="C400" i="3"/>
  <c r="C399" i="3"/>
  <c r="C398" i="3"/>
  <c r="C397" i="3"/>
  <c r="C396" i="3"/>
  <c r="C395" i="3"/>
  <c r="C394" i="3"/>
  <c r="C393" i="3"/>
  <c r="C392" i="3"/>
  <c r="C391" i="3"/>
  <c r="C390" i="3"/>
  <c r="C389" i="3"/>
  <c r="C388" i="3"/>
  <c r="C387" i="3"/>
  <c r="C386" i="3"/>
  <c r="C385" i="3"/>
  <c r="C384" i="3"/>
  <c r="C383" i="3"/>
  <c r="C382" i="3"/>
  <c r="C381" i="3"/>
  <c r="C380" i="3"/>
  <c r="C379" i="3"/>
  <c r="C378" i="3"/>
  <c r="C377" i="3"/>
  <c r="C376" i="3"/>
  <c r="C375" i="3"/>
  <c r="C374" i="3"/>
  <c r="C373" i="3"/>
  <c r="C372" i="3"/>
  <c r="C371" i="3"/>
  <c r="C370" i="3"/>
  <c r="C369" i="3"/>
  <c r="C368" i="3"/>
  <c r="C367" i="3"/>
  <c r="C366" i="3"/>
  <c r="C365" i="3"/>
  <c r="C364" i="3"/>
  <c r="C363" i="3"/>
  <c r="C362" i="3"/>
  <c r="C361" i="3"/>
  <c r="C360" i="3"/>
  <c r="C359" i="3"/>
  <c r="C358" i="3"/>
  <c r="C357" i="3"/>
  <c r="C356" i="3"/>
  <c r="C355" i="3"/>
  <c r="C354" i="3"/>
  <c r="C353" i="3"/>
  <c r="C352" i="3"/>
  <c r="C351" i="3"/>
  <c r="C350" i="3"/>
  <c r="C349" i="3"/>
  <c r="C348" i="3"/>
  <c r="C347" i="3"/>
  <c r="C346" i="3"/>
  <c r="C345" i="3"/>
  <c r="C344" i="3"/>
  <c r="C343" i="3"/>
  <c r="C342" i="3"/>
  <c r="C341" i="3"/>
  <c r="C340" i="3"/>
  <c r="C339" i="3"/>
  <c r="C338" i="3"/>
  <c r="C337" i="3"/>
  <c r="C336" i="3"/>
  <c r="C335" i="3"/>
  <c r="C334" i="3"/>
  <c r="C333" i="3"/>
  <c r="C332" i="3"/>
  <c r="C331" i="3"/>
  <c r="C330" i="3"/>
  <c r="C329" i="3"/>
  <c r="C328" i="3"/>
  <c r="C327" i="3"/>
  <c r="C326" i="3"/>
  <c r="C325" i="3"/>
  <c r="C324" i="3"/>
  <c r="C323" i="3"/>
  <c r="C322" i="3"/>
  <c r="C321" i="3"/>
  <c r="C320" i="3"/>
  <c r="C319" i="3"/>
  <c r="C318" i="3"/>
  <c r="C317" i="3"/>
  <c r="C316" i="3"/>
  <c r="C315" i="3"/>
  <c r="C314" i="3"/>
  <c r="C313" i="3"/>
  <c r="C312" i="3"/>
  <c r="C311" i="3"/>
  <c r="C310" i="3"/>
  <c r="C309" i="3"/>
  <c r="C308" i="3"/>
  <c r="C307" i="3"/>
  <c r="C306" i="3"/>
  <c r="C305" i="3"/>
  <c r="C304" i="3"/>
  <c r="C303" i="3"/>
  <c r="C302" i="3"/>
  <c r="C301" i="3"/>
  <c r="C300" i="3"/>
  <c r="C299" i="3"/>
  <c r="C298" i="3"/>
  <c r="C297" i="3"/>
  <c r="C296" i="3"/>
  <c r="C295" i="3"/>
  <c r="C294" i="3"/>
  <c r="C293" i="3"/>
  <c r="C292" i="3"/>
  <c r="C291" i="3"/>
  <c r="C290" i="3"/>
  <c r="C289" i="3"/>
  <c r="C288" i="3"/>
  <c r="C287" i="3"/>
  <c r="C286" i="3"/>
  <c r="C285" i="3"/>
  <c r="C284" i="3"/>
  <c r="C283" i="3"/>
  <c r="C282" i="3"/>
  <c r="C281" i="3"/>
  <c r="C280" i="3"/>
  <c r="C279" i="3"/>
  <c r="C278" i="3"/>
  <c r="C277" i="3"/>
  <c r="C276" i="3"/>
  <c r="C275" i="3"/>
  <c r="C274" i="3"/>
  <c r="C273" i="3"/>
  <c r="C272" i="3"/>
  <c r="C271" i="3"/>
  <c r="C270" i="3"/>
  <c r="C269" i="3"/>
  <c r="C268" i="3"/>
  <c r="C267" i="3"/>
  <c r="C266" i="3"/>
  <c r="C265" i="3"/>
  <c r="C264" i="3"/>
  <c r="C263" i="3"/>
  <c r="C262" i="3"/>
  <c r="C261" i="3"/>
  <c r="C260" i="3"/>
  <c r="C259" i="3"/>
  <c r="C258" i="3"/>
  <c r="C257" i="3"/>
  <c r="C256" i="3"/>
  <c r="C255" i="3"/>
  <c r="C254" i="3"/>
  <c r="C253" i="3"/>
  <c r="C252" i="3"/>
  <c r="C251" i="3"/>
  <c r="C250" i="3"/>
  <c r="C249" i="3"/>
  <c r="C248" i="3"/>
  <c r="C247" i="3"/>
  <c r="C246" i="3"/>
  <c r="C245" i="3"/>
  <c r="C244" i="3"/>
  <c r="C243" i="3"/>
  <c r="C242" i="3"/>
  <c r="C241" i="3"/>
  <c r="C240" i="3"/>
  <c r="C239" i="3"/>
  <c r="C238" i="3"/>
  <c r="C237" i="3"/>
  <c r="C236" i="3"/>
  <c r="C235" i="3"/>
  <c r="C234" i="3"/>
  <c r="C233" i="3"/>
  <c r="C232" i="3"/>
  <c r="C231" i="3"/>
  <c r="C230" i="3"/>
  <c r="C229" i="3"/>
  <c r="C228" i="3"/>
  <c r="C227" i="3"/>
  <c r="C226" i="3"/>
  <c r="C225" i="3"/>
  <c r="C224" i="3"/>
  <c r="C223" i="3"/>
  <c r="C222" i="3"/>
  <c r="C221" i="3"/>
  <c r="C220" i="3"/>
  <c r="C219" i="3"/>
  <c r="C218" i="3"/>
  <c r="C217" i="3"/>
  <c r="C216" i="3"/>
  <c r="C215" i="3"/>
  <c r="C214" i="3"/>
  <c r="C213" i="3"/>
  <c r="C212" i="3"/>
  <c r="C211" i="3"/>
  <c r="C210" i="3"/>
  <c r="C209" i="3"/>
  <c r="C208" i="3"/>
  <c r="C207" i="3"/>
  <c r="C206" i="3"/>
  <c r="C205" i="3"/>
  <c r="C204" i="3"/>
  <c r="C203" i="3"/>
  <c r="C202" i="3"/>
  <c r="C201" i="3"/>
  <c r="C200" i="3"/>
  <c r="C199" i="3"/>
  <c r="C198" i="3"/>
  <c r="C197" i="3"/>
  <c r="C196" i="3"/>
  <c r="C195" i="3"/>
  <c r="C194" i="3"/>
  <c r="C193" i="3"/>
  <c r="C192" i="3"/>
  <c r="C191" i="3"/>
  <c r="C190" i="3"/>
  <c r="C189" i="3"/>
  <c r="C188" i="3"/>
  <c r="C187" i="3"/>
  <c r="C186" i="3"/>
  <c r="C185" i="3"/>
  <c r="C184" i="3"/>
  <c r="C183" i="3"/>
  <c r="C182" i="3"/>
  <c r="C181" i="3"/>
  <c r="C180" i="3"/>
  <c r="C179" i="3"/>
  <c r="C178" i="3"/>
  <c r="C177" i="3"/>
  <c r="C176" i="3"/>
  <c r="C175" i="3"/>
  <c r="C174" i="3"/>
  <c r="C173" i="3"/>
  <c r="C172" i="3"/>
  <c r="C171" i="3"/>
  <c r="C170" i="3"/>
  <c r="C169" i="3"/>
  <c r="C168" i="3"/>
  <c r="C167" i="3"/>
  <c r="C166" i="3"/>
  <c r="C165" i="3"/>
  <c r="C164" i="3"/>
  <c r="C163" i="3"/>
  <c r="C162" i="3"/>
  <c r="C161" i="3"/>
  <c r="C160" i="3"/>
  <c r="C159" i="3"/>
  <c r="C158" i="3"/>
  <c r="C157" i="3"/>
  <c r="C156" i="3"/>
  <c r="C155" i="3"/>
  <c r="C154" i="3"/>
  <c r="C153" i="3"/>
  <c r="C152" i="3"/>
  <c r="C151" i="3"/>
  <c r="C150" i="3"/>
  <c r="C149" i="3"/>
  <c r="C148" i="3"/>
  <c r="C147" i="3"/>
  <c r="C146" i="3"/>
  <c r="C145" i="3"/>
  <c r="C144" i="3"/>
  <c r="C143" i="3"/>
  <c r="C142" i="3"/>
  <c r="C141" i="3"/>
  <c r="C140" i="3"/>
  <c r="C139" i="3"/>
  <c r="C138" i="3"/>
  <c r="C137" i="3"/>
  <c r="C136" i="3"/>
  <c r="C135" i="3"/>
  <c r="C134" i="3"/>
  <c r="C133" i="3"/>
  <c r="C132" i="3"/>
  <c r="C131" i="3"/>
  <c r="C130" i="3"/>
  <c r="C129" i="3"/>
  <c r="C128" i="3"/>
  <c r="C127" i="3"/>
  <c r="C126" i="3"/>
  <c r="C125" i="3"/>
  <c r="C124" i="3"/>
  <c r="C123" i="3"/>
  <c r="C122" i="3"/>
  <c r="C121" i="3"/>
  <c r="C120" i="3"/>
  <c r="C119" i="3"/>
  <c r="C118" i="3"/>
  <c r="C117" i="3"/>
  <c r="C116" i="3"/>
  <c r="C115" i="3"/>
  <c r="C114" i="3"/>
  <c r="C113" i="3"/>
  <c r="C112" i="3"/>
  <c r="C111" i="3"/>
  <c r="C110" i="3"/>
  <c r="C109" i="3"/>
  <c r="C108" i="3"/>
  <c r="C107" i="3"/>
  <c r="C106" i="3"/>
  <c r="C105" i="3"/>
  <c r="C104" i="3"/>
  <c r="C103" i="3"/>
  <c r="C102" i="3"/>
  <c r="C101" i="3"/>
  <c r="C100" i="3"/>
  <c r="C99" i="3"/>
  <c r="C98" i="3"/>
  <c r="C97" i="3"/>
  <c r="C96" i="3"/>
  <c r="C95" i="3"/>
  <c r="C94" i="3"/>
  <c r="C93" i="3"/>
  <c r="C92" i="3"/>
  <c r="C91" i="3"/>
  <c r="C90" i="3"/>
  <c r="C89" i="3"/>
  <c r="C88" i="3"/>
  <c r="C87" i="3"/>
  <c r="C86" i="3"/>
  <c r="C85" i="3"/>
  <c r="C84" i="3"/>
  <c r="C83" i="3"/>
  <c r="C82" i="3"/>
  <c r="C81" i="3"/>
  <c r="C80" i="3"/>
  <c r="C79" i="3"/>
  <c r="C78" i="3"/>
  <c r="C77" i="3"/>
  <c r="C76" i="3"/>
  <c r="C75" i="3"/>
  <c r="C74" i="3"/>
  <c r="C73" i="3"/>
  <c r="C72" i="3"/>
  <c r="C71" i="3"/>
  <c r="C70" i="3"/>
  <c r="C69" i="3"/>
  <c r="C68" i="3"/>
  <c r="C67" i="3"/>
  <c r="C66" i="3"/>
  <c r="C65" i="3"/>
  <c r="C64" i="3"/>
  <c r="C63" i="3"/>
  <c r="C62" i="3"/>
  <c r="C61" i="3"/>
  <c r="C60" i="3"/>
  <c r="C59" i="3"/>
  <c r="C58" i="3"/>
  <c r="C57" i="3"/>
  <c r="C56" i="3"/>
  <c r="C55" i="3"/>
  <c r="C54" i="3"/>
  <c r="C53" i="3"/>
  <c r="C52" i="3"/>
  <c r="C51" i="3"/>
  <c r="C50" i="3"/>
  <c r="C49" i="3"/>
  <c r="C48" i="3"/>
  <c r="C47" i="3"/>
  <c r="C46" i="3"/>
  <c r="C45" i="3"/>
  <c r="C44" i="3"/>
  <c r="C43" i="3"/>
  <c r="C42" i="3"/>
  <c r="C41" i="3"/>
  <c r="C40" i="3"/>
  <c r="C39" i="3"/>
  <c r="C38" i="3"/>
  <c r="C37" i="3"/>
  <c r="C36" i="3"/>
  <c r="C35" i="3"/>
  <c r="C34" i="3"/>
  <c r="C33" i="3"/>
  <c r="C32" i="3"/>
  <c r="C31" i="3"/>
  <c r="C30" i="3"/>
  <c r="C29" i="3"/>
  <c r="C28" i="3"/>
  <c r="C27" i="3"/>
  <c r="C26" i="3"/>
  <c r="C25" i="3"/>
  <c r="C24" i="3"/>
  <c r="C23" i="3"/>
  <c r="C22" i="3"/>
  <c r="C21" i="3"/>
  <c r="C20" i="3"/>
  <c r="C19" i="3"/>
  <c r="C18" i="3"/>
  <c r="C17" i="3"/>
  <c r="C16" i="3"/>
  <c r="C15" i="3"/>
  <c r="C14" i="3"/>
  <c r="C13" i="3"/>
  <c r="C12" i="3"/>
  <c r="C11" i="3"/>
  <c r="C10" i="3"/>
  <c r="C9" i="3"/>
  <c r="C8" i="3"/>
  <c r="C7" i="3"/>
  <c r="C6" i="3"/>
  <c r="C5" i="3"/>
  <c r="C4" i="3"/>
  <c r="C3" i="3"/>
  <c r="C2" i="3"/>
  <c r="J12" i="2"/>
  <c r="J15" i="2"/>
  <c r="J14" i="2"/>
  <c r="J13" i="2"/>
  <c r="J4" i="2"/>
  <c r="J3" i="2"/>
  <c r="J2" i="2"/>
  <c r="E3" i="2"/>
  <c r="F3" i="2" s="1"/>
  <c r="G3" i="2" s="1"/>
  <c r="E4" i="2"/>
  <c r="F4" i="2" s="1"/>
  <c r="G4" i="2" s="1"/>
  <c r="E5" i="2"/>
  <c r="F5" i="2" s="1"/>
  <c r="G5" i="2" s="1"/>
  <c r="E6" i="2"/>
  <c r="F6" i="2" s="1"/>
  <c r="G6" i="2" s="1"/>
  <c r="E7" i="2"/>
  <c r="F7" i="2" s="1"/>
  <c r="G7" i="2" s="1"/>
  <c r="E8" i="2"/>
  <c r="F8" i="2" s="1"/>
  <c r="G8" i="2" s="1"/>
  <c r="E9" i="2"/>
  <c r="F9" i="2" s="1"/>
  <c r="G9" i="2" s="1"/>
  <c r="E10" i="2"/>
  <c r="F10" i="2" s="1"/>
  <c r="G10" i="2" s="1"/>
  <c r="E11" i="2"/>
  <c r="F11" i="2" s="1"/>
  <c r="G11" i="2" s="1"/>
  <c r="E12" i="2"/>
  <c r="F12" i="2" s="1"/>
  <c r="G12" i="2" s="1"/>
  <c r="E13" i="2"/>
  <c r="F13" i="2" s="1"/>
  <c r="G13" i="2" s="1"/>
  <c r="E14" i="2"/>
  <c r="F14" i="2" s="1"/>
  <c r="G14" i="2" s="1"/>
  <c r="E15" i="2"/>
  <c r="F15" i="2" s="1"/>
  <c r="G15" i="2" s="1"/>
  <c r="E16" i="2"/>
  <c r="F16" i="2" s="1"/>
  <c r="G16" i="2" s="1"/>
  <c r="E17" i="2"/>
  <c r="F17" i="2" s="1"/>
  <c r="G17" i="2" s="1"/>
  <c r="E18" i="2"/>
  <c r="F18" i="2" s="1"/>
  <c r="G18" i="2" s="1"/>
  <c r="E19" i="2"/>
  <c r="F19" i="2" s="1"/>
  <c r="G19" i="2" s="1"/>
  <c r="E20" i="2"/>
  <c r="F20" i="2" s="1"/>
  <c r="G20" i="2" s="1"/>
  <c r="E21" i="2"/>
  <c r="F21" i="2" s="1"/>
  <c r="G21" i="2" s="1"/>
  <c r="E22" i="2"/>
  <c r="F22" i="2" s="1"/>
  <c r="G22" i="2" s="1"/>
  <c r="E23" i="2"/>
  <c r="F23" i="2" s="1"/>
  <c r="G23" i="2" s="1"/>
  <c r="E24" i="2"/>
  <c r="F24" i="2" s="1"/>
  <c r="G24" i="2" s="1"/>
  <c r="E25" i="2"/>
  <c r="F25" i="2" s="1"/>
  <c r="G25" i="2" s="1"/>
  <c r="E26" i="2"/>
  <c r="F26" i="2" s="1"/>
  <c r="G26" i="2" s="1"/>
  <c r="E27" i="2"/>
  <c r="F27" i="2" s="1"/>
  <c r="G27" i="2" s="1"/>
  <c r="E28" i="2"/>
  <c r="F28" i="2" s="1"/>
  <c r="G28" i="2" s="1"/>
  <c r="E29" i="2"/>
  <c r="F29" i="2" s="1"/>
  <c r="G29" i="2" s="1"/>
  <c r="E30" i="2"/>
  <c r="F30" i="2" s="1"/>
  <c r="G30" i="2" s="1"/>
  <c r="E31" i="2"/>
  <c r="F31" i="2" s="1"/>
  <c r="G31" i="2" s="1"/>
  <c r="E32" i="2"/>
  <c r="F32" i="2" s="1"/>
  <c r="G32" i="2" s="1"/>
  <c r="E33" i="2"/>
  <c r="F33" i="2" s="1"/>
  <c r="G33" i="2" s="1"/>
  <c r="E34" i="2"/>
  <c r="F34" i="2" s="1"/>
  <c r="G34" i="2" s="1"/>
  <c r="E35" i="2"/>
  <c r="F35" i="2" s="1"/>
  <c r="G35" i="2" s="1"/>
  <c r="E36" i="2"/>
  <c r="F36" i="2" s="1"/>
  <c r="G36" i="2" s="1"/>
  <c r="E37" i="2"/>
  <c r="F37" i="2" s="1"/>
  <c r="G37" i="2" s="1"/>
  <c r="E38" i="2"/>
  <c r="F38" i="2" s="1"/>
  <c r="G38" i="2" s="1"/>
  <c r="E39" i="2"/>
  <c r="F39" i="2" s="1"/>
  <c r="G39" i="2" s="1"/>
  <c r="E40" i="2"/>
  <c r="F40" i="2" s="1"/>
  <c r="G40" i="2" s="1"/>
  <c r="E41" i="2"/>
  <c r="F41" i="2" s="1"/>
  <c r="G41" i="2" s="1"/>
  <c r="E42" i="2"/>
  <c r="F42" i="2" s="1"/>
  <c r="G42" i="2" s="1"/>
  <c r="E43" i="2"/>
  <c r="F43" i="2" s="1"/>
  <c r="G43" i="2" s="1"/>
  <c r="E44" i="2"/>
  <c r="F44" i="2" s="1"/>
  <c r="G44" i="2" s="1"/>
  <c r="E45" i="2"/>
  <c r="F45" i="2" s="1"/>
  <c r="G45" i="2" s="1"/>
  <c r="E46" i="2"/>
  <c r="F46" i="2" s="1"/>
  <c r="G46" i="2" s="1"/>
  <c r="E47" i="2"/>
  <c r="F47" i="2" s="1"/>
  <c r="G47" i="2" s="1"/>
  <c r="E48" i="2"/>
  <c r="F48" i="2" s="1"/>
  <c r="G48" i="2" s="1"/>
  <c r="E49" i="2"/>
  <c r="F49" i="2" s="1"/>
  <c r="G49" i="2" s="1"/>
  <c r="E50" i="2"/>
  <c r="F50" i="2" s="1"/>
  <c r="G50" i="2" s="1"/>
  <c r="E51" i="2"/>
  <c r="F51" i="2" s="1"/>
  <c r="G51" i="2" s="1"/>
  <c r="E52" i="2"/>
  <c r="F52" i="2" s="1"/>
  <c r="G52" i="2" s="1"/>
  <c r="E53" i="2"/>
  <c r="F53" i="2" s="1"/>
  <c r="G53" i="2" s="1"/>
  <c r="E54" i="2"/>
  <c r="F54" i="2" s="1"/>
  <c r="G54" i="2" s="1"/>
  <c r="E55" i="2"/>
  <c r="F55" i="2" s="1"/>
  <c r="G55" i="2" s="1"/>
  <c r="E56" i="2"/>
  <c r="F56" i="2" s="1"/>
  <c r="G56" i="2" s="1"/>
  <c r="E57" i="2"/>
  <c r="F57" i="2" s="1"/>
  <c r="G57" i="2" s="1"/>
  <c r="E58" i="2"/>
  <c r="F58" i="2" s="1"/>
  <c r="G58" i="2" s="1"/>
  <c r="E59" i="2"/>
  <c r="F59" i="2" s="1"/>
  <c r="G59" i="2" s="1"/>
  <c r="E60" i="2"/>
  <c r="F60" i="2" s="1"/>
  <c r="G60" i="2" s="1"/>
  <c r="E61" i="2"/>
  <c r="F61" i="2" s="1"/>
  <c r="G61" i="2" s="1"/>
  <c r="E62" i="2"/>
  <c r="F62" i="2" s="1"/>
  <c r="G62" i="2" s="1"/>
  <c r="E63" i="2"/>
  <c r="F63" i="2" s="1"/>
  <c r="G63" i="2" s="1"/>
  <c r="E64" i="2"/>
  <c r="F64" i="2" s="1"/>
  <c r="G64" i="2" s="1"/>
  <c r="E65" i="2"/>
  <c r="F65" i="2" s="1"/>
  <c r="G65" i="2" s="1"/>
  <c r="E66" i="2"/>
  <c r="F66" i="2" s="1"/>
  <c r="G66" i="2" s="1"/>
  <c r="E67" i="2"/>
  <c r="F67" i="2" s="1"/>
  <c r="G67" i="2" s="1"/>
  <c r="E68" i="2"/>
  <c r="F68" i="2" s="1"/>
  <c r="G68" i="2" s="1"/>
  <c r="E69" i="2"/>
  <c r="F69" i="2" s="1"/>
  <c r="G69" i="2" s="1"/>
  <c r="E70" i="2"/>
  <c r="F70" i="2" s="1"/>
  <c r="G70" i="2" s="1"/>
  <c r="E71" i="2"/>
  <c r="F71" i="2" s="1"/>
  <c r="G71" i="2" s="1"/>
  <c r="E72" i="2"/>
  <c r="F72" i="2" s="1"/>
  <c r="G72" i="2" s="1"/>
  <c r="E73" i="2"/>
  <c r="F73" i="2" s="1"/>
  <c r="G73" i="2" s="1"/>
  <c r="E74" i="2"/>
  <c r="F74" i="2" s="1"/>
  <c r="G74" i="2" s="1"/>
  <c r="E75" i="2"/>
  <c r="F75" i="2" s="1"/>
  <c r="G75" i="2" s="1"/>
  <c r="E76" i="2"/>
  <c r="F76" i="2" s="1"/>
  <c r="G76" i="2" s="1"/>
  <c r="E77" i="2"/>
  <c r="F77" i="2" s="1"/>
  <c r="G77" i="2" s="1"/>
  <c r="E78" i="2"/>
  <c r="F78" i="2" s="1"/>
  <c r="G78" i="2" s="1"/>
  <c r="E79" i="2"/>
  <c r="F79" i="2" s="1"/>
  <c r="G79" i="2" s="1"/>
  <c r="E80" i="2"/>
  <c r="F80" i="2" s="1"/>
  <c r="G80" i="2" s="1"/>
  <c r="E81" i="2"/>
  <c r="F81" i="2" s="1"/>
  <c r="G81" i="2" s="1"/>
  <c r="E82" i="2"/>
  <c r="F82" i="2" s="1"/>
  <c r="G82" i="2" s="1"/>
  <c r="E83" i="2"/>
  <c r="F83" i="2" s="1"/>
  <c r="G83" i="2" s="1"/>
  <c r="E84" i="2"/>
  <c r="F84" i="2" s="1"/>
  <c r="G84" i="2" s="1"/>
  <c r="E85" i="2"/>
  <c r="F85" i="2" s="1"/>
  <c r="G85" i="2" s="1"/>
  <c r="E86" i="2"/>
  <c r="F86" i="2" s="1"/>
  <c r="G86" i="2" s="1"/>
  <c r="E87" i="2"/>
  <c r="F87" i="2" s="1"/>
  <c r="G87" i="2" s="1"/>
  <c r="E88" i="2"/>
  <c r="F88" i="2" s="1"/>
  <c r="G88" i="2" s="1"/>
  <c r="E89" i="2"/>
  <c r="F89" i="2" s="1"/>
  <c r="G89" i="2" s="1"/>
  <c r="E90" i="2"/>
  <c r="F90" i="2" s="1"/>
  <c r="G90" i="2" s="1"/>
  <c r="E91" i="2"/>
  <c r="F91" i="2" s="1"/>
  <c r="G91" i="2" s="1"/>
  <c r="E92" i="2"/>
  <c r="F92" i="2" s="1"/>
  <c r="G92" i="2" s="1"/>
  <c r="E93" i="2"/>
  <c r="F93" i="2" s="1"/>
  <c r="G93" i="2" s="1"/>
  <c r="E94" i="2"/>
  <c r="F94" i="2" s="1"/>
  <c r="G94" i="2" s="1"/>
  <c r="E95" i="2"/>
  <c r="F95" i="2" s="1"/>
  <c r="G95" i="2" s="1"/>
  <c r="E96" i="2"/>
  <c r="F96" i="2" s="1"/>
  <c r="G96" i="2" s="1"/>
  <c r="E97" i="2"/>
  <c r="F97" i="2" s="1"/>
  <c r="G97" i="2" s="1"/>
  <c r="E98" i="2"/>
  <c r="F98" i="2" s="1"/>
  <c r="G98" i="2" s="1"/>
  <c r="E99" i="2"/>
  <c r="F99" i="2" s="1"/>
  <c r="G99" i="2" s="1"/>
  <c r="E100" i="2"/>
  <c r="F100" i="2" s="1"/>
  <c r="G100" i="2" s="1"/>
  <c r="E101" i="2"/>
  <c r="F101" i="2" s="1"/>
  <c r="G101" i="2" s="1"/>
  <c r="E102" i="2"/>
  <c r="F102" i="2" s="1"/>
  <c r="G102" i="2" s="1"/>
  <c r="E103" i="2"/>
  <c r="F103" i="2" s="1"/>
  <c r="G103" i="2" s="1"/>
  <c r="E104" i="2"/>
  <c r="F104" i="2" s="1"/>
  <c r="G104" i="2" s="1"/>
  <c r="E105" i="2"/>
  <c r="F105" i="2" s="1"/>
  <c r="G105" i="2" s="1"/>
  <c r="E106" i="2"/>
  <c r="F106" i="2" s="1"/>
  <c r="G106" i="2" s="1"/>
  <c r="E107" i="2"/>
  <c r="F107" i="2" s="1"/>
  <c r="G107" i="2" s="1"/>
  <c r="E108" i="2"/>
  <c r="F108" i="2" s="1"/>
  <c r="G108" i="2" s="1"/>
  <c r="E109" i="2"/>
  <c r="F109" i="2" s="1"/>
  <c r="G109" i="2" s="1"/>
  <c r="E110" i="2"/>
  <c r="F110" i="2" s="1"/>
  <c r="G110" i="2" s="1"/>
  <c r="E111" i="2"/>
  <c r="F111" i="2" s="1"/>
  <c r="G111" i="2" s="1"/>
  <c r="E112" i="2"/>
  <c r="F112" i="2" s="1"/>
  <c r="G112" i="2" s="1"/>
  <c r="E113" i="2"/>
  <c r="F113" i="2" s="1"/>
  <c r="G113" i="2" s="1"/>
  <c r="E114" i="2"/>
  <c r="F114" i="2" s="1"/>
  <c r="G114" i="2" s="1"/>
  <c r="E115" i="2"/>
  <c r="F115" i="2" s="1"/>
  <c r="G115" i="2" s="1"/>
  <c r="E116" i="2"/>
  <c r="F116" i="2" s="1"/>
  <c r="G116" i="2" s="1"/>
  <c r="E117" i="2"/>
  <c r="F117" i="2" s="1"/>
  <c r="G117" i="2" s="1"/>
  <c r="E118" i="2"/>
  <c r="F118" i="2" s="1"/>
  <c r="G118" i="2" s="1"/>
  <c r="E119" i="2"/>
  <c r="F119" i="2" s="1"/>
  <c r="G119" i="2" s="1"/>
  <c r="E120" i="2"/>
  <c r="F120" i="2" s="1"/>
  <c r="G120" i="2" s="1"/>
  <c r="E121" i="2"/>
  <c r="F121" i="2" s="1"/>
  <c r="G121" i="2" s="1"/>
  <c r="E122" i="2"/>
  <c r="F122" i="2" s="1"/>
  <c r="G122" i="2" s="1"/>
  <c r="E123" i="2"/>
  <c r="F123" i="2" s="1"/>
  <c r="G123" i="2" s="1"/>
  <c r="E124" i="2"/>
  <c r="F124" i="2" s="1"/>
  <c r="G124" i="2" s="1"/>
  <c r="E125" i="2"/>
  <c r="F125" i="2" s="1"/>
  <c r="G125" i="2" s="1"/>
  <c r="E126" i="2"/>
  <c r="F126" i="2" s="1"/>
  <c r="G126" i="2" s="1"/>
  <c r="E127" i="2"/>
  <c r="F127" i="2" s="1"/>
  <c r="G127" i="2" s="1"/>
  <c r="E128" i="2"/>
  <c r="F128" i="2" s="1"/>
  <c r="G128" i="2" s="1"/>
  <c r="E129" i="2"/>
  <c r="F129" i="2" s="1"/>
  <c r="G129" i="2" s="1"/>
  <c r="E130" i="2"/>
  <c r="F130" i="2" s="1"/>
  <c r="G130" i="2" s="1"/>
  <c r="E131" i="2"/>
  <c r="F131" i="2" s="1"/>
  <c r="G131" i="2" s="1"/>
  <c r="E132" i="2"/>
  <c r="F132" i="2" s="1"/>
  <c r="G132" i="2" s="1"/>
  <c r="E133" i="2"/>
  <c r="F133" i="2" s="1"/>
  <c r="G133" i="2" s="1"/>
  <c r="E134" i="2"/>
  <c r="F134" i="2" s="1"/>
  <c r="G134" i="2" s="1"/>
  <c r="E135" i="2"/>
  <c r="F135" i="2" s="1"/>
  <c r="G135" i="2" s="1"/>
  <c r="E136" i="2"/>
  <c r="F136" i="2" s="1"/>
  <c r="G136" i="2" s="1"/>
  <c r="E137" i="2"/>
  <c r="F137" i="2" s="1"/>
  <c r="G137" i="2" s="1"/>
  <c r="E138" i="2"/>
  <c r="F138" i="2" s="1"/>
  <c r="G138" i="2" s="1"/>
  <c r="E139" i="2"/>
  <c r="F139" i="2" s="1"/>
  <c r="G139" i="2" s="1"/>
  <c r="E140" i="2"/>
  <c r="F140" i="2" s="1"/>
  <c r="G140" i="2" s="1"/>
  <c r="E141" i="2"/>
  <c r="F141" i="2" s="1"/>
  <c r="G141" i="2" s="1"/>
  <c r="E142" i="2"/>
  <c r="F142" i="2" s="1"/>
  <c r="G142" i="2" s="1"/>
  <c r="E143" i="2"/>
  <c r="F143" i="2" s="1"/>
  <c r="G143" i="2" s="1"/>
  <c r="E144" i="2"/>
  <c r="F144" i="2" s="1"/>
  <c r="G144" i="2" s="1"/>
  <c r="E145" i="2"/>
  <c r="F145" i="2" s="1"/>
  <c r="G145" i="2" s="1"/>
  <c r="E146" i="2"/>
  <c r="F146" i="2" s="1"/>
  <c r="G146" i="2" s="1"/>
  <c r="E147" i="2"/>
  <c r="F147" i="2" s="1"/>
  <c r="G147" i="2" s="1"/>
  <c r="E148" i="2"/>
  <c r="F148" i="2" s="1"/>
  <c r="G148" i="2" s="1"/>
  <c r="E149" i="2"/>
  <c r="F149" i="2" s="1"/>
  <c r="G149" i="2" s="1"/>
  <c r="E150" i="2"/>
  <c r="F150" i="2" s="1"/>
  <c r="G150" i="2" s="1"/>
  <c r="E151" i="2"/>
  <c r="F151" i="2" s="1"/>
  <c r="G151" i="2" s="1"/>
  <c r="E152" i="2"/>
  <c r="F152" i="2" s="1"/>
  <c r="G152" i="2" s="1"/>
  <c r="E153" i="2"/>
  <c r="F153" i="2" s="1"/>
  <c r="G153" i="2" s="1"/>
  <c r="E154" i="2"/>
  <c r="F154" i="2" s="1"/>
  <c r="G154" i="2" s="1"/>
  <c r="E155" i="2"/>
  <c r="F155" i="2" s="1"/>
  <c r="G155" i="2" s="1"/>
  <c r="E156" i="2"/>
  <c r="F156" i="2" s="1"/>
  <c r="G156" i="2" s="1"/>
  <c r="E157" i="2"/>
  <c r="F157" i="2" s="1"/>
  <c r="G157" i="2" s="1"/>
  <c r="E158" i="2"/>
  <c r="F158" i="2" s="1"/>
  <c r="G158" i="2" s="1"/>
  <c r="E159" i="2"/>
  <c r="F159" i="2" s="1"/>
  <c r="G159" i="2" s="1"/>
  <c r="E160" i="2"/>
  <c r="F160" i="2" s="1"/>
  <c r="G160" i="2" s="1"/>
  <c r="E161" i="2"/>
  <c r="F161" i="2" s="1"/>
  <c r="G161" i="2" s="1"/>
  <c r="E162" i="2"/>
  <c r="F162" i="2" s="1"/>
  <c r="G162" i="2" s="1"/>
  <c r="E163" i="2"/>
  <c r="F163" i="2" s="1"/>
  <c r="G163" i="2" s="1"/>
  <c r="E164" i="2"/>
  <c r="F164" i="2" s="1"/>
  <c r="G164" i="2" s="1"/>
  <c r="E165" i="2"/>
  <c r="F165" i="2" s="1"/>
  <c r="G165" i="2" s="1"/>
  <c r="E166" i="2"/>
  <c r="F166" i="2" s="1"/>
  <c r="G166" i="2" s="1"/>
  <c r="E167" i="2"/>
  <c r="F167" i="2" s="1"/>
  <c r="G167" i="2" s="1"/>
  <c r="E168" i="2"/>
  <c r="F168" i="2" s="1"/>
  <c r="G168" i="2" s="1"/>
  <c r="E169" i="2"/>
  <c r="F169" i="2" s="1"/>
  <c r="G169" i="2" s="1"/>
  <c r="E170" i="2"/>
  <c r="F170" i="2" s="1"/>
  <c r="G170" i="2" s="1"/>
  <c r="E171" i="2"/>
  <c r="F171" i="2" s="1"/>
  <c r="G171" i="2" s="1"/>
  <c r="E172" i="2"/>
  <c r="F172" i="2" s="1"/>
  <c r="G172" i="2" s="1"/>
  <c r="E173" i="2"/>
  <c r="F173" i="2" s="1"/>
  <c r="G173" i="2" s="1"/>
  <c r="E174" i="2"/>
  <c r="F174" i="2" s="1"/>
  <c r="G174" i="2" s="1"/>
  <c r="E175" i="2"/>
  <c r="F175" i="2" s="1"/>
  <c r="G175" i="2" s="1"/>
  <c r="E176" i="2"/>
  <c r="F176" i="2" s="1"/>
  <c r="G176" i="2" s="1"/>
  <c r="E177" i="2"/>
  <c r="F177" i="2" s="1"/>
  <c r="G177" i="2" s="1"/>
  <c r="E178" i="2"/>
  <c r="F178" i="2" s="1"/>
  <c r="G178" i="2" s="1"/>
  <c r="E179" i="2"/>
  <c r="F179" i="2" s="1"/>
  <c r="G179" i="2" s="1"/>
  <c r="E180" i="2"/>
  <c r="F180" i="2" s="1"/>
  <c r="G180" i="2" s="1"/>
  <c r="E181" i="2"/>
  <c r="F181" i="2" s="1"/>
  <c r="G181" i="2" s="1"/>
  <c r="E182" i="2"/>
  <c r="F182" i="2" s="1"/>
  <c r="G182" i="2" s="1"/>
  <c r="E183" i="2"/>
  <c r="F183" i="2" s="1"/>
  <c r="G183" i="2" s="1"/>
  <c r="E184" i="2"/>
  <c r="F184" i="2" s="1"/>
  <c r="G184" i="2" s="1"/>
  <c r="E185" i="2"/>
  <c r="F185" i="2" s="1"/>
  <c r="G185" i="2" s="1"/>
  <c r="E186" i="2"/>
  <c r="F186" i="2" s="1"/>
  <c r="G186" i="2" s="1"/>
  <c r="E187" i="2"/>
  <c r="F187" i="2" s="1"/>
  <c r="G187" i="2" s="1"/>
  <c r="E188" i="2"/>
  <c r="F188" i="2" s="1"/>
  <c r="G188" i="2" s="1"/>
  <c r="E189" i="2"/>
  <c r="F189" i="2" s="1"/>
  <c r="G189" i="2" s="1"/>
  <c r="E190" i="2"/>
  <c r="F190" i="2" s="1"/>
  <c r="G190" i="2" s="1"/>
  <c r="E191" i="2"/>
  <c r="F191" i="2" s="1"/>
  <c r="G191" i="2" s="1"/>
  <c r="E192" i="2"/>
  <c r="F192" i="2" s="1"/>
  <c r="G192" i="2" s="1"/>
  <c r="E193" i="2"/>
  <c r="F193" i="2" s="1"/>
  <c r="G193" i="2" s="1"/>
  <c r="E194" i="2"/>
  <c r="F194" i="2" s="1"/>
  <c r="G194" i="2" s="1"/>
  <c r="E195" i="2"/>
  <c r="F195" i="2" s="1"/>
  <c r="G195" i="2" s="1"/>
  <c r="E196" i="2"/>
  <c r="F196" i="2" s="1"/>
  <c r="G196" i="2" s="1"/>
  <c r="E197" i="2"/>
  <c r="F197" i="2" s="1"/>
  <c r="G197" i="2" s="1"/>
  <c r="E198" i="2"/>
  <c r="F198" i="2" s="1"/>
  <c r="G198" i="2" s="1"/>
  <c r="E199" i="2"/>
  <c r="F199" i="2" s="1"/>
  <c r="G199" i="2" s="1"/>
  <c r="E200" i="2"/>
  <c r="F200" i="2" s="1"/>
  <c r="G200" i="2" s="1"/>
  <c r="E201" i="2"/>
  <c r="F201" i="2" s="1"/>
  <c r="G201" i="2" s="1"/>
  <c r="E202" i="2"/>
  <c r="F202" i="2" s="1"/>
  <c r="G202" i="2" s="1"/>
  <c r="E203" i="2"/>
  <c r="F203" i="2" s="1"/>
  <c r="G203" i="2" s="1"/>
  <c r="E204" i="2"/>
  <c r="F204" i="2" s="1"/>
  <c r="G204" i="2" s="1"/>
  <c r="E205" i="2"/>
  <c r="F205" i="2" s="1"/>
  <c r="G205" i="2" s="1"/>
  <c r="E206" i="2"/>
  <c r="F206" i="2" s="1"/>
  <c r="G206" i="2" s="1"/>
  <c r="E207" i="2"/>
  <c r="F207" i="2" s="1"/>
  <c r="G207" i="2" s="1"/>
  <c r="E208" i="2"/>
  <c r="F208" i="2" s="1"/>
  <c r="G208" i="2" s="1"/>
  <c r="E209" i="2"/>
  <c r="F209" i="2" s="1"/>
  <c r="G209" i="2" s="1"/>
  <c r="E210" i="2"/>
  <c r="F210" i="2" s="1"/>
  <c r="G210" i="2" s="1"/>
  <c r="E211" i="2"/>
  <c r="F211" i="2" s="1"/>
  <c r="G211" i="2" s="1"/>
  <c r="E212" i="2"/>
  <c r="F212" i="2" s="1"/>
  <c r="G212" i="2" s="1"/>
  <c r="E213" i="2"/>
  <c r="F213" i="2" s="1"/>
  <c r="G213" i="2" s="1"/>
  <c r="E214" i="2"/>
  <c r="F214" i="2" s="1"/>
  <c r="G214" i="2" s="1"/>
  <c r="E215" i="2"/>
  <c r="F215" i="2" s="1"/>
  <c r="G215" i="2" s="1"/>
  <c r="E216" i="2"/>
  <c r="F216" i="2" s="1"/>
  <c r="G216" i="2" s="1"/>
  <c r="E217" i="2"/>
  <c r="F217" i="2" s="1"/>
  <c r="G217" i="2" s="1"/>
  <c r="E218" i="2"/>
  <c r="F218" i="2" s="1"/>
  <c r="G218" i="2" s="1"/>
  <c r="E219" i="2"/>
  <c r="F219" i="2" s="1"/>
  <c r="G219" i="2" s="1"/>
  <c r="E220" i="2"/>
  <c r="F220" i="2" s="1"/>
  <c r="G220" i="2" s="1"/>
  <c r="E221" i="2"/>
  <c r="F221" i="2" s="1"/>
  <c r="G221" i="2" s="1"/>
  <c r="E222" i="2"/>
  <c r="F222" i="2" s="1"/>
  <c r="G222" i="2" s="1"/>
  <c r="E223" i="2"/>
  <c r="F223" i="2" s="1"/>
  <c r="G223" i="2" s="1"/>
  <c r="E224" i="2"/>
  <c r="F224" i="2" s="1"/>
  <c r="G224" i="2" s="1"/>
  <c r="E225" i="2"/>
  <c r="F225" i="2" s="1"/>
  <c r="G225" i="2" s="1"/>
  <c r="E226" i="2"/>
  <c r="F226" i="2" s="1"/>
  <c r="G226" i="2" s="1"/>
  <c r="E227" i="2"/>
  <c r="F227" i="2" s="1"/>
  <c r="G227" i="2" s="1"/>
  <c r="E228" i="2"/>
  <c r="F228" i="2" s="1"/>
  <c r="G228" i="2" s="1"/>
  <c r="E229" i="2"/>
  <c r="F229" i="2" s="1"/>
  <c r="G229" i="2" s="1"/>
  <c r="E230" i="2"/>
  <c r="F230" i="2" s="1"/>
  <c r="G230" i="2" s="1"/>
  <c r="E231" i="2"/>
  <c r="F231" i="2" s="1"/>
  <c r="G231" i="2" s="1"/>
  <c r="E232" i="2"/>
  <c r="F232" i="2" s="1"/>
  <c r="G232" i="2" s="1"/>
  <c r="E233" i="2"/>
  <c r="F233" i="2" s="1"/>
  <c r="G233" i="2" s="1"/>
  <c r="E234" i="2"/>
  <c r="F234" i="2" s="1"/>
  <c r="G234" i="2" s="1"/>
  <c r="E235" i="2"/>
  <c r="F235" i="2" s="1"/>
  <c r="G235" i="2" s="1"/>
  <c r="E236" i="2"/>
  <c r="F236" i="2" s="1"/>
  <c r="G236" i="2" s="1"/>
  <c r="E237" i="2"/>
  <c r="F237" i="2" s="1"/>
  <c r="G237" i="2" s="1"/>
  <c r="E238" i="2"/>
  <c r="F238" i="2" s="1"/>
  <c r="G238" i="2" s="1"/>
  <c r="E239" i="2"/>
  <c r="F239" i="2" s="1"/>
  <c r="G239" i="2" s="1"/>
  <c r="E240" i="2"/>
  <c r="F240" i="2" s="1"/>
  <c r="G240" i="2" s="1"/>
  <c r="E241" i="2"/>
  <c r="F241" i="2" s="1"/>
  <c r="G241" i="2" s="1"/>
  <c r="E242" i="2"/>
  <c r="F242" i="2" s="1"/>
  <c r="G242" i="2" s="1"/>
  <c r="E243" i="2"/>
  <c r="F243" i="2" s="1"/>
  <c r="G243" i="2" s="1"/>
  <c r="E244" i="2"/>
  <c r="F244" i="2" s="1"/>
  <c r="G244" i="2" s="1"/>
  <c r="E245" i="2"/>
  <c r="F245" i="2" s="1"/>
  <c r="G245" i="2" s="1"/>
  <c r="E246" i="2"/>
  <c r="F246" i="2" s="1"/>
  <c r="G246" i="2" s="1"/>
  <c r="E247" i="2"/>
  <c r="F247" i="2" s="1"/>
  <c r="G247" i="2" s="1"/>
  <c r="E248" i="2"/>
  <c r="F248" i="2" s="1"/>
  <c r="G248" i="2" s="1"/>
  <c r="E249" i="2"/>
  <c r="F249" i="2" s="1"/>
  <c r="G249" i="2" s="1"/>
  <c r="E250" i="2"/>
  <c r="F250" i="2" s="1"/>
  <c r="G250" i="2" s="1"/>
  <c r="E251" i="2"/>
  <c r="F251" i="2" s="1"/>
  <c r="G251" i="2" s="1"/>
  <c r="E252" i="2"/>
  <c r="F252" i="2" s="1"/>
  <c r="G252" i="2" s="1"/>
  <c r="E253" i="2"/>
  <c r="F253" i="2" s="1"/>
  <c r="G253" i="2" s="1"/>
  <c r="E254" i="2"/>
  <c r="F254" i="2" s="1"/>
  <c r="G254" i="2" s="1"/>
  <c r="E255" i="2"/>
  <c r="F255" i="2" s="1"/>
  <c r="G255" i="2" s="1"/>
  <c r="E256" i="2"/>
  <c r="F256" i="2" s="1"/>
  <c r="G256" i="2" s="1"/>
  <c r="E257" i="2"/>
  <c r="F257" i="2" s="1"/>
  <c r="G257" i="2" s="1"/>
  <c r="E258" i="2"/>
  <c r="F258" i="2" s="1"/>
  <c r="G258" i="2" s="1"/>
  <c r="E259" i="2"/>
  <c r="F259" i="2" s="1"/>
  <c r="G259" i="2" s="1"/>
  <c r="E260" i="2"/>
  <c r="F260" i="2" s="1"/>
  <c r="G260" i="2" s="1"/>
  <c r="E261" i="2"/>
  <c r="F261" i="2" s="1"/>
  <c r="G261" i="2" s="1"/>
  <c r="E262" i="2"/>
  <c r="F262" i="2" s="1"/>
  <c r="G262" i="2" s="1"/>
  <c r="E263" i="2"/>
  <c r="F263" i="2" s="1"/>
  <c r="G263" i="2" s="1"/>
  <c r="E264" i="2"/>
  <c r="F264" i="2" s="1"/>
  <c r="G264" i="2" s="1"/>
  <c r="E265" i="2"/>
  <c r="F265" i="2" s="1"/>
  <c r="G265" i="2" s="1"/>
  <c r="E266" i="2"/>
  <c r="F266" i="2" s="1"/>
  <c r="G266" i="2" s="1"/>
  <c r="E267" i="2"/>
  <c r="F267" i="2" s="1"/>
  <c r="G267" i="2" s="1"/>
  <c r="E268" i="2"/>
  <c r="F268" i="2" s="1"/>
  <c r="G268" i="2" s="1"/>
  <c r="E269" i="2"/>
  <c r="F269" i="2" s="1"/>
  <c r="G269" i="2" s="1"/>
  <c r="E270" i="2"/>
  <c r="F270" i="2" s="1"/>
  <c r="G270" i="2" s="1"/>
  <c r="E271" i="2"/>
  <c r="F271" i="2" s="1"/>
  <c r="G271" i="2" s="1"/>
  <c r="E272" i="2"/>
  <c r="F272" i="2" s="1"/>
  <c r="G272" i="2" s="1"/>
  <c r="E273" i="2"/>
  <c r="F273" i="2" s="1"/>
  <c r="G273" i="2" s="1"/>
  <c r="E274" i="2"/>
  <c r="F274" i="2" s="1"/>
  <c r="G274" i="2" s="1"/>
  <c r="E275" i="2"/>
  <c r="F275" i="2" s="1"/>
  <c r="G275" i="2" s="1"/>
  <c r="E276" i="2"/>
  <c r="F276" i="2" s="1"/>
  <c r="G276" i="2" s="1"/>
  <c r="E277" i="2"/>
  <c r="F277" i="2" s="1"/>
  <c r="G277" i="2" s="1"/>
  <c r="E278" i="2"/>
  <c r="F278" i="2" s="1"/>
  <c r="G278" i="2" s="1"/>
  <c r="E279" i="2"/>
  <c r="F279" i="2" s="1"/>
  <c r="G279" i="2" s="1"/>
  <c r="E280" i="2"/>
  <c r="F280" i="2" s="1"/>
  <c r="G280" i="2" s="1"/>
  <c r="E281" i="2"/>
  <c r="F281" i="2" s="1"/>
  <c r="G281" i="2" s="1"/>
  <c r="E282" i="2"/>
  <c r="F282" i="2" s="1"/>
  <c r="G282" i="2" s="1"/>
  <c r="E283" i="2"/>
  <c r="F283" i="2" s="1"/>
  <c r="G283" i="2" s="1"/>
  <c r="E284" i="2"/>
  <c r="F284" i="2" s="1"/>
  <c r="G284" i="2" s="1"/>
  <c r="E285" i="2"/>
  <c r="F285" i="2" s="1"/>
  <c r="G285" i="2" s="1"/>
  <c r="E286" i="2"/>
  <c r="F286" i="2" s="1"/>
  <c r="G286" i="2" s="1"/>
  <c r="E287" i="2"/>
  <c r="F287" i="2" s="1"/>
  <c r="G287" i="2" s="1"/>
  <c r="E288" i="2"/>
  <c r="F288" i="2" s="1"/>
  <c r="G288" i="2" s="1"/>
  <c r="E289" i="2"/>
  <c r="F289" i="2" s="1"/>
  <c r="G289" i="2" s="1"/>
  <c r="E290" i="2"/>
  <c r="F290" i="2" s="1"/>
  <c r="G290" i="2" s="1"/>
  <c r="E291" i="2"/>
  <c r="F291" i="2" s="1"/>
  <c r="G291" i="2" s="1"/>
  <c r="E292" i="2"/>
  <c r="F292" i="2" s="1"/>
  <c r="G292" i="2" s="1"/>
  <c r="E293" i="2"/>
  <c r="F293" i="2" s="1"/>
  <c r="G293" i="2" s="1"/>
  <c r="E294" i="2"/>
  <c r="F294" i="2" s="1"/>
  <c r="G294" i="2" s="1"/>
  <c r="E295" i="2"/>
  <c r="F295" i="2" s="1"/>
  <c r="G295" i="2" s="1"/>
  <c r="E296" i="2"/>
  <c r="F296" i="2" s="1"/>
  <c r="G296" i="2" s="1"/>
  <c r="E297" i="2"/>
  <c r="F297" i="2" s="1"/>
  <c r="G297" i="2" s="1"/>
  <c r="E298" i="2"/>
  <c r="F298" i="2" s="1"/>
  <c r="G298" i="2" s="1"/>
  <c r="E299" i="2"/>
  <c r="F299" i="2" s="1"/>
  <c r="G299" i="2" s="1"/>
  <c r="E300" i="2"/>
  <c r="F300" i="2" s="1"/>
  <c r="G300" i="2" s="1"/>
  <c r="E301" i="2"/>
  <c r="F301" i="2" s="1"/>
  <c r="G301" i="2" s="1"/>
  <c r="E302" i="2"/>
  <c r="F302" i="2" s="1"/>
  <c r="G302" i="2" s="1"/>
  <c r="E303" i="2"/>
  <c r="F303" i="2" s="1"/>
  <c r="G303" i="2" s="1"/>
  <c r="E304" i="2"/>
  <c r="F304" i="2" s="1"/>
  <c r="G304" i="2" s="1"/>
  <c r="E305" i="2"/>
  <c r="F305" i="2" s="1"/>
  <c r="G305" i="2" s="1"/>
  <c r="E306" i="2"/>
  <c r="F306" i="2" s="1"/>
  <c r="G306" i="2" s="1"/>
  <c r="E307" i="2"/>
  <c r="F307" i="2" s="1"/>
  <c r="G307" i="2" s="1"/>
  <c r="E308" i="2"/>
  <c r="F308" i="2" s="1"/>
  <c r="G308" i="2" s="1"/>
  <c r="E309" i="2"/>
  <c r="F309" i="2" s="1"/>
  <c r="G309" i="2" s="1"/>
  <c r="E310" i="2"/>
  <c r="F310" i="2" s="1"/>
  <c r="G310" i="2" s="1"/>
  <c r="E311" i="2"/>
  <c r="F311" i="2" s="1"/>
  <c r="G311" i="2" s="1"/>
  <c r="E312" i="2"/>
  <c r="F312" i="2" s="1"/>
  <c r="G312" i="2" s="1"/>
  <c r="E313" i="2"/>
  <c r="F313" i="2" s="1"/>
  <c r="G313" i="2" s="1"/>
  <c r="E314" i="2"/>
  <c r="F314" i="2" s="1"/>
  <c r="G314" i="2" s="1"/>
  <c r="E315" i="2"/>
  <c r="F315" i="2" s="1"/>
  <c r="G315" i="2" s="1"/>
  <c r="E316" i="2"/>
  <c r="F316" i="2" s="1"/>
  <c r="G316" i="2" s="1"/>
  <c r="E317" i="2"/>
  <c r="F317" i="2" s="1"/>
  <c r="G317" i="2" s="1"/>
  <c r="E318" i="2"/>
  <c r="F318" i="2" s="1"/>
  <c r="G318" i="2" s="1"/>
  <c r="E319" i="2"/>
  <c r="F319" i="2" s="1"/>
  <c r="G319" i="2" s="1"/>
  <c r="E320" i="2"/>
  <c r="F320" i="2" s="1"/>
  <c r="G320" i="2" s="1"/>
  <c r="E321" i="2"/>
  <c r="F321" i="2" s="1"/>
  <c r="G321" i="2" s="1"/>
  <c r="E322" i="2"/>
  <c r="F322" i="2" s="1"/>
  <c r="G322" i="2" s="1"/>
  <c r="E323" i="2"/>
  <c r="F323" i="2" s="1"/>
  <c r="G323" i="2" s="1"/>
  <c r="E324" i="2"/>
  <c r="F324" i="2" s="1"/>
  <c r="G324" i="2" s="1"/>
  <c r="E325" i="2"/>
  <c r="F325" i="2" s="1"/>
  <c r="G325" i="2" s="1"/>
  <c r="E326" i="2"/>
  <c r="F326" i="2" s="1"/>
  <c r="G326" i="2" s="1"/>
  <c r="E327" i="2"/>
  <c r="F327" i="2" s="1"/>
  <c r="G327" i="2" s="1"/>
  <c r="E328" i="2"/>
  <c r="F328" i="2" s="1"/>
  <c r="G328" i="2" s="1"/>
  <c r="E329" i="2"/>
  <c r="F329" i="2" s="1"/>
  <c r="G329" i="2" s="1"/>
  <c r="E330" i="2"/>
  <c r="F330" i="2" s="1"/>
  <c r="G330" i="2" s="1"/>
  <c r="E331" i="2"/>
  <c r="F331" i="2" s="1"/>
  <c r="G331" i="2" s="1"/>
  <c r="E332" i="2"/>
  <c r="F332" i="2" s="1"/>
  <c r="G332" i="2" s="1"/>
  <c r="E333" i="2"/>
  <c r="F333" i="2" s="1"/>
  <c r="G333" i="2" s="1"/>
  <c r="E334" i="2"/>
  <c r="F334" i="2" s="1"/>
  <c r="G334" i="2" s="1"/>
  <c r="E335" i="2"/>
  <c r="F335" i="2" s="1"/>
  <c r="G335" i="2" s="1"/>
  <c r="E336" i="2"/>
  <c r="F336" i="2" s="1"/>
  <c r="G336" i="2" s="1"/>
  <c r="E337" i="2"/>
  <c r="F337" i="2" s="1"/>
  <c r="G337" i="2" s="1"/>
  <c r="E338" i="2"/>
  <c r="F338" i="2" s="1"/>
  <c r="G338" i="2" s="1"/>
  <c r="E339" i="2"/>
  <c r="F339" i="2" s="1"/>
  <c r="G339" i="2" s="1"/>
  <c r="E340" i="2"/>
  <c r="F340" i="2" s="1"/>
  <c r="G340" i="2" s="1"/>
  <c r="E341" i="2"/>
  <c r="F341" i="2" s="1"/>
  <c r="G341" i="2" s="1"/>
  <c r="E342" i="2"/>
  <c r="F342" i="2" s="1"/>
  <c r="G342" i="2" s="1"/>
  <c r="E343" i="2"/>
  <c r="F343" i="2" s="1"/>
  <c r="G343" i="2" s="1"/>
  <c r="E344" i="2"/>
  <c r="F344" i="2" s="1"/>
  <c r="G344" i="2" s="1"/>
  <c r="E345" i="2"/>
  <c r="F345" i="2" s="1"/>
  <c r="G345" i="2" s="1"/>
  <c r="E346" i="2"/>
  <c r="F346" i="2" s="1"/>
  <c r="G346" i="2" s="1"/>
  <c r="E347" i="2"/>
  <c r="F347" i="2" s="1"/>
  <c r="G347" i="2" s="1"/>
  <c r="E348" i="2"/>
  <c r="F348" i="2" s="1"/>
  <c r="G348" i="2" s="1"/>
  <c r="E349" i="2"/>
  <c r="F349" i="2" s="1"/>
  <c r="G349" i="2" s="1"/>
  <c r="E350" i="2"/>
  <c r="F350" i="2" s="1"/>
  <c r="G350" i="2" s="1"/>
  <c r="E351" i="2"/>
  <c r="F351" i="2" s="1"/>
  <c r="G351" i="2" s="1"/>
  <c r="E352" i="2"/>
  <c r="F352" i="2" s="1"/>
  <c r="G352" i="2" s="1"/>
  <c r="E353" i="2"/>
  <c r="F353" i="2" s="1"/>
  <c r="G353" i="2" s="1"/>
  <c r="E354" i="2"/>
  <c r="F354" i="2" s="1"/>
  <c r="G354" i="2" s="1"/>
  <c r="E355" i="2"/>
  <c r="F355" i="2" s="1"/>
  <c r="G355" i="2" s="1"/>
  <c r="E356" i="2"/>
  <c r="F356" i="2" s="1"/>
  <c r="G356" i="2" s="1"/>
  <c r="E357" i="2"/>
  <c r="F357" i="2" s="1"/>
  <c r="G357" i="2" s="1"/>
  <c r="E358" i="2"/>
  <c r="F358" i="2" s="1"/>
  <c r="G358" i="2" s="1"/>
  <c r="E359" i="2"/>
  <c r="F359" i="2" s="1"/>
  <c r="G359" i="2" s="1"/>
  <c r="E360" i="2"/>
  <c r="F360" i="2" s="1"/>
  <c r="G360" i="2" s="1"/>
  <c r="E361" i="2"/>
  <c r="F361" i="2" s="1"/>
  <c r="G361" i="2" s="1"/>
  <c r="E362" i="2"/>
  <c r="F362" i="2" s="1"/>
  <c r="G362" i="2" s="1"/>
  <c r="E363" i="2"/>
  <c r="F363" i="2" s="1"/>
  <c r="G363" i="2" s="1"/>
  <c r="E364" i="2"/>
  <c r="F364" i="2" s="1"/>
  <c r="G364" i="2" s="1"/>
  <c r="E365" i="2"/>
  <c r="F365" i="2" s="1"/>
  <c r="G365" i="2" s="1"/>
  <c r="E366" i="2"/>
  <c r="F366" i="2" s="1"/>
  <c r="G366" i="2" s="1"/>
  <c r="E367" i="2"/>
  <c r="F367" i="2" s="1"/>
  <c r="G367" i="2" s="1"/>
  <c r="E368" i="2"/>
  <c r="F368" i="2" s="1"/>
  <c r="G368" i="2" s="1"/>
  <c r="E369" i="2"/>
  <c r="F369" i="2" s="1"/>
  <c r="G369" i="2" s="1"/>
  <c r="E370" i="2"/>
  <c r="F370" i="2" s="1"/>
  <c r="G370" i="2" s="1"/>
  <c r="E371" i="2"/>
  <c r="F371" i="2" s="1"/>
  <c r="G371" i="2" s="1"/>
  <c r="E372" i="2"/>
  <c r="F372" i="2" s="1"/>
  <c r="G372" i="2" s="1"/>
  <c r="E373" i="2"/>
  <c r="F373" i="2" s="1"/>
  <c r="G373" i="2" s="1"/>
  <c r="E374" i="2"/>
  <c r="F374" i="2" s="1"/>
  <c r="G374" i="2" s="1"/>
  <c r="E375" i="2"/>
  <c r="F375" i="2" s="1"/>
  <c r="G375" i="2" s="1"/>
  <c r="E376" i="2"/>
  <c r="F376" i="2" s="1"/>
  <c r="G376" i="2" s="1"/>
  <c r="E377" i="2"/>
  <c r="F377" i="2" s="1"/>
  <c r="G377" i="2" s="1"/>
  <c r="E378" i="2"/>
  <c r="F378" i="2" s="1"/>
  <c r="G378" i="2" s="1"/>
  <c r="E379" i="2"/>
  <c r="F379" i="2" s="1"/>
  <c r="G379" i="2" s="1"/>
  <c r="E380" i="2"/>
  <c r="F380" i="2" s="1"/>
  <c r="G380" i="2" s="1"/>
  <c r="E381" i="2"/>
  <c r="F381" i="2" s="1"/>
  <c r="G381" i="2" s="1"/>
  <c r="E382" i="2"/>
  <c r="F382" i="2" s="1"/>
  <c r="G382" i="2" s="1"/>
  <c r="E383" i="2"/>
  <c r="F383" i="2" s="1"/>
  <c r="G383" i="2" s="1"/>
  <c r="E384" i="2"/>
  <c r="F384" i="2" s="1"/>
  <c r="G384" i="2" s="1"/>
  <c r="E385" i="2"/>
  <c r="F385" i="2" s="1"/>
  <c r="G385" i="2" s="1"/>
  <c r="E386" i="2"/>
  <c r="F386" i="2" s="1"/>
  <c r="G386" i="2" s="1"/>
  <c r="E387" i="2"/>
  <c r="F387" i="2" s="1"/>
  <c r="G387" i="2" s="1"/>
  <c r="E388" i="2"/>
  <c r="F388" i="2" s="1"/>
  <c r="G388" i="2" s="1"/>
  <c r="E389" i="2"/>
  <c r="F389" i="2" s="1"/>
  <c r="G389" i="2" s="1"/>
  <c r="E390" i="2"/>
  <c r="F390" i="2" s="1"/>
  <c r="G390" i="2" s="1"/>
  <c r="E391" i="2"/>
  <c r="F391" i="2" s="1"/>
  <c r="G391" i="2" s="1"/>
  <c r="E392" i="2"/>
  <c r="F392" i="2" s="1"/>
  <c r="G392" i="2" s="1"/>
  <c r="E393" i="2"/>
  <c r="F393" i="2" s="1"/>
  <c r="G393" i="2" s="1"/>
  <c r="E394" i="2"/>
  <c r="F394" i="2" s="1"/>
  <c r="G394" i="2" s="1"/>
  <c r="E395" i="2"/>
  <c r="F395" i="2" s="1"/>
  <c r="G395" i="2" s="1"/>
  <c r="E396" i="2"/>
  <c r="F396" i="2" s="1"/>
  <c r="G396" i="2" s="1"/>
  <c r="E397" i="2"/>
  <c r="F397" i="2" s="1"/>
  <c r="G397" i="2" s="1"/>
  <c r="E398" i="2"/>
  <c r="F398" i="2" s="1"/>
  <c r="G398" i="2" s="1"/>
  <c r="E399" i="2"/>
  <c r="F399" i="2" s="1"/>
  <c r="G399" i="2" s="1"/>
  <c r="E400" i="2"/>
  <c r="F400" i="2" s="1"/>
  <c r="G400" i="2" s="1"/>
  <c r="E401" i="2"/>
  <c r="F401" i="2" s="1"/>
  <c r="G401" i="2" s="1"/>
  <c r="E402" i="2"/>
  <c r="F402" i="2" s="1"/>
  <c r="G402" i="2" s="1"/>
  <c r="E403" i="2"/>
  <c r="F403" i="2" s="1"/>
  <c r="G403" i="2" s="1"/>
  <c r="E404" i="2"/>
  <c r="F404" i="2" s="1"/>
  <c r="G404" i="2" s="1"/>
  <c r="E405" i="2"/>
  <c r="F405" i="2" s="1"/>
  <c r="G405" i="2" s="1"/>
  <c r="E406" i="2"/>
  <c r="F406" i="2" s="1"/>
  <c r="G406" i="2" s="1"/>
  <c r="E407" i="2"/>
  <c r="F407" i="2" s="1"/>
  <c r="G407" i="2" s="1"/>
  <c r="E408" i="2"/>
  <c r="F408" i="2" s="1"/>
  <c r="G408" i="2" s="1"/>
  <c r="E409" i="2"/>
  <c r="F409" i="2" s="1"/>
  <c r="G409" i="2" s="1"/>
  <c r="E410" i="2"/>
  <c r="F410" i="2" s="1"/>
  <c r="G410" i="2" s="1"/>
  <c r="E411" i="2"/>
  <c r="F411" i="2" s="1"/>
  <c r="G411" i="2" s="1"/>
  <c r="E412" i="2"/>
  <c r="F412" i="2" s="1"/>
  <c r="G412" i="2" s="1"/>
  <c r="E413" i="2"/>
  <c r="F413" i="2" s="1"/>
  <c r="G413" i="2" s="1"/>
  <c r="E414" i="2"/>
  <c r="F414" i="2" s="1"/>
  <c r="G414" i="2" s="1"/>
  <c r="E415" i="2"/>
  <c r="F415" i="2" s="1"/>
  <c r="G415" i="2" s="1"/>
  <c r="E416" i="2"/>
  <c r="F416" i="2" s="1"/>
  <c r="G416" i="2" s="1"/>
  <c r="E417" i="2"/>
  <c r="F417" i="2" s="1"/>
  <c r="G417" i="2" s="1"/>
  <c r="E418" i="2"/>
  <c r="F418" i="2" s="1"/>
  <c r="G418" i="2" s="1"/>
  <c r="E419" i="2"/>
  <c r="F419" i="2" s="1"/>
  <c r="G419" i="2" s="1"/>
  <c r="E420" i="2"/>
  <c r="F420" i="2" s="1"/>
  <c r="G420" i="2" s="1"/>
  <c r="E421" i="2"/>
  <c r="F421" i="2" s="1"/>
  <c r="G421" i="2" s="1"/>
  <c r="E422" i="2"/>
  <c r="F422" i="2" s="1"/>
  <c r="G422" i="2" s="1"/>
  <c r="E423" i="2"/>
  <c r="F423" i="2" s="1"/>
  <c r="G423" i="2" s="1"/>
  <c r="E424" i="2"/>
  <c r="F424" i="2" s="1"/>
  <c r="G424" i="2" s="1"/>
  <c r="E425" i="2"/>
  <c r="F425" i="2" s="1"/>
  <c r="G425" i="2" s="1"/>
  <c r="E426" i="2"/>
  <c r="F426" i="2" s="1"/>
  <c r="G426" i="2" s="1"/>
  <c r="E427" i="2"/>
  <c r="F427" i="2" s="1"/>
  <c r="G427" i="2" s="1"/>
  <c r="E428" i="2"/>
  <c r="F428" i="2" s="1"/>
  <c r="G428" i="2" s="1"/>
  <c r="E429" i="2"/>
  <c r="F429" i="2" s="1"/>
  <c r="G429" i="2" s="1"/>
  <c r="E430" i="2"/>
  <c r="F430" i="2" s="1"/>
  <c r="G430" i="2" s="1"/>
  <c r="E431" i="2"/>
  <c r="F431" i="2" s="1"/>
  <c r="G431" i="2" s="1"/>
  <c r="E432" i="2"/>
  <c r="F432" i="2" s="1"/>
  <c r="G432" i="2" s="1"/>
  <c r="E433" i="2"/>
  <c r="F433" i="2" s="1"/>
  <c r="G433" i="2" s="1"/>
  <c r="E434" i="2"/>
  <c r="F434" i="2" s="1"/>
  <c r="G434" i="2" s="1"/>
  <c r="E435" i="2"/>
  <c r="F435" i="2" s="1"/>
  <c r="G435" i="2" s="1"/>
  <c r="E436" i="2"/>
  <c r="F436" i="2" s="1"/>
  <c r="G436" i="2" s="1"/>
  <c r="E437" i="2"/>
  <c r="F437" i="2" s="1"/>
  <c r="G437" i="2" s="1"/>
  <c r="E438" i="2"/>
  <c r="F438" i="2" s="1"/>
  <c r="G438" i="2" s="1"/>
  <c r="E439" i="2"/>
  <c r="F439" i="2" s="1"/>
  <c r="G439" i="2" s="1"/>
  <c r="E440" i="2"/>
  <c r="F440" i="2" s="1"/>
  <c r="G440" i="2" s="1"/>
  <c r="E441" i="2"/>
  <c r="F441" i="2" s="1"/>
  <c r="G441" i="2" s="1"/>
  <c r="E442" i="2"/>
  <c r="F442" i="2" s="1"/>
  <c r="G442" i="2" s="1"/>
  <c r="E443" i="2"/>
  <c r="F443" i="2" s="1"/>
  <c r="G443" i="2" s="1"/>
  <c r="E444" i="2"/>
  <c r="F444" i="2" s="1"/>
  <c r="G444" i="2" s="1"/>
  <c r="E445" i="2"/>
  <c r="F445" i="2" s="1"/>
  <c r="G445" i="2" s="1"/>
  <c r="E446" i="2"/>
  <c r="F446" i="2" s="1"/>
  <c r="G446" i="2" s="1"/>
  <c r="E447" i="2"/>
  <c r="F447" i="2" s="1"/>
  <c r="G447" i="2" s="1"/>
  <c r="E448" i="2"/>
  <c r="F448" i="2" s="1"/>
  <c r="G448" i="2" s="1"/>
  <c r="E449" i="2"/>
  <c r="F449" i="2" s="1"/>
  <c r="G449" i="2" s="1"/>
  <c r="E450" i="2"/>
  <c r="F450" i="2" s="1"/>
  <c r="G450" i="2" s="1"/>
  <c r="E451" i="2"/>
  <c r="F451" i="2" s="1"/>
  <c r="G451" i="2" s="1"/>
  <c r="E452" i="2"/>
  <c r="F452" i="2" s="1"/>
  <c r="G452" i="2" s="1"/>
  <c r="E453" i="2"/>
  <c r="F453" i="2" s="1"/>
  <c r="G453" i="2" s="1"/>
  <c r="E454" i="2"/>
  <c r="F454" i="2" s="1"/>
  <c r="G454" i="2" s="1"/>
  <c r="E455" i="2"/>
  <c r="F455" i="2" s="1"/>
  <c r="G455" i="2" s="1"/>
  <c r="E456" i="2"/>
  <c r="F456" i="2" s="1"/>
  <c r="G456" i="2" s="1"/>
  <c r="E457" i="2"/>
  <c r="F457" i="2" s="1"/>
  <c r="G457" i="2" s="1"/>
  <c r="E458" i="2"/>
  <c r="F458" i="2" s="1"/>
  <c r="G458" i="2" s="1"/>
  <c r="E459" i="2"/>
  <c r="F459" i="2" s="1"/>
  <c r="G459" i="2" s="1"/>
  <c r="E460" i="2"/>
  <c r="F460" i="2" s="1"/>
  <c r="G460" i="2" s="1"/>
  <c r="E461" i="2"/>
  <c r="F461" i="2" s="1"/>
  <c r="G461" i="2" s="1"/>
  <c r="E462" i="2"/>
  <c r="F462" i="2" s="1"/>
  <c r="G462" i="2" s="1"/>
  <c r="E463" i="2"/>
  <c r="F463" i="2" s="1"/>
  <c r="G463" i="2" s="1"/>
  <c r="E464" i="2"/>
  <c r="F464" i="2" s="1"/>
  <c r="G464" i="2" s="1"/>
  <c r="E465" i="2"/>
  <c r="F465" i="2" s="1"/>
  <c r="G465" i="2" s="1"/>
  <c r="E466" i="2"/>
  <c r="F466" i="2" s="1"/>
  <c r="G466" i="2" s="1"/>
  <c r="E467" i="2"/>
  <c r="F467" i="2" s="1"/>
  <c r="G467" i="2" s="1"/>
  <c r="E468" i="2"/>
  <c r="F468" i="2" s="1"/>
  <c r="G468" i="2" s="1"/>
  <c r="E469" i="2"/>
  <c r="F469" i="2" s="1"/>
  <c r="G469" i="2" s="1"/>
  <c r="E470" i="2"/>
  <c r="F470" i="2" s="1"/>
  <c r="G470" i="2" s="1"/>
  <c r="E471" i="2"/>
  <c r="F471" i="2" s="1"/>
  <c r="G471" i="2" s="1"/>
  <c r="E472" i="2"/>
  <c r="F472" i="2" s="1"/>
  <c r="G472" i="2" s="1"/>
  <c r="E473" i="2"/>
  <c r="F473" i="2" s="1"/>
  <c r="G473" i="2" s="1"/>
  <c r="E474" i="2"/>
  <c r="F474" i="2" s="1"/>
  <c r="G474" i="2" s="1"/>
  <c r="E475" i="2"/>
  <c r="F475" i="2" s="1"/>
  <c r="G475" i="2" s="1"/>
  <c r="E476" i="2"/>
  <c r="F476" i="2" s="1"/>
  <c r="G476" i="2" s="1"/>
  <c r="E477" i="2"/>
  <c r="F477" i="2" s="1"/>
  <c r="G477" i="2" s="1"/>
  <c r="E478" i="2"/>
  <c r="F478" i="2" s="1"/>
  <c r="G478" i="2" s="1"/>
  <c r="E479" i="2"/>
  <c r="F479" i="2" s="1"/>
  <c r="G479" i="2" s="1"/>
  <c r="E480" i="2"/>
  <c r="F480" i="2" s="1"/>
  <c r="G480" i="2" s="1"/>
  <c r="E481" i="2"/>
  <c r="F481" i="2" s="1"/>
  <c r="G481" i="2" s="1"/>
  <c r="E482" i="2"/>
  <c r="F482" i="2" s="1"/>
  <c r="G482" i="2" s="1"/>
  <c r="E483" i="2"/>
  <c r="F483" i="2" s="1"/>
  <c r="G483" i="2" s="1"/>
  <c r="E484" i="2"/>
  <c r="F484" i="2" s="1"/>
  <c r="G484" i="2" s="1"/>
  <c r="E485" i="2"/>
  <c r="F485" i="2" s="1"/>
  <c r="G485" i="2" s="1"/>
  <c r="E486" i="2"/>
  <c r="F486" i="2" s="1"/>
  <c r="G486" i="2" s="1"/>
  <c r="E487" i="2"/>
  <c r="F487" i="2" s="1"/>
  <c r="G487" i="2" s="1"/>
  <c r="E488" i="2"/>
  <c r="F488" i="2" s="1"/>
  <c r="G488" i="2" s="1"/>
  <c r="E489" i="2"/>
  <c r="F489" i="2" s="1"/>
  <c r="G489" i="2" s="1"/>
  <c r="E490" i="2"/>
  <c r="F490" i="2" s="1"/>
  <c r="G490" i="2" s="1"/>
  <c r="E491" i="2"/>
  <c r="F491" i="2" s="1"/>
  <c r="G491" i="2" s="1"/>
  <c r="E492" i="2"/>
  <c r="F492" i="2" s="1"/>
  <c r="G492" i="2" s="1"/>
  <c r="E493" i="2"/>
  <c r="F493" i="2" s="1"/>
  <c r="G493" i="2" s="1"/>
  <c r="E494" i="2"/>
  <c r="F494" i="2" s="1"/>
  <c r="G494" i="2" s="1"/>
  <c r="E495" i="2"/>
  <c r="F495" i="2" s="1"/>
  <c r="G495" i="2" s="1"/>
  <c r="E496" i="2"/>
  <c r="F496" i="2" s="1"/>
  <c r="G496" i="2" s="1"/>
  <c r="E497" i="2"/>
  <c r="F497" i="2" s="1"/>
  <c r="G497" i="2" s="1"/>
  <c r="E498" i="2"/>
  <c r="F498" i="2" s="1"/>
  <c r="G498" i="2" s="1"/>
  <c r="E499" i="2"/>
  <c r="F499" i="2" s="1"/>
  <c r="G499" i="2" s="1"/>
  <c r="E500" i="2"/>
  <c r="F500" i="2" s="1"/>
  <c r="G500" i="2" s="1"/>
  <c r="E501" i="2"/>
  <c r="F501" i="2" s="1"/>
  <c r="G501" i="2" s="1"/>
  <c r="E502" i="2"/>
  <c r="F502" i="2" s="1"/>
  <c r="G502" i="2" s="1"/>
  <c r="E503" i="2"/>
  <c r="F503" i="2" s="1"/>
  <c r="G503" i="2" s="1"/>
  <c r="E504" i="2"/>
  <c r="F504" i="2" s="1"/>
  <c r="G504" i="2" s="1"/>
  <c r="E505" i="2"/>
  <c r="F505" i="2" s="1"/>
  <c r="G505" i="2" s="1"/>
  <c r="E506" i="2"/>
  <c r="F506" i="2" s="1"/>
  <c r="G506" i="2" s="1"/>
  <c r="E507" i="2"/>
  <c r="F507" i="2" s="1"/>
  <c r="G507" i="2" s="1"/>
  <c r="E508" i="2"/>
  <c r="F508" i="2" s="1"/>
  <c r="G508" i="2" s="1"/>
  <c r="E509" i="2"/>
  <c r="F509" i="2" s="1"/>
  <c r="G509" i="2" s="1"/>
  <c r="E510" i="2"/>
  <c r="F510" i="2" s="1"/>
  <c r="G510" i="2" s="1"/>
  <c r="E511" i="2"/>
  <c r="F511" i="2" s="1"/>
  <c r="G511" i="2" s="1"/>
  <c r="E512" i="2"/>
  <c r="F512" i="2" s="1"/>
  <c r="G512" i="2" s="1"/>
  <c r="E513" i="2"/>
  <c r="F513" i="2" s="1"/>
  <c r="G513" i="2" s="1"/>
  <c r="E514" i="2"/>
  <c r="F514" i="2" s="1"/>
  <c r="G514" i="2" s="1"/>
  <c r="E515" i="2"/>
  <c r="F515" i="2" s="1"/>
  <c r="G515" i="2" s="1"/>
  <c r="E516" i="2"/>
  <c r="F516" i="2" s="1"/>
  <c r="G516" i="2" s="1"/>
  <c r="E517" i="2"/>
  <c r="F517" i="2" s="1"/>
  <c r="G517" i="2" s="1"/>
  <c r="E518" i="2"/>
  <c r="F518" i="2" s="1"/>
  <c r="G518" i="2" s="1"/>
  <c r="E519" i="2"/>
  <c r="F519" i="2" s="1"/>
  <c r="G519" i="2" s="1"/>
  <c r="E520" i="2"/>
  <c r="F520" i="2" s="1"/>
  <c r="G520" i="2" s="1"/>
  <c r="E521" i="2"/>
  <c r="F521" i="2" s="1"/>
  <c r="G521" i="2" s="1"/>
  <c r="E522" i="2"/>
  <c r="F522" i="2" s="1"/>
  <c r="G522" i="2" s="1"/>
  <c r="E523" i="2"/>
  <c r="F523" i="2" s="1"/>
  <c r="G523" i="2" s="1"/>
  <c r="E524" i="2"/>
  <c r="F524" i="2" s="1"/>
  <c r="G524" i="2" s="1"/>
  <c r="E525" i="2"/>
  <c r="F525" i="2" s="1"/>
  <c r="G525" i="2" s="1"/>
  <c r="E526" i="2"/>
  <c r="F526" i="2" s="1"/>
  <c r="G526" i="2" s="1"/>
  <c r="E527" i="2"/>
  <c r="F527" i="2" s="1"/>
  <c r="G527" i="2" s="1"/>
  <c r="E528" i="2"/>
  <c r="F528" i="2" s="1"/>
  <c r="G528" i="2" s="1"/>
  <c r="E529" i="2"/>
  <c r="F529" i="2" s="1"/>
  <c r="G529" i="2" s="1"/>
  <c r="E530" i="2"/>
  <c r="F530" i="2" s="1"/>
  <c r="G530" i="2" s="1"/>
  <c r="E531" i="2"/>
  <c r="F531" i="2" s="1"/>
  <c r="G531" i="2" s="1"/>
  <c r="E532" i="2"/>
  <c r="F532" i="2" s="1"/>
  <c r="G532" i="2" s="1"/>
  <c r="E533" i="2"/>
  <c r="F533" i="2" s="1"/>
  <c r="G533" i="2" s="1"/>
  <c r="E534" i="2"/>
  <c r="F534" i="2" s="1"/>
  <c r="G534" i="2" s="1"/>
  <c r="E535" i="2"/>
  <c r="F535" i="2" s="1"/>
  <c r="G535" i="2" s="1"/>
  <c r="E536" i="2"/>
  <c r="F536" i="2" s="1"/>
  <c r="G536" i="2" s="1"/>
  <c r="E537" i="2"/>
  <c r="F537" i="2" s="1"/>
  <c r="G537" i="2" s="1"/>
  <c r="E538" i="2"/>
  <c r="F538" i="2" s="1"/>
  <c r="G538" i="2" s="1"/>
  <c r="E539" i="2"/>
  <c r="F539" i="2" s="1"/>
  <c r="G539" i="2" s="1"/>
  <c r="E540" i="2"/>
  <c r="F540" i="2" s="1"/>
  <c r="G540" i="2" s="1"/>
  <c r="E541" i="2"/>
  <c r="F541" i="2" s="1"/>
  <c r="G541" i="2" s="1"/>
  <c r="E542" i="2"/>
  <c r="F542" i="2" s="1"/>
  <c r="G542" i="2" s="1"/>
  <c r="E543" i="2"/>
  <c r="F543" i="2" s="1"/>
  <c r="G543" i="2" s="1"/>
  <c r="E544" i="2"/>
  <c r="F544" i="2" s="1"/>
  <c r="G544" i="2" s="1"/>
  <c r="E545" i="2"/>
  <c r="F545" i="2" s="1"/>
  <c r="G545" i="2" s="1"/>
  <c r="E546" i="2"/>
  <c r="F546" i="2" s="1"/>
  <c r="G546" i="2" s="1"/>
  <c r="E547" i="2"/>
  <c r="F547" i="2" s="1"/>
  <c r="G547" i="2" s="1"/>
  <c r="E548" i="2"/>
  <c r="F548" i="2" s="1"/>
  <c r="G548" i="2" s="1"/>
  <c r="E549" i="2"/>
  <c r="F549" i="2" s="1"/>
  <c r="G549" i="2" s="1"/>
  <c r="E550" i="2"/>
  <c r="F550" i="2" s="1"/>
  <c r="G550" i="2" s="1"/>
  <c r="E551" i="2"/>
  <c r="F551" i="2" s="1"/>
  <c r="G551" i="2" s="1"/>
  <c r="E552" i="2"/>
  <c r="F552" i="2" s="1"/>
  <c r="G552" i="2" s="1"/>
  <c r="E553" i="2"/>
  <c r="F553" i="2" s="1"/>
  <c r="G553" i="2" s="1"/>
  <c r="E554" i="2"/>
  <c r="F554" i="2" s="1"/>
  <c r="G554" i="2" s="1"/>
  <c r="E555" i="2"/>
  <c r="F555" i="2" s="1"/>
  <c r="G555" i="2" s="1"/>
  <c r="E556" i="2"/>
  <c r="F556" i="2" s="1"/>
  <c r="G556" i="2" s="1"/>
  <c r="E557" i="2"/>
  <c r="F557" i="2" s="1"/>
  <c r="G557" i="2" s="1"/>
  <c r="E558" i="2"/>
  <c r="F558" i="2" s="1"/>
  <c r="G558" i="2" s="1"/>
  <c r="E559" i="2"/>
  <c r="F559" i="2" s="1"/>
  <c r="G559" i="2" s="1"/>
  <c r="E560" i="2"/>
  <c r="F560" i="2" s="1"/>
  <c r="G560" i="2" s="1"/>
  <c r="E561" i="2"/>
  <c r="F561" i="2" s="1"/>
  <c r="G561" i="2" s="1"/>
  <c r="E562" i="2"/>
  <c r="F562" i="2" s="1"/>
  <c r="G562" i="2" s="1"/>
  <c r="E563" i="2"/>
  <c r="F563" i="2" s="1"/>
  <c r="G563" i="2" s="1"/>
  <c r="E564" i="2"/>
  <c r="F564" i="2" s="1"/>
  <c r="G564" i="2" s="1"/>
  <c r="E565" i="2"/>
  <c r="F565" i="2" s="1"/>
  <c r="G565" i="2" s="1"/>
  <c r="E566" i="2"/>
  <c r="F566" i="2" s="1"/>
  <c r="G566" i="2" s="1"/>
  <c r="E567" i="2"/>
  <c r="F567" i="2" s="1"/>
  <c r="G567" i="2" s="1"/>
  <c r="E568" i="2"/>
  <c r="F568" i="2" s="1"/>
  <c r="G568" i="2" s="1"/>
  <c r="E569" i="2"/>
  <c r="F569" i="2" s="1"/>
  <c r="G569" i="2" s="1"/>
  <c r="E570" i="2"/>
  <c r="F570" i="2" s="1"/>
  <c r="G570" i="2" s="1"/>
  <c r="E571" i="2"/>
  <c r="F571" i="2" s="1"/>
  <c r="G571" i="2" s="1"/>
  <c r="E572" i="2"/>
  <c r="F572" i="2" s="1"/>
  <c r="G572" i="2" s="1"/>
  <c r="E573" i="2"/>
  <c r="F573" i="2" s="1"/>
  <c r="G573" i="2" s="1"/>
  <c r="E574" i="2"/>
  <c r="F574" i="2" s="1"/>
  <c r="G574" i="2" s="1"/>
  <c r="E575" i="2"/>
  <c r="F575" i="2" s="1"/>
  <c r="G575" i="2" s="1"/>
  <c r="E576" i="2"/>
  <c r="F576" i="2" s="1"/>
  <c r="G576" i="2" s="1"/>
  <c r="E577" i="2"/>
  <c r="F577" i="2" s="1"/>
  <c r="G577" i="2" s="1"/>
  <c r="E578" i="2"/>
  <c r="F578" i="2" s="1"/>
  <c r="G578" i="2" s="1"/>
  <c r="E579" i="2"/>
  <c r="F579" i="2" s="1"/>
  <c r="G579" i="2" s="1"/>
  <c r="E580" i="2"/>
  <c r="F580" i="2" s="1"/>
  <c r="G580" i="2" s="1"/>
  <c r="E581" i="2"/>
  <c r="F581" i="2" s="1"/>
  <c r="G581" i="2" s="1"/>
  <c r="E582" i="2"/>
  <c r="F582" i="2" s="1"/>
  <c r="G582" i="2" s="1"/>
  <c r="E583" i="2"/>
  <c r="F583" i="2" s="1"/>
  <c r="G583" i="2" s="1"/>
  <c r="E584" i="2"/>
  <c r="F584" i="2" s="1"/>
  <c r="G584" i="2" s="1"/>
  <c r="E585" i="2"/>
  <c r="F585" i="2" s="1"/>
  <c r="G585" i="2" s="1"/>
  <c r="E586" i="2"/>
  <c r="F586" i="2" s="1"/>
  <c r="G586" i="2" s="1"/>
  <c r="E587" i="2"/>
  <c r="F587" i="2" s="1"/>
  <c r="G587" i="2" s="1"/>
  <c r="E588" i="2"/>
  <c r="F588" i="2" s="1"/>
  <c r="G588" i="2" s="1"/>
  <c r="E589" i="2"/>
  <c r="F589" i="2" s="1"/>
  <c r="G589" i="2" s="1"/>
  <c r="E590" i="2"/>
  <c r="F590" i="2" s="1"/>
  <c r="G590" i="2" s="1"/>
  <c r="E591" i="2"/>
  <c r="F591" i="2" s="1"/>
  <c r="G591" i="2" s="1"/>
  <c r="E592" i="2"/>
  <c r="F592" i="2" s="1"/>
  <c r="G592" i="2" s="1"/>
  <c r="E593" i="2"/>
  <c r="F593" i="2" s="1"/>
  <c r="G593" i="2" s="1"/>
  <c r="E594" i="2"/>
  <c r="F594" i="2" s="1"/>
  <c r="G594" i="2" s="1"/>
  <c r="E595" i="2"/>
  <c r="F595" i="2" s="1"/>
  <c r="G595" i="2" s="1"/>
  <c r="E596" i="2"/>
  <c r="F596" i="2" s="1"/>
  <c r="G596" i="2" s="1"/>
  <c r="E597" i="2"/>
  <c r="F597" i="2" s="1"/>
  <c r="G597" i="2" s="1"/>
  <c r="E598" i="2"/>
  <c r="F598" i="2" s="1"/>
  <c r="G598" i="2" s="1"/>
  <c r="E599" i="2"/>
  <c r="F599" i="2" s="1"/>
  <c r="G599" i="2" s="1"/>
  <c r="E600" i="2"/>
  <c r="F600" i="2" s="1"/>
  <c r="G600" i="2" s="1"/>
  <c r="E601" i="2"/>
  <c r="F601" i="2" s="1"/>
  <c r="G601" i="2" s="1"/>
  <c r="E602" i="2"/>
  <c r="F602" i="2" s="1"/>
  <c r="G602" i="2" s="1"/>
  <c r="E603" i="2"/>
  <c r="F603" i="2" s="1"/>
  <c r="G603" i="2" s="1"/>
  <c r="E604" i="2"/>
  <c r="F604" i="2" s="1"/>
  <c r="G604" i="2" s="1"/>
  <c r="E605" i="2"/>
  <c r="F605" i="2" s="1"/>
  <c r="G605" i="2" s="1"/>
  <c r="E606" i="2"/>
  <c r="F606" i="2" s="1"/>
  <c r="G606" i="2" s="1"/>
  <c r="E607" i="2"/>
  <c r="F607" i="2" s="1"/>
  <c r="G607" i="2" s="1"/>
  <c r="E608" i="2"/>
  <c r="F608" i="2" s="1"/>
  <c r="G608" i="2" s="1"/>
  <c r="E609" i="2"/>
  <c r="F609" i="2" s="1"/>
  <c r="G609" i="2" s="1"/>
  <c r="E610" i="2"/>
  <c r="F610" i="2" s="1"/>
  <c r="G610" i="2" s="1"/>
  <c r="E611" i="2"/>
  <c r="F611" i="2" s="1"/>
  <c r="G611" i="2" s="1"/>
  <c r="E612" i="2"/>
  <c r="F612" i="2" s="1"/>
  <c r="G612" i="2" s="1"/>
  <c r="E613" i="2"/>
  <c r="F613" i="2" s="1"/>
  <c r="G613" i="2" s="1"/>
  <c r="E614" i="2"/>
  <c r="F614" i="2" s="1"/>
  <c r="G614" i="2" s="1"/>
  <c r="E615" i="2"/>
  <c r="F615" i="2" s="1"/>
  <c r="G615" i="2" s="1"/>
  <c r="E616" i="2"/>
  <c r="F616" i="2" s="1"/>
  <c r="G616" i="2" s="1"/>
  <c r="E617" i="2"/>
  <c r="F617" i="2" s="1"/>
  <c r="G617" i="2" s="1"/>
  <c r="E618" i="2"/>
  <c r="F618" i="2" s="1"/>
  <c r="G618" i="2" s="1"/>
  <c r="E619" i="2"/>
  <c r="F619" i="2" s="1"/>
  <c r="G619" i="2" s="1"/>
  <c r="E620" i="2"/>
  <c r="F620" i="2" s="1"/>
  <c r="G620" i="2" s="1"/>
  <c r="E621" i="2"/>
  <c r="F621" i="2" s="1"/>
  <c r="G621" i="2" s="1"/>
  <c r="E622" i="2"/>
  <c r="F622" i="2" s="1"/>
  <c r="G622" i="2" s="1"/>
  <c r="E623" i="2"/>
  <c r="F623" i="2" s="1"/>
  <c r="G623" i="2" s="1"/>
  <c r="E624" i="2"/>
  <c r="F624" i="2" s="1"/>
  <c r="G624" i="2" s="1"/>
  <c r="E625" i="2"/>
  <c r="F625" i="2" s="1"/>
  <c r="G625" i="2" s="1"/>
  <c r="E626" i="2"/>
  <c r="F626" i="2" s="1"/>
  <c r="G626" i="2" s="1"/>
  <c r="E627" i="2"/>
  <c r="F627" i="2" s="1"/>
  <c r="G627" i="2" s="1"/>
  <c r="E628" i="2"/>
  <c r="F628" i="2" s="1"/>
  <c r="G628" i="2" s="1"/>
  <c r="E629" i="2"/>
  <c r="F629" i="2" s="1"/>
  <c r="G629" i="2" s="1"/>
  <c r="E630" i="2"/>
  <c r="F630" i="2" s="1"/>
  <c r="G630" i="2" s="1"/>
  <c r="E631" i="2"/>
  <c r="F631" i="2" s="1"/>
  <c r="G631" i="2" s="1"/>
  <c r="E632" i="2"/>
  <c r="F632" i="2" s="1"/>
  <c r="G632" i="2" s="1"/>
  <c r="E633" i="2"/>
  <c r="F633" i="2" s="1"/>
  <c r="G633" i="2" s="1"/>
  <c r="E634" i="2"/>
  <c r="F634" i="2" s="1"/>
  <c r="G634" i="2" s="1"/>
  <c r="E635" i="2"/>
  <c r="F635" i="2" s="1"/>
  <c r="G635" i="2" s="1"/>
  <c r="E636" i="2"/>
  <c r="F636" i="2" s="1"/>
  <c r="G636" i="2" s="1"/>
  <c r="E637" i="2"/>
  <c r="F637" i="2" s="1"/>
  <c r="G637" i="2" s="1"/>
  <c r="E638" i="2"/>
  <c r="F638" i="2" s="1"/>
  <c r="G638" i="2" s="1"/>
  <c r="E639" i="2"/>
  <c r="F639" i="2" s="1"/>
  <c r="G639" i="2" s="1"/>
  <c r="E640" i="2"/>
  <c r="F640" i="2" s="1"/>
  <c r="G640" i="2" s="1"/>
  <c r="E641" i="2"/>
  <c r="F641" i="2" s="1"/>
  <c r="G641" i="2" s="1"/>
  <c r="E642" i="2"/>
  <c r="F642" i="2" s="1"/>
  <c r="G642" i="2" s="1"/>
  <c r="E643" i="2"/>
  <c r="F643" i="2" s="1"/>
  <c r="G643" i="2" s="1"/>
  <c r="E644" i="2"/>
  <c r="F644" i="2" s="1"/>
  <c r="G644" i="2" s="1"/>
  <c r="E645" i="2"/>
  <c r="F645" i="2" s="1"/>
  <c r="G645" i="2" s="1"/>
  <c r="E646" i="2"/>
  <c r="F646" i="2" s="1"/>
  <c r="G646" i="2" s="1"/>
  <c r="E647" i="2"/>
  <c r="F647" i="2" s="1"/>
  <c r="G647" i="2" s="1"/>
  <c r="E648" i="2"/>
  <c r="F648" i="2" s="1"/>
  <c r="G648" i="2" s="1"/>
  <c r="E649" i="2"/>
  <c r="F649" i="2" s="1"/>
  <c r="G649" i="2" s="1"/>
  <c r="E650" i="2"/>
  <c r="F650" i="2" s="1"/>
  <c r="G650" i="2" s="1"/>
  <c r="E651" i="2"/>
  <c r="F651" i="2" s="1"/>
  <c r="G651" i="2" s="1"/>
  <c r="E652" i="2"/>
  <c r="F652" i="2" s="1"/>
  <c r="G652" i="2" s="1"/>
  <c r="E653" i="2"/>
  <c r="F653" i="2" s="1"/>
  <c r="G653" i="2" s="1"/>
  <c r="E654" i="2"/>
  <c r="F654" i="2" s="1"/>
  <c r="G654" i="2" s="1"/>
  <c r="E655" i="2"/>
  <c r="F655" i="2" s="1"/>
  <c r="G655" i="2" s="1"/>
  <c r="E656" i="2"/>
  <c r="F656" i="2" s="1"/>
  <c r="G656" i="2" s="1"/>
  <c r="E657" i="2"/>
  <c r="F657" i="2" s="1"/>
  <c r="G657" i="2" s="1"/>
  <c r="E658" i="2"/>
  <c r="F658" i="2" s="1"/>
  <c r="G658" i="2" s="1"/>
  <c r="E659" i="2"/>
  <c r="F659" i="2" s="1"/>
  <c r="G659" i="2" s="1"/>
  <c r="E660" i="2"/>
  <c r="F660" i="2" s="1"/>
  <c r="G660" i="2" s="1"/>
  <c r="E661" i="2"/>
  <c r="F661" i="2" s="1"/>
  <c r="G661" i="2" s="1"/>
  <c r="E662" i="2"/>
  <c r="F662" i="2" s="1"/>
  <c r="G662" i="2" s="1"/>
  <c r="E663" i="2"/>
  <c r="F663" i="2" s="1"/>
  <c r="G663" i="2" s="1"/>
  <c r="E664" i="2"/>
  <c r="F664" i="2" s="1"/>
  <c r="G664" i="2" s="1"/>
  <c r="E665" i="2"/>
  <c r="F665" i="2" s="1"/>
  <c r="G665" i="2" s="1"/>
  <c r="E666" i="2"/>
  <c r="F666" i="2" s="1"/>
  <c r="G666" i="2" s="1"/>
  <c r="E667" i="2"/>
  <c r="F667" i="2" s="1"/>
  <c r="G667" i="2" s="1"/>
  <c r="E668" i="2"/>
  <c r="F668" i="2" s="1"/>
  <c r="G668" i="2" s="1"/>
  <c r="E669" i="2"/>
  <c r="F669" i="2" s="1"/>
  <c r="G669" i="2" s="1"/>
  <c r="E670" i="2"/>
  <c r="F670" i="2" s="1"/>
  <c r="G670" i="2" s="1"/>
  <c r="E671" i="2"/>
  <c r="F671" i="2" s="1"/>
  <c r="G671" i="2" s="1"/>
  <c r="E672" i="2"/>
  <c r="F672" i="2" s="1"/>
  <c r="G672" i="2" s="1"/>
  <c r="E673" i="2"/>
  <c r="F673" i="2" s="1"/>
  <c r="G673" i="2" s="1"/>
  <c r="E674" i="2"/>
  <c r="F674" i="2" s="1"/>
  <c r="G674" i="2" s="1"/>
  <c r="E675" i="2"/>
  <c r="F675" i="2" s="1"/>
  <c r="G675" i="2" s="1"/>
  <c r="E676" i="2"/>
  <c r="F676" i="2" s="1"/>
  <c r="G676" i="2" s="1"/>
  <c r="E677" i="2"/>
  <c r="F677" i="2" s="1"/>
  <c r="G677" i="2" s="1"/>
  <c r="E678" i="2"/>
  <c r="F678" i="2" s="1"/>
  <c r="G678" i="2" s="1"/>
  <c r="E679" i="2"/>
  <c r="F679" i="2" s="1"/>
  <c r="G679" i="2" s="1"/>
  <c r="E680" i="2"/>
  <c r="F680" i="2" s="1"/>
  <c r="G680" i="2" s="1"/>
  <c r="E681" i="2"/>
  <c r="F681" i="2" s="1"/>
  <c r="G681" i="2" s="1"/>
  <c r="E682" i="2"/>
  <c r="F682" i="2" s="1"/>
  <c r="G682" i="2" s="1"/>
  <c r="E683" i="2"/>
  <c r="F683" i="2" s="1"/>
  <c r="G683" i="2" s="1"/>
  <c r="E684" i="2"/>
  <c r="F684" i="2" s="1"/>
  <c r="G684" i="2" s="1"/>
  <c r="E685" i="2"/>
  <c r="F685" i="2" s="1"/>
  <c r="G685" i="2" s="1"/>
  <c r="E686" i="2"/>
  <c r="F686" i="2" s="1"/>
  <c r="G686" i="2" s="1"/>
  <c r="E687" i="2"/>
  <c r="F687" i="2" s="1"/>
  <c r="G687" i="2" s="1"/>
  <c r="E688" i="2"/>
  <c r="F688" i="2" s="1"/>
  <c r="G688" i="2" s="1"/>
  <c r="E689" i="2"/>
  <c r="F689" i="2" s="1"/>
  <c r="G689" i="2" s="1"/>
  <c r="E690" i="2"/>
  <c r="F690" i="2" s="1"/>
  <c r="G690" i="2" s="1"/>
  <c r="E691" i="2"/>
  <c r="F691" i="2" s="1"/>
  <c r="G691" i="2" s="1"/>
  <c r="E692" i="2"/>
  <c r="F692" i="2" s="1"/>
  <c r="G692" i="2" s="1"/>
  <c r="E693" i="2"/>
  <c r="F693" i="2" s="1"/>
  <c r="G693" i="2" s="1"/>
  <c r="E694" i="2"/>
  <c r="F694" i="2" s="1"/>
  <c r="G694" i="2" s="1"/>
  <c r="E695" i="2"/>
  <c r="F695" i="2" s="1"/>
  <c r="G695" i="2" s="1"/>
  <c r="E696" i="2"/>
  <c r="F696" i="2" s="1"/>
  <c r="G696" i="2" s="1"/>
  <c r="E697" i="2"/>
  <c r="F697" i="2" s="1"/>
  <c r="G697" i="2" s="1"/>
  <c r="E698" i="2"/>
  <c r="F698" i="2" s="1"/>
  <c r="G698" i="2" s="1"/>
  <c r="E699" i="2"/>
  <c r="F699" i="2" s="1"/>
  <c r="G699" i="2" s="1"/>
  <c r="E700" i="2"/>
  <c r="F700" i="2" s="1"/>
  <c r="G700" i="2" s="1"/>
  <c r="E701" i="2"/>
  <c r="F701" i="2" s="1"/>
  <c r="G701" i="2" s="1"/>
  <c r="E702" i="2"/>
  <c r="F702" i="2" s="1"/>
  <c r="G702" i="2" s="1"/>
  <c r="E703" i="2"/>
  <c r="F703" i="2" s="1"/>
  <c r="G703" i="2" s="1"/>
  <c r="E704" i="2"/>
  <c r="F704" i="2" s="1"/>
  <c r="G704" i="2" s="1"/>
  <c r="E705" i="2"/>
  <c r="F705" i="2" s="1"/>
  <c r="G705" i="2" s="1"/>
  <c r="E706" i="2"/>
  <c r="F706" i="2" s="1"/>
  <c r="G706" i="2" s="1"/>
  <c r="E707" i="2"/>
  <c r="F707" i="2" s="1"/>
  <c r="G707" i="2" s="1"/>
  <c r="E708" i="2"/>
  <c r="F708" i="2" s="1"/>
  <c r="G708" i="2" s="1"/>
  <c r="E709" i="2"/>
  <c r="F709" i="2" s="1"/>
  <c r="G709" i="2" s="1"/>
  <c r="E710" i="2"/>
  <c r="F710" i="2" s="1"/>
  <c r="G710" i="2" s="1"/>
  <c r="E711" i="2"/>
  <c r="F711" i="2" s="1"/>
  <c r="G711" i="2" s="1"/>
  <c r="E712" i="2"/>
  <c r="F712" i="2" s="1"/>
  <c r="G712" i="2" s="1"/>
  <c r="E713" i="2"/>
  <c r="F713" i="2" s="1"/>
  <c r="G713" i="2" s="1"/>
  <c r="E714" i="2"/>
  <c r="F714" i="2" s="1"/>
  <c r="G714" i="2" s="1"/>
  <c r="E715" i="2"/>
  <c r="F715" i="2" s="1"/>
  <c r="G715" i="2" s="1"/>
  <c r="E716" i="2"/>
  <c r="F716" i="2" s="1"/>
  <c r="G716" i="2" s="1"/>
  <c r="E717" i="2"/>
  <c r="F717" i="2" s="1"/>
  <c r="G717" i="2" s="1"/>
  <c r="E718" i="2"/>
  <c r="F718" i="2" s="1"/>
  <c r="G718" i="2" s="1"/>
  <c r="E719" i="2"/>
  <c r="F719" i="2" s="1"/>
  <c r="G719" i="2" s="1"/>
  <c r="E720" i="2"/>
  <c r="F720" i="2" s="1"/>
  <c r="G720" i="2" s="1"/>
  <c r="E721" i="2"/>
  <c r="F721" i="2" s="1"/>
  <c r="G721" i="2" s="1"/>
  <c r="E722" i="2"/>
  <c r="F722" i="2" s="1"/>
  <c r="G722" i="2" s="1"/>
  <c r="E723" i="2"/>
  <c r="F723" i="2" s="1"/>
  <c r="G723" i="2" s="1"/>
  <c r="E724" i="2"/>
  <c r="F724" i="2" s="1"/>
  <c r="G724" i="2" s="1"/>
  <c r="E725" i="2"/>
  <c r="F725" i="2" s="1"/>
  <c r="G725" i="2" s="1"/>
  <c r="E726" i="2"/>
  <c r="F726" i="2" s="1"/>
  <c r="G726" i="2" s="1"/>
  <c r="E727" i="2"/>
  <c r="F727" i="2" s="1"/>
  <c r="G727" i="2" s="1"/>
  <c r="E728" i="2"/>
  <c r="F728" i="2" s="1"/>
  <c r="G728" i="2" s="1"/>
  <c r="E729" i="2"/>
  <c r="F729" i="2" s="1"/>
  <c r="G729" i="2" s="1"/>
  <c r="E730" i="2"/>
  <c r="F730" i="2" s="1"/>
  <c r="G730" i="2" s="1"/>
  <c r="E731" i="2"/>
  <c r="F731" i="2" s="1"/>
  <c r="G731" i="2" s="1"/>
  <c r="E732" i="2"/>
  <c r="F732" i="2" s="1"/>
  <c r="G732" i="2" s="1"/>
  <c r="E733" i="2"/>
  <c r="F733" i="2" s="1"/>
  <c r="G733" i="2" s="1"/>
  <c r="E734" i="2"/>
  <c r="F734" i="2" s="1"/>
  <c r="G734" i="2" s="1"/>
  <c r="E735" i="2"/>
  <c r="F735" i="2" s="1"/>
  <c r="G735" i="2" s="1"/>
  <c r="E736" i="2"/>
  <c r="F736" i="2" s="1"/>
  <c r="G736" i="2" s="1"/>
  <c r="E737" i="2"/>
  <c r="F737" i="2" s="1"/>
  <c r="G737" i="2" s="1"/>
  <c r="E738" i="2"/>
  <c r="F738" i="2" s="1"/>
  <c r="G738" i="2" s="1"/>
  <c r="E739" i="2"/>
  <c r="F739" i="2" s="1"/>
  <c r="G739" i="2" s="1"/>
  <c r="E740" i="2"/>
  <c r="F740" i="2" s="1"/>
  <c r="G740" i="2" s="1"/>
  <c r="E741" i="2"/>
  <c r="F741" i="2" s="1"/>
  <c r="G741" i="2" s="1"/>
  <c r="E742" i="2"/>
  <c r="F742" i="2" s="1"/>
  <c r="G742" i="2" s="1"/>
  <c r="E743" i="2"/>
  <c r="F743" i="2" s="1"/>
  <c r="G743" i="2" s="1"/>
  <c r="E744" i="2"/>
  <c r="F744" i="2" s="1"/>
  <c r="G744" i="2" s="1"/>
  <c r="E745" i="2"/>
  <c r="F745" i="2" s="1"/>
  <c r="G745" i="2" s="1"/>
  <c r="E746" i="2"/>
  <c r="F746" i="2" s="1"/>
  <c r="G746" i="2" s="1"/>
  <c r="E747" i="2"/>
  <c r="F747" i="2" s="1"/>
  <c r="G747" i="2" s="1"/>
  <c r="E748" i="2"/>
  <c r="F748" i="2" s="1"/>
  <c r="G748" i="2" s="1"/>
  <c r="E749" i="2"/>
  <c r="F749" i="2" s="1"/>
  <c r="G749" i="2" s="1"/>
  <c r="E750" i="2"/>
  <c r="F750" i="2" s="1"/>
  <c r="G750" i="2" s="1"/>
  <c r="E751" i="2"/>
  <c r="F751" i="2" s="1"/>
  <c r="G751" i="2" s="1"/>
  <c r="E752" i="2"/>
  <c r="F752" i="2" s="1"/>
  <c r="G752" i="2" s="1"/>
  <c r="E753" i="2"/>
  <c r="F753" i="2" s="1"/>
  <c r="G753" i="2" s="1"/>
  <c r="E754" i="2"/>
  <c r="F754" i="2" s="1"/>
  <c r="G754" i="2" s="1"/>
  <c r="E755" i="2"/>
  <c r="F755" i="2" s="1"/>
  <c r="G755" i="2" s="1"/>
  <c r="E756" i="2"/>
  <c r="F756" i="2" s="1"/>
  <c r="G756" i="2" s="1"/>
  <c r="E757" i="2"/>
  <c r="F757" i="2" s="1"/>
  <c r="G757" i="2" s="1"/>
  <c r="E758" i="2"/>
  <c r="F758" i="2" s="1"/>
  <c r="G758" i="2" s="1"/>
  <c r="E759" i="2"/>
  <c r="F759" i="2" s="1"/>
  <c r="G759" i="2" s="1"/>
  <c r="E760" i="2"/>
  <c r="F760" i="2" s="1"/>
  <c r="G760" i="2" s="1"/>
  <c r="E761" i="2"/>
  <c r="F761" i="2" s="1"/>
  <c r="G761" i="2" s="1"/>
  <c r="E762" i="2"/>
  <c r="F762" i="2" s="1"/>
  <c r="G762" i="2" s="1"/>
  <c r="E763" i="2"/>
  <c r="F763" i="2" s="1"/>
  <c r="G763" i="2" s="1"/>
  <c r="E764" i="2"/>
  <c r="F764" i="2" s="1"/>
  <c r="G764" i="2" s="1"/>
  <c r="E765" i="2"/>
  <c r="F765" i="2" s="1"/>
  <c r="G765" i="2" s="1"/>
  <c r="E766" i="2"/>
  <c r="F766" i="2" s="1"/>
  <c r="G766" i="2" s="1"/>
  <c r="E767" i="2"/>
  <c r="F767" i="2" s="1"/>
  <c r="G767" i="2" s="1"/>
  <c r="E768" i="2"/>
  <c r="F768" i="2" s="1"/>
  <c r="G768" i="2" s="1"/>
  <c r="E769" i="2"/>
  <c r="F769" i="2" s="1"/>
  <c r="G769" i="2" s="1"/>
  <c r="E770" i="2"/>
  <c r="F770" i="2" s="1"/>
  <c r="G770" i="2" s="1"/>
  <c r="E771" i="2"/>
  <c r="F771" i="2" s="1"/>
  <c r="G771" i="2" s="1"/>
  <c r="E772" i="2"/>
  <c r="F772" i="2" s="1"/>
  <c r="G772" i="2" s="1"/>
  <c r="E773" i="2"/>
  <c r="F773" i="2" s="1"/>
  <c r="G773" i="2" s="1"/>
  <c r="E774" i="2"/>
  <c r="F774" i="2" s="1"/>
  <c r="G774" i="2" s="1"/>
  <c r="E775" i="2"/>
  <c r="F775" i="2" s="1"/>
  <c r="G775" i="2" s="1"/>
  <c r="E776" i="2"/>
  <c r="F776" i="2" s="1"/>
  <c r="G776" i="2" s="1"/>
  <c r="E777" i="2"/>
  <c r="F777" i="2" s="1"/>
  <c r="G777" i="2" s="1"/>
  <c r="E778" i="2"/>
  <c r="F778" i="2" s="1"/>
  <c r="G778" i="2" s="1"/>
  <c r="E779" i="2"/>
  <c r="F779" i="2" s="1"/>
  <c r="G779" i="2" s="1"/>
  <c r="E780" i="2"/>
  <c r="F780" i="2" s="1"/>
  <c r="G780" i="2" s="1"/>
  <c r="E781" i="2"/>
  <c r="F781" i="2" s="1"/>
  <c r="G781" i="2" s="1"/>
  <c r="E782" i="2"/>
  <c r="F782" i="2" s="1"/>
  <c r="G782" i="2" s="1"/>
  <c r="E783" i="2"/>
  <c r="F783" i="2" s="1"/>
  <c r="G783" i="2" s="1"/>
  <c r="E784" i="2"/>
  <c r="F784" i="2" s="1"/>
  <c r="G784" i="2" s="1"/>
  <c r="E785" i="2"/>
  <c r="F785" i="2" s="1"/>
  <c r="G785" i="2" s="1"/>
  <c r="E786" i="2"/>
  <c r="F786" i="2" s="1"/>
  <c r="G786" i="2" s="1"/>
  <c r="E787" i="2"/>
  <c r="F787" i="2" s="1"/>
  <c r="G787" i="2" s="1"/>
  <c r="E788" i="2"/>
  <c r="F788" i="2" s="1"/>
  <c r="G788" i="2" s="1"/>
  <c r="E789" i="2"/>
  <c r="F789" i="2" s="1"/>
  <c r="G789" i="2" s="1"/>
  <c r="E790" i="2"/>
  <c r="F790" i="2" s="1"/>
  <c r="G790" i="2" s="1"/>
  <c r="E791" i="2"/>
  <c r="F791" i="2" s="1"/>
  <c r="G791" i="2" s="1"/>
  <c r="E792" i="2"/>
  <c r="F792" i="2" s="1"/>
  <c r="G792" i="2" s="1"/>
  <c r="E793" i="2"/>
  <c r="F793" i="2" s="1"/>
  <c r="G793" i="2" s="1"/>
  <c r="E794" i="2"/>
  <c r="F794" i="2" s="1"/>
  <c r="G794" i="2" s="1"/>
  <c r="E795" i="2"/>
  <c r="F795" i="2" s="1"/>
  <c r="G795" i="2" s="1"/>
  <c r="E796" i="2"/>
  <c r="F796" i="2" s="1"/>
  <c r="G796" i="2" s="1"/>
  <c r="E797" i="2"/>
  <c r="F797" i="2" s="1"/>
  <c r="G797" i="2" s="1"/>
  <c r="E798" i="2"/>
  <c r="F798" i="2" s="1"/>
  <c r="G798" i="2" s="1"/>
  <c r="E799" i="2"/>
  <c r="F799" i="2" s="1"/>
  <c r="G799" i="2" s="1"/>
  <c r="E800" i="2"/>
  <c r="F800" i="2" s="1"/>
  <c r="G800" i="2" s="1"/>
  <c r="E801" i="2"/>
  <c r="F801" i="2" s="1"/>
  <c r="G801" i="2" s="1"/>
  <c r="E802" i="2"/>
  <c r="F802" i="2" s="1"/>
  <c r="G802" i="2" s="1"/>
  <c r="E803" i="2"/>
  <c r="F803" i="2" s="1"/>
  <c r="G803" i="2" s="1"/>
  <c r="E804" i="2"/>
  <c r="F804" i="2" s="1"/>
  <c r="G804" i="2" s="1"/>
  <c r="E805" i="2"/>
  <c r="F805" i="2" s="1"/>
  <c r="G805" i="2" s="1"/>
  <c r="E806" i="2"/>
  <c r="F806" i="2" s="1"/>
  <c r="G806" i="2" s="1"/>
  <c r="E807" i="2"/>
  <c r="F807" i="2" s="1"/>
  <c r="G807" i="2" s="1"/>
  <c r="E808" i="2"/>
  <c r="F808" i="2" s="1"/>
  <c r="G808" i="2" s="1"/>
  <c r="E809" i="2"/>
  <c r="F809" i="2" s="1"/>
  <c r="G809" i="2" s="1"/>
  <c r="E810" i="2"/>
  <c r="F810" i="2" s="1"/>
  <c r="G810" i="2" s="1"/>
  <c r="E811" i="2"/>
  <c r="F811" i="2" s="1"/>
  <c r="G811" i="2" s="1"/>
  <c r="E812" i="2"/>
  <c r="F812" i="2" s="1"/>
  <c r="G812" i="2" s="1"/>
  <c r="E813" i="2"/>
  <c r="F813" i="2" s="1"/>
  <c r="G813" i="2" s="1"/>
  <c r="E814" i="2"/>
  <c r="F814" i="2" s="1"/>
  <c r="G814" i="2" s="1"/>
  <c r="E815" i="2"/>
  <c r="F815" i="2" s="1"/>
  <c r="G815" i="2" s="1"/>
  <c r="E816" i="2"/>
  <c r="F816" i="2" s="1"/>
  <c r="G816" i="2" s="1"/>
  <c r="E817" i="2"/>
  <c r="F817" i="2" s="1"/>
  <c r="G817" i="2" s="1"/>
  <c r="E818" i="2"/>
  <c r="F818" i="2" s="1"/>
  <c r="G818" i="2" s="1"/>
  <c r="E819" i="2"/>
  <c r="F819" i="2" s="1"/>
  <c r="G819" i="2" s="1"/>
  <c r="E820" i="2"/>
  <c r="F820" i="2" s="1"/>
  <c r="G820" i="2" s="1"/>
  <c r="E821" i="2"/>
  <c r="F821" i="2" s="1"/>
  <c r="G821" i="2" s="1"/>
  <c r="E822" i="2"/>
  <c r="F822" i="2" s="1"/>
  <c r="G822" i="2" s="1"/>
  <c r="E823" i="2"/>
  <c r="F823" i="2" s="1"/>
  <c r="G823" i="2" s="1"/>
  <c r="E824" i="2"/>
  <c r="F824" i="2" s="1"/>
  <c r="G824" i="2" s="1"/>
  <c r="E825" i="2"/>
  <c r="F825" i="2" s="1"/>
  <c r="G825" i="2" s="1"/>
  <c r="E826" i="2"/>
  <c r="F826" i="2" s="1"/>
  <c r="G826" i="2" s="1"/>
  <c r="E827" i="2"/>
  <c r="F827" i="2" s="1"/>
  <c r="G827" i="2" s="1"/>
  <c r="E828" i="2"/>
  <c r="F828" i="2" s="1"/>
  <c r="G828" i="2" s="1"/>
  <c r="E829" i="2"/>
  <c r="F829" i="2" s="1"/>
  <c r="G829" i="2" s="1"/>
  <c r="E830" i="2"/>
  <c r="F830" i="2" s="1"/>
  <c r="G830" i="2" s="1"/>
  <c r="E831" i="2"/>
  <c r="F831" i="2" s="1"/>
  <c r="G831" i="2" s="1"/>
  <c r="E832" i="2"/>
  <c r="F832" i="2" s="1"/>
  <c r="G832" i="2" s="1"/>
  <c r="E833" i="2"/>
  <c r="F833" i="2" s="1"/>
  <c r="G833" i="2" s="1"/>
  <c r="E834" i="2"/>
  <c r="F834" i="2" s="1"/>
  <c r="G834" i="2" s="1"/>
  <c r="E835" i="2"/>
  <c r="F835" i="2" s="1"/>
  <c r="G835" i="2" s="1"/>
  <c r="E836" i="2"/>
  <c r="F836" i="2" s="1"/>
  <c r="G836" i="2" s="1"/>
  <c r="E837" i="2"/>
  <c r="F837" i="2" s="1"/>
  <c r="G837" i="2" s="1"/>
  <c r="E838" i="2"/>
  <c r="F838" i="2" s="1"/>
  <c r="G838" i="2" s="1"/>
  <c r="E839" i="2"/>
  <c r="F839" i="2" s="1"/>
  <c r="G839" i="2" s="1"/>
  <c r="E840" i="2"/>
  <c r="F840" i="2" s="1"/>
  <c r="G840" i="2" s="1"/>
  <c r="E841" i="2"/>
  <c r="F841" i="2" s="1"/>
  <c r="G841" i="2" s="1"/>
  <c r="E842" i="2"/>
  <c r="F842" i="2" s="1"/>
  <c r="G842" i="2" s="1"/>
  <c r="E843" i="2"/>
  <c r="F843" i="2" s="1"/>
  <c r="G843" i="2" s="1"/>
  <c r="E844" i="2"/>
  <c r="F844" i="2" s="1"/>
  <c r="G844" i="2" s="1"/>
  <c r="E845" i="2"/>
  <c r="F845" i="2" s="1"/>
  <c r="G845" i="2" s="1"/>
  <c r="E846" i="2"/>
  <c r="F846" i="2" s="1"/>
  <c r="G846" i="2" s="1"/>
  <c r="E847" i="2"/>
  <c r="F847" i="2" s="1"/>
  <c r="G847" i="2" s="1"/>
  <c r="E848" i="2"/>
  <c r="F848" i="2" s="1"/>
  <c r="G848" i="2" s="1"/>
  <c r="E849" i="2"/>
  <c r="F849" i="2" s="1"/>
  <c r="G849" i="2" s="1"/>
  <c r="E850" i="2"/>
  <c r="F850" i="2" s="1"/>
  <c r="G850" i="2" s="1"/>
  <c r="E851" i="2"/>
  <c r="F851" i="2" s="1"/>
  <c r="G851" i="2" s="1"/>
  <c r="E852" i="2"/>
  <c r="F852" i="2" s="1"/>
  <c r="G852" i="2" s="1"/>
  <c r="E853" i="2"/>
  <c r="F853" i="2" s="1"/>
  <c r="G853" i="2" s="1"/>
  <c r="E854" i="2"/>
  <c r="F854" i="2" s="1"/>
  <c r="G854" i="2" s="1"/>
  <c r="E855" i="2"/>
  <c r="F855" i="2" s="1"/>
  <c r="G855" i="2" s="1"/>
  <c r="E856" i="2"/>
  <c r="F856" i="2" s="1"/>
  <c r="G856" i="2" s="1"/>
  <c r="E857" i="2"/>
  <c r="F857" i="2" s="1"/>
  <c r="G857" i="2" s="1"/>
  <c r="E858" i="2"/>
  <c r="F858" i="2" s="1"/>
  <c r="G858" i="2" s="1"/>
  <c r="E859" i="2"/>
  <c r="F859" i="2" s="1"/>
  <c r="G859" i="2" s="1"/>
  <c r="E860" i="2"/>
  <c r="F860" i="2" s="1"/>
  <c r="G860" i="2" s="1"/>
  <c r="E861" i="2"/>
  <c r="F861" i="2" s="1"/>
  <c r="G861" i="2" s="1"/>
  <c r="E862" i="2"/>
  <c r="F862" i="2" s="1"/>
  <c r="G862" i="2" s="1"/>
  <c r="E863" i="2"/>
  <c r="F863" i="2" s="1"/>
  <c r="G863" i="2" s="1"/>
  <c r="E864" i="2"/>
  <c r="F864" i="2" s="1"/>
  <c r="G864" i="2" s="1"/>
  <c r="E865" i="2"/>
  <c r="F865" i="2" s="1"/>
  <c r="G865" i="2" s="1"/>
  <c r="E866" i="2"/>
  <c r="F866" i="2" s="1"/>
  <c r="G866" i="2" s="1"/>
  <c r="E867" i="2"/>
  <c r="F867" i="2" s="1"/>
  <c r="G867" i="2" s="1"/>
  <c r="E868" i="2"/>
  <c r="F868" i="2" s="1"/>
  <c r="G868" i="2" s="1"/>
  <c r="E869" i="2"/>
  <c r="F869" i="2" s="1"/>
  <c r="G869" i="2" s="1"/>
  <c r="E870" i="2"/>
  <c r="F870" i="2" s="1"/>
  <c r="G870" i="2" s="1"/>
  <c r="E871" i="2"/>
  <c r="F871" i="2" s="1"/>
  <c r="G871" i="2" s="1"/>
  <c r="E872" i="2"/>
  <c r="F872" i="2" s="1"/>
  <c r="G872" i="2" s="1"/>
  <c r="E873" i="2"/>
  <c r="F873" i="2" s="1"/>
  <c r="G873" i="2" s="1"/>
  <c r="E874" i="2"/>
  <c r="F874" i="2" s="1"/>
  <c r="G874" i="2" s="1"/>
  <c r="E875" i="2"/>
  <c r="F875" i="2" s="1"/>
  <c r="G875" i="2" s="1"/>
  <c r="E876" i="2"/>
  <c r="F876" i="2" s="1"/>
  <c r="G876" i="2" s="1"/>
  <c r="E877" i="2"/>
  <c r="F877" i="2" s="1"/>
  <c r="G877" i="2" s="1"/>
  <c r="E878" i="2"/>
  <c r="F878" i="2" s="1"/>
  <c r="G878" i="2" s="1"/>
  <c r="E879" i="2"/>
  <c r="F879" i="2" s="1"/>
  <c r="G879" i="2" s="1"/>
  <c r="E880" i="2"/>
  <c r="F880" i="2" s="1"/>
  <c r="G880" i="2" s="1"/>
  <c r="E881" i="2"/>
  <c r="F881" i="2" s="1"/>
  <c r="G881" i="2" s="1"/>
  <c r="E882" i="2"/>
  <c r="F882" i="2" s="1"/>
  <c r="G882" i="2" s="1"/>
  <c r="E883" i="2"/>
  <c r="F883" i="2" s="1"/>
  <c r="G883" i="2" s="1"/>
  <c r="E884" i="2"/>
  <c r="F884" i="2" s="1"/>
  <c r="G884" i="2" s="1"/>
  <c r="E885" i="2"/>
  <c r="F885" i="2" s="1"/>
  <c r="G885" i="2" s="1"/>
  <c r="E886" i="2"/>
  <c r="F886" i="2" s="1"/>
  <c r="G886" i="2" s="1"/>
  <c r="E887" i="2"/>
  <c r="F887" i="2" s="1"/>
  <c r="G887" i="2" s="1"/>
  <c r="E888" i="2"/>
  <c r="F888" i="2" s="1"/>
  <c r="G888" i="2" s="1"/>
  <c r="E889" i="2"/>
  <c r="F889" i="2" s="1"/>
  <c r="G889" i="2" s="1"/>
  <c r="E890" i="2"/>
  <c r="F890" i="2" s="1"/>
  <c r="G890" i="2" s="1"/>
  <c r="E891" i="2"/>
  <c r="F891" i="2" s="1"/>
  <c r="G891" i="2" s="1"/>
  <c r="E892" i="2"/>
  <c r="F892" i="2" s="1"/>
  <c r="G892" i="2" s="1"/>
  <c r="E893" i="2"/>
  <c r="F893" i="2" s="1"/>
  <c r="G893" i="2" s="1"/>
  <c r="E894" i="2"/>
  <c r="F894" i="2" s="1"/>
  <c r="G894" i="2" s="1"/>
  <c r="E895" i="2"/>
  <c r="F895" i="2" s="1"/>
  <c r="G895" i="2" s="1"/>
  <c r="E896" i="2"/>
  <c r="F896" i="2" s="1"/>
  <c r="G896" i="2" s="1"/>
  <c r="E897" i="2"/>
  <c r="F897" i="2" s="1"/>
  <c r="G897" i="2" s="1"/>
  <c r="E898" i="2"/>
  <c r="F898" i="2" s="1"/>
  <c r="G898" i="2" s="1"/>
  <c r="E899" i="2"/>
  <c r="F899" i="2" s="1"/>
  <c r="G899" i="2" s="1"/>
  <c r="E900" i="2"/>
  <c r="F900" i="2" s="1"/>
  <c r="G900" i="2" s="1"/>
  <c r="E901" i="2"/>
  <c r="F901" i="2" s="1"/>
  <c r="G901" i="2" s="1"/>
  <c r="E902" i="2"/>
  <c r="F902" i="2" s="1"/>
  <c r="G902" i="2" s="1"/>
  <c r="E903" i="2"/>
  <c r="F903" i="2" s="1"/>
  <c r="G903" i="2" s="1"/>
  <c r="E904" i="2"/>
  <c r="F904" i="2" s="1"/>
  <c r="G904" i="2" s="1"/>
  <c r="E905" i="2"/>
  <c r="F905" i="2" s="1"/>
  <c r="G905" i="2" s="1"/>
  <c r="E906" i="2"/>
  <c r="F906" i="2" s="1"/>
  <c r="G906" i="2" s="1"/>
  <c r="E907" i="2"/>
  <c r="F907" i="2" s="1"/>
  <c r="G907" i="2" s="1"/>
  <c r="E908" i="2"/>
  <c r="F908" i="2" s="1"/>
  <c r="G908" i="2" s="1"/>
  <c r="E909" i="2"/>
  <c r="F909" i="2" s="1"/>
  <c r="G909" i="2" s="1"/>
  <c r="E910" i="2"/>
  <c r="F910" i="2" s="1"/>
  <c r="G910" i="2" s="1"/>
  <c r="E911" i="2"/>
  <c r="F911" i="2" s="1"/>
  <c r="G911" i="2" s="1"/>
  <c r="E912" i="2"/>
  <c r="F912" i="2" s="1"/>
  <c r="G912" i="2" s="1"/>
  <c r="E913" i="2"/>
  <c r="F913" i="2" s="1"/>
  <c r="G913" i="2" s="1"/>
  <c r="E914" i="2"/>
  <c r="F914" i="2" s="1"/>
  <c r="G914" i="2" s="1"/>
  <c r="E915" i="2"/>
  <c r="F915" i="2" s="1"/>
  <c r="G915" i="2" s="1"/>
  <c r="E916" i="2"/>
  <c r="F916" i="2" s="1"/>
  <c r="G916" i="2" s="1"/>
  <c r="E917" i="2"/>
  <c r="F917" i="2" s="1"/>
  <c r="G917" i="2" s="1"/>
  <c r="E918" i="2"/>
  <c r="F918" i="2" s="1"/>
  <c r="G918" i="2" s="1"/>
  <c r="E919" i="2"/>
  <c r="F919" i="2" s="1"/>
  <c r="G919" i="2" s="1"/>
  <c r="E920" i="2"/>
  <c r="F920" i="2" s="1"/>
  <c r="G920" i="2" s="1"/>
  <c r="E921" i="2"/>
  <c r="F921" i="2" s="1"/>
  <c r="G921" i="2" s="1"/>
  <c r="E922" i="2"/>
  <c r="F922" i="2" s="1"/>
  <c r="G922" i="2" s="1"/>
  <c r="E923" i="2"/>
  <c r="F923" i="2" s="1"/>
  <c r="G923" i="2" s="1"/>
  <c r="E924" i="2"/>
  <c r="F924" i="2" s="1"/>
  <c r="G924" i="2" s="1"/>
  <c r="E925" i="2"/>
  <c r="F925" i="2" s="1"/>
  <c r="G925" i="2" s="1"/>
  <c r="E926" i="2"/>
  <c r="F926" i="2" s="1"/>
  <c r="G926" i="2" s="1"/>
  <c r="E927" i="2"/>
  <c r="F927" i="2" s="1"/>
  <c r="G927" i="2" s="1"/>
  <c r="E928" i="2"/>
  <c r="F928" i="2" s="1"/>
  <c r="G928" i="2" s="1"/>
  <c r="E929" i="2"/>
  <c r="F929" i="2" s="1"/>
  <c r="G929" i="2" s="1"/>
  <c r="E930" i="2"/>
  <c r="F930" i="2" s="1"/>
  <c r="G930" i="2" s="1"/>
  <c r="E931" i="2"/>
  <c r="F931" i="2" s="1"/>
  <c r="G931" i="2" s="1"/>
  <c r="E932" i="2"/>
  <c r="F932" i="2" s="1"/>
  <c r="G932" i="2" s="1"/>
  <c r="E933" i="2"/>
  <c r="F933" i="2" s="1"/>
  <c r="G933" i="2" s="1"/>
  <c r="E934" i="2"/>
  <c r="F934" i="2" s="1"/>
  <c r="G934" i="2" s="1"/>
  <c r="E935" i="2"/>
  <c r="F935" i="2" s="1"/>
  <c r="G935" i="2" s="1"/>
  <c r="E936" i="2"/>
  <c r="F936" i="2" s="1"/>
  <c r="G936" i="2" s="1"/>
  <c r="E937" i="2"/>
  <c r="F937" i="2" s="1"/>
  <c r="G937" i="2" s="1"/>
  <c r="E938" i="2"/>
  <c r="F938" i="2" s="1"/>
  <c r="G938" i="2" s="1"/>
  <c r="E939" i="2"/>
  <c r="F939" i="2" s="1"/>
  <c r="G939" i="2" s="1"/>
  <c r="E940" i="2"/>
  <c r="F940" i="2" s="1"/>
  <c r="G940" i="2" s="1"/>
  <c r="E941" i="2"/>
  <c r="F941" i="2" s="1"/>
  <c r="G941" i="2" s="1"/>
  <c r="E942" i="2"/>
  <c r="F942" i="2" s="1"/>
  <c r="G942" i="2" s="1"/>
  <c r="E943" i="2"/>
  <c r="F943" i="2" s="1"/>
  <c r="G943" i="2" s="1"/>
  <c r="E944" i="2"/>
  <c r="F944" i="2" s="1"/>
  <c r="G944" i="2" s="1"/>
  <c r="E945" i="2"/>
  <c r="F945" i="2" s="1"/>
  <c r="G945" i="2" s="1"/>
  <c r="E946" i="2"/>
  <c r="F946" i="2" s="1"/>
  <c r="G946" i="2" s="1"/>
  <c r="E947" i="2"/>
  <c r="F947" i="2" s="1"/>
  <c r="G947" i="2" s="1"/>
  <c r="E948" i="2"/>
  <c r="F948" i="2" s="1"/>
  <c r="G948" i="2" s="1"/>
  <c r="E949" i="2"/>
  <c r="F949" i="2" s="1"/>
  <c r="G949" i="2" s="1"/>
  <c r="E950" i="2"/>
  <c r="F950" i="2" s="1"/>
  <c r="G950" i="2" s="1"/>
  <c r="E951" i="2"/>
  <c r="F951" i="2" s="1"/>
  <c r="G951" i="2" s="1"/>
  <c r="E952" i="2"/>
  <c r="F952" i="2" s="1"/>
  <c r="G952" i="2" s="1"/>
  <c r="E953" i="2"/>
  <c r="F953" i="2" s="1"/>
  <c r="G953" i="2" s="1"/>
  <c r="E954" i="2"/>
  <c r="F954" i="2" s="1"/>
  <c r="G954" i="2" s="1"/>
  <c r="E955" i="2"/>
  <c r="F955" i="2" s="1"/>
  <c r="G955" i="2" s="1"/>
  <c r="E956" i="2"/>
  <c r="F956" i="2" s="1"/>
  <c r="G956" i="2" s="1"/>
  <c r="E957" i="2"/>
  <c r="F957" i="2" s="1"/>
  <c r="G957" i="2" s="1"/>
  <c r="E958" i="2"/>
  <c r="F958" i="2" s="1"/>
  <c r="G958" i="2" s="1"/>
  <c r="E959" i="2"/>
  <c r="F959" i="2" s="1"/>
  <c r="G959" i="2" s="1"/>
  <c r="E960" i="2"/>
  <c r="F960" i="2" s="1"/>
  <c r="G960" i="2" s="1"/>
  <c r="E961" i="2"/>
  <c r="F961" i="2" s="1"/>
  <c r="G961" i="2" s="1"/>
  <c r="E962" i="2"/>
  <c r="F962" i="2" s="1"/>
  <c r="G962" i="2" s="1"/>
  <c r="E963" i="2"/>
  <c r="F963" i="2" s="1"/>
  <c r="G963" i="2" s="1"/>
  <c r="E964" i="2"/>
  <c r="F964" i="2" s="1"/>
  <c r="G964" i="2" s="1"/>
  <c r="E965" i="2"/>
  <c r="F965" i="2" s="1"/>
  <c r="G965" i="2" s="1"/>
  <c r="E966" i="2"/>
  <c r="F966" i="2" s="1"/>
  <c r="G966" i="2" s="1"/>
  <c r="E967" i="2"/>
  <c r="F967" i="2" s="1"/>
  <c r="G967" i="2" s="1"/>
  <c r="E968" i="2"/>
  <c r="F968" i="2" s="1"/>
  <c r="G968" i="2" s="1"/>
  <c r="E969" i="2"/>
  <c r="F969" i="2" s="1"/>
  <c r="G969" i="2" s="1"/>
  <c r="E970" i="2"/>
  <c r="F970" i="2" s="1"/>
  <c r="G970" i="2" s="1"/>
  <c r="E971" i="2"/>
  <c r="F971" i="2" s="1"/>
  <c r="G971" i="2" s="1"/>
  <c r="E972" i="2"/>
  <c r="F972" i="2" s="1"/>
  <c r="G972" i="2" s="1"/>
  <c r="E973" i="2"/>
  <c r="F973" i="2" s="1"/>
  <c r="G973" i="2" s="1"/>
  <c r="E974" i="2"/>
  <c r="F974" i="2" s="1"/>
  <c r="G974" i="2" s="1"/>
  <c r="E975" i="2"/>
  <c r="F975" i="2" s="1"/>
  <c r="G975" i="2" s="1"/>
  <c r="E976" i="2"/>
  <c r="F976" i="2" s="1"/>
  <c r="G976" i="2" s="1"/>
  <c r="E977" i="2"/>
  <c r="F977" i="2" s="1"/>
  <c r="G977" i="2" s="1"/>
  <c r="E978" i="2"/>
  <c r="F978" i="2" s="1"/>
  <c r="G978" i="2" s="1"/>
  <c r="E979" i="2"/>
  <c r="F979" i="2" s="1"/>
  <c r="G979" i="2" s="1"/>
  <c r="E980" i="2"/>
  <c r="F980" i="2" s="1"/>
  <c r="G980" i="2" s="1"/>
  <c r="E981" i="2"/>
  <c r="F981" i="2" s="1"/>
  <c r="G981" i="2" s="1"/>
  <c r="E982" i="2"/>
  <c r="F982" i="2" s="1"/>
  <c r="G982" i="2" s="1"/>
  <c r="E983" i="2"/>
  <c r="F983" i="2" s="1"/>
  <c r="G983" i="2" s="1"/>
  <c r="E984" i="2"/>
  <c r="F984" i="2" s="1"/>
  <c r="G984" i="2" s="1"/>
  <c r="E985" i="2"/>
  <c r="F985" i="2" s="1"/>
  <c r="G985" i="2" s="1"/>
  <c r="E986" i="2"/>
  <c r="F986" i="2" s="1"/>
  <c r="G986" i="2" s="1"/>
  <c r="E987" i="2"/>
  <c r="F987" i="2" s="1"/>
  <c r="G987" i="2" s="1"/>
  <c r="E988" i="2"/>
  <c r="F988" i="2" s="1"/>
  <c r="G988" i="2" s="1"/>
  <c r="E989" i="2"/>
  <c r="F989" i="2" s="1"/>
  <c r="G989" i="2" s="1"/>
  <c r="E990" i="2"/>
  <c r="F990" i="2" s="1"/>
  <c r="G990" i="2" s="1"/>
  <c r="E991" i="2"/>
  <c r="F991" i="2" s="1"/>
  <c r="G991" i="2" s="1"/>
  <c r="E992" i="2"/>
  <c r="F992" i="2" s="1"/>
  <c r="G992" i="2" s="1"/>
  <c r="E993" i="2"/>
  <c r="F993" i="2" s="1"/>
  <c r="G993" i="2" s="1"/>
  <c r="E994" i="2"/>
  <c r="F994" i="2" s="1"/>
  <c r="G994" i="2" s="1"/>
  <c r="E995" i="2"/>
  <c r="F995" i="2" s="1"/>
  <c r="G995" i="2" s="1"/>
  <c r="E996" i="2"/>
  <c r="F996" i="2" s="1"/>
  <c r="G996" i="2" s="1"/>
  <c r="E997" i="2"/>
  <c r="F997" i="2" s="1"/>
  <c r="G997" i="2" s="1"/>
  <c r="E998" i="2"/>
  <c r="F998" i="2" s="1"/>
  <c r="G998" i="2" s="1"/>
  <c r="E999" i="2"/>
  <c r="F999" i="2" s="1"/>
  <c r="G999" i="2" s="1"/>
  <c r="E1000" i="2"/>
  <c r="F1000" i="2" s="1"/>
  <c r="G1000" i="2" s="1"/>
  <c r="E1001" i="2"/>
  <c r="F1001" i="2" s="1"/>
  <c r="G1001" i="2" s="1"/>
  <c r="E1002" i="2"/>
  <c r="F1002" i="2" s="1"/>
  <c r="G1002" i="2" s="1"/>
  <c r="E1003" i="2"/>
  <c r="F1003" i="2" s="1"/>
  <c r="G1003" i="2" s="1"/>
  <c r="E1004" i="2"/>
  <c r="F1004" i="2" s="1"/>
  <c r="G1004" i="2" s="1"/>
  <c r="E1005" i="2"/>
  <c r="F1005" i="2" s="1"/>
  <c r="G1005" i="2" s="1"/>
  <c r="E1006" i="2"/>
  <c r="F1006" i="2" s="1"/>
  <c r="G1006" i="2" s="1"/>
  <c r="E1007" i="2"/>
  <c r="F1007" i="2" s="1"/>
  <c r="G1007" i="2" s="1"/>
  <c r="E1008" i="2"/>
  <c r="F1008" i="2" s="1"/>
  <c r="G1008" i="2" s="1"/>
  <c r="E1009" i="2"/>
  <c r="F1009" i="2" s="1"/>
  <c r="G1009" i="2" s="1"/>
  <c r="E1010" i="2"/>
  <c r="F1010" i="2" s="1"/>
  <c r="G1010" i="2" s="1"/>
  <c r="E1011" i="2"/>
  <c r="F1011" i="2" s="1"/>
  <c r="G1011" i="2" s="1"/>
  <c r="E1012" i="2"/>
  <c r="F1012" i="2" s="1"/>
  <c r="G1012" i="2" s="1"/>
  <c r="E1013" i="2"/>
  <c r="F1013" i="2" s="1"/>
  <c r="G1013" i="2" s="1"/>
  <c r="E1014" i="2"/>
  <c r="F1014" i="2" s="1"/>
  <c r="G1014" i="2" s="1"/>
  <c r="E1015" i="2"/>
  <c r="F1015" i="2" s="1"/>
  <c r="G1015" i="2" s="1"/>
  <c r="E1016" i="2"/>
  <c r="F1016" i="2" s="1"/>
  <c r="G1016" i="2" s="1"/>
  <c r="E1017" i="2"/>
  <c r="F1017" i="2" s="1"/>
  <c r="G1017" i="2" s="1"/>
  <c r="E1018" i="2"/>
  <c r="F1018" i="2" s="1"/>
  <c r="G1018" i="2" s="1"/>
  <c r="E1019" i="2"/>
  <c r="F1019" i="2" s="1"/>
  <c r="G1019" i="2" s="1"/>
  <c r="E1020" i="2"/>
  <c r="F1020" i="2" s="1"/>
  <c r="G1020" i="2" s="1"/>
  <c r="E1021" i="2"/>
  <c r="F1021" i="2" s="1"/>
  <c r="G1021" i="2" s="1"/>
  <c r="E1022" i="2"/>
  <c r="F1022" i="2" s="1"/>
  <c r="G1022" i="2" s="1"/>
  <c r="E1023" i="2"/>
  <c r="F1023" i="2" s="1"/>
  <c r="G1023" i="2" s="1"/>
  <c r="E1024" i="2"/>
  <c r="F1024" i="2" s="1"/>
  <c r="G1024" i="2" s="1"/>
  <c r="E1025" i="2"/>
  <c r="F1025" i="2" s="1"/>
  <c r="G1025" i="2" s="1"/>
  <c r="E1026" i="2"/>
  <c r="F1026" i="2" s="1"/>
  <c r="G1026" i="2" s="1"/>
  <c r="E1027" i="2"/>
  <c r="F1027" i="2" s="1"/>
  <c r="G1027" i="2" s="1"/>
  <c r="E1028" i="2"/>
  <c r="F1028" i="2" s="1"/>
  <c r="G1028" i="2" s="1"/>
  <c r="E1029" i="2"/>
  <c r="F1029" i="2" s="1"/>
  <c r="G1029" i="2" s="1"/>
  <c r="E1030" i="2"/>
  <c r="F1030" i="2" s="1"/>
  <c r="G1030" i="2" s="1"/>
  <c r="E1031" i="2"/>
  <c r="F1031" i="2" s="1"/>
  <c r="G1031" i="2" s="1"/>
  <c r="E1032" i="2"/>
  <c r="F1032" i="2" s="1"/>
  <c r="G1032" i="2" s="1"/>
  <c r="E1033" i="2"/>
  <c r="F1033" i="2" s="1"/>
  <c r="G1033" i="2" s="1"/>
  <c r="E1034" i="2"/>
  <c r="F1034" i="2" s="1"/>
  <c r="G1034" i="2" s="1"/>
  <c r="E1035" i="2"/>
  <c r="F1035" i="2" s="1"/>
  <c r="G1035" i="2" s="1"/>
  <c r="E1036" i="2"/>
  <c r="F1036" i="2" s="1"/>
  <c r="G1036" i="2" s="1"/>
  <c r="E1037" i="2"/>
  <c r="F1037" i="2" s="1"/>
  <c r="G1037" i="2" s="1"/>
  <c r="E1038" i="2"/>
  <c r="F1038" i="2" s="1"/>
  <c r="G1038" i="2" s="1"/>
  <c r="E1039" i="2"/>
  <c r="F1039" i="2" s="1"/>
  <c r="G1039" i="2" s="1"/>
  <c r="E1040" i="2"/>
  <c r="F1040" i="2" s="1"/>
  <c r="G1040" i="2" s="1"/>
  <c r="E1041" i="2"/>
  <c r="F1041" i="2" s="1"/>
  <c r="G1041" i="2" s="1"/>
  <c r="E1042" i="2"/>
  <c r="F1042" i="2" s="1"/>
  <c r="G1042" i="2" s="1"/>
  <c r="E1043" i="2"/>
  <c r="F1043" i="2" s="1"/>
  <c r="G1043" i="2" s="1"/>
  <c r="E1044" i="2"/>
  <c r="F1044" i="2" s="1"/>
  <c r="G1044" i="2" s="1"/>
  <c r="E1045" i="2"/>
  <c r="F1045" i="2" s="1"/>
  <c r="G1045" i="2" s="1"/>
  <c r="E1046" i="2"/>
  <c r="F1046" i="2" s="1"/>
  <c r="G1046" i="2" s="1"/>
  <c r="E1047" i="2"/>
  <c r="F1047" i="2" s="1"/>
  <c r="G1047" i="2" s="1"/>
  <c r="E1048" i="2"/>
  <c r="F1048" i="2" s="1"/>
  <c r="G1048" i="2" s="1"/>
  <c r="E1049" i="2"/>
  <c r="F1049" i="2" s="1"/>
  <c r="G1049" i="2" s="1"/>
  <c r="E1050" i="2"/>
  <c r="F1050" i="2" s="1"/>
  <c r="G1050" i="2" s="1"/>
  <c r="E1051" i="2"/>
  <c r="F1051" i="2" s="1"/>
  <c r="G1051" i="2" s="1"/>
  <c r="E1052" i="2"/>
  <c r="F1052" i="2" s="1"/>
  <c r="G1052" i="2" s="1"/>
  <c r="E1053" i="2"/>
  <c r="F1053" i="2" s="1"/>
  <c r="G1053" i="2" s="1"/>
  <c r="E1054" i="2"/>
  <c r="F1054" i="2" s="1"/>
  <c r="G1054" i="2" s="1"/>
  <c r="E1055" i="2"/>
  <c r="F1055" i="2" s="1"/>
  <c r="G1055" i="2" s="1"/>
  <c r="E1056" i="2"/>
  <c r="F1056" i="2" s="1"/>
  <c r="G1056" i="2" s="1"/>
  <c r="E1057" i="2"/>
  <c r="F1057" i="2" s="1"/>
  <c r="G1057" i="2" s="1"/>
  <c r="E1058" i="2"/>
  <c r="F1058" i="2" s="1"/>
  <c r="G1058" i="2" s="1"/>
  <c r="E1059" i="2"/>
  <c r="F1059" i="2" s="1"/>
  <c r="G1059" i="2" s="1"/>
  <c r="E1060" i="2"/>
  <c r="F1060" i="2" s="1"/>
  <c r="G1060" i="2" s="1"/>
  <c r="E1061" i="2"/>
  <c r="F1061" i="2" s="1"/>
  <c r="G1061" i="2" s="1"/>
  <c r="E1062" i="2"/>
  <c r="F1062" i="2" s="1"/>
  <c r="G1062" i="2" s="1"/>
  <c r="E1063" i="2"/>
  <c r="F1063" i="2" s="1"/>
  <c r="G1063" i="2" s="1"/>
  <c r="E1064" i="2"/>
  <c r="F1064" i="2" s="1"/>
  <c r="G1064" i="2" s="1"/>
  <c r="E1065" i="2"/>
  <c r="F1065" i="2" s="1"/>
  <c r="G1065" i="2" s="1"/>
  <c r="E1066" i="2"/>
  <c r="F1066" i="2" s="1"/>
  <c r="G1066" i="2" s="1"/>
  <c r="E1067" i="2"/>
  <c r="F1067" i="2" s="1"/>
  <c r="G1067" i="2" s="1"/>
  <c r="E1068" i="2"/>
  <c r="F1068" i="2" s="1"/>
  <c r="G1068" i="2" s="1"/>
  <c r="E1069" i="2"/>
  <c r="F1069" i="2" s="1"/>
  <c r="G1069" i="2" s="1"/>
  <c r="E1070" i="2"/>
  <c r="F1070" i="2" s="1"/>
  <c r="G1070" i="2" s="1"/>
  <c r="E1071" i="2"/>
  <c r="F1071" i="2" s="1"/>
  <c r="G1071" i="2" s="1"/>
  <c r="E1072" i="2"/>
  <c r="F1072" i="2" s="1"/>
  <c r="G1072" i="2" s="1"/>
  <c r="E1073" i="2"/>
  <c r="F1073" i="2" s="1"/>
  <c r="G1073" i="2" s="1"/>
  <c r="E1074" i="2"/>
  <c r="F1074" i="2" s="1"/>
  <c r="G1074" i="2" s="1"/>
  <c r="E1075" i="2"/>
  <c r="F1075" i="2" s="1"/>
  <c r="G1075" i="2" s="1"/>
  <c r="E1076" i="2"/>
  <c r="F1076" i="2" s="1"/>
  <c r="G1076" i="2" s="1"/>
  <c r="E1077" i="2"/>
  <c r="F1077" i="2" s="1"/>
  <c r="G1077" i="2" s="1"/>
  <c r="E1078" i="2"/>
  <c r="F1078" i="2" s="1"/>
  <c r="G1078" i="2" s="1"/>
  <c r="E1079" i="2"/>
  <c r="F1079" i="2" s="1"/>
  <c r="G1079" i="2" s="1"/>
  <c r="E1080" i="2"/>
  <c r="F1080" i="2" s="1"/>
  <c r="G1080" i="2" s="1"/>
  <c r="E1081" i="2"/>
  <c r="F1081" i="2" s="1"/>
  <c r="G1081" i="2" s="1"/>
  <c r="E1082" i="2"/>
  <c r="F1082" i="2" s="1"/>
  <c r="G1082" i="2" s="1"/>
  <c r="E1083" i="2"/>
  <c r="F1083" i="2" s="1"/>
  <c r="G1083" i="2" s="1"/>
  <c r="E1084" i="2"/>
  <c r="F1084" i="2" s="1"/>
  <c r="G1084" i="2" s="1"/>
  <c r="E1085" i="2"/>
  <c r="F1085" i="2" s="1"/>
  <c r="G1085" i="2" s="1"/>
  <c r="E1086" i="2"/>
  <c r="F1086" i="2" s="1"/>
  <c r="G1086" i="2" s="1"/>
  <c r="E1087" i="2"/>
  <c r="F1087" i="2" s="1"/>
  <c r="G1087" i="2" s="1"/>
  <c r="E1088" i="2"/>
  <c r="F1088" i="2" s="1"/>
  <c r="G1088" i="2" s="1"/>
  <c r="E1089" i="2"/>
  <c r="F1089" i="2" s="1"/>
  <c r="G1089" i="2" s="1"/>
  <c r="E1090" i="2"/>
  <c r="F1090" i="2" s="1"/>
  <c r="G1090" i="2" s="1"/>
  <c r="E1091" i="2"/>
  <c r="F1091" i="2" s="1"/>
  <c r="G1091" i="2" s="1"/>
  <c r="E1092" i="2"/>
  <c r="F1092" i="2" s="1"/>
  <c r="G1092" i="2" s="1"/>
  <c r="E1093" i="2"/>
  <c r="F1093" i="2" s="1"/>
  <c r="G1093" i="2" s="1"/>
  <c r="E1094" i="2"/>
  <c r="F1094" i="2" s="1"/>
  <c r="G1094" i="2" s="1"/>
  <c r="E1095" i="2"/>
  <c r="F1095" i="2" s="1"/>
  <c r="G1095" i="2" s="1"/>
  <c r="E1096" i="2"/>
  <c r="F1096" i="2" s="1"/>
  <c r="G1096" i="2" s="1"/>
  <c r="E1097" i="2"/>
  <c r="F1097" i="2" s="1"/>
  <c r="G1097" i="2" s="1"/>
  <c r="E1098" i="2"/>
  <c r="F1098" i="2" s="1"/>
  <c r="G1098" i="2" s="1"/>
  <c r="E1099" i="2"/>
  <c r="F1099" i="2" s="1"/>
  <c r="G1099" i="2" s="1"/>
  <c r="E1100" i="2"/>
  <c r="F1100" i="2" s="1"/>
  <c r="G1100" i="2" s="1"/>
  <c r="E1101" i="2"/>
  <c r="F1101" i="2" s="1"/>
  <c r="G1101" i="2" s="1"/>
  <c r="E1102" i="2"/>
  <c r="F1102" i="2" s="1"/>
  <c r="G1102" i="2" s="1"/>
  <c r="E1103" i="2"/>
  <c r="F1103" i="2" s="1"/>
  <c r="G1103" i="2" s="1"/>
  <c r="E1104" i="2"/>
  <c r="F1104" i="2" s="1"/>
  <c r="G1104" i="2" s="1"/>
  <c r="E1105" i="2"/>
  <c r="F1105" i="2" s="1"/>
  <c r="G1105" i="2" s="1"/>
  <c r="E1106" i="2"/>
  <c r="F1106" i="2" s="1"/>
  <c r="G1106" i="2" s="1"/>
  <c r="E1107" i="2"/>
  <c r="F1107" i="2" s="1"/>
  <c r="G1107" i="2" s="1"/>
  <c r="E1108" i="2"/>
  <c r="F1108" i="2" s="1"/>
  <c r="G1108" i="2" s="1"/>
  <c r="E1109" i="2"/>
  <c r="F1109" i="2" s="1"/>
  <c r="G1109" i="2" s="1"/>
  <c r="E1110" i="2"/>
  <c r="F1110" i="2" s="1"/>
  <c r="G1110" i="2" s="1"/>
  <c r="E1111" i="2"/>
  <c r="F1111" i="2" s="1"/>
  <c r="G1111" i="2" s="1"/>
  <c r="E1112" i="2"/>
  <c r="F1112" i="2" s="1"/>
  <c r="G1112" i="2" s="1"/>
  <c r="E1113" i="2"/>
  <c r="F1113" i="2" s="1"/>
  <c r="G1113" i="2" s="1"/>
  <c r="E1114" i="2"/>
  <c r="F1114" i="2" s="1"/>
  <c r="G1114" i="2" s="1"/>
  <c r="E1115" i="2"/>
  <c r="F1115" i="2" s="1"/>
  <c r="G1115" i="2" s="1"/>
  <c r="E1116" i="2"/>
  <c r="F1116" i="2" s="1"/>
  <c r="G1116" i="2" s="1"/>
  <c r="E1117" i="2"/>
  <c r="F1117" i="2" s="1"/>
  <c r="G1117" i="2" s="1"/>
  <c r="E1118" i="2"/>
  <c r="F1118" i="2" s="1"/>
  <c r="G1118" i="2" s="1"/>
  <c r="E1119" i="2"/>
  <c r="F1119" i="2" s="1"/>
  <c r="G1119" i="2" s="1"/>
  <c r="E1120" i="2"/>
  <c r="F1120" i="2" s="1"/>
  <c r="G1120" i="2" s="1"/>
  <c r="E1121" i="2"/>
  <c r="F1121" i="2" s="1"/>
  <c r="G1121" i="2" s="1"/>
  <c r="E1122" i="2"/>
  <c r="F1122" i="2" s="1"/>
  <c r="G1122" i="2" s="1"/>
  <c r="E1123" i="2"/>
  <c r="F1123" i="2" s="1"/>
  <c r="G1123" i="2" s="1"/>
  <c r="E1124" i="2"/>
  <c r="F1124" i="2" s="1"/>
  <c r="G1124" i="2" s="1"/>
  <c r="E1125" i="2"/>
  <c r="F1125" i="2" s="1"/>
  <c r="G1125" i="2" s="1"/>
  <c r="E1126" i="2"/>
  <c r="F1126" i="2" s="1"/>
  <c r="G1126" i="2" s="1"/>
  <c r="E1127" i="2"/>
  <c r="F1127" i="2" s="1"/>
  <c r="G1127" i="2" s="1"/>
  <c r="E1128" i="2"/>
  <c r="F1128" i="2" s="1"/>
  <c r="G1128" i="2" s="1"/>
  <c r="E1129" i="2"/>
  <c r="F1129" i="2" s="1"/>
  <c r="G1129" i="2" s="1"/>
  <c r="E1130" i="2"/>
  <c r="F1130" i="2" s="1"/>
  <c r="G1130" i="2" s="1"/>
  <c r="E1131" i="2"/>
  <c r="F1131" i="2" s="1"/>
  <c r="G1131" i="2" s="1"/>
  <c r="E1132" i="2"/>
  <c r="F1132" i="2" s="1"/>
  <c r="G1132" i="2" s="1"/>
  <c r="E1133" i="2"/>
  <c r="F1133" i="2" s="1"/>
  <c r="G1133" i="2" s="1"/>
  <c r="E1134" i="2"/>
  <c r="F1134" i="2" s="1"/>
  <c r="G1134" i="2" s="1"/>
  <c r="E1135" i="2"/>
  <c r="F1135" i="2" s="1"/>
  <c r="G1135" i="2" s="1"/>
  <c r="E1136" i="2"/>
  <c r="F1136" i="2" s="1"/>
  <c r="G1136" i="2" s="1"/>
  <c r="E1137" i="2"/>
  <c r="F1137" i="2" s="1"/>
  <c r="G1137" i="2" s="1"/>
  <c r="E1138" i="2"/>
  <c r="F1138" i="2" s="1"/>
  <c r="G1138" i="2" s="1"/>
  <c r="E1139" i="2"/>
  <c r="F1139" i="2" s="1"/>
  <c r="G1139" i="2" s="1"/>
  <c r="E1140" i="2"/>
  <c r="F1140" i="2" s="1"/>
  <c r="G1140" i="2" s="1"/>
  <c r="E1141" i="2"/>
  <c r="F1141" i="2" s="1"/>
  <c r="G1141" i="2" s="1"/>
  <c r="E1142" i="2"/>
  <c r="F1142" i="2" s="1"/>
  <c r="G1142" i="2" s="1"/>
  <c r="E1143" i="2"/>
  <c r="F1143" i="2" s="1"/>
  <c r="G1143" i="2" s="1"/>
  <c r="E1144" i="2"/>
  <c r="F1144" i="2" s="1"/>
  <c r="G1144" i="2" s="1"/>
  <c r="E1145" i="2"/>
  <c r="F1145" i="2" s="1"/>
  <c r="G1145" i="2" s="1"/>
  <c r="E1146" i="2"/>
  <c r="F1146" i="2" s="1"/>
  <c r="G1146" i="2" s="1"/>
  <c r="E1147" i="2"/>
  <c r="F1147" i="2" s="1"/>
  <c r="G1147" i="2" s="1"/>
  <c r="E1148" i="2"/>
  <c r="F1148" i="2" s="1"/>
  <c r="G1148" i="2" s="1"/>
  <c r="E1149" i="2"/>
  <c r="F1149" i="2" s="1"/>
  <c r="G1149" i="2" s="1"/>
  <c r="E1150" i="2"/>
  <c r="F1150" i="2" s="1"/>
  <c r="G1150" i="2" s="1"/>
  <c r="E1151" i="2"/>
  <c r="F1151" i="2" s="1"/>
  <c r="G1151" i="2" s="1"/>
  <c r="E1152" i="2"/>
  <c r="F1152" i="2" s="1"/>
  <c r="G1152" i="2" s="1"/>
  <c r="E1153" i="2"/>
  <c r="F1153" i="2" s="1"/>
  <c r="G1153" i="2" s="1"/>
  <c r="E1154" i="2"/>
  <c r="F1154" i="2" s="1"/>
  <c r="G1154" i="2" s="1"/>
  <c r="E1155" i="2"/>
  <c r="F1155" i="2" s="1"/>
  <c r="G1155" i="2" s="1"/>
  <c r="E1156" i="2"/>
  <c r="F1156" i="2" s="1"/>
  <c r="G1156" i="2" s="1"/>
  <c r="E1157" i="2"/>
  <c r="F1157" i="2" s="1"/>
  <c r="G1157" i="2" s="1"/>
  <c r="E1158" i="2"/>
  <c r="F1158" i="2" s="1"/>
  <c r="G1158" i="2" s="1"/>
  <c r="E1159" i="2"/>
  <c r="F1159" i="2" s="1"/>
  <c r="G1159" i="2" s="1"/>
  <c r="E1160" i="2"/>
  <c r="F1160" i="2" s="1"/>
  <c r="G1160" i="2" s="1"/>
  <c r="E1161" i="2"/>
  <c r="F1161" i="2" s="1"/>
  <c r="G1161" i="2" s="1"/>
  <c r="E1162" i="2"/>
  <c r="F1162" i="2" s="1"/>
  <c r="G1162" i="2" s="1"/>
  <c r="E1163" i="2"/>
  <c r="F1163" i="2" s="1"/>
  <c r="G1163" i="2" s="1"/>
  <c r="E1164" i="2"/>
  <c r="F1164" i="2" s="1"/>
  <c r="G1164" i="2" s="1"/>
  <c r="E1165" i="2"/>
  <c r="F1165" i="2" s="1"/>
  <c r="G1165" i="2" s="1"/>
  <c r="E1166" i="2"/>
  <c r="F1166" i="2" s="1"/>
  <c r="G1166" i="2" s="1"/>
  <c r="E1167" i="2"/>
  <c r="F1167" i="2" s="1"/>
  <c r="G1167" i="2" s="1"/>
  <c r="E1168" i="2"/>
  <c r="F1168" i="2" s="1"/>
  <c r="G1168" i="2" s="1"/>
  <c r="E1169" i="2"/>
  <c r="F1169" i="2" s="1"/>
  <c r="G1169" i="2" s="1"/>
  <c r="E1170" i="2"/>
  <c r="F1170" i="2" s="1"/>
  <c r="G1170" i="2" s="1"/>
  <c r="E1171" i="2"/>
  <c r="F1171" i="2" s="1"/>
  <c r="G1171" i="2" s="1"/>
  <c r="E1172" i="2"/>
  <c r="F1172" i="2" s="1"/>
  <c r="G1172" i="2" s="1"/>
  <c r="E1173" i="2"/>
  <c r="F1173" i="2" s="1"/>
  <c r="G1173" i="2" s="1"/>
  <c r="E1174" i="2"/>
  <c r="F1174" i="2" s="1"/>
  <c r="G1174" i="2" s="1"/>
  <c r="E1175" i="2"/>
  <c r="F1175" i="2" s="1"/>
  <c r="G1175" i="2" s="1"/>
  <c r="E1176" i="2"/>
  <c r="F1176" i="2" s="1"/>
  <c r="G1176" i="2" s="1"/>
  <c r="E1177" i="2"/>
  <c r="F1177" i="2" s="1"/>
  <c r="G1177" i="2" s="1"/>
  <c r="E1178" i="2"/>
  <c r="F1178" i="2" s="1"/>
  <c r="G1178" i="2" s="1"/>
  <c r="E1179" i="2"/>
  <c r="F1179" i="2" s="1"/>
  <c r="G1179" i="2" s="1"/>
  <c r="E1180" i="2"/>
  <c r="F1180" i="2" s="1"/>
  <c r="G1180" i="2" s="1"/>
  <c r="E1181" i="2"/>
  <c r="F1181" i="2" s="1"/>
  <c r="G1181" i="2" s="1"/>
  <c r="E1182" i="2"/>
  <c r="F1182" i="2" s="1"/>
  <c r="G1182" i="2" s="1"/>
  <c r="E1183" i="2"/>
  <c r="F1183" i="2" s="1"/>
  <c r="G1183" i="2" s="1"/>
  <c r="E1184" i="2"/>
  <c r="F1184" i="2" s="1"/>
  <c r="G1184" i="2" s="1"/>
  <c r="E1185" i="2"/>
  <c r="F1185" i="2" s="1"/>
  <c r="G1185" i="2" s="1"/>
  <c r="E1186" i="2"/>
  <c r="F1186" i="2" s="1"/>
  <c r="G1186" i="2" s="1"/>
  <c r="E1187" i="2"/>
  <c r="F1187" i="2" s="1"/>
  <c r="G1187" i="2" s="1"/>
  <c r="E1188" i="2"/>
  <c r="F1188" i="2" s="1"/>
  <c r="G1188" i="2" s="1"/>
  <c r="E1189" i="2"/>
  <c r="F1189" i="2" s="1"/>
  <c r="G1189" i="2" s="1"/>
  <c r="E1190" i="2"/>
  <c r="F1190" i="2" s="1"/>
  <c r="G1190" i="2" s="1"/>
  <c r="E1191" i="2"/>
  <c r="F1191" i="2" s="1"/>
  <c r="G1191" i="2" s="1"/>
  <c r="E1192" i="2"/>
  <c r="F1192" i="2" s="1"/>
  <c r="G1192" i="2" s="1"/>
  <c r="E1193" i="2"/>
  <c r="F1193" i="2" s="1"/>
  <c r="G1193" i="2" s="1"/>
  <c r="E1194" i="2"/>
  <c r="F1194" i="2" s="1"/>
  <c r="G1194" i="2" s="1"/>
  <c r="E1195" i="2"/>
  <c r="F1195" i="2" s="1"/>
  <c r="G1195" i="2" s="1"/>
  <c r="E1196" i="2"/>
  <c r="F1196" i="2" s="1"/>
  <c r="G1196" i="2" s="1"/>
  <c r="E1197" i="2"/>
  <c r="F1197" i="2" s="1"/>
  <c r="G1197" i="2" s="1"/>
  <c r="E1198" i="2"/>
  <c r="F1198" i="2" s="1"/>
  <c r="G1198" i="2" s="1"/>
  <c r="E1199" i="2"/>
  <c r="F1199" i="2" s="1"/>
  <c r="G1199" i="2" s="1"/>
  <c r="E1200" i="2"/>
  <c r="F1200" i="2" s="1"/>
  <c r="G1200" i="2" s="1"/>
  <c r="E1201" i="2"/>
  <c r="F1201" i="2" s="1"/>
  <c r="G1201" i="2" s="1"/>
  <c r="E1202" i="2"/>
  <c r="F1202" i="2" s="1"/>
  <c r="G1202" i="2" s="1"/>
  <c r="E1203" i="2"/>
  <c r="F1203" i="2" s="1"/>
  <c r="G1203" i="2" s="1"/>
  <c r="E1204" i="2"/>
  <c r="F1204" i="2" s="1"/>
  <c r="G1204" i="2" s="1"/>
  <c r="E1205" i="2"/>
  <c r="F1205" i="2" s="1"/>
  <c r="G1205" i="2" s="1"/>
  <c r="E1206" i="2"/>
  <c r="F1206" i="2" s="1"/>
  <c r="G1206" i="2" s="1"/>
  <c r="E1207" i="2"/>
  <c r="F1207" i="2" s="1"/>
  <c r="G1207" i="2" s="1"/>
  <c r="E1208" i="2"/>
  <c r="F1208" i="2" s="1"/>
  <c r="G1208" i="2" s="1"/>
  <c r="E1209" i="2"/>
  <c r="F1209" i="2" s="1"/>
  <c r="G1209" i="2" s="1"/>
  <c r="E1210" i="2"/>
  <c r="F1210" i="2" s="1"/>
  <c r="G1210" i="2" s="1"/>
  <c r="E1211" i="2"/>
  <c r="F1211" i="2" s="1"/>
  <c r="G1211" i="2" s="1"/>
  <c r="E1212" i="2"/>
  <c r="F1212" i="2" s="1"/>
  <c r="G1212" i="2" s="1"/>
  <c r="E1213" i="2"/>
  <c r="F1213" i="2" s="1"/>
  <c r="G1213" i="2" s="1"/>
  <c r="E1214" i="2"/>
  <c r="F1214" i="2" s="1"/>
  <c r="G1214" i="2" s="1"/>
  <c r="E1215" i="2"/>
  <c r="F1215" i="2" s="1"/>
  <c r="G1215" i="2" s="1"/>
  <c r="E1216" i="2"/>
  <c r="F1216" i="2" s="1"/>
  <c r="G1216" i="2" s="1"/>
  <c r="E1217" i="2"/>
  <c r="F1217" i="2" s="1"/>
  <c r="G1217" i="2" s="1"/>
  <c r="E1218" i="2"/>
  <c r="F1218" i="2" s="1"/>
  <c r="G1218" i="2" s="1"/>
  <c r="E1219" i="2"/>
  <c r="F1219" i="2" s="1"/>
  <c r="G1219" i="2" s="1"/>
  <c r="E1220" i="2"/>
  <c r="F1220" i="2" s="1"/>
  <c r="G1220" i="2" s="1"/>
  <c r="E1221" i="2"/>
  <c r="F1221" i="2" s="1"/>
  <c r="G1221" i="2" s="1"/>
  <c r="E1222" i="2"/>
  <c r="F1222" i="2" s="1"/>
  <c r="G1222" i="2" s="1"/>
  <c r="E1223" i="2"/>
  <c r="F1223" i="2" s="1"/>
  <c r="G1223" i="2" s="1"/>
  <c r="E1224" i="2"/>
  <c r="F1224" i="2" s="1"/>
  <c r="G1224" i="2" s="1"/>
  <c r="E1225" i="2"/>
  <c r="F1225" i="2" s="1"/>
  <c r="G1225" i="2" s="1"/>
  <c r="E1226" i="2"/>
  <c r="F1226" i="2" s="1"/>
  <c r="G1226" i="2" s="1"/>
  <c r="E1227" i="2"/>
  <c r="F1227" i="2" s="1"/>
  <c r="G1227" i="2" s="1"/>
  <c r="E1228" i="2"/>
  <c r="F1228" i="2" s="1"/>
  <c r="G1228" i="2" s="1"/>
  <c r="E1229" i="2"/>
  <c r="F1229" i="2" s="1"/>
  <c r="G1229" i="2" s="1"/>
  <c r="E1230" i="2"/>
  <c r="F1230" i="2" s="1"/>
  <c r="G1230" i="2" s="1"/>
  <c r="E1231" i="2"/>
  <c r="F1231" i="2" s="1"/>
  <c r="G1231" i="2" s="1"/>
  <c r="E1232" i="2"/>
  <c r="F1232" i="2" s="1"/>
  <c r="G1232" i="2" s="1"/>
  <c r="E1233" i="2"/>
  <c r="F1233" i="2" s="1"/>
  <c r="G1233" i="2" s="1"/>
  <c r="E1234" i="2"/>
  <c r="F1234" i="2" s="1"/>
  <c r="G1234" i="2" s="1"/>
  <c r="E1235" i="2"/>
  <c r="F1235" i="2" s="1"/>
  <c r="G1235" i="2" s="1"/>
  <c r="E1236" i="2"/>
  <c r="F1236" i="2" s="1"/>
  <c r="G1236" i="2" s="1"/>
  <c r="E1237" i="2"/>
  <c r="F1237" i="2" s="1"/>
  <c r="G1237" i="2" s="1"/>
  <c r="E1238" i="2"/>
  <c r="F1238" i="2" s="1"/>
  <c r="G1238" i="2" s="1"/>
  <c r="E1239" i="2"/>
  <c r="F1239" i="2" s="1"/>
  <c r="G1239" i="2" s="1"/>
  <c r="E1240" i="2"/>
  <c r="F1240" i="2" s="1"/>
  <c r="G1240" i="2" s="1"/>
  <c r="E1241" i="2"/>
  <c r="F1241" i="2" s="1"/>
  <c r="G1241" i="2" s="1"/>
  <c r="E1242" i="2"/>
  <c r="F1242" i="2" s="1"/>
  <c r="G1242" i="2" s="1"/>
  <c r="E1243" i="2"/>
  <c r="F1243" i="2" s="1"/>
  <c r="G1243" i="2" s="1"/>
  <c r="E1244" i="2"/>
  <c r="F1244" i="2" s="1"/>
  <c r="G1244" i="2" s="1"/>
  <c r="E1245" i="2"/>
  <c r="F1245" i="2" s="1"/>
  <c r="G1245" i="2" s="1"/>
  <c r="E1246" i="2"/>
  <c r="F1246" i="2" s="1"/>
  <c r="G1246" i="2" s="1"/>
  <c r="E1247" i="2"/>
  <c r="F1247" i="2" s="1"/>
  <c r="G1247" i="2" s="1"/>
  <c r="E1248" i="2"/>
  <c r="F1248" i="2" s="1"/>
  <c r="G1248" i="2" s="1"/>
  <c r="E1249" i="2"/>
  <c r="F1249" i="2" s="1"/>
  <c r="G1249" i="2" s="1"/>
  <c r="E1250" i="2"/>
  <c r="F1250" i="2" s="1"/>
  <c r="G1250" i="2" s="1"/>
  <c r="E1251" i="2"/>
  <c r="F1251" i="2" s="1"/>
  <c r="G1251" i="2" s="1"/>
  <c r="E1252" i="2"/>
  <c r="F1252" i="2" s="1"/>
  <c r="G1252" i="2" s="1"/>
  <c r="E1253" i="2"/>
  <c r="F1253" i="2" s="1"/>
  <c r="G1253" i="2" s="1"/>
  <c r="E1254" i="2"/>
  <c r="F1254" i="2" s="1"/>
  <c r="G1254" i="2" s="1"/>
  <c r="E1255" i="2"/>
  <c r="F1255" i="2" s="1"/>
  <c r="G1255" i="2" s="1"/>
  <c r="E1256" i="2"/>
  <c r="F1256" i="2" s="1"/>
  <c r="G1256" i="2" s="1"/>
  <c r="E1257" i="2"/>
  <c r="F1257" i="2" s="1"/>
  <c r="G1257" i="2" s="1"/>
  <c r="E1258" i="2"/>
  <c r="F1258" i="2" s="1"/>
  <c r="G1258" i="2" s="1"/>
  <c r="E1259" i="2"/>
  <c r="F1259" i="2" s="1"/>
  <c r="G1259" i="2" s="1"/>
  <c r="E1260" i="2"/>
  <c r="F1260" i="2" s="1"/>
  <c r="G1260" i="2" s="1"/>
  <c r="E1261" i="2"/>
  <c r="F1261" i="2" s="1"/>
  <c r="G1261" i="2" s="1"/>
  <c r="E1262" i="2"/>
  <c r="F1262" i="2" s="1"/>
  <c r="G1262" i="2" s="1"/>
  <c r="E1263" i="2"/>
  <c r="F1263" i="2" s="1"/>
  <c r="G1263" i="2" s="1"/>
  <c r="E1264" i="2"/>
  <c r="F1264" i="2" s="1"/>
  <c r="G1264" i="2" s="1"/>
  <c r="E1265" i="2"/>
  <c r="F1265" i="2" s="1"/>
  <c r="G1265" i="2" s="1"/>
  <c r="E1266" i="2"/>
  <c r="F1266" i="2" s="1"/>
  <c r="G1266" i="2" s="1"/>
  <c r="E1267" i="2"/>
  <c r="F1267" i="2" s="1"/>
  <c r="G1267" i="2" s="1"/>
  <c r="E1268" i="2"/>
  <c r="F1268" i="2" s="1"/>
  <c r="G1268" i="2" s="1"/>
  <c r="E1269" i="2"/>
  <c r="F1269" i="2" s="1"/>
  <c r="G1269" i="2" s="1"/>
  <c r="E1270" i="2"/>
  <c r="F1270" i="2" s="1"/>
  <c r="G1270" i="2" s="1"/>
  <c r="E1271" i="2"/>
  <c r="F1271" i="2" s="1"/>
  <c r="G1271" i="2" s="1"/>
  <c r="E1272" i="2"/>
  <c r="F1272" i="2" s="1"/>
  <c r="G1272" i="2" s="1"/>
  <c r="E1273" i="2"/>
  <c r="F1273" i="2" s="1"/>
  <c r="G1273" i="2" s="1"/>
  <c r="E1274" i="2"/>
  <c r="F1274" i="2" s="1"/>
  <c r="G1274" i="2" s="1"/>
  <c r="E1275" i="2"/>
  <c r="F1275" i="2" s="1"/>
  <c r="G1275" i="2" s="1"/>
  <c r="E1276" i="2"/>
  <c r="F1276" i="2" s="1"/>
  <c r="G1276" i="2" s="1"/>
  <c r="E1277" i="2"/>
  <c r="F1277" i="2" s="1"/>
  <c r="G1277" i="2" s="1"/>
  <c r="E1278" i="2"/>
  <c r="F1278" i="2" s="1"/>
  <c r="G1278" i="2" s="1"/>
  <c r="E1279" i="2"/>
  <c r="F1279" i="2" s="1"/>
  <c r="G1279" i="2" s="1"/>
  <c r="E1280" i="2"/>
  <c r="F1280" i="2" s="1"/>
  <c r="G1280" i="2" s="1"/>
  <c r="E1281" i="2"/>
  <c r="F1281" i="2" s="1"/>
  <c r="G1281" i="2" s="1"/>
  <c r="E1282" i="2"/>
  <c r="F1282" i="2" s="1"/>
  <c r="G1282" i="2" s="1"/>
  <c r="E1283" i="2"/>
  <c r="F1283" i="2" s="1"/>
  <c r="G1283" i="2" s="1"/>
  <c r="E1284" i="2"/>
  <c r="F1284" i="2" s="1"/>
  <c r="G1284" i="2" s="1"/>
  <c r="E1285" i="2"/>
  <c r="F1285" i="2" s="1"/>
  <c r="G1285" i="2" s="1"/>
  <c r="E1286" i="2"/>
  <c r="F1286" i="2" s="1"/>
  <c r="G1286" i="2" s="1"/>
  <c r="E1287" i="2"/>
  <c r="F1287" i="2" s="1"/>
  <c r="G1287" i="2" s="1"/>
  <c r="E1288" i="2"/>
  <c r="F1288" i="2" s="1"/>
  <c r="G1288" i="2" s="1"/>
  <c r="E1289" i="2"/>
  <c r="F1289" i="2" s="1"/>
  <c r="G1289" i="2" s="1"/>
  <c r="E1290" i="2"/>
  <c r="F1290" i="2" s="1"/>
  <c r="G1290" i="2" s="1"/>
  <c r="E1291" i="2"/>
  <c r="F1291" i="2" s="1"/>
  <c r="G1291" i="2" s="1"/>
  <c r="E1292" i="2"/>
  <c r="F1292" i="2" s="1"/>
  <c r="G1292" i="2" s="1"/>
  <c r="E1293" i="2"/>
  <c r="F1293" i="2" s="1"/>
  <c r="G1293" i="2" s="1"/>
  <c r="E1294" i="2"/>
  <c r="F1294" i="2" s="1"/>
  <c r="G1294" i="2" s="1"/>
  <c r="E1295" i="2"/>
  <c r="F1295" i="2" s="1"/>
  <c r="G1295" i="2" s="1"/>
  <c r="E1296" i="2"/>
  <c r="F1296" i="2" s="1"/>
  <c r="G1296" i="2" s="1"/>
  <c r="E1297" i="2"/>
  <c r="F1297" i="2" s="1"/>
  <c r="G1297" i="2" s="1"/>
  <c r="E1298" i="2"/>
  <c r="F1298" i="2" s="1"/>
  <c r="G1298" i="2" s="1"/>
  <c r="E1299" i="2"/>
  <c r="F1299" i="2" s="1"/>
  <c r="G1299" i="2" s="1"/>
  <c r="E1300" i="2"/>
  <c r="F1300" i="2" s="1"/>
  <c r="G1300" i="2" s="1"/>
  <c r="E1301" i="2"/>
  <c r="F1301" i="2" s="1"/>
  <c r="G1301" i="2" s="1"/>
  <c r="E1302" i="2"/>
  <c r="F1302" i="2" s="1"/>
  <c r="G1302" i="2" s="1"/>
  <c r="E1303" i="2"/>
  <c r="F1303" i="2" s="1"/>
  <c r="G1303" i="2" s="1"/>
  <c r="E1304" i="2"/>
  <c r="F1304" i="2" s="1"/>
  <c r="G1304" i="2" s="1"/>
  <c r="E1305" i="2"/>
  <c r="F1305" i="2" s="1"/>
  <c r="G1305" i="2" s="1"/>
  <c r="E1306" i="2"/>
  <c r="F1306" i="2" s="1"/>
  <c r="G1306" i="2" s="1"/>
  <c r="E1307" i="2"/>
  <c r="F1307" i="2" s="1"/>
  <c r="G1307" i="2" s="1"/>
  <c r="E1308" i="2"/>
  <c r="F1308" i="2" s="1"/>
  <c r="G1308" i="2" s="1"/>
  <c r="E1309" i="2"/>
  <c r="F1309" i="2" s="1"/>
  <c r="G1309" i="2" s="1"/>
  <c r="E1310" i="2"/>
  <c r="F1310" i="2" s="1"/>
  <c r="G1310" i="2" s="1"/>
  <c r="E1311" i="2"/>
  <c r="F1311" i="2" s="1"/>
  <c r="G1311" i="2" s="1"/>
  <c r="E1312" i="2"/>
  <c r="F1312" i="2" s="1"/>
  <c r="G1312" i="2" s="1"/>
  <c r="E1313" i="2"/>
  <c r="F1313" i="2" s="1"/>
  <c r="G1313" i="2" s="1"/>
  <c r="E1314" i="2"/>
  <c r="F1314" i="2" s="1"/>
  <c r="G1314" i="2" s="1"/>
  <c r="E1315" i="2"/>
  <c r="F1315" i="2" s="1"/>
  <c r="G1315" i="2" s="1"/>
  <c r="E1316" i="2"/>
  <c r="F1316" i="2" s="1"/>
  <c r="G1316" i="2" s="1"/>
  <c r="E1317" i="2"/>
  <c r="F1317" i="2" s="1"/>
  <c r="G1317" i="2" s="1"/>
  <c r="E1318" i="2"/>
  <c r="F1318" i="2" s="1"/>
  <c r="G1318" i="2" s="1"/>
  <c r="E1319" i="2"/>
  <c r="F1319" i="2" s="1"/>
  <c r="G1319" i="2" s="1"/>
  <c r="E1320" i="2"/>
  <c r="F1320" i="2" s="1"/>
  <c r="G1320" i="2" s="1"/>
  <c r="E1321" i="2"/>
  <c r="F1321" i="2" s="1"/>
  <c r="G1321" i="2" s="1"/>
  <c r="E1322" i="2"/>
  <c r="F1322" i="2" s="1"/>
  <c r="G1322" i="2" s="1"/>
  <c r="E1323" i="2"/>
  <c r="F1323" i="2" s="1"/>
  <c r="G1323" i="2" s="1"/>
  <c r="E1324" i="2"/>
  <c r="F1324" i="2" s="1"/>
  <c r="G1324" i="2" s="1"/>
  <c r="E1325" i="2"/>
  <c r="F1325" i="2" s="1"/>
  <c r="G1325" i="2" s="1"/>
  <c r="E1326" i="2"/>
  <c r="F1326" i="2" s="1"/>
  <c r="G1326" i="2" s="1"/>
  <c r="E1327" i="2"/>
  <c r="F1327" i="2" s="1"/>
  <c r="G1327" i="2" s="1"/>
  <c r="E1328" i="2"/>
  <c r="F1328" i="2" s="1"/>
  <c r="G1328" i="2" s="1"/>
  <c r="E1329" i="2"/>
  <c r="F1329" i="2" s="1"/>
  <c r="G1329" i="2" s="1"/>
  <c r="E1330" i="2"/>
  <c r="F1330" i="2" s="1"/>
  <c r="G1330" i="2" s="1"/>
  <c r="E1331" i="2"/>
  <c r="F1331" i="2" s="1"/>
  <c r="G1331" i="2" s="1"/>
  <c r="E1332" i="2"/>
  <c r="F1332" i="2" s="1"/>
  <c r="G1332" i="2" s="1"/>
  <c r="E1333" i="2"/>
  <c r="F1333" i="2" s="1"/>
  <c r="G1333" i="2" s="1"/>
  <c r="E1334" i="2"/>
  <c r="F1334" i="2" s="1"/>
  <c r="G1334" i="2" s="1"/>
  <c r="E1335" i="2"/>
  <c r="F1335" i="2" s="1"/>
  <c r="G1335" i="2" s="1"/>
  <c r="E1336" i="2"/>
  <c r="F1336" i="2" s="1"/>
  <c r="G1336" i="2" s="1"/>
  <c r="E1337" i="2"/>
  <c r="F1337" i="2" s="1"/>
  <c r="G1337" i="2" s="1"/>
  <c r="E1338" i="2"/>
  <c r="F1338" i="2" s="1"/>
  <c r="G1338" i="2" s="1"/>
  <c r="E1339" i="2"/>
  <c r="F1339" i="2" s="1"/>
  <c r="G1339" i="2" s="1"/>
  <c r="E1340" i="2"/>
  <c r="F1340" i="2" s="1"/>
  <c r="G1340" i="2" s="1"/>
  <c r="E1341" i="2"/>
  <c r="F1341" i="2" s="1"/>
  <c r="G1341" i="2" s="1"/>
  <c r="E1342" i="2"/>
  <c r="F1342" i="2" s="1"/>
  <c r="G1342" i="2" s="1"/>
  <c r="E1343" i="2"/>
  <c r="F1343" i="2" s="1"/>
  <c r="G1343" i="2" s="1"/>
  <c r="E1344" i="2"/>
  <c r="F1344" i="2" s="1"/>
  <c r="G1344" i="2" s="1"/>
  <c r="E1345" i="2"/>
  <c r="F1345" i="2" s="1"/>
  <c r="G1345" i="2" s="1"/>
  <c r="E1346" i="2"/>
  <c r="F1346" i="2" s="1"/>
  <c r="G1346" i="2" s="1"/>
  <c r="E1347" i="2"/>
  <c r="F1347" i="2" s="1"/>
  <c r="G1347" i="2" s="1"/>
  <c r="E1348" i="2"/>
  <c r="F1348" i="2" s="1"/>
  <c r="G1348" i="2" s="1"/>
  <c r="E1349" i="2"/>
  <c r="F1349" i="2" s="1"/>
  <c r="G1349" i="2" s="1"/>
  <c r="E1350" i="2"/>
  <c r="F1350" i="2" s="1"/>
  <c r="G1350" i="2" s="1"/>
  <c r="E1351" i="2"/>
  <c r="F1351" i="2" s="1"/>
  <c r="G1351" i="2" s="1"/>
  <c r="E1352" i="2"/>
  <c r="F1352" i="2" s="1"/>
  <c r="G1352" i="2" s="1"/>
  <c r="E1353" i="2"/>
  <c r="F1353" i="2" s="1"/>
  <c r="G1353" i="2" s="1"/>
  <c r="E1354" i="2"/>
  <c r="F1354" i="2" s="1"/>
  <c r="G1354" i="2" s="1"/>
  <c r="E1355" i="2"/>
  <c r="F1355" i="2" s="1"/>
  <c r="G1355" i="2" s="1"/>
  <c r="E1356" i="2"/>
  <c r="F1356" i="2" s="1"/>
  <c r="G1356" i="2" s="1"/>
  <c r="E1357" i="2"/>
  <c r="F1357" i="2" s="1"/>
  <c r="G1357" i="2" s="1"/>
  <c r="E1358" i="2"/>
  <c r="F1358" i="2" s="1"/>
  <c r="G1358" i="2" s="1"/>
  <c r="E1359" i="2"/>
  <c r="F1359" i="2" s="1"/>
  <c r="G1359" i="2" s="1"/>
  <c r="E1360" i="2"/>
  <c r="F1360" i="2" s="1"/>
  <c r="G1360" i="2" s="1"/>
  <c r="E1361" i="2"/>
  <c r="F1361" i="2" s="1"/>
  <c r="G1361" i="2" s="1"/>
  <c r="E1362" i="2"/>
  <c r="F1362" i="2" s="1"/>
  <c r="G1362" i="2" s="1"/>
  <c r="E1363" i="2"/>
  <c r="F1363" i="2" s="1"/>
  <c r="G1363" i="2" s="1"/>
  <c r="E1364" i="2"/>
  <c r="F1364" i="2" s="1"/>
  <c r="G1364" i="2" s="1"/>
  <c r="E1365" i="2"/>
  <c r="F1365" i="2" s="1"/>
  <c r="G1365" i="2" s="1"/>
  <c r="E1366" i="2"/>
  <c r="F1366" i="2" s="1"/>
  <c r="G1366" i="2" s="1"/>
  <c r="E1367" i="2"/>
  <c r="F1367" i="2" s="1"/>
  <c r="G1367" i="2" s="1"/>
  <c r="E1368" i="2"/>
  <c r="F1368" i="2" s="1"/>
  <c r="G1368" i="2" s="1"/>
  <c r="E1369" i="2"/>
  <c r="F1369" i="2" s="1"/>
  <c r="G1369" i="2" s="1"/>
  <c r="E1370" i="2"/>
  <c r="F1370" i="2" s="1"/>
  <c r="G1370" i="2" s="1"/>
  <c r="E1371" i="2"/>
  <c r="F1371" i="2" s="1"/>
  <c r="G1371" i="2" s="1"/>
  <c r="E1372" i="2"/>
  <c r="F1372" i="2" s="1"/>
  <c r="G1372" i="2" s="1"/>
  <c r="E1373" i="2"/>
  <c r="F1373" i="2" s="1"/>
  <c r="G1373" i="2" s="1"/>
  <c r="E1374" i="2"/>
  <c r="F1374" i="2" s="1"/>
  <c r="G1374" i="2" s="1"/>
  <c r="E1375" i="2"/>
  <c r="F1375" i="2" s="1"/>
  <c r="G1375" i="2" s="1"/>
  <c r="E1376" i="2"/>
  <c r="F1376" i="2" s="1"/>
  <c r="G1376" i="2" s="1"/>
  <c r="E1377" i="2"/>
  <c r="F1377" i="2" s="1"/>
  <c r="G1377" i="2" s="1"/>
  <c r="E1378" i="2"/>
  <c r="F1378" i="2" s="1"/>
  <c r="G1378" i="2" s="1"/>
  <c r="E1379" i="2"/>
  <c r="F1379" i="2" s="1"/>
  <c r="G1379" i="2" s="1"/>
  <c r="E1380" i="2"/>
  <c r="F1380" i="2" s="1"/>
  <c r="G1380" i="2" s="1"/>
  <c r="E1381" i="2"/>
  <c r="F1381" i="2" s="1"/>
  <c r="G1381" i="2" s="1"/>
  <c r="E1382" i="2"/>
  <c r="F1382" i="2" s="1"/>
  <c r="G1382" i="2" s="1"/>
  <c r="E1383" i="2"/>
  <c r="F1383" i="2" s="1"/>
  <c r="G1383" i="2" s="1"/>
  <c r="E1384" i="2"/>
  <c r="F1384" i="2" s="1"/>
  <c r="G1384" i="2" s="1"/>
  <c r="E1385" i="2"/>
  <c r="F1385" i="2" s="1"/>
  <c r="G1385" i="2" s="1"/>
  <c r="E1386" i="2"/>
  <c r="F1386" i="2" s="1"/>
  <c r="G1386" i="2" s="1"/>
  <c r="E1387" i="2"/>
  <c r="F1387" i="2" s="1"/>
  <c r="G1387" i="2" s="1"/>
  <c r="E1388" i="2"/>
  <c r="F1388" i="2" s="1"/>
  <c r="G1388" i="2" s="1"/>
  <c r="E1389" i="2"/>
  <c r="F1389" i="2" s="1"/>
  <c r="G1389" i="2" s="1"/>
  <c r="E1390" i="2"/>
  <c r="F1390" i="2" s="1"/>
  <c r="G1390" i="2" s="1"/>
  <c r="E1391" i="2"/>
  <c r="F1391" i="2" s="1"/>
  <c r="G1391" i="2" s="1"/>
  <c r="E1392" i="2"/>
  <c r="F1392" i="2" s="1"/>
  <c r="G1392" i="2" s="1"/>
  <c r="E1393" i="2"/>
  <c r="F1393" i="2" s="1"/>
  <c r="G1393" i="2" s="1"/>
  <c r="E1394" i="2"/>
  <c r="F1394" i="2" s="1"/>
  <c r="G1394" i="2" s="1"/>
  <c r="E1395" i="2"/>
  <c r="F1395" i="2" s="1"/>
  <c r="G1395" i="2" s="1"/>
  <c r="E1396" i="2"/>
  <c r="F1396" i="2" s="1"/>
  <c r="G1396" i="2" s="1"/>
  <c r="E1397" i="2"/>
  <c r="F1397" i="2" s="1"/>
  <c r="G1397" i="2" s="1"/>
  <c r="E1398" i="2"/>
  <c r="F1398" i="2" s="1"/>
  <c r="G1398" i="2" s="1"/>
  <c r="E1399" i="2"/>
  <c r="F1399" i="2" s="1"/>
  <c r="G1399" i="2" s="1"/>
  <c r="E1400" i="2"/>
  <c r="F1400" i="2" s="1"/>
  <c r="G1400" i="2" s="1"/>
  <c r="E1401" i="2"/>
  <c r="F1401" i="2" s="1"/>
  <c r="G1401" i="2" s="1"/>
  <c r="E1402" i="2"/>
  <c r="F1402" i="2" s="1"/>
  <c r="G1402" i="2" s="1"/>
  <c r="E1403" i="2"/>
  <c r="F1403" i="2" s="1"/>
  <c r="G1403" i="2" s="1"/>
  <c r="E1404" i="2"/>
  <c r="F1404" i="2" s="1"/>
  <c r="G1404" i="2" s="1"/>
  <c r="E1405" i="2"/>
  <c r="F1405" i="2" s="1"/>
  <c r="G1405" i="2" s="1"/>
  <c r="E1406" i="2"/>
  <c r="F1406" i="2" s="1"/>
  <c r="G1406" i="2" s="1"/>
  <c r="E1407" i="2"/>
  <c r="F1407" i="2" s="1"/>
  <c r="G1407" i="2" s="1"/>
  <c r="E1408" i="2"/>
  <c r="F1408" i="2" s="1"/>
  <c r="G1408" i="2" s="1"/>
  <c r="E1409" i="2"/>
  <c r="F1409" i="2" s="1"/>
  <c r="G1409" i="2" s="1"/>
  <c r="E1410" i="2"/>
  <c r="F1410" i="2" s="1"/>
  <c r="G1410" i="2" s="1"/>
  <c r="E1411" i="2"/>
  <c r="F1411" i="2" s="1"/>
  <c r="G1411" i="2" s="1"/>
  <c r="E1412" i="2"/>
  <c r="F1412" i="2" s="1"/>
  <c r="G1412" i="2" s="1"/>
  <c r="E1413" i="2"/>
  <c r="F1413" i="2" s="1"/>
  <c r="G1413" i="2" s="1"/>
  <c r="E1414" i="2"/>
  <c r="F1414" i="2" s="1"/>
  <c r="G1414" i="2" s="1"/>
  <c r="E1415" i="2"/>
  <c r="F1415" i="2" s="1"/>
  <c r="G1415" i="2" s="1"/>
  <c r="E1416" i="2"/>
  <c r="F1416" i="2" s="1"/>
  <c r="G1416" i="2" s="1"/>
  <c r="E1417" i="2"/>
  <c r="F1417" i="2" s="1"/>
  <c r="G1417" i="2" s="1"/>
  <c r="E1418" i="2"/>
  <c r="F1418" i="2" s="1"/>
  <c r="G1418" i="2" s="1"/>
  <c r="E1419" i="2"/>
  <c r="F1419" i="2" s="1"/>
  <c r="G1419" i="2" s="1"/>
  <c r="E1420" i="2"/>
  <c r="F1420" i="2" s="1"/>
  <c r="G1420" i="2" s="1"/>
  <c r="E1421" i="2"/>
  <c r="F1421" i="2" s="1"/>
  <c r="G1421" i="2" s="1"/>
  <c r="E1422" i="2"/>
  <c r="F1422" i="2" s="1"/>
  <c r="G1422" i="2" s="1"/>
  <c r="E1423" i="2"/>
  <c r="F1423" i="2" s="1"/>
  <c r="G1423" i="2" s="1"/>
  <c r="E1424" i="2"/>
  <c r="F1424" i="2" s="1"/>
  <c r="G1424" i="2" s="1"/>
  <c r="E1425" i="2"/>
  <c r="F1425" i="2" s="1"/>
  <c r="G1425" i="2" s="1"/>
  <c r="E1426" i="2"/>
  <c r="F1426" i="2" s="1"/>
  <c r="G1426" i="2" s="1"/>
  <c r="E1427" i="2"/>
  <c r="F1427" i="2" s="1"/>
  <c r="G1427" i="2" s="1"/>
  <c r="E1428" i="2"/>
  <c r="F1428" i="2" s="1"/>
  <c r="G1428" i="2" s="1"/>
  <c r="E1429" i="2"/>
  <c r="F1429" i="2" s="1"/>
  <c r="G1429" i="2" s="1"/>
  <c r="E1430" i="2"/>
  <c r="F1430" i="2" s="1"/>
  <c r="G1430" i="2" s="1"/>
  <c r="E1431" i="2"/>
  <c r="F1431" i="2" s="1"/>
  <c r="G1431" i="2" s="1"/>
  <c r="E1432" i="2"/>
  <c r="F1432" i="2" s="1"/>
  <c r="G1432" i="2" s="1"/>
  <c r="E1433" i="2"/>
  <c r="F1433" i="2" s="1"/>
  <c r="G1433" i="2" s="1"/>
  <c r="E1434" i="2"/>
  <c r="F1434" i="2" s="1"/>
  <c r="G1434" i="2" s="1"/>
  <c r="E1435" i="2"/>
  <c r="F1435" i="2" s="1"/>
  <c r="G1435" i="2" s="1"/>
  <c r="E1436" i="2"/>
  <c r="F1436" i="2" s="1"/>
  <c r="G1436" i="2" s="1"/>
  <c r="E1437" i="2"/>
  <c r="F1437" i="2" s="1"/>
  <c r="G1437" i="2" s="1"/>
  <c r="E1438" i="2"/>
  <c r="F1438" i="2" s="1"/>
  <c r="G1438" i="2" s="1"/>
  <c r="E1439" i="2"/>
  <c r="F1439" i="2" s="1"/>
  <c r="G1439" i="2" s="1"/>
  <c r="E1440" i="2"/>
  <c r="F1440" i="2" s="1"/>
  <c r="G1440" i="2" s="1"/>
  <c r="E1441" i="2"/>
  <c r="F1441" i="2" s="1"/>
  <c r="G1441" i="2" s="1"/>
  <c r="E1442" i="2"/>
  <c r="F1442" i="2" s="1"/>
  <c r="G1442" i="2" s="1"/>
  <c r="E1443" i="2"/>
  <c r="F1443" i="2" s="1"/>
  <c r="G1443" i="2" s="1"/>
  <c r="E1444" i="2"/>
  <c r="F1444" i="2" s="1"/>
  <c r="G1444" i="2" s="1"/>
  <c r="E1445" i="2"/>
  <c r="F1445" i="2" s="1"/>
  <c r="G1445" i="2" s="1"/>
  <c r="E1446" i="2"/>
  <c r="F1446" i="2" s="1"/>
  <c r="G1446" i="2" s="1"/>
  <c r="E1447" i="2"/>
  <c r="F1447" i="2" s="1"/>
  <c r="G1447" i="2" s="1"/>
  <c r="E1448" i="2"/>
  <c r="F1448" i="2" s="1"/>
  <c r="G1448" i="2" s="1"/>
  <c r="E1449" i="2"/>
  <c r="F1449" i="2" s="1"/>
  <c r="G1449" i="2" s="1"/>
  <c r="E1450" i="2"/>
  <c r="F1450" i="2" s="1"/>
  <c r="G1450" i="2" s="1"/>
  <c r="E1451" i="2"/>
  <c r="F1451" i="2" s="1"/>
  <c r="G1451" i="2" s="1"/>
  <c r="E1452" i="2"/>
  <c r="F1452" i="2" s="1"/>
  <c r="G1452" i="2" s="1"/>
  <c r="E1453" i="2"/>
  <c r="F1453" i="2" s="1"/>
  <c r="G1453" i="2" s="1"/>
  <c r="E1454" i="2"/>
  <c r="F1454" i="2" s="1"/>
  <c r="G1454" i="2" s="1"/>
  <c r="E1455" i="2"/>
  <c r="F1455" i="2" s="1"/>
  <c r="G1455" i="2" s="1"/>
  <c r="E1456" i="2"/>
  <c r="F1456" i="2" s="1"/>
  <c r="G1456" i="2" s="1"/>
  <c r="E1457" i="2"/>
  <c r="F1457" i="2" s="1"/>
  <c r="G1457" i="2" s="1"/>
  <c r="E1458" i="2"/>
  <c r="F1458" i="2" s="1"/>
  <c r="G1458" i="2" s="1"/>
  <c r="E1459" i="2"/>
  <c r="F1459" i="2" s="1"/>
  <c r="G1459" i="2" s="1"/>
  <c r="E1460" i="2"/>
  <c r="F1460" i="2" s="1"/>
  <c r="G1460" i="2" s="1"/>
  <c r="E1461" i="2"/>
  <c r="F1461" i="2" s="1"/>
  <c r="G1461" i="2" s="1"/>
  <c r="E1462" i="2"/>
  <c r="F1462" i="2" s="1"/>
  <c r="G1462" i="2" s="1"/>
  <c r="E1463" i="2"/>
  <c r="F1463" i="2" s="1"/>
  <c r="G1463" i="2" s="1"/>
  <c r="E1464" i="2"/>
  <c r="F1464" i="2" s="1"/>
  <c r="G1464" i="2" s="1"/>
  <c r="E1465" i="2"/>
  <c r="F1465" i="2" s="1"/>
  <c r="G1465" i="2" s="1"/>
  <c r="E1466" i="2"/>
  <c r="F1466" i="2" s="1"/>
  <c r="G1466" i="2" s="1"/>
  <c r="E1467" i="2"/>
  <c r="F1467" i="2" s="1"/>
  <c r="G1467" i="2" s="1"/>
  <c r="E1468" i="2"/>
  <c r="F1468" i="2" s="1"/>
  <c r="G1468" i="2" s="1"/>
  <c r="E1469" i="2"/>
  <c r="F1469" i="2" s="1"/>
  <c r="G1469" i="2" s="1"/>
  <c r="E1470" i="2"/>
  <c r="F1470" i="2" s="1"/>
  <c r="G1470" i="2" s="1"/>
  <c r="E1471" i="2"/>
  <c r="F1471" i="2" s="1"/>
  <c r="G1471" i="2" s="1"/>
  <c r="E1472" i="2"/>
  <c r="F1472" i="2" s="1"/>
  <c r="G1472" i="2" s="1"/>
  <c r="E1473" i="2"/>
  <c r="F1473" i="2" s="1"/>
  <c r="G1473" i="2" s="1"/>
  <c r="E1474" i="2"/>
  <c r="F1474" i="2" s="1"/>
  <c r="G1474" i="2" s="1"/>
  <c r="E1475" i="2"/>
  <c r="F1475" i="2" s="1"/>
  <c r="G1475" i="2" s="1"/>
  <c r="E1476" i="2"/>
  <c r="F1476" i="2" s="1"/>
  <c r="G1476" i="2" s="1"/>
  <c r="E1477" i="2"/>
  <c r="F1477" i="2" s="1"/>
  <c r="G1477" i="2" s="1"/>
  <c r="E1478" i="2"/>
  <c r="F1478" i="2" s="1"/>
  <c r="G1478" i="2" s="1"/>
  <c r="E1479" i="2"/>
  <c r="F1479" i="2" s="1"/>
  <c r="G1479" i="2" s="1"/>
  <c r="E1480" i="2"/>
  <c r="F1480" i="2" s="1"/>
  <c r="G1480" i="2" s="1"/>
  <c r="E1481" i="2"/>
  <c r="F1481" i="2" s="1"/>
  <c r="G1481" i="2" s="1"/>
  <c r="E1482" i="2"/>
  <c r="F1482" i="2" s="1"/>
  <c r="G1482" i="2" s="1"/>
  <c r="E1483" i="2"/>
  <c r="F1483" i="2" s="1"/>
  <c r="G1483" i="2" s="1"/>
  <c r="E1484" i="2"/>
  <c r="F1484" i="2" s="1"/>
  <c r="G1484" i="2" s="1"/>
  <c r="E1485" i="2"/>
  <c r="F1485" i="2" s="1"/>
  <c r="G1485" i="2" s="1"/>
  <c r="E1486" i="2"/>
  <c r="F1486" i="2" s="1"/>
  <c r="G1486" i="2" s="1"/>
  <c r="E1487" i="2"/>
  <c r="F1487" i="2" s="1"/>
  <c r="G1487" i="2" s="1"/>
  <c r="E1488" i="2"/>
  <c r="F1488" i="2" s="1"/>
  <c r="G1488" i="2" s="1"/>
  <c r="E1489" i="2"/>
  <c r="F1489" i="2" s="1"/>
  <c r="G1489" i="2" s="1"/>
  <c r="E1490" i="2"/>
  <c r="F1490" i="2" s="1"/>
  <c r="G1490" i="2" s="1"/>
  <c r="E1491" i="2"/>
  <c r="F1491" i="2" s="1"/>
  <c r="G1491" i="2" s="1"/>
  <c r="E1492" i="2"/>
  <c r="F1492" i="2" s="1"/>
  <c r="G1492" i="2" s="1"/>
  <c r="E1493" i="2"/>
  <c r="F1493" i="2" s="1"/>
  <c r="G1493" i="2" s="1"/>
  <c r="E1494" i="2"/>
  <c r="F1494" i="2" s="1"/>
  <c r="G1494" i="2" s="1"/>
  <c r="E1495" i="2"/>
  <c r="F1495" i="2" s="1"/>
  <c r="G1495" i="2" s="1"/>
  <c r="E1496" i="2"/>
  <c r="F1496" i="2" s="1"/>
  <c r="G1496" i="2" s="1"/>
  <c r="E1497" i="2"/>
  <c r="F1497" i="2" s="1"/>
  <c r="G1497" i="2" s="1"/>
  <c r="E1498" i="2"/>
  <c r="F1498" i="2" s="1"/>
  <c r="G1498" i="2" s="1"/>
  <c r="E1499" i="2"/>
  <c r="F1499" i="2" s="1"/>
  <c r="G1499" i="2" s="1"/>
  <c r="E1500" i="2"/>
  <c r="F1500" i="2" s="1"/>
  <c r="G1500" i="2" s="1"/>
  <c r="E1501" i="2"/>
  <c r="F1501" i="2" s="1"/>
  <c r="G1501" i="2" s="1"/>
  <c r="E1502" i="2"/>
  <c r="F1502" i="2" s="1"/>
  <c r="G1502" i="2" s="1"/>
  <c r="E1503" i="2"/>
  <c r="F1503" i="2" s="1"/>
  <c r="G1503" i="2" s="1"/>
  <c r="E1504" i="2"/>
  <c r="F1504" i="2" s="1"/>
  <c r="G1504" i="2" s="1"/>
  <c r="E1505" i="2"/>
  <c r="F1505" i="2" s="1"/>
  <c r="G1505" i="2" s="1"/>
  <c r="E1506" i="2"/>
  <c r="F1506" i="2" s="1"/>
  <c r="G1506" i="2" s="1"/>
  <c r="E1507" i="2"/>
  <c r="F1507" i="2" s="1"/>
  <c r="G1507" i="2" s="1"/>
  <c r="E1508" i="2"/>
  <c r="F1508" i="2" s="1"/>
  <c r="G1508" i="2" s="1"/>
  <c r="E1509" i="2"/>
  <c r="F1509" i="2" s="1"/>
  <c r="G1509" i="2" s="1"/>
  <c r="E1510" i="2"/>
  <c r="F1510" i="2" s="1"/>
  <c r="G1510" i="2" s="1"/>
  <c r="E1511" i="2"/>
  <c r="F1511" i="2" s="1"/>
  <c r="G1511" i="2" s="1"/>
  <c r="E1512" i="2"/>
  <c r="F1512" i="2" s="1"/>
  <c r="G1512" i="2" s="1"/>
  <c r="E1513" i="2"/>
  <c r="F1513" i="2" s="1"/>
  <c r="G1513" i="2" s="1"/>
  <c r="E1514" i="2"/>
  <c r="F1514" i="2" s="1"/>
  <c r="G1514" i="2" s="1"/>
  <c r="E1515" i="2"/>
  <c r="F1515" i="2" s="1"/>
  <c r="G1515" i="2" s="1"/>
  <c r="E1516" i="2"/>
  <c r="F1516" i="2" s="1"/>
  <c r="G1516" i="2" s="1"/>
  <c r="E1517" i="2"/>
  <c r="F1517" i="2" s="1"/>
  <c r="G1517" i="2" s="1"/>
  <c r="E1518" i="2"/>
  <c r="F1518" i="2" s="1"/>
  <c r="G1518" i="2" s="1"/>
  <c r="E1519" i="2"/>
  <c r="F1519" i="2" s="1"/>
  <c r="G1519" i="2" s="1"/>
  <c r="E1520" i="2"/>
  <c r="F1520" i="2" s="1"/>
  <c r="G1520" i="2" s="1"/>
  <c r="E1521" i="2"/>
  <c r="F1521" i="2" s="1"/>
  <c r="G1521" i="2" s="1"/>
  <c r="E1522" i="2"/>
  <c r="F1522" i="2" s="1"/>
  <c r="G1522" i="2" s="1"/>
  <c r="E1523" i="2"/>
  <c r="F1523" i="2" s="1"/>
  <c r="G1523" i="2" s="1"/>
  <c r="E1524" i="2"/>
  <c r="F1524" i="2" s="1"/>
  <c r="G1524" i="2" s="1"/>
  <c r="E1525" i="2"/>
  <c r="F1525" i="2" s="1"/>
  <c r="G1525" i="2" s="1"/>
  <c r="E1526" i="2"/>
  <c r="F1526" i="2" s="1"/>
  <c r="G1526" i="2" s="1"/>
  <c r="E1527" i="2"/>
  <c r="F1527" i="2" s="1"/>
  <c r="G1527" i="2" s="1"/>
  <c r="E1528" i="2"/>
  <c r="F1528" i="2" s="1"/>
  <c r="G1528" i="2" s="1"/>
  <c r="E1529" i="2"/>
  <c r="F1529" i="2" s="1"/>
  <c r="G1529" i="2" s="1"/>
  <c r="E1530" i="2"/>
  <c r="F1530" i="2" s="1"/>
  <c r="G1530" i="2" s="1"/>
  <c r="E1531" i="2"/>
  <c r="F1531" i="2" s="1"/>
  <c r="G1531" i="2" s="1"/>
  <c r="E1532" i="2"/>
  <c r="F1532" i="2" s="1"/>
  <c r="G1532" i="2" s="1"/>
  <c r="E1533" i="2"/>
  <c r="F1533" i="2" s="1"/>
  <c r="G1533" i="2" s="1"/>
  <c r="E1534" i="2"/>
  <c r="F1534" i="2" s="1"/>
  <c r="G1534" i="2" s="1"/>
  <c r="E1535" i="2"/>
  <c r="F1535" i="2" s="1"/>
  <c r="G1535" i="2" s="1"/>
  <c r="E1536" i="2"/>
  <c r="F1536" i="2" s="1"/>
  <c r="G1536" i="2" s="1"/>
  <c r="E1537" i="2"/>
  <c r="F1537" i="2" s="1"/>
  <c r="G1537" i="2" s="1"/>
  <c r="E1538" i="2"/>
  <c r="F1538" i="2" s="1"/>
  <c r="G1538" i="2" s="1"/>
  <c r="E1539" i="2"/>
  <c r="F1539" i="2" s="1"/>
  <c r="G1539" i="2" s="1"/>
  <c r="E1540" i="2"/>
  <c r="F1540" i="2" s="1"/>
  <c r="G1540" i="2" s="1"/>
  <c r="E1541" i="2"/>
  <c r="F1541" i="2" s="1"/>
  <c r="G1541" i="2" s="1"/>
  <c r="E1542" i="2"/>
  <c r="F1542" i="2" s="1"/>
  <c r="G1542" i="2" s="1"/>
  <c r="E1543" i="2"/>
  <c r="F1543" i="2" s="1"/>
  <c r="G1543" i="2" s="1"/>
  <c r="E1544" i="2"/>
  <c r="F1544" i="2" s="1"/>
  <c r="G1544" i="2" s="1"/>
  <c r="E1545" i="2"/>
  <c r="F1545" i="2" s="1"/>
  <c r="G1545" i="2" s="1"/>
  <c r="E1546" i="2"/>
  <c r="F1546" i="2" s="1"/>
  <c r="G1546" i="2" s="1"/>
  <c r="E1547" i="2"/>
  <c r="F1547" i="2" s="1"/>
  <c r="G1547" i="2" s="1"/>
  <c r="E1548" i="2"/>
  <c r="F1548" i="2" s="1"/>
  <c r="G1548" i="2" s="1"/>
  <c r="E1549" i="2"/>
  <c r="F1549" i="2" s="1"/>
  <c r="G1549" i="2" s="1"/>
  <c r="E1550" i="2"/>
  <c r="F1550" i="2" s="1"/>
  <c r="G1550" i="2" s="1"/>
  <c r="E1551" i="2"/>
  <c r="F1551" i="2" s="1"/>
  <c r="G1551" i="2" s="1"/>
  <c r="E1552" i="2"/>
  <c r="F1552" i="2" s="1"/>
  <c r="G1552" i="2" s="1"/>
  <c r="E1553" i="2"/>
  <c r="F1553" i="2" s="1"/>
  <c r="G1553" i="2" s="1"/>
  <c r="E1554" i="2"/>
  <c r="F1554" i="2" s="1"/>
  <c r="G1554" i="2" s="1"/>
  <c r="E1555" i="2"/>
  <c r="F1555" i="2" s="1"/>
  <c r="G1555" i="2" s="1"/>
  <c r="E1556" i="2"/>
  <c r="F1556" i="2" s="1"/>
  <c r="G1556" i="2" s="1"/>
  <c r="E1557" i="2"/>
  <c r="F1557" i="2" s="1"/>
  <c r="G1557" i="2" s="1"/>
  <c r="E1558" i="2"/>
  <c r="F1558" i="2" s="1"/>
  <c r="G1558" i="2" s="1"/>
  <c r="E1559" i="2"/>
  <c r="F1559" i="2" s="1"/>
  <c r="G1559" i="2" s="1"/>
  <c r="E1560" i="2"/>
  <c r="F1560" i="2" s="1"/>
  <c r="G1560" i="2" s="1"/>
  <c r="E1561" i="2"/>
  <c r="F1561" i="2" s="1"/>
  <c r="G1561" i="2" s="1"/>
  <c r="E1562" i="2"/>
  <c r="F1562" i="2" s="1"/>
  <c r="G1562" i="2" s="1"/>
  <c r="E1563" i="2"/>
  <c r="F1563" i="2" s="1"/>
  <c r="G1563" i="2" s="1"/>
  <c r="E1564" i="2"/>
  <c r="F1564" i="2" s="1"/>
  <c r="G1564" i="2" s="1"/>
  <c r="E1565" i="2"/>
  <c r="F1565" i="2" s="1"/>
  <c r="G1565" i="2" s="1"/>
  <c r="E1566" i="2"/>
  <c r="F1566" i="2" s="1"/>
  <c r="G1566" i="2" s="1"/>
  <c r="E1567" i="2"/>
  <c r="F1567" i="2" s="1"/>
  <c r="G1567" i="2" s="1"/>
  <c r="E1568" i="2"/>
  <c r="F1568" i="2" s="1"/>
  <c r="G1568" i="2" s="1"/>
  <c r="E1569" i="2"/>
  <c r="F1569" i="2" s="1"/>
  <c r="G1569" i="2" s="1"/>
  <c r="E1570" i="2"/>
  <c r="F1570" i="2" s="1"/>
  <c r="G1570" i="2" s="1"/>
  <c r="E1571" i="2"/>
  <c r="F1571" i="2" s="1"/>
  <c r="G1571" i="2" s="1"/>
  <c r="E1572" i="2"/>
  <c r="F1572" i="2" s="1"/>
  <c r="G1572" i="2" s="1"/>
  <c r="E1573" i="2"/>
  <c r="F1573" i="2" s="1"/>
  <c r="G1573" i="2" s="1"/>
  <c r="E1574" i="2"/>
  <c r="F1574" i="2" s="1"/>
  <c r="G1574" i="2" s="1"/>
  <c r="E1575" i="2"/>
  <c r="F1575" i="2" s="1"/>
  <c r="G1575" i="2" s="1"/>
  <c r="E1576" i="2"/>
  <c r="F1576" i="2" s="1"/>
  <c r="G1576" i="2" s="1"/>
  <c r="E1577" i="2"/>
  <c r="F1577" i="2" s="1"/>
  <c r="G1577" i="2" s="1"/>
  <c r="E1578" i="2"/>
  <c r="F1578" i="2" s="1"/>
  <c r="G1578" i="2" s="1"/>
  <c r="E1579" i="2"/>
  <c r="F1579" i="2" s="1"/>
  <c r="G1579" i="2" s="1"/>
  <c r="E1580" i="2"/>
  <c r="F1580" i="2" s="1"/>
  <c r="G1580" i="2" s="1"/>
  <c r="E1581" i="2"/>
  <c r="F1581" i="2" s="1"/>
  <c r="G1581" i="2" s="1"/>
  <c r="E1582" i="2"/>
  <c r="F1582" i="2" s="1"/>
  <c r="G1582" i="2" s="1"/>
  <c r="E1583" i="2"/>
  <c r="F1583" i="2" s="1"/>
  <c r="G1583" i="2" s="1"/>
  <c r="E1584" i="2"/>
  <c r="F1584" i="2" s="1"/>
  <c r="G1584" i="2" s="1"/>
  <c r="E1585" i="2"/>
  <c r="F1585" i="2" s="1"/>
  <c r="G1585" i="2" s="1"/>
  <c r="E1586" i="2"/>
  <c r="F1586" i="2" s="1"/>
  <c r="G1586" i="2" s="1"/>
  <c r="E1587" i="2"/>
  <c r="F1587" i="2" s="1"/>
  <c r="G1587" i="2" s="1"/>
  <c r="E1588" i="2"/>
  <c r="F1588" i="2" s="1"/>
  <c r="G1588" i="2" s="1"/>
  <c r="E1589" i="2"/>
  <c r="F1589" i="2" s="1"/>
  <c r="G1589" i="2" s="1"/>
  <c r="E1590" i="2"/>
  <c r="F1590" i="2" s="1"/>
  <c r="G1590" i="2" s="1"/>
  <c r="E1591" i="2"/>
  <c r="F1591" i="2" s="1"/>
  <c r="G1591" i="2" s="1"/>
  <c r="E1592" i="2"/>
  <c r="F1592" i="2" s="1"/>
  <c r="G1592" i="2" s="1"/>
  <c r="E1593" i="2"/>
  <c r="F1593" i="2" s="1"/>
  <c r="G1593" i="2" s="1"/>
  <c r="E1594" i="2"/>
  <c r="F1594" i="2" s="1"/>
  <c r="G1594" i="2" s="1"/>
  <c r="E1595" i="2"/>
  <c r="F1595" i="2" s="1"/>
  <c r="G1595" i="2" s="1"/>
  <c r="E1596" i="2"/>
  <c r="F1596" i="2" s="1"/>
  <c r="G1596" i="2" s="1"/>
  <c r="E1597" i="2"/>
  <c r="F1597" i="2" s="1"/>
  <c r="G1597" i="2" s="1"/>
  <c r="E1598" i="2"/>
  <c r="F1598" i="2" s="1"/>
  <c r="G1598" i="2" s="1"/>
  <c r="E1599" i="2"/>
  <c r="F1599" i="2" s="1"/>
  <c r="G1599" i="2" s="1"/>
  <c r="E1600" i="2"/>
  <c r="F1600" i="2" s="1"/>
  <c r="G1600" i="2" s="1"/>
  <c r="E1601" i="2"/>
  <c r="F1601" i="2" s="1"/>
  <c r="G1601" i="2" s="1"/>
  <c r="E1602" i="2"/>
  <c r="F1602" i="2" s="1"/>
  <c r="G1602" i="2" s="1"/>
  <c r="E1603" i="2"/>
  <c r="F1603" i="2" s="1"/>
  <c r="G1603" i="2" s="1"/>
  <c r="E1604" i="2"/>
  <c r="F1604" i="2" s="1"/>
  <c r="G1604" i="2" s="1"/>
  <c r="E1605" i="2"/>
  <c r="F1605" i="2" s="1"/>
  <c r="G1605" i="2" s="1"/>
  <c r="E1606" i="2"/>
  <c r="F1606" i="2" s="1"/>
  <c r="G1606" i="2" s="1"/>
  <c r="E1607" i="2"/>
  <c r="F1607" i="2" s="1"/>
  <c r="G1607" i="2" s="1"/>
  <c r="E1608" i="2"/>
  <c r="F1608" i="2" s="1"/>
  <c r="G1608" i="2" s="1"/>
  <c r="E1609" i="2"/>
  <c r="F1609" i="2" s="1"/>
  <c r="G1609" i="2" s="1"/>
  <c r="E1610" i="2"/>
  <c r="F1610" i="2" s="1"/>
  <c r="G1610" i="2" s="1"/>
  <c r="E1611" i="2"/>
  <c r="F1611" i="2" s="1"/>
  <c r="G1611" i="2" s="1"/>
  <c r="E1612" i="2"/>
  <c r="F1612" i="2" s="1"/>
  <c r="G1612" i="2" s="1"/>
  <c r="E1613" i="2"/>
  <c r="F1613" i="2" s="1"/>
  <c r="G1613" i="2" s="1"/>
  <c r="E1614" i="2"/>
  <c r="F1614" i="2" s="1"/>
  <c r="G1614" i="2" s="1"/>
  <c r="E1615" i="2"/>
  <c r="F1615" i="2" s="1"/>
  <c r="G1615" i="2" s="1"/>
  <c r="E1616" i="2"/>
  <c r="F1616" i="2" s="1"/>
  <c r="G1616" i="2" s="1"/>
  <c r="E1617" i="2"/>
  <c r="F1617" i="2" s="1"/>
  <c r="G1617" i="2" s="1"/>
  <c r="E1618" i="2"/>
  <c r="F1618" i="2" s="1"/>
  <c r="G1618" i="2" s="1"/>
  <c r="E1619" i="2"/>
  <c r="F1619" i="2" s="1"/>
  <c r="G1619" i="2" s="1"/>
  <c r="E1620" i="2"/>
  <c r="F1620" i="2" s="1"/>
  <c r="G1620" i="2" s="1"/>
  <c r="E1621" i="2"/>
  <c r="F1621" i="2" s="1"/>
  <c r="G1621" i="2" s="1"/>
  <c r="E1622" i="2"/>
  <c r="F1622" i="2" s="1"/>
  <c r="G1622" i="2" s="1"/>
  <c r="E1623" i="2"/>
  <c r="F1623" i="2" s="1"/>
  <c r="G1623" i="2" s="1"/>
  <c r="E1624" i="2"/>
  <c r="F1624" i="2" s="1"/>
  <c r="G1624" i="2" s="1"/>
  <c r="E1625" i="2"/>
  <c r="F1625" i="2" s="1"/>
  <c r="G1625" i="2" s="1"/>
  <c r="E1626" i="2"/>
  <c r="F1626" i="2" s="1"/>
  <c r="G1626" i="2" s="1"/>
  <c r="E1627" i="2"/>
  <c r="F1627" i="2" s="1"/>
  <c r="G1627" i="2" s="1"/>
  <c r="E1628" i="2"/>
  <c r="F1628" i="2" s="1"/>
  <c r="G1628" i="2" s="1"/>
  <c r="E1629" i="2"/>
  <c r="F1629" i="2" s="1"/>
  <c r="G1629" i="2" s="1"/>
  <c r="E1630" i="2"/>
  <c r="F1630" i="2" s="1"/>
  <c r="G1630" i="2" s="1"/>
  <c r="E1631" i="2"/>
  <c r="F1631" i="2" s="1"/>
  <c r="G1631" i="2" s="1"/>
  <c r="E1632" i="2"/>
  <c r="F1632" i="2" s="1"/>
  <c r="G1632" i="2" s="1"/>
  <c r="E1633" i="2"/>
  <c r="F1633" i="2" s="1"/>
  <c r="G1633" i="2" s="1"/>
  <c r="E1634" i="2"/>
  <c r="F1634" i="2" s="1"/>
  <c r="G1634" i="2" s="1"/>
  <c r="E1635" i="2"/>
  <c r="F1635" i="2" s="1"/>
  <c r="G1635" i="2" s="1"/>
  <c r="E1636" i="2"/>
  <c r="F1636" i="2" s="1"/>
  <c r="G1636" i="2" s="1"/>
  <c r="E1637" i="2"/>
  <c r="F1637" i="2" s="1"/>
  <c r="G1637" i="2" s="1"/>
  <c r="E1638" i="2"/>
  <c r="F1638" i="2" s="1"/>
  <c r="G1638" i="2" s="1"/>
  <c r="E1639" i="2"/>
  <c r="F1639" i="2" s="1"/>
  <c r="G1639" i="2" s="1"/>
  <c r="E1640" i="2"/>
  <c r="F1640" i="2" s="1"/>
  <c r="G1640" i="2" s="1"/>
  <c r="E1641" i="2"/>
  <c r="F1641" i="2" s="1"/>
  <c r="G1641" i="2" s="1"/>
  <c r="E1642" i="2"/>
  <c r="F1642" i="2" s="1"/>
  <c r="G1642" i="2" s="1"/>
  <c r="E1643" i="2"/>
  <c r="F1643" i="2" s="1"/>
  <c r="G1643" i="2" s="1"/>
  <c r="E1644" i="2"/>
  <c r="F1644" i="2" s="1"/>
  <c r="G1644" i="2" s="1"/>
  <c r="E1645" i="2"/>
  <c r="F1645" i="2" s="1"/>
  <c r="G1645" i="2" s="1"/>
  <c r="E1646" i="2"/>
  <c r="F1646" i="2" s="1"/>
  <c r="G1646" i="2" s="1"/>
  <c r="E1647" i="2"/>
  <c r="F1647" i="2" s="1"/>
  <c r="G1647" i="2" s="1"/>
  <c r="E1648" i="2"/>
  <c r="F1648" i="2" s="1"/>
  <c r="G1648" i="2" s="1"/>
  <c r="E1649" i="2"/>
  <c r="F1649" i="2" s="1"/>
  <c r="G1649" i="2" s="1"/>
  <c r="E1650" i="2"/>
  <c r="F1650" i="2" s="1"/>
  <c r="G1650" i="2" s="1"/>
  <c r="E1651" i="2"/>
  <c r="F1651" i="2" s="1"/>
  <c r="G1651" i="2" s="1"/>
  <c r="E1652" i="2"/>
  <c r="F1652" i="2" s="1"/>
  <c r="G1652" i="2" s="1"/>
  <c r="E1653" i="2"/>
  <c r="F1653" i="2" s="1"/>
  <c r="G1653" i="2" s="1"/>
  <c r="E1654" i="2"/>
  <c r="F1654" i="2" s="1"/>
  <c r="G1654" i="2" s="1"/>
  <c r="E1655" i="2"/>
  <c r="F1655" i="2" s="1"/>
  <c r="G1655" i="2" s="1"/>
  <c r="E1656" i="2"/>
  <c r="F1656" i="2" s="1"/>
  <c r="G1656" i="2" s="1"/>
  <c r="E1657" i="2"/>
  <c r="F1657" i="2" s="1"/>
  <c r="G1657" i="2" s="1"/>
  <c r="E1658" i="2"/>
  <c r="F1658" i="2" s="1"/>
  <c r="G1658" i="2" s="1"/>
  <c r="E1659" i="2"/>
  <c r="F1659" i="2" s="1"/>
  <c r="G1659" i="2" s="1"/>
  <c r="E1660" i="2"/>
  <c r="F1660" i="2" s="1"/>
  <c r="G1660" i="2" s="1"/>
  <c r="E1661" i="2"/>
  <c r="F1661" i="2" s="1"/>
  <c r="G1661" i="2" s="1"/>
  <c r="E1662" i="2"/>
  <c r="F1662" i="2" s="1"/>
  <c r="G1662" i="2" s="1"/>
  <c r="E1663" i="2"/>
  <c r="F1663" i="2" s="1"/>
  <c r="G1663" i="2" s="1"/>
  <c r="E1664" i="2"/>
  <c r="F1664" i="2" s="1"/>
  <c r="G1664" i="2" s="1"/>
  <c r="E1665" i="2"/>
  <c r="F1665" i="2" s="1"/>
  <c r="G1665" i="2" s="1"/>
  <c r="E1666" i="2"/>
  <c r="F1666" i="2" s="1"/>
  <c r="G1666" i="2" s="1"/>
  <c r="E1667" i="2"/>
  <c r="F1667" i="2" s="1"/>
  <c r="G1667" i="2" s="1"/>
  <c r="E1668" i="2"/>
  <c r="F1668" i="2" s="1"/>
  <c r="G1668" i="2" s="1"/>
  <c r="E1669" i="2"/>
  <c r="F1669" i="2" s="1"/>
  <c r="G1669" i="2" s="1"/>
  <c r="E1670" i="2"/>
  <c r="F1670" i="2" s="1"/>
  <c r="G1670" i="2" s="1"/>
  <c r="E1671" i="2"/>
  <c r="F1671" i="2" s="1"/>
  <c r="G1671" i="2" s="1"/>
  <c r="E1672" i="2"/>
  <c r="F1672" i="2" s="1"/>
  <c r="G1672" i="2" s="1"/>
  <c r="E1673" i="2"/>
  <c r="F1673" i="2" s="1"/>
  <c r="G1673" i="2" s="1"/>
  <c r="E1674" i="2"/>
  <c r="F1674" i="2" s="1"/>
  <c r="G1674" i="2" s="1"/>
  <c r="E1675" i="2"/>
  <c r="F1675" i="2" s="1"/>
  <c r="G1675" i="2" s="1"/>
  <c r="E1676" i="2"/>
  <c r="F1676" i="2" s="1"/>
  <c r="G1676" i="2" s="1"/>
  <c r="E1677" i="2"/>
  <c r="F1677" i="2" s="1"/>
  <c r="G1677" i="2" s="1"/>
  <c r="E1678" i="2"/>
  <c r="F1678" i="2" s="1"/>
  <c r="G1678" i="2" s="1"/>
  <c r="E1679" i="2"/>
  <c r="F1679" i="2" s="1"/>
  <c r="G1679" i="2" s="1"/>
  <c r="E1680" i="2"/>
  <c r="F1680" i="2" s="1"/>
  <c r="G1680" i="2" s="1"/>
  <c r="E1681" i="2"/>
  <c r="F1681" i="2" s="1"/>
  <c r="G1681" i="2" s="1"/>
  <c r="E1682" i="2"/>
  <c r="F1682" i="2" s="1"/>
  <c r="G1682" i="2" s="1"/>
  <c r="E1683" i="2"/>
  <c r="F1683" i="2" s="1"/>
  <c r="G1683" i="2" s="1"/>
  <c r="E1684" i="2"/>
  <c r="F1684" i="2" s="1"/>
  <c r="G1684" i="2" s="1"/>
  <c r="E1685" i="2"/>
  <c r="F1685" i="2" s="1"/>
  <c r="G1685" i="2" s="1"/>
  <c r="E1686" i="2"/>
  <c r="F1686" i="2" s="1"/>
  <c r="G1686" i="2" s="1"/>
  <c r="E1687" i="2"/>
  <c r="F1687" i="2" s="1"/>
  <c r="G1687" i="2" s="1"/>
  <c r="E1688" i="2"/>
  <c r="F1688" i="2" s="1"/>
  <c r="G1688" i="2" s="1"/>
  <c r="E1689" i="2"/>
  <c r="F1689" i="2" s="1"/>
  <c r="G1689" i="2" s="1"/>
  <c r="E1690" i="2"/>
  <c r="F1690" i="2" s="1"/>
  <c r="G1690" i="2" s="1"/>
  <c r="E1691" i="2"/>
  <c r="F1691" i="2" s="1"/>
  <c r="G1691" i="2" s="1"/>
  <c r="E1692" i="2"/>
  <c r="F1692" i="2" s="1"/>
  <c r="G1692" i="2" s="1"/>
  <c r="E1693" i="2"/>
  <c r="F1693" i="2" s="1"/>
  <c r="G1693" i="2" s="1"/>
  <c r="E1694" i="2"/>
  <c r="F1694" i="2" s="1"/>
  <c r="G1694" i="2" s="1"/>
  <c r="E1695" i="2"/>
  <c r="F1695" i="2" s="1"/>
  <c r="G1695" i="2" s="1"/>
  <c r="E1696" i="2"/>
  <c r="F1696" i="2" s="1"/>
  <c r="G1696" i="2" s="1"/>
  <c r="E1697" i="2"/>
  <c r="F1697" i="2" s="1"/>
  <c r="G1697" i="2" s="1"/>
  <c r="E1698" i="2"/>
  <c r="F1698" i="2" s="1"/>
  <c r="G1698" i="2" s="1"/>
  <c r="E1699" i="2"/>
  <c r="F1699" i="2" s="1"/>
  <c r="G1699" i="2" s="1"/>
  <c r="E1700" i="2"/>
  <c r="F1700" i="2" s="1"/>
  <c r="G1700" i="2" s="1"/>
  <c r="E1701" i="2"/>
  <c r="F1701" i="2" s="1"/>
  <c r="G1701" i="2" s="1"/>
  <c r="E1702" i="2"/>
  <c r="F1702" i="2" s="1"/>
  <c r="G1702" i="2" s="1"/>
  <c r="E1703" i="2"/>
  <c r="F1703" i="2" s="1"/>
  <c r="G1703" i="2" s="1"/>
  <c r="E1704" i="2"/>
  <c r="F1704" i="2" s="1"/>
  <c r="G1704" i="2" s="1"/>
  <c r="E1705" i="2"/>
  <c r="F1705" i="2" s="1"/>
  <c r="G1705" i="2" s="1"/>
  <c r="E1706" i="2"/>
  <c r="F1706" i="2" s="1"/>
  <c r="G1706" i="2" s="1"/>
  <c r="E1707" i="2"/>
  <c r="F1707" i="2" s="1"/>
  <c r="G1707" i="2" s="1"/>
  <c r="E1708" i="2"/>
  <c r="F1708" i="2" s="1"/>
  <c r="G1708" i="2" s="1"/>
  <c r="E1709" i="2"/>
  <c r="F1709" i="2" s="1"/>
  <c r="G1709" i="2" s="1"/>
  <c r="E1710" i="2"/>
  <c r="F1710" i="2" s="1"/>
  <c r="G1710" i="2" s="1"/>
  <c r="E1711" i="2"/>
  <c r="F1711" i="2" s="1"/>
  <c r="G1711" i="2" s="1"/>
  <c r="E1712" i="2"/>
  <c r="F1712" i="2" s="1"/>
  <c r="G1712" i="2" s="1"/>
  <c r="E1713" i="2"/>
  <c r="F1713" i="2" s="1"/>
  <c r="G1713" i="2" s="1"/>
  <c r="E1714" i="2"/>
  <c r="F1714" i="2" s="1"/>
  <c r="G1714" i="2" s="1"/>
  <c r="E1715" i="2"/>
  <c r="F1715" i="2" s="1"/>
  <c r="G1715" i="2" s="1"/>
  <c r="E1716" i="2"/>
  <c r="F1716" i="2" s="1"/>
  <c r="G1716" i="2" s="1"/>
  <c r="E1717" i="2"/>
  <c r="F1717" i="2" s="1"/>
  <c r="G1717" i="2" s="1"/>
  <c r="E1718" i="2"/>
  <c r="F1718" i="2" s="1"/>
  <c r="G1718" i="2" s="1"/>
  <c r="E1719" i="2"/>
  <c r="F1719" i="2" s="1"/>
  <c r="G1719" i="2" s="1"/>
  <c r="E1720" i="2"/>
  <c r="F1720" i="2" s="1"/>
  <c r="G1720" i="2" s="1"/>
  <c r="E1721" i="2"/>
  <c r="F1721" i="2" s="1"/>
  <c r="G1721" i="2" s="1"/>
  <c r="E1722" i="2"/>
  <c r="F1722" i="2" s="1"/>
  <c r="G1722" i="2" s="1"/>
  <c r="E1723" i="2"/>
  <c r="F1723" i="2" s="1"/>
  <c r="G1723" i="2" s="1"/>
  <c r="E1724" i="2"/>
  <c r="F1724" i="2" s="1"/>
  <c r="G1724" i="2" s="1"/>
  <c r="E1725" i="2"/>
  <c r="F1725" i="2" s="1"/>
  <c r="G1725" i="2" s="1"/>
  <c r="E1726" i="2"/>
  <c r="F1726" i="2" s="1"/>
  <c r="G1726" i="2" s="1"/>
  <c r="E1727" i="2"/>
  <c r="F1727" i="2" s="1"/>
  <c r="G1727" i="2" s="1"/>
  <c r="E1728" i="2"/>
  <c r="F1728" i="2" s="1"/>
  <c r="G1728" i="2" s="1"/>
  <c r="E1729" i="2"/>
  <c r="F1729" i="2" s="1"/>
  <c r="G1729" i="2" s="1"/>
  <c r="E1730" i="2"/>
  <c r="F1730" i="2" s="1"/>
  <c r="G1730" i="2" s="1"/>
  <c r="E1731" i="2"/>
  <c r="F1731" i="2" s="1"/>
  <c r="G1731" i="2" s="1"/>
  <c r="E1732" i="2"/>
  <c r="F1732" i="2" s="1"/>
  <c r="G1732" i="2" s="1"/>
  <c r="E1733" i="2"/>
  <c r="F1733" i="2" s="1"/>
  <c r="G1733" i="2" s="1"/>
  <c r="E1734" i="2"/>
  <c r="F1734" i="2" s="1"/>
  <c r="G1734" i="2" s="1"/>
  <c r="E1735" i="2"/>
  <c r="F1735" i="2" s="1"/>
  <c r="G1735" i="2" s="1"/>
  <c r="E1736" i="2"/>
  <c r="F1736" i="2" s="1"/>
  <c r="G1736" i="2" s="1"/>
  <c r="E1737" i="2"/>
  <c r="F1737" i="2" s="1"/>
  <c r="G1737" i="2" s="1"/>
  <c r="E1738" i="2"/>
  <c r="F1738" i="2" s="1"/>
  <c r="G1738" i="2" s="1"/>
  <c r="E1739" i="2"/>
  <c r="F1739" i="2" s="1"/>
  <c r="G1739" i="2" s="1"/>
  <c r="E1740" i="2"/>
  <c r="F1740" i="2" s="1"/>
  <c r="G1740" i="2" s="1"/>
  <c r="E1741" i="2"/>
  <c r="F1741" i="2" s="1"/>
  <c r="G1741" i="2" s="1"/>
  <c r="E1742" i="2"/>
  <c r="F1742" i="2" s="1"/>
  <c r="G1742" i="2" s="1"/>
  <c r="E1743" i="2"/>
  <c r="F1743" i="2" s="1"/>
  <c r="G1743" i="2" s="1"/>
  <c r="E1744" i="2"/>
  <c r="F1744" i="2" s="1"/>
  <c r="G1744" i="2" s="1"/>
  <c r="E1745" i="2"/>
  <c r="F1745" i="2" s="1"/>
  <c r="G1745" i="2" s="1"/>
  <c r="E1746" i="2"/>
  <c r="F1746" i="2" s="1"/>
  <c r="G1746" i="2" s="1"/>
  <c r="E1747" i="2"/>
  <c r="F1747" i="2" s="1"/>
  <c r="G1747" i="2" s="1"/>
  <c r="E1748" i="2"/>
  <c r="F1748" i="2" s="1"/>
  <c r="G1748" i="2" s="1"/>
  <c r="E1749" i="2"/>
  <c r="F1749" i="2" s="1"/>
  <c r="G1749" i="2" s="1"/>
  <c r="E1750" i="2"/>
  <c r="F1750" i="2" s="1"/>
  <c r="G1750" i="2" s="1"/>
  <c r="E1751" i="2"/>
  <c r="F1751" i="2" s="1"/>
  <c r="G1751" i="2" s="1"/>
  <c r="E1752" i="2"/>
  <c r="F1752" i="2" s="1"/>
  <c r="G1752" i="2" s="1"/>
  <c r="E1753" i="2"/>
  <c r="F1753" i="2" s="1"/>
  <c r="G1753" i="2" s="1"/>
  <c r="E1754" i="2"/>
  <c r="F1754" i="2" s="1"/>
  <c r="G1754" i="2" s="1"/>
  <c r="E1755" i="2"/>
  <c r="F1755" i="2" s="1"/>
  <c r="G1755" i="2" s="1"/>
  <c r="E1756" i="2"/>
  <c r="F1756" i="2" s="1"/>
  <c r="G1756" i="2" s="1"/>
  <c r="E1757" i="2"/>
  <c r="F1757" i="2" s="1"/>
  <c r="G1757" i="2" s="1"/>
  <c r="E1758" i="2"/>
  <c r="F1758" i="2" s="1"/>
  <c r="G1758" i="2" s="1"/>
  <c r="E1759" i="2"/>
  <c r="F1759" i="2" s="1"/>
  <c r="G1759" i="2" s="1"/>
  <c r="E1760" i="2"/>
  <c r="F1760" i="2" s="1"/>
  <c r="G1760" i="2" s="1"/>
  <c r="E1761" i="2"/>
  <c r="F1761" i="2" s="1"/>
  <c r="G1761" i="2" s="1"/>
  <c r="E1762" i="2"/>
  <c r="F1762" i="2" s="1"/>
  <c r="G1762" i="2" s="1"/>
  <c r="E1763" i="2"/>
  <c r="F1763" i="2" s="1"/>
  <c r="G1763" i="2" s="1"/>
  <c r="E1764" i="2"/>
  <c r="F1764" i="2" s="1"/>
  <c r="G1764" i="2" s="1"/>
  <c r="E1765" i="2"/>
  <c r="F1765" i="2" s="1"/>
  <c r="G1765" i="2" s="1"/>
  <c r="E1766" i="2"/>
  <c r="F1766" i="2" s="1"/>
  <c r="G1766" i="2" s="1"/>
  <c r="E1767" i="2"/>
  <c r="F1767" i="2" s="1"/>
  <c r="G1767" i="2" s="1"/>
  <c r="E1768" i="2"/>
  <c r="F1768" i="2" s="1"/>
  <c r="G1768" i="2" s="1"/>
  <c r="E1769" i="2"/>
  <c r="F1769" i="2" s="1"/>
  <c r="G1769" i="2" s="1"/>
  <c r="E1770" i="2"/>
  <c r="F1770" i="2" s="1"/>
  <c r="G1770" i="2" s="1"/>
  <c r="E1771" i="2"/>
  <c r="F1771" i="2" s="1"/>
  <c r="G1771" i="2" s="1"/>
  <c r="E1772" i="2"/>
  <c r="F1772" i="2" s="1"/>
  <c r="G1772" i="2" s="1"/>
  <c r="E1773" i="2"/>
  <c r="F1773" i="2" s="1"/>
  <c r="G1773" i="2" s="1"/>
  <c r="E1774" i="2"/>
  <c r="F1774" i="2" s="1"/>
  <c r="G1774" i="2" s="1"/>
  <c r="E1775" i="2"/>
  <c r="F1775" i="2" s="1"/>
  <c r="G1775" i="2" s="1"/>
  <c r="E1776" i="2"/>
  <c r="F1776" i="2" s="1"/>
  <c r="G1776" i="2" s="1"/>
  <c r="E1777" i="2"/>
  <c r="F1777" i="2" s="1"/>
  <c r="G1777" i="2" s="1"/>
  <c r="E1778" i="2"/>
  <c r="F1778" i="2" s="1"/>
  <c r="G1778" i="2" s="1"/>
  <c r="E1779" i="2"/>
  <c r="F1779" i="2" s="1"/>
  <c r="G1779" i="2" s="1"/>
  <c r="E1780" i="2"/>
  <c r="F1780" i="2" s="1"/>
  <c r="G1780" i="2" s="1"/>
  <c r="E1781" i="2"/>
  <c r="F1781" i="2" s="1"/>
  <c r="G1781" i="2" s="1"/>
  <c r="E1782" i="2"/>
  <c r="F1782" i="2" s="1"/>
  <c r="G1782" i="2" s="1"/>
  <c r="E1783" i="2"/>
  <c r="F1783" i="2" s="1"/>
  <c r="G1783" i="2" s="1"/>
  <c r="E1784" i="2"/>
  <c r="F1784" i="2" s="1"/>
  <c r="G1784" i="2" s="1"/>
  <c r="E1785" i="2"/>
  <c r="F1785" i="2" s="1"/>
  <c r="G1785" i="2" s="1"/>
  <c r="E1786" i="2"/>
  <c r="F1786" i="2" s="1"/>
  <c r="G1786" i="2" s="1"/>
  <c r="E1787" i="2"/>
  <c r="F1787" i="2" s="1"/>
  <c r="G1787" i="2" s="1"/>
  <c r="E1788" i="2"/>
  <c r="F1788" i="2" s="1"/>
  <c r="G1788" i="2" s="1"/>
  <c r="E1789" i="2"/>
  <c r="F1789" i="2" s="1"/>
  <c r="G1789" i="2" s="1"/>
  <c r="E1790" i="2"/>
  <c r="F1790" i="2" s="1"/>
  <c r="G1790" i="2" s="1"/>
  <c r="E1791" i="2"/>
  <c r="F1791" i="2" s="1"/>
  <c r="G1791" i="2" s="1"/>
  <c r="E1792" i="2"/>
  <c r="F1792" i="2" s="1"/>
  <c r="G1792" i="2" s="1"/>
  <c r="E1793" i="2"/>
  <c r="F1793" i="2" s="1"/>
  <c r="G1793" i="2" s="1"/>
  <c r="E1794" i="2"/>
  <c r="F1794" i="2" s="1"/>
  <c r="G1794" i="2" s="1"/>
  <c r="E1795" i="2"/>
  <c r="F1795" i="2" s="1"/>
  <c r="G1795" i="2" s="1"/>
  <c r="E1796" i="2"/>
  <c r="F1796" i="2" s="1"/>
  <c r="G1796" i="2" s="1"/>
  <c r="E1797" i="2"/>
  <c r="F1797" i="2" s="1"/>
  <c r="G1797" i="2" s="1"/>
  <c r="E1798" i="2"/>
  <c r="F1798" i="2" s="1"/>
  <c r="G1798" i="2" s="1"/>
  <c r="E1799" i="2"/>
  <c r="F1799" i="2" s="1"/>
  <c r="G1799" i="2" s="1"/>
  <c r="E1800" i="2"/>
  <c r="F1800" i="2" s="1"/>
  <c r="G1800" i="2" s="1"/>
  <c r="E1801" i="2"/>
  <c r="F1801" i="2" s="1"/>
  <c r="G1801" i="2" s="1"/>
  <c r="E1802" i="2"/>
  <c r="F1802" i="2" s="1"/>
  <c r="G1802" i="2" s="1"/>
  <c r="E1803" i="2"/>
  <c r="F1803" i="2" s="1"/>
  <c r="G1803" i="2" s="1"/>
  <c r="E1804" i="2"/>
  <c r="F1804" i="2" s="1"/>
  <c r="G1804" i="2" s="1"/>
  <c r="E1805" i="2"/>
  <c r="F1805" i="2" s="1"/>
  <c r="G1805" i="2" s="1"/>
  <c r="E1806" i="2"/>
  <c r="F1806" i="2" s="1"/>
  <c r="G1806" i="2" s="1"/>
  <c r="E1807" i="2"/>
  <c r="F1807" i="2" s="1"/>
  <c r="G1807" i="2" s="1"/>
  <c r="E1808" i="2"/>
  <c r="F1808" i="2" s="1"/>
  <c r="G1808" i="2" s="1"/>
  <c r="E1809" i="2"/>
  <c r="F1809" i="2" s="1"/>
  <c r="G1809" i="2" s="1"/>
  <c r="E1810" i="2"/>
  <c r="F1810" i="2" s="1"/>
  <c r="G1810" i="2" s="1"/>
  <c r="E1811" i="2"/>
  <c r="F1811" i="2" s="1"/>
  <c r="G1811" i="2" s="1"/>
  <c r="E1812" i="2"/>
  <c r="F1812" i="2" s="1"/>
  <c r="G1812" i="2" s="1"/>
  <c r="E1813" i="2"/>
  <c r="F1813" i="2" s="1"/>
  <c r="G1813" i="2" s="1"/>
  <c r="E1814" i="2"/>
  <c r="F1814" i="2" s="1"/>
  <c r="G1814" i="2" s="1"/>
  <c r="E1815" i="2"/>
  <c r="F1815" i="2" s="1"/>
  <c r="G1815" i="2" s="1"/>
  <c r="E1816" i="2"/>
  <c r="F1816" i="2" s="1"/>
  <c r="G1816" i="2" s="1"/>
  <c r="E1817" i="2"/>
  <c r="F1817" i="2" s="1"/>
  <c r="G1817" i="2" s="1"/>
  <c r="E1818" i="2"/>
  <c r="F1818" i="2" s="1"/>
  <c r="G1818" i="2" s="1"/>
  <c r="E1819" i="2"/>
  <c r="F1819" i="2" s="1"/>
  <c r="G1819" i="2" s="1"/>
  <c r="E1820" i="2"/>
  <c r="F1820" i="2" s="1"/>
  <c r="G1820" i="2" s="1"/>
  <c r="E1821" i="2"/>
  <c r="F1821" i="2" s="1"/>
  <c r="G1821" i="2" s="1"/>
  <c r="E1822" i="2"/>
  <c r="F1822" i="2" s="1"/>
  <c r="G1822" i="2" s="1"/>
  <c r="E1823" i="2"/>
  <c r="F1823" i="2" s="1"/>
  <c r="G1823" i="2" s="1"/>
  <c r="E1824" i="2"/>
  <c r="F1824" i="2" s="1"/>
  <c r="G1824" i="2" s="1"/>
  <c r="E1825" i="2"/>
  <c r="F1825" i="2" s="1"/>
  <c r="G1825" i="2" s="1"/>
  <c r="E1826" i="2"/>
  <c r="F1826" i="2" s="1"/>
  <c r="G1826" i="2" s="1"/>
  <c r="E1827" i="2"/>
  <c r="F1827" i="2" s="1"/>
  <c r="G1827" i="2" s="1"/>
  <c r="E1828" i="2"/>
  <c r="F1828" i="2" s="1"/>
  <c r="G1828" i="2" s="1"/>
  <c r="E1829" i="2"/>
  <c r="F1829" i="2" s="1"/>
  <c r="G1829" i="2" s="1"/>
  <c r="E1830" i="2"/>
  <c r="F1830" i="2" s="1"/>
  <c r="G1830" i="2" s="1"/>
  <c r="E1831" i="2"/>
  <c r="F1831" i="2" s="1"/>
  <c r="G1831" i="2" s="1"/>
  <c r="E1832" i="2"/>
  <c r="F1832" i="2" s="1"/>
  <c r="G1832" i="2" s="1"/>
  <c r="E1833" i="2"/>
  <c r="F1833" i="2" s="1"/>
  <c r="G1833" i="2" s="1"/>
  <c r="E1834" i="2"/>
  <c r="F1834" i="2" s="1"/>
  <c r="G1834" i="2" s="1"/>
  <c r="E1835" i="2"/>
  <c r="F1835" i="2" s="1"/>
  <c r="G1835" i="2" s="1"/>
  <c r="E1836" i="2"/>
  <c r="F1836" i="2" s="1"/>
  <c r="G1836" i="2" s="1"/>
  <c r="E1837" i="2"/>
  <c r="F1837" i="2" s="1"/>
  <c r="G1837" i="2" s="1"/>
  <c r="E1838" i="2"/>
  <c r="F1838" i="2" s="1"/>
  <c r="G1838" i="2" s="1"/>
  <c r="E1839" i="2"/>
  <c r="F1839" i="2" s="1"/>
  <c r="G1839" i="2" s="1"/>
  <c r="E1840" i="2"/>
  <c r="F1840" i="2" s="1"/>
  <c r="G1840" i="2" s="1"/>
  <c r="E1841" i="2"/>
  <c r="F1841" i="2" s="1"/>
  <c r="G1841" i="2" s="1"/>
  <c r="E1842" i="2"/>
  <c r="F1842" i="2" s="1"/>
  <c r="G1842" i="2" s="1"/>
  <c r="E1843" i="2"/>
  <c r="F1843" i="2" s="1"/>
  <c r="G1843" i="2" s="1"/>
  <c r="E1844" i="2"/>
  <c r="F1844" i="2" s="1"/>
  <c r="G1844" i="2" s="1"/>
  <c r="E1845" i="2"/>
  <c r="F1845" i="2" s="1"/>
  <c r="G1845" i="2" s="1"/>
  <c r="E1846" i="2"/>
  <c r="F1846" i="2" s="1"/>
  <c r="G1846" i="2" s="1"/>
  <c r="E1847" i="2"/>
  <c r="F1847" i="2" s="1"/>
  <c r="G1847" i="2" s="1"/>
  <c r="E1848" i="2"/>
  <c r="F1848" i="2" s="1"/>
  <c r="G1848" i="2" s="1"/>
  <c r="E1849" i="2"/>
  <c r="F1849" i="2" s="1"/>
  <c r="G1849" i="2" s="1"/>
  <c r="E1850" i="2"/>
  <c r="F1850" i="2" s="1"/>
  <c r="G1850" i="2" s="1"/>
  <c r="E1851" i="2"/>
  <c r="F1851" i="2" s="1"/>
  <c r="G1851" i="2" s="1"/>
  <c r="E1852" i="2"/>
  <c r="F1852" i="2" s="1"/>
  <c r="G1852" i="2" s="1"/>
  <c r="E1853" i="2"/>
  <c r="F1853" i="2" s="1"/>
  <c r="G1853" i="2" s="1"/>
  <c r="E1854" i="2"/>
  <c r="F1854" i="2" s="1"/>
  <c r="G1854" i="2" s="1"/>
  <c r="E1855" i="2"/>
  <c r="F1855" i="2" s="1"/>
  <c r="G1855" i="2" s="1"/>
  <c r="E1856" i="2"/>
  <c r="F1856" i="2" s="1"/>
  <c r="G1856" i="2" s="1"/>
  <c r="E1857" i="2"/>
  <c r="F1857" i="2" s="1"/>
  <c r="G1857" i="2" s="1"/>
  <c r="E1858" i="2"/>
  <c r="F1858" i="2" s="1"/>
  <c r="G1858" i="2" s="1"/>
  <c r="E1859" i="2"/>
  <c r="F1859" i="2" s="1"/>
  <c r="G1859" i="2" s="1"/>
  <c r="E1860" i="2"/>
  <c r="F1860" i="2" s="1"/>
  <c r="G1860" i="2" s="1"/>
  <c r="E1861" i="2"/>
  <c r="F1861" i="2" s="1"/>
  <c r="G1861" i="2" s="1"/>
  <c r="E1862" i="2"/>
  <c r="F1862" i="2" s="1"/>
  <c r="G1862" i="2" s="1"/>
  <c r="E1863" i="2"/>
  <c r="F1863" i="2" s="1"/>
  <c r="G1863" i="2" s="1"/>
  <c r="E1864" i="2"/>
  <c r="F1864" i="2" s="1"/>
  <c r="G1864" i="2" s="1"/>
  <c r="E1865" i="2"/>
  <c r="F1865" i="2" s="1"/>
  <c r="G1865" i="2" s="1"/>
  <c r="E1866" i="2"/>
  <c r="F1866" i="2" s="1"/>
  <c r="G1866" i="2" s="1"/>
  <c r="E1867" i="2"/>
  <c r="F1867" i="2" s="1"/>
  <c r="G1867" i="2" s="1"/>
  <c r="E1868" i="2"/>
  <c r="F1868" i="2" s="1"/>
  <c r="G1868" i="2" s="1"/>
  <c r="E1869" i="2"/>
  <c r="F1869" i="2" s="1"/>
  <c r="G1869" i="2" s="1"/>
  <c r="E1870" i="2"/>
  <c r="F1870" i="2" s="1"/>
  <c r="G1870" i="2" s="1"/>
  <c r="E1871" i="2"/>
  <c r="F1871" i="2" s="1"/>
  <c r="G1871" i="2" s="1"/>
  <c r="E1872" i="2"/>
  <c r="F1872" i="2" s="1"/>
  <c r="G1872" i="2" s="1"/>
  <c r="E1873" i="2"/>
  <c r="F1873" i="2" s="1"/>
  <c r="G1873" i="2" s="1"/>
  <c r="E1874" i="2"/>
  <c r="F1874" i="2" s="1"/>
  <c r="G1874" i="2" s="1"/>
  <c r="E1875" i="2"/>
  <c r="F1875" i="2" s="1"/>
  <c r="G1875" i="2" s="1"/>
  <c r="E1876" i="2"/>
  <c r="F1876" i="2" s="1"/>
  <c r="G1876" i="2" s="1"/>
  <c r="E1877" i="2"/>
  <c r="F1877" i="2" s="1"/>
  <c r="G1877" i="2" s="1"/>
  <c r="E1878" i="2"/>
  <c r="F1878" i="2" s="1"/>
  <c r="G1878" i="2" s="1"/>
  <c r="E1879" i="2"/>
  <c r="F1879" i="2" s="1"/>
  <c r="G1879" i="2" s="1"/>
  <c r="E1880" i="2"/>
  <c r="F1880" i="2" s="1"/>
  <c r="G1880" i="2" s="1"/>
  <c r="E1881" i="2"/>
  <c r="F1881" i="2" s="1"/>
  <c r="G1881" i="2" s="1"/>
  <c r="E1882" i="2"/>
  <c r="F1882" i="2" s="1"/>
  <c r="G1882" i="2" s="1"/>
  <c r="E1883" i="2"/>
  <c r="F1883" i="2" s="1"/>
  <c r="G1883" i="2" s="1"/>
  <c r="E1884" i="2"/>
  <c r="F1884" i="2" s="1"/>
  <c r="G1884" i="2" s="1"/>
  <c r="E1885" i="2"/>
  <c r="F1885" i="2" s="1"/>
  <c r="G1885" i="2" s="1"/>
  <c r="E1886" i="2"/>
  <c r="F1886" i="2" s="1"/>
  <c r="G1886" i="2" s="1"/>
  <c r="E1887" i="2"/>
  <c r="F1887" i="2" s="1"/>
  <c r="G1887" i="2" s="1"/>
  <c r="E1888" i="2"/>
  <c r="F1888" i="2" s="1"/>
  <c r="G1888" i="2" s="1"/>
  <c r="E1889" i="2"/>
  <c r="F1889" i="2" s="1"/>
  <c r="G1889" i="2" s="1"/>
  <c r="E1890" i="2"/>
  <c r="F1890" i="2" s="1"/>
  <c r="G1890" i="2" s="1"/>
  <c r="E1891" i="2"/>
  <c r="F1891" i="2" s="1"/>
  <c r="G1891" i="2" s="1"/>
  <c r="E1892" i="2"/>
  <c r="F1892" i="2" s="1"/>
  <c r="G1892" i="2" s="1"/>
  <c r="E1893" i="2"/>
  <c r="F1893" i="2" s="1"/>
  <c r="G1893" i="2" s="1"/>
  <c r="E1894" i="2"/>
  <c r="F1894" i="2" s="1"/>
  <c r="G1894" i="2" s="1"/>
  <c r="E1895" i="2"/>
  <c r="F1895" i="2" s="1"/>
  <c r="G1895" i="2" s="1"/>
  <c r="E1896" i="2"/>
  <c r="F1896" i="2" s="1"/>
  <c r="G1896" i="2" s="1"/>
  <c r="E1897" i="2"/>
  <c r="F1897" i="2" s="1"/>
  <c r="G1897" i="2" s="1"/>
  <c r="E1898" i="2"/>
  <c r="F1898" i="2" s="1"/>
  <c r="G1898" i="2" s="1"/>
  <c r="E1899" i="2"/>
  <c r="F1899" i="2" s="1"/>
  <c r="G1899" i="2" s="1"/>
  <c r="E1900" i="2"/>
  <c r="F1900" i="2" s="1"/>
  <c r="G1900" i="2" s="1"/>
  <c r="E1901" i="2"/>
  <c r="F1901" i="2" s="1"/>
  <c r="G1901" i="2" s="1"/>
  <c r="E1902" i="2"/>
  <c r="F1902" i="2" s="1"/>
  <c r="G1902" i="2" s="1"/>
  <c r="E1903" i="2"/>
  <c r="F1903" i="2" s="1"/>
  <c r="G1903" i="2" s="1"/>
  <c r="E1904" i="2"/>
  <c r="F1904" i="2" s="1"/>
  <c r="G1904" i="2" s="1"/>
  <c r="E1905" i="2"/>
  <c r="F1905" i="2" s="1"/>
  <c r="G1905" i="2" s="1"/>
  <c r="E1906" i="2"/>
  <c r="F1906" i="2" s="1"/>
  <c r="G1906" i="2" s="1"/>
  <c r="E1907" i="2"/>
  <c r="F1907" i="2" s="1"/>
  <c r="G1907" i="2" s="1"/>
  <c r="E1908" i="2"/>
  <c r="F1908" i="2" s="1"/>
  <c r="G1908" i="2" s="1"/>
  <c r="E1909" i="2"/>
  <c r="F1909" i="2" s="1"/>
  <c r="G1909" i="2" s="1"/>
  <c r="E1910" i="2"/>
  <c r="F1910" i="2" s="1"/>
  <c r="G1910" i="2" s="1"/>
  <c r="E1911" i="2"/>
  <c r="F1911" i="2" s="1"/>
  <c r="G1911" i="2" s="1"/>
  <c r="E1912" i="2"/>
  <c r="F1912" i="2" s="1"/>
  <c r="G1912" i="2" s="1"/>
  <c r="E1913" i="2"/>
  <c r="F1913" i="2" s="1"/>
  <c r="G1913" i="2" s="1"/>
  <c r="E1914" i="2"/>
  <c r="F1914" i="2" s="1"/>
  <c r="G1914" i="2" s="1"/>
  <c r="E1915" i="2"/>
  <c r="F1915" i="2" s="1"/>
  <c r="G1915" i="2" s="1"/>
  <c r="E1916" i="2"/>
  <c r="F1916" i="2" s="1"/>
  <c r="G1916" i="2" s="1"/>
  <c r="E1917" i="2"/>
  <c r="F1917" i="2" s="1"/>
  <c r="G1917" i="2" s="1"/>
  <c r="E1918" i="2"/>
  <c r="F1918" i="2" s="1"/>
  <c r="G1918" i="2" s="1"/>
  <c r="E1919" i="2"/>
  <c r="F1919" i="2" s="1"/>
  <c r="G1919" i="2" s="1"/>
  <c r="E1920" i="2"/>
  <c r="F1920" i="2" s="1"/>
  <c r="G1920" i="2" s="1"/>
  <c r="E1921" i="2"/>
  <c r="F1921" i="2" s="1"/>
  <c r="G1921" i="2" s="1"/>
  <c r="E1922" i="2"/>
  <c r="F1922" i="2" s="1"/>
  <c r="G1922" i="2" s="1"/>
  <c r="E1923" i="2"/>
  <c r="F1923" i="2" s="1"/>
  <c r="G1923" i="2" s="1"/>
  <c r="E1924" i="2"/>
  <c r="F1924" i="2" s="1"/>
  <c r="G1924" i="2" s="1"/>
  <c r="E1925" i="2"/>
  <c r="F1925" i="2" s="1"/>
  <c r="G1925" i="2" s="1"/>
  <c r="E1926" i="2"/>
  <c r="F1926" i="2" s="1"/>
  <c r="G1926" i="2" s="1"/>
  <c r="E1927" i="2"/>
  <c r="F1927" i="2" s="1"/>
  <c r="G1927" i="2" s="1"/>
  <c r="E1928" i="2"/>
  <c r="F1928" i="2" s="1"/>
  <c r="G1928" i="2" s="1"/>
  <c r="E1929" i="2"/>
  <c r="F1929" i="2" s="1"/>
  <c r="G1929" i="2" s="1"/>
  <c r="E1930" i="2"/>
  <c r="F1930" i="2" s="1"/>
  <c r="G1930" i="2" s="1"/>
  <c r="E1931" i="2"/>
  <c r="F1931" i="2" s="1"/>
  <c r="G1931" i="2" s="1"/>
  <c r="E1932" i="2"/>
  <c r="F1932" i="2" s="1"/>
  <c r="G1932" i="2" s="1"/>
  <c r="E1933" i="2"/>
  <c r="F1933" i="2" s="1"/>
  <c r="G1933" i="2" s="1"/>
  <c r="E1934" i="2"/>
  <c r="F1934" i="2" s="1"/>
  <c r="G1934" i="2" s="1"/>
  <c r="E1935" i="2"/>
  <c r="F1935" i="2" s="1"/>
  <c r="G1935" i="2" s="1"/>
  <c r="E1936" i="2"/>
  <c r="F1936" i="2" s="1"/>
  <c r="G1936" i="2" s="1"/>
  <c r="E1937" i="2"/>
  <c r="F1937" i="2" s="1"/>
  <c r="G1937" i="2" s="1"/>
  <c r="E1938" i="2"/>
  <c r="F1938" i="2" s="1"/>
  <c r="G1938" i="2" s="1"/>
  <c r="E1939" i="2"/>
  <c r="F1939" i="2" s="1"/>
  <c r="G1939" i="2" s="1"/>
  <c r="E1940" i="2"/>
  <c r="F1940" i="2" s="1"/>
  <c r="G1940" i="2" s="1"/>
  <c r="E1941" i="2"/>
  <c r="F1941" i="2" s="1"/>
  <c r="G1941" i="2" s="1"/>
  <c r="E1942" i="2"/>
  <c r="F1942" i="2" s="1"/>
  <c r="G1942" i="2" s="1"/>
  <c r="E1943" i="2"/>
  <c r="F1943" i="2" s="1"/>
  <c r="G1943" i="2" s="1"/>
  <c r="E1944" i="2"/>
  <c r="F1944" i="2" s="1"/>
  <c r="G1944" i="2" s="1"/>
  <c r="E1945" i="2"/>
  <c r="F1945" i="2" s="1"/>
  <c r="G1945" i="2" s="1"/>
  <c r="E1946" i="2"/>
  <c r="F1946" i="2" s="1"/>
  <c r="G1946" i="2" s="1"/>
  <c r="E1947" i="2"/>
  <c r="F1947" i="2" s="1"/>
  <c r="G1947" i="2" s="1"/>
  <c r="E1948" i="2"/>
  <c r="F1948" i="2" s="1"/>
  <c r="G1948" i="2" s="1"/>
  <c r="E1949" i="2"/>
  <c r="F1949" i="2" s="1"/>
  <c r="G1949" i="2" s="1"/>
  <c r="E1950" i="2"/>
  <c r="F1950" i="2" s="1"/>
  <c r="G1950" i="2" s="1"/>
  <c r="E1951" i="2"/>
  <c r="F1951" i="2" s="1"/>
  <c r="G1951" i="2" s="1"/>
  <c r="E1952" i="2"/>
  <c r="F1952" i="2" s="1"/>
  <c r="G1952" i="2" s="1"/>
  <c r="E1953" i="2"/>
  <c r="F1953" i="2" s="1"/>
  <c r="G1953" i="2" s="1"/>
  <c r="E1954" i="2"/>
  <c r="F1954" i="2" s="1"/>
  <c r="G1954" i="2" s="1"/>
  <c r="E1955" i="2"/>
  <c r="F1955" i="2" s="1"/>
  <c r="G1955" i="2" s="1"/>
  <c r="E1956" i="2"/>
  <c r="F1956" i="2" s="1"/>
  <c r="G1956" i="2" s="1"/>
  <c r="E1957" i="2"/>
  <c r="F1957" i="2" s="1"/>
  <c r="G1957" i="2" s="1"/>
  <c r="E1958" i="2"/>
  <c r="F1958" i="2" s="1"/>
  <c r="G1958" i="2" s="1"/>
  <c r="E1959" i="2"/>
  <c r="F1959" i="2" s="1"/>
  <c r="G1959" i="2" s="1"/>
  <c r="E1960" i="2"/>
  <c r="F1960" i="2" s="1"/>
  <c r="G1960" i="2" s="1"/>
  <c r="E1961" i="2"/>
  <c r="F1961" i="2" s="1"/>
  <c r="G1961" i="2" s="1"/>
  <c r="E1962" i="2"/>
  <c r="F1962" i="2" s="1"/>
  <c r="G1962" i="2" s="1"/>
  <c r="E1963" i="2"/>
  <c r="F1963" i="2" s="1"/>
  <c r="G1963" i="2" s="1"/>
  <c r="E1964" i="2"/>
  <c r="F1964" i="2" s="1"/>
  <c r="G1964" i="2" s="1"/>
  <c r="E1965" i="2"/>
  <c r="F1965" i="2" s="1"/>
  <c r="G1965" i="2" s="1"/>
  <c r="E1966" i="2"/>
  <c r="F1966" i="2" s="1"/>
  <c r="G1966" i="2" s="1"/>
  <c r="E1967" i="2"/>
  <c r="F1967" i="2" s="1"/>
  <c r="G1967" i="2" s="1"/>
  <c r="E1968" i="2"/>
  <c r="F1968" i="2" s="1"/>
  <c r="G1968" i="2" s="1"/>
  <c r="E1969" i="2"/>
  <c r="F1969" i="2" s="1"/>
  <c r="G1969" i="2" s="1"/>
  <c r="E1970" i="2"/>
  <c r="F1970" i="2" s="1"/>
  <c r="G1970" i="2" s="1"/>
  <c r="E1971" i="2"/>
  <c r="F1971" i="2" s="1"/>
  <c r="G1971" i="2" s="1"/>
  <c r="E1972" i="2"/>
  <c r="F1972" i="2" s="1"/>
  <c r="G1972" i="2" s="1"/>
  <c r="E1973" i="2"/>
  <c r="F1973" i="2" s="1"/>
  <c r="G1973" i="2" s="1"/>
  <c r="E1974" i="2"/>
  <c r="F1974" i="2" s="1"/>
  <c r="G1974" i="2" s="1"/>
  <c r="E1975" i="2"/>
  <c r="F1975" i="2" s="1"/>
  <c r="G1975" i="2" s="1"/>
  <c r="E1976" i="2"/>
  <c r="F1976" i="2" s="1"/>
  <c r="G1976" i="2" s="1"/>
  <c r="E1977" i="2"/>
  <c r="F1977" i="2" s="1"/>
  <c r="G1977" i="2" s="1"/>
  <c r="E1978" i="2"/>
  <c r="F1978" i="2" s="1"/>
  <c r="G1978" i="2" s="1"/>
  <c r="E1979" i="2"/>
  <c r="F1979" i="2" s="1"/>
  <c r="G1979" i="2" s="1"/>
  <c r="E1980" i="2"/>
  <c r="F1980" i="2" s="1"/>
  <c r="G1980" i="2" s="1"/>
  <c r="E1981" i="2"/>
  <c r="F1981" i="2" s="1"/>
  <c r="G1981" i="2" s="1"/>
  <c r="E1982" i="2"/>
  <c r="F1982" i="2" s="1"/>
  <c r="G1982" i="2" s="1"/>
  <c r="E1983" i="2"/>
  <c r="F1983" i="2" s="1"/>
  <c r="G1983" i="2" s="1"/>
  <c r="E1984" i="2"/>
  <c r="F1984" i="2" s="1"/>
  <c r="G1984" i="2" s="1"/>
  <c r="E1985" i="2"/>
  <c r="F1985" i="2" s="1"/>
  <c r="G1985" i="2" s="1"/>
  <c r="E1986" i="2"/>
  <c r="F1986" i="2" s="1"/>
  <c r="G1986" i="2" s="1"/>
  <c r="E1987" i="2"/>
  <c r="F1987" i="2" s="1"/>
  <c r="G1987" i="2" s="1"/>
  <c r="E1988" i="2"/>
  <c r="F1988" i="2" s="1"/>
  <c r="G1988" i="2" s="1"/>
  <c r="E1989" i="2"/>
  <c r="F1989" i="2" s="1"/>
  <c r="G1989" i="2" s="1"/>
  <c r="E1990" i="2"/>
  <c r="F1990" i="2" s="1"/>
  <c r="G1990" i="2" s="1"/>
  <c r="E1991" i="2"/>
  <c r="F1991" i="2" s="1"/>
  <c r="G1991" i="2" s="1"/>
  <c r="E1992" i="2"/>
  <c r="F1992" i="2" s="1"/>
  <c r="G1992" i="2" s="1"/>
  <c r="E1993" i="2"/>
  <c r="F1993" i="2" s="1"/>
  <c r="G1993" i="2" s="1"/>
  <c r="E1994" i="2"/>
  <c r="F1994" i="2" s="1"/>
  <c r="G1994" i="2" s="1"/>
  <c r="E1995" i="2"/>
  <c r="F1995" i="2" s="1"/>
  <c r="G1995" i="2" s="1"/>
  <c r="E1996" i="2"/>
  <c r="F1996" i="2" s="1"/>
  <c r="G1996" i="2" s="1"/>
  <c r="E1997" i="2"/>
  <c r="F1997" i="2" s="1"/>
  <c r="G1997" i="2" s="1"/>
  <c r="E1998" i="2"/>
  <c r="F1998" i="2" s="1"/>
  <c r="G1998" i="2" s="1"/>
  <c r="E1999" i="2"/>
  <c r="F1999" i="2" s="1"/>
  <c r="G1999" i="2" s="1"/>
  <c r="E2000" i="2"/>
  <c r="F2000" i="2" s="1"/>
  <c r="G2000" i="2" s="1"/>
  <c r="E2001" i="2"/>
  <c r="F2001" i="2" s="1"/>
  <c r="G2001" i="2" s="1"/>
  <c r="E2002" i="2"/>
  <c r="F2002" i="2" s="1"/>
  <c r="G2002" i="2" s="1"/>
  <c r="E2003" i="2"/>
  <c r="F2003" i="2" s="1"/>
  <c r="G2003" i="2" s="1"/>
  <c r="E2004" i="2"/>
  <c r="F2004" i="2" s="1"/>
  <c r="G2004" i="2" s="1"/>
  <c r="E2005" i="2"/>
  <c r="F2005" i="2" s="1"/>
  <c r="G2005" i="2" s="1"/>
  <c r="E2006" i="2"/>
  <c r="F2006" i="2" s="1"/>
  <c r="G2006" i="2" s="1"/>
  <c r="E2007" i="2"/>
  <c r="F2007" i="2" s="1"/>
  <c r="G2007" i="2" s="1"/>
  <c r="E2008" i="2"/>
  <c r="F2008" i="2" s="1"/>
  <c r="G2008" i="2" s="1"/>
  <c r="E2009" i="2"/>
  <c r="F2009" i="2" s="1"/>
  <c r="G2009" i="2" s="1"/>
  <c r="E2010" i="2"/>
  <c r="F2010" i="2" s="1"/>
  <c r="G2010" i="2" s="1"/>
  <c r="E2011" i="2"/>
  <c r="F2011" i="2" s="1"/>
  <c r="G2011" i="2" s="1"/>
  <c r="E2012" i="2"/>
  <c r="F2012" i="2" s="1"/>
  <c r="G2012" i="2" s="1"/>
  <c r="E2013" i="2"/>
  <c r="F2013" i="2" s="1"/>
  <c r="G2013" i="2" s="1"/>
  <c r="E2014" i="2"/>
  <c r="F2014" i="2" s="1"/>
  <c r="G2014" i="2" s="1"/>
  <c r="E2015" i="2"/>
  <c r="F2015" i="2" s="1"/>
  <c r="G2015" i="2" s="1"/>
  <c r="E2016" i="2"/>
  <c r="F2016" i="2" s="1"/>
  <c r="G2016" i="2" s="1"/>
  <c r="E2017" i="2"/>
  <c r="F2017" i="2" s="1"/>
  <c r="G2017" i="2" s="1"/>
  <c r="E2018" i="2"/>
  <c r="F2018" i="2" s="1"/>
  <c r="G2018" i="2" s="1"/>
  <c r="E2019" i="2"/>
  <c r="F2019" i="2" s="1"/>
  <c r="G2019" i="2" s="1"/>
  <c r="E2020" i="2"/>
  <c r="F2020" i="2" s="1"/>
  <c r="G2020" i="2" s="1"/>
  <c r="E2021" i="2"/>
  <c r="F2021" i="2" s="1"/>
  <c r="G2021" i="2" s="1"/>
  <c r="E2022" i="2"/>
  <c r="F2022" i="2" s="1"/>
  <c r="G2022" i="2" s="1"/>
  <c r="E2023" i="2"/>
  <c r="F2023" i="2" s="1"/>
  <c r="G2023" i="2" s="1"/>
  <c r="E2024" i="2"/>
  <c r="F2024" i="2" s="1"/>
  <c r="G2024" i="2" s="1"/>
  <c r="E2025" i="2"/>
  <c r="F2025" i="2" s="1"/>
  <c r="G2025" i="2" s="1"/>
  <c r="E2026" i="2"/>
  <c r="F2026" i="2" s="1"/>
  <c r="G2026" i="2" s="1"/>
  <c r="E2027" i="2"/>
  <c r="F2027" i="2" s="1"/>
  <c r="G2027" i="2" s="1"/>
  <c r="E2028" i="2"/>
  <c r="F2028" i="2" s="1"/>
  <c r="G2028" i="2" s="1"/>
  <c r="E2029" i="2"/>
  <c r="F2029" i="2" s="1"/>
  <c r="G2029" i="2" s="1"/>
  <c r="E2030" i="2"/>
  <c r="F2030" i="2" s="1"/>
  <c r="G2030" i="2" s="1"/>
  <c r="E2031" i="2"/>
  <c r="F2031" i="2" s="1"/>
  <c r="G2031" i="2" s="1"/>
  <c r="E2032" i="2"/>
  <c r="F2032" i="2" s="1"/>
  <c r="G2032" i="2" s="1"/>
  <c r="E2033" i="2"/>
  <c r="F2033" i="2" s="1"/>
  <c r="G2033" i="2" s="1"/>
  <c r="E2034" i="2"/>
  <c r="F2034" i="2" s="1"/>
  <c r="G2034" i="2" s="1"/>
  <c r="E2035" i="2"/>
  <c r="F2035" i="2" s="1"/>
  <c r="G2035" i="2" s="1"/>
  <c r="E2036" i="2"/>
  <c r="F2036" i="2" s="1"/>
  <c r="G2036" i="2" s="1"/>
  <c r="E2037" i="2"/>
  <c r="F2037" i="2" s="1"/>
  <c r="G2037" i="2" s="1"/>
  <c r="E2038" i="2"/>
  <c r="F2038" i="2" s="1"/>
  <c r="G2038" i="2" s="1"/>
  <c r="E2039" i="2"/>
  <c r="F2039" i="2" s="1"/>
  <c r="G2039" i="2" s="1"/>
  <c r="E2040" i="2"/>
  <c r="F2040" i="2" s="1"/>
  <c r="G2040" i="2" s="1"/>
  <c r="E2041" i="2"/>
  <c r="F2041" i="2" s="1"/>
  <c r="G2041" i="2" s="1"/>
  <c r="E2042" i="2"/>
  <c r="F2042" i="2" s="1"/>
  <c r="G2042" i="2" s="1"/>
  <c r="E2043" i="2"/>
  <c r="F2043" i="2" s="1"/>
  <c r="G2043" i="2" s="1"/>
  <c r="E2044" i="2"/>
  <c r="F2044" i="2" s="1"/>
  <c r="G2044" i="2" s="1"/>
  <c r="E2045" i="2"/>
  <c r="F2045" i="2" s="1"/>
  <c r="G2045" i="2" s="1"/>
  <c r="E2046" i="2"/>
  <c r="F2046" i="2" s="1"/>
  <c r="G2046" i="2" s="1"/>
  <c r="E2047" i="2"/>
  <c r="F2047" i="2" s="1"/>
  <c r="G2047" i="2" s="1"/>
  <c r="E2048" i="2"/>
  <c r="F2048" i="2" s="1"/>
  <c r="G2048" i="2" s="1"/>
  <c r="E2049" i="2"/>
  <c r="F2049" i="2" s="1"/>
  <c r="G2049" i="2" s="1"/>
  <c r="E2050" i="2"/>
  <c r="F2050" i="2" s="1"/>
  <c r="G2050" i="2" s="1"/>
  <c r="E2051" i="2"/>
  <c r="F2051" i="2" s="1"/>
  <c r="G2051" i="2" s="1"/>
  <c r="E2052" i="2"/>
  <c r="F2052" i="2" s="1"/>
  <c r="G2052" i="2" s="1"/>
  <c r="E2053" i="2"/>
  <c r="F2053" i="2" s="1"/>
  <c r="G2053" i="2" s="1"/>
  <c r="E2054" i="2"/>
  <c r="F2054" i="2" s="1"/>
  <c r="G2054" i="2" s="1"/>
  <c r="E2055" i="2"/>
  <c r="F2055" i="2" s="1"/>
  <c r="G2055" i="2" s="1"/>
  <c r="E2056" i="2"/>
  <c r="F2056" i="2" s="1"/>
  <c r="G2056" i="2" s="1"/>
  <c r="E2057" i="2"/>
  <c r="F2057" i="2" s="1"/>
  <c r="G2057" i="2" s="1"/>
  <c r="E2058" i="2"/>
  <c r="F2058" i="2" s="1"/>
  <c r="G2058" i="2" s="1"/>
  <c r="E2059" i="2"/>
  <c r="F2059" i="2" s="1"/>
  <c r="G2059" i="2" s="1"/>
  <c r="E2060" i="2"/>
  <c r="F2060" i="2" s="1"/>
  <c r="G2060" i="2" s="1"/>
  <c r="E2061" i="2"/>
  <c r="F2061" i="2" s="1"/>
  <c r="G2061" i="2" s="1"/>
  <c r="E2062" i="2"/>
  <c r="F2062" i="2" s="1"/>
  <c r="G2062" i="2" s="1"/>
  <c r="E2063" i="2"/>
  <c r="F2063" i="2" s="1"/>
  <c r="G2063" i="2" s="1"/>
  <c r="E2064" i="2"/>
  <c r="F2064" i="2" s="1"/>
  <c r="G2064" i="2" s="1"/>
  <c r="E2065" i="2"/>
  <c r="F2065" i="2" s="1"/>
  <c r="G2065" i="2" s="1"/>
  <c r="E2066" i="2"/>
  <c r="F2066" i="2" s="1"/>
  <c r="G2066" i="2" s="1"/>
  <c r="E2067" i="2"/>
  <c r="F2067" i="2" s="1"/>
  <c r="G2067" i="2" s="1"/>
  <c r="E2068" i="2"/>
  <c r="F2068" i="2" s="1"/>
  <c r="G2068" i="2" s="1"/>
  <c r="E2069" i="2"/>
  <c r="F2069" i="2" s="1"/>
  <c r="G2069" i="2" s="1"/>
  <c r="E2070" i="2"/>
  <c r="F2070" i="2" s="1"/>
  <c r="G2070" i="2" s="1"/>
  <c r="E2071" i="2"/>
  <c r="F2071" i="2" s="1"/>
  <c r="G2071" i="2" s="1"/>
  <c r="E2072" i="2"/>
  <c r="F2072" i="2" s="1"/>
  <c r="G2072" i="2" s="1"/>
  <c r="E2073" i="2"/>
  <c r="F2073" i="2" s="1"/>
  <c r="G2073" i="2" s="1"/>
  <c r="E2074" i="2"/>
  <c r="F2074" i="2" s="1"/>
  <c r="G2074" i="2" s="1"/>
  <c r="E2075" i="2"/>
  <c r="F2075" i="2" s="1"/>
  <c r="G2075" i="2" s="1"/>
  <c r="E2076" i="2"/>
  <c r="F2076" i="2" s="1"/>
  <c r="G2076" i="2" s="1"/>
  <c r="E2077" i="2"/>
  <c r="F2077" i="2" s="1"/>
  <c r="G2077" i="2" s="1"/>
  <c r="E2078" i="2"/>
  <c r="F2078" i="2" s="1"/>
  <c r="G2078" i="2" s="1"/>
  <c r="E2079" i="2"/>
  <c r="F2079" i="2" s="1"/>
  <c r="G2079" i="2" s="1"/>
  <c r="E2080" i="2"/>
  <c r="F2080" i="2" s="1"/>
  <c r="G2080" i="2" s="1"/>
  <c r="E2081" i="2"/>
  <c r="F2081" i="2" s="1"/>
  <c r="G2081" i="2" s="1"/>
  <c r="E2082" i="2"/>
  <c r="F2082" i="2" s="1"/>
  <c r="G2082" i="2" s="1"/>
  <c r="E2083" i="2"/>
  <c r="F2083" i="2" s="1"/>
  <c r="G2083" i="2" s="1"/>
  <c r="E2084" i="2"/>
  <c r="F2084" i="2" s="1"/>
  <c r="G2084" i="2" s="1"/>
  <c r="E2085" i="2"/>
  <c r="F2085" i="2" s="1"/>
  <c r="G2085" i="2" s="1"/>
  <c r="E2086" i="2"/>
  <c r="F2086" i="2" s="1"/>
  <c r="G2086" i="2" s="1"/>
  <c r="E2087" i="2"/>
  <c r="F2087" i="2" s="1"/>
  <c r="G2087" i="2" s="1"/>
  <c r="E2088" i="2"/>
  <c r="F2088" i="2" s="1"/>
  <c r="G2088" i="2" s="1"/>
  <c r="E2089" i="2"/>
  <c r="F2089" i="2" s="1"/>
  <c r="G2089" i="2" s="1"/>
  <c r="E2090" i="2"/>
  <c r="F2090" i="2" s="1"/>
  <c r="G2090" i="2" s="1"/>
  <c r="E2091" i="2"/>
  <c r="F2091" i="2" s="1"/>
  <c r="G2091" i="2" s="1"/>
  <c r="E2092" i="2"/>
  <c r="F2092" i="2" s="1"/>
  <c r="G2092" i="2" s="1"/>
  <c r="E2093" i="2"/>
  <c r="F2093" i="2" s="1"/>
  <c r="G2093" i="2" s="1"/>
  <c r="E2094" i="2"/>
  <c r="F2094" i="2" s="1"/>
  <c r="G2094" i="2" s="1"/>
  <c r="E2095" i="2"/>
  <c r="F2095" i="2" s="1"/>
  <c r="G2095" i="2" s="1"/>
  <c r="E2096" i="2"/>
  <c r="F2096" i="2" s="1"/>
  <c r="G2096" i="2" s="1"/>
  <c r="E2097" i="2"/>
  <c r="F2097" i="2" s="1"/>
  <c r="G2097" i="2" s="1"/>
  <c r="E2098" i="2"/>
  <c r="F2098" i="2" s="1"/>
  <c r="G2098" i="2" s="1"/>
  <c r="E2099" i="2"/>
  <c r="F2099" i="2" s="1"/>
  <c r="G2099" i="2" s="1"/>
  <c r="E2100" i="2"/>
  <c r="F2100" i="2" s="1"/>
  <c r="G2100" i="2" s="1"/>
  <c r="E2101" i="2"/>
  <c r="F2101" i="2" s="1"/>
  <c r="G2101" i="2" s="1"/>
  <c r="E2102" i="2"/>
  <c r="F2102" i="2" s="1"/>
  <c r="G2102" i="2" s="1"/>
  <c r="E2103" i="2"/>
  <c r="F2103" i="2" s="1"/>
  <c r="G2103" i="2" s="1"/>
  <c r="E2104" i="2"/>
  <c r="F2104" i="2" s="1"/>
  <c r="G2104" i="2" s="1"/>
  <c r="E2105" i="2"/>
  <c r="F2105" i="2" s="1"/>
  <c r="G2105" i="2" s="1"/>
  <c r="E2106" i="2"/>
  <c r="F2106" i="2" s="1"/>
  <c r="G2106" i="2" s="1"/>
  <c r="E2107" i="2"/>
  <c r="F2107" i="2" s="1"/>
  <c r="G2107" i="2" s="1"/>
  <c r="E2108" i="2"/>
  <c r="F2108" i="2" s="1"/>
  <c r="G2108" i="2" s="1"/>
  <c r="E2109" i="2"/>
  <c r="F2109" i="2" s="1"/>
  <c r="G2109" i="2" s="1"/>
  <c r="E2110" i="2"/>
  <c r="F2110" i="2" s="1"/>
  <c r="G2110" i="2" s="1"/>
  <c r="E2111" i="2"/>
  <c r="F2111" i="2" s="1"/>
  <c r="G2111" i="2" s="1"/>
  <c r="E2112" i="2"/>
  <c r="F2112" i="2" s="1"/>
  <c r="G2112" i="2" s="1"/>
  <c r="E2113" i="2"/>
  <c r="F2113" i="2" s="1"/>
  <c r="G2113" i="2" s="1"/>
  <c r="E2114" i="2"/>
  <c r="F2114" i="2" s="1"/>
  <c r="G2114" i="2" s="1"/>
  <c r="E2115" i="2"/>
  <c r="F2115" i="2" s="1"/>
  <c r="G2115" i="2" s="1"/>
  <c r="E2116" i="2"/>
  <c r="F2116" i="2" s="1"/>
  <c r="G2116" i="2" s="1"/>
  <c r="E2117" i="2"/>
  <c r="F2117" i="2" s="1"/>
  <c r="G2117" i="2" s="1"/>
  <c r="E2118" i="2"/>
  <c r="F2118" i="2" s="1"/>
  <c r="G2118" i="2" s="1"/>
  <c r="E2119" i="2"/>
  <c r="F2119" i="2" s="1"/>
  <c r="G2119" i="2" s="1"/>
  <c r="E2120" i="2"/>
  <c r="F2120" i="2" s="1"/>
  <c r="G2120" i="2" s="1"/>
  <c r="E2121" i="2"/>
  <c r="F2121" i="2" s="1"/>
  <c r="G2121" i="2" s="1"/>
  <c r="E2122" i="2"/>
  <c r="F2122" i="2" s="1"/>
  <c r="G2122" i="2" s="1"/>
  <c r="E2123" i="2"/>
  <c r="F2123" i="2" s="1"/>
  <c r="G2123" i="2" s="1"/>
  <c r="E2124" i="2"/>
  <c r="F2124" i="2" s="1"/>
  <c r="G2124" i="2" s="1"/>
  <c r="E2125" i="2"/>
  <c r="F2125" i="2" s="1"/>
  <c r="G2125" i="2" s="1"/>
  <c r="E2126" i="2"/>
  <c r="F2126" i="2" s="1"/>
  <c r="G2126" i="2" s="1"/>
  <c r="E2127" i="2"/>
  <c r="F2127" i="2" s="1"/>
  <c r="G2127" i="2" s="1"/>
  <c r="E2128" i="2"/>
  <c r="F2128" i="2" s="1"/>
  <c r="G2128" i="2" s="1"/>
  <c r="E2129" i="2"/>
  <c r="F2129" i="2" s="1"/>
  <c r="G2129" i="2" s="1"/>
  <c r="E2130" i="2"/>
  <c r="F2130" i="2" s="1"/>
  <c r="G2130" i="2" s="1"/>
  <c r="E2131" i="2"/>
  <c r="F2131" i="2" s="1"/>
  <c r="G2131" i="2" s="1"/>
  <c r="E2132" i="2"/>
  <c r="F2132" i="2" s="1"/>
  <c r="G2132" i="2" s="1"/>
  <c r="E2133" i="2"/>
  <c r="F2133" i="2" s="1"/>
  <c r="G2133" i="2" s="1"/>
  <c r="E2134" i="2"/>
  <c r="F2134" i="2" s="1"/>
  <c r="G2134" i="2" s="1"/>
  <c r="E2135" i="2"/>
  <c r="F2135" i="2" s="1"/>
  <c r="G2135" i="2" s="1"/>
  <c r="E2136" i="2"/>
  <c r="F2136" i="2" s="1"/>
  <c r="G2136" i="2" s="1"/>
  <c r="E2137" i="2"/>
  <c r="F2137" i="2" s="1"/>
  <c r="G2137" i="2" s="1"/>
  <c r="E2138" i="2"/>
  <c r="F2138" i="2" s="1"/>
  <c r="G2138" i="2" s="1"/>
  <c r="E2139" i="2"/>
  <c r="F2139" i="2" s="1"/>
  <c r="G2139" i="2" s="1"/>
  <c r="E2140" i="2"/>
  <c r="F2140" i="2" s="1"/>
  <c r="G2140" i="2" s="1"/>
  <c r="E2141" i="2"/>
  <c r="F2141" i="2" s="1"/>
  <c r="G2141" i="2" s="1"/>
  <c r="E2142" i="2"/>
  <c r="F2142" i="2" s="1"/>
  <c r="G2142" i="2" s="1"/>
  <c r="E2143" i="2"/>
  <c r="F2143" i="2" s="1"/>
  <c r="G2143" i="2" s="1"/>
  <c r="E2144" i="2"/>
  <c r="F2144" i="2" s="1"/>
  <c r="G2144" i="2" s="1"/>
  <c r="E2145" i="2"/>
  <c r="F2145" i="2" s="1"/>
  <c r="G2145" i="2" s="1"/>
  <c r="E2146" i="2"/>
  <c r="F2146" i="2" s="1"/>
  <c r="G2146" i="2" s="1"/>
  <c r="E2147" i="2"/>
  <c r="F2147" i="2" s="1"/>
  <c r="G2147" i="2" s="1"/>
  <c r="E2148" i="2"/>
  <c r="F2148" i="2" s="1"/>
  <c r="G2148" i="2" s="1"/>
  <c r="E2149" i="2"/>
  <c r="F2149" i="2" s="1"/>
  <c r="G2149" i="2" s="1"/>
  <c r="E2150" i="2"/>
  <c r="F2150" i="2" s="1"/>
  <c r="G2150" i="2" s="1"/>
  <c r="E2151" i="2"/>
  <c r="F2151" i="2" s="1"/>
  <c r="G2151" i="2" s="1"/>
  <c r="E2152" i="2"/>
  <c r="F2152" i="2" s="1"/>
  <c r="G2152" i="2" s="1"/>
  <c r="E2153" i="2"/>
  <c r="F2153" i="2" s="1"/>
  <c r="G2153" i="2" s="1"/>
  <c r="E2154" i="2"/>
  <c r="F2154" i="2" s="1"/>
  <c r="G2154" i="2" s="1"/>
  <c r="E2155" i="2"/>
  <c r="F2155" i="2" s="1"/>
  <c r="G2155" i="2" s="1"/>
  <c r="E2156" i="2"/>
  <c r="F2156" i="2" s="1"/>
  <c r="G2156" i="2" s="1"/>
  <c r="E2157" i="2"/>
  <c r="F2157" i="2" s="1"/>
  <c r="G2157" i="2" s="1"/>
  <c r="E2158" i="2"/>
  <c r="F2158" i="2" s="1"/>
  <c r="G2158" i="2" s="1"/>
  <c r="E2159" i="2"/>
  <c r="F2159" i="2" s="1"/>
  <c r="G2159" i="2" s="1"/>
  <c r="E2160" i="2"/>
  <c r="F2160" i="2" s="1"/>
  <c r="G2160" i="2" s="1"/>
  <c r="E2161" i="2"/>
  <c r="F2161" i="2" s="1"/>
  <c r="G2161" i="2" s="1"/>
  <c r="E2162" i="2"/>
  <c r="F2162" i="2" s="1"/>
  <c r="G2162" i="2" s="1"/>
  <c r="E2163" i="2"/>
  <c r="F2163" i="2" s="1"/>
  <c r="G2163" i="2" s="1"/>
  <c r="E2164" i="2"/>
  <c r="F2164" i="2" s="1"/>
  <c r="G2164" i="2" s="1"/>
  <c r="E2165" i="2"/>
  <c r="F2165" i="2" s="1"/>
  <c r="G2165" i="2" s="1"/>
  <c r="E2166" i="2"/>
  <c r="F2166" i="2" s="1"/>
  <c r="G2166" i="2" s="1"/>
  <c r="E2167" i="2"/>
  <c r="F2167" i="2" s="1"/>
  <c r="G2167" i="2" s="1"/>
  <c r="E2168" i="2"/>
  <c r="F2168" i="2" s="1"/>
  <c r="G2168" i="2" s="1"/>
  <c r="E2169" i="2"/>
  <c r="F2169" i="2" s="1"/>
  <c r="G2169" i="2" s="1"/>
  <c r="E2170" i="2"/>
  <c r="F2170" i="2" s="1"/>
  <c r="G2170" i="2" s="1"/>
  <c r="E2171" i="2"/>
  <c r="F2171" i="2" s="1"/>
  <c r="G2171" i="2" s="1"/>
  <c r="E2172" i="2"/>
  <c r="F2172" i="2" s="1"/>
  <c r="G2172" i="2" s="1"/>
  <c r="E2173" i="2"/>
  <c r="F2173" i="2" s="1"/>
  <c r="G2173" i="2" s="1"/>
  <c r="E2174" i="2"/>
  <c r="F2174" i="2" s="1"/>
  <c r="G2174" i="2" s="1"/>
  <c r="E2175" i="2"/>
  <c r="F2175" i="2" s="1"/>
  <c r="G2175" i="2" s="1"/>
  <c r="E2176" i="2"/>
  <c r="F2176" i="2" s="1"/>
  <c r="G2176" i="2" s="1"/>
  <c r="E2177" i="2"/>
  <c r="F2177" i="2" s="1"/>
  <c r="G2177" i="2" s="1"/>
  <c r="E2178" i="2"/>
  <c r="F2178" i="2" s="1"/>
  <c r="G2178" i="2" s="1"/>
  <c r="E2179" i="2"/>
  <c r="F2179" i="2" s="1"/>
  <c r="G2179" i="2" s="1"/>
  <c r="E2180" i="2"/>
  <c r="F2180" i="2" s="1"/>
  <c r="G2180" i="2" s="1"/>
  <c r="E2181" i="2"/>
  <c r="F2181" i="2" s="1"/>
  <c r="G2181" i="2" s="1"/>
  <c r="E2182" i="2"/>
  <c r="F2182" i="2" s="1"/>
  <c r="G2182" i="2" s="1"/>
  <c r="E2183" i="2"/>
  <c r="F2183" i="2" s="1"/>
  <c r="G2183" i="2" s="1"/>
  <c r="E2184" i="2"/>
  <c r="F2184" i="2" s="1"/>
  <c r="G2184" i="2" s="1"/>
  <c r="E2185" i="2"/>
  <c r="F2185" i="2" s="1"/>
  <c r="G2185" i="2" s="1"/>
  <c r="E2186" i="2"/>
  <c r="F2186" i="2" s="1"/>
  <c r="G2186" i="2" s="1"/>
  <c r="E2187" i="2"/>
  <c r="F2187" i="2" s="1"/>
  <c r="G2187" i="2" s="1"/>
  <c r="E2188" i="2"/>
  <c r="F2188" i="2" s="1"/>
  <c r="G2188" i="2" s="1"/>
  <c r="E2189" i="2"/>
  <c r="F2189" i="2" s="1"/>
  <c r="G2189" i="2" s="1"/>
  <c r="E2190" i="2"/>
  <c r="F2190" i="2" s="1"/>
  <c r="G2190" i="2" s="1"/>
  <c r="E2191" i="2"/>
  <c r="F2191" i="2" s="1"/>
  <c r="G2191" i="2" s="1"/>
  <c r="E2192" i="2"/>
  <c r="F2192" i="2" s="1"/>
  <c r="G2192" i="2" s="1"/>
  <c r="E2193" i="2"/>
  <c r="F2193" i="2" s="1"/>
  <c r="G2193" i="2" s="1"/>
  <c r="E2194" i="2"/>
  <c r="F2194" i="2" s="1"/>
  <c r="G2194" i="2" s="1"/>
  <c r="E2195" i="2"/>
  <c r="F2195" i="2" s="1"/>
  <c r="G2195" i="2" s="1"/>
  <c r="E2196" i="2"/>
  <c r="F2196" i="2" s="1"/>
  <c r="G2196" i="2" s="1"/>
  <c r="E2197" i="2"/>
  <c r="F2197" i="2" s="1"/>
  <c r="G2197" i="2" s="1"/>
  <c r="E2198" i="2"/>
  <c r="F2198" i="2" s="1"/>
  <c r="G2198" i="2" s="1"/>
  <c r="E2199" i="2"/>
  <c r="F2199" i="2" s="1"/>
  <c r="G2199" i="2" s="1"/>
  <c r="E2200" i="2"/>
  <c r="F2200" i="2" s="1"/>
  <c r="G2200" i="2" s="1"/>
  <c r="E2201" i="2"/>
  <c r="F2201" i="2" s="1"/>
  <c r="G2201" i="2" s="1"/>
  <c r="E2202" i="2"/>
  <c r="F2202" i="2" s="1"/>
  <c r="G2202" i="2" s="1"/>
  <c r="E2203" i="2"/>
  <c r="F2203" i="2" s="1"/>
  <c r="G2203" i="2" s="1"/>
  <c r="E2204" i="2"/>
  <c r="F2204" i="2" s="1"/>
  <c r="G2204" i="2" s="1"/>
  <c r="E2205" i="2"/>
  <c r="F2205" i="2" s="1"/>
  <c r="G2205" i="2" s="1"/>
  <c r="E2206" i="2"/>
  <c r="F2206" i="2" s="1"/>
  <c r="G2206" i="2" s="1"/>
  <c r="E2207" i="2"/>
  <c r="F2207" i="2" s="1"/>
  <c r="G2207" i="2" s="1"/>
  <c r="E2208" i="2"/>
  <c r="F2208" i="2" s="1"/>
  <c r="G2208" i="2" s="1"/>
  <c r="E2209" i="2"/>
  <c r="F2209" i="2" s="1"/>
  <c r="G2209" i="2" s="1"/>
  <c r="E2210" i="2"/>
  <c r="F2210" i="2" s="1"/>
  <c r="G2210" i="2" s="1"/>
  <c r="E2211" i="2"/>
  <c r="F2211" i="2" s="1"/>
  <c r="G2211" i="2" s="1"/>
  <c r="E2212" i="2"/>
  <c r="F2212" i="2" s="1"/>
  <c r="G2212" i="2" s="1"/>
  <c r="E2213" i="2"/>
  <c r="F2213" i="2" s="1"/>
  <c r="G2213" i="2" s="1"/>
  <c r="E2214" i="2"/>
  <c r="F2214" i="2" s="1"/>
  <c r="G2214" i="2" s="1"/>
  <c r="E2215" i="2"/>
  <c r="F2215" i="2" s="1"/>
  <c r="G2215" i="2" s="1"/>
  <c r="E2216" i="2"/>
  <c r="F2216" i="2" s="1"/>
  <c r="G2216" i="2" s="1"/>
  <c r="E2217" i="2"/>
  <c r="F2217" i="2" s="1"/>
  <c r="G2217" i="2" s="1"/>
  <c r="E2218" i="2"/>
  <c r="F2218" i="2" s="1"/>
  <c r="G2218" i="2" s="1"/>
  <c r="E2219" i="2"/>
  <c r="F2219" i="2" s="1"/>
  <c r="G2219" i="2" s="1"/>
  <c r="E2220" i="2"/>
  <c r="F2220" i="2" s="1"/>
  <c r="G2220" i="2" s="1"/>
  <c r="E2221" i="2"/>
  <c r="F2221" i="2" s="1"/>
  <c r="G2221" i="2" s="1"/>
  <c r="E2222" i="2"/>
  <c r="F2222" i="2" s="1"/>
  <c r="G2222" i="2" s="1"/>
  <c r="E2223" i="2"/>
  <c r="F2223" i="2" s="1"/>
  <c r="G2223" i="2" s="1"/>
  <c r="E2224" i="2"/>
  <c r="F2224" i="2" s="1"/>
  <c r="G2224" i="2" s="1"/>
  <c r="E2225" i="2"/>
  <c r="F2225" i="2" s="1"/>
  <c r="G2225" i="2" s="1"/>
  <c r="E2226" i="2"/>
  <c r="F2226" i="2" s="1"/>
  <c r="G2226" i="2" s="1"/>
  <c r="E2227" i="2"/>
  <c r="F2227" i="2" s="1"/>
  <c r="G2227" i="2" s="1"/>
  <c r="E2228" i="2"/>
  <c r="F2228" i="2" s="1"/>
  <c r="G2228" i="2" s="1"/>
  <c r="E2229" i="2"/>
  <c r="F2229" i="2" s="1"/>
  <c r="G2229" i="2" s="1"/>
  <c r="E2230" i="2"/>
  <c r="F2230" i="2" s="1"/>
  <c r="G2230" i="2" s="1"/>
  <c r="E2231" i="2"/>
  <c r="F2231" i="2" s="1"/>
  <c r="G2231" i="2" s="1"/>
  <c r="E2232" i="2"/>
  <c r="F2232" i="2" s="1"/>
  <c r="G2232" i="2" s="1"/>
  <c r="E2233" i="2"/>
  <c r="F2233" i="2" s="1"/>
  <c r="G2233" i="2" s="1"/>
  <c r="E2234" i="2"/>
  <c r="F2234" i="2" s="1"/>
  <c r="G2234" i="2" s="1"/>
  <c r="E2235" i="2"/>
  <c r="F2235" i="2" s="1"/>
  <c r="G2235" i="2" s="1"/>
  <c r="E2236" i="2"/>
  <c r="F2236" i="2" s="1"/>
  <c r="G2236" i="2" s="1"/>
  <c r="E2237" i="2"/>
  <c r="F2237" i="2" s="1"/>
  <c r="G2237" i="2" s="1"/>
  <c r="E2238" i="2"/>
  <c r="F2238" i="2" s="1"/>
  <c r="G2238" i="2" s="1"/>
  <c r="E2239" i="2"/>
  <c r="F2239" i="2" s="1"/>
  <c r="G2239" i="2" s="1"/>
  <c r="E2240" i="2"/>
  <c r="F2240" i="2" s="1"/>
  <c r="G2240" i="2" s="1"/>
  <c r="E2241" i="2"/>
  <c r="F2241" i="2" s="1"/>
  <c r="G2241" i="2" s="1"/>
  <c r="E2242" i="2"/>
  <c r="F2242" i="2" s="1"/>
  <c r="G2242" i="2" s="1"/>
  <c r="E2243" i="2"/>
  <c r="F2243" i="2" s="1"/>
  <c r="G2243" i="2" s="1"/>
  <c r="E2244" i="2"/>
  <c r="F2244" i="2" s="1"/>
  <c r="G2244" i="2" s="1"/>
  <c r="E2245" i="2"/>
  <c r="F2245" i="2" s="1"/>
  <c r="G2245" i="2" s="1"/>
  <c r="E2246" i="2"/>
  <c r="F2246" i="2" s="1"/>
  <c r="G2246" i="2" s="1"/>
  <c r="E2247" i="2"/>
  <c r="F2247" i="2" s="1"/>
  <c r="G2247" i="2" s="1"/>
  <c r="E2248" i="2"/>
  <c r="F2248" i="2" s="1"/>
  <c r="G2248" i="2" s="1"/>
  <c r="E2249" i="2"/>
  <c r="F2249" i="2" s="1"/>
  <c r="G2249" i="2" s="1"/>
  <c r="E2250" i="2"/>
  <c r="F2250" i="2" s="1"/>
  <c r="G2250" i="2" s="1"/>
  <c r="E2251" i="2"/>
  <c r="F2251" i="2" s="1"/>
  <c r="G2251" i="2" s="1"/>
  <c r="E2252" i="2"/>
  <c r="F2252" i="2" s="1"/>
  <c r="G2252" i="2" s="1"/>
  <c r="E2253" i="2"/>
  <c r="F2253" i="2" s="1"/>
  <c r="G2253" i="2" s="1"/>
  <c r="E2254" i="2"/>
  <c r="F2254" i="2" s="1"/>
  <c r="G2254" i="2" s="1"/>
  <c r="E2255" i="2"/>
  <c r="F2255" i="2" s="1"/>
  <c r="G2255" i="2" s="1"/>
  <c r="E2256" i="2"/>
  <c r="F2256" i="2" s="1"/>
  <c r="G2256" i="2" s="1"/>
  <c r="E2257" i="2"/>
  <c r="F2257" i="2" s="1"/>
  <c r="G2257" i="2" s="1"/>
  <c r="E2258" i="2"/>
  <c r="F2258" i="2" s="1"/>
  <c r="G2258" i="2" s="1"/>
  <c r="E2259" i="2"/>
  <c r="F2259" i="2" s="1"/>
  <c r="G2259" i="2" s="1"/>
  <c r="E2260" i="2"/>
  <c r="F2260" i="2" s="1"/>
  <c r="G2260" i="2" s="1"/>
  <c r="E2261" i="2"/>
  <c r="F2261" i="2" s="1"/>
  <c r="G2261" i="2" s="1"/>
  <c r="E2262" i="2"/>
  <c r="F2262" i="2" s="1"/>
  <c r="G2262" i="2" s="1"/>
  <c r="E2263" i="2"/>
  <c r="F2263" i="2" s="1"/>
  <c r="G2263" i="2" s="1"/>
  <c r="E2264" i="2"/>
  <c r="F2264" i="2" s="1"/>
  <c r="G2264" i="2" s="1"/>
  <c r="E2265" i="2"/>
  <c r="F2265" i="2" s="1"/>
  <c r="G2265" i="2" s="1"/>
  <c r="E2266" i="2"/>
  <c r="F2266" i="2" s="1"/>
  <c r="G2266" i="2" s="1"/>
  <c r="E2267" i="2"/>
  <c r="F2267" i="2" s="1"/>
  <c r="G2267" i="2" s="1"/>
  <c r="E2268" i="2"/>
  <c r="F2268" i="2" s="1"/>
  <c r="G2268" i="2" s="1"/>
  <c r="E2269" i="2"/>
  <c r="F2269" i="2" s="1"/>
  <c r="G2269" i="2" s="1"/>
  <c r="E2270" i="2"/>
  <c r="F2270" i="2" s="1"/>
  <c r="G2270" i="2" s="1"/>
  <c r="E2271" i="2"/>
  <c r="F2271" i="2" s="1"/>
  <c r="G2271" i="2" s="1"/>
  <c r="E2272" i="2"/>
  <c r="F2272" i="2" s="1"/>
  <c r="G2272" i="2" s="1"/>
  <c r="E2273" i="2"/>
  <c r="F2273" i="2" s="1"/>
  <c r="G2273" i="2" s="1"/>
  <c r="E2274" i="2"/>
  <c r="F2274" i="2" s="1"/>
  <c r="G2274" i="2" s="1"/>
  <c r="E2275" i="2"/>
  <c r="F2275" i="2" s="1"/>
  <c r="G2275" i="2" s="1"/>
  <c r="E2276" i="2"/>
  <c r="F2276" i="2" s="1"/>
  <c r="G2276" i="2" s="1"/>
  <c r="E2277" i="2"/>
  <c r="F2277" i="2" s="1"/>
  <c r="G2277" i="2" s="1"/>
  <c r="E2278" i="2"/>
  <c r="F2278" i="2" s="1"/>
  <c r="G2278" i="2" s="1"/>
  <c r="E2279" i="2"/>
  <c r="F2279" i="2" s="1"/>
  <c r="G2279" i="2" s="1"/>
  <c r="E2280" i="2"/>
  <c r="F2280" i="2" s="1"/>
  <c r="G2280" i="2" s="1"/>
  <c r="E2281" i="2"/>
  <c r="F2281" i="2" s="1"/>
  <c r="G2281" i="2" s="1"/>
  <c r="E2282" i="2"/>
  <c r="F2282" i="2" s="1"/>
  <c r="G2282" i="2" s="1"/>
  <c r="E2283" i="2"/>
  <c r="F2283" i="2" s="1"/>
  <c r="G2283" i="2" s="1"/>
  <c r="E2284" i="2"/>
  <c r="F2284" i="2" s="1"/>
  <c r="G2284" i="2" s="1"/>
  <c r="E2285" i="2"/>
  <c r="F2285" i="2" s="1"/>
  <c r="G2285" i="2" s="1"/>
  <c r="E2286" i="2"/>
  <c r="F2286" i="2" s="1"/>
  <c r="G2286" i="2" s="1"/>
  <c r="E2287" i="2"/>
  <c r="F2287" i="2" s="1"/>
  <c r="G2287" i="2" s="1"/>
  <c r="E2288" i="2"/>
  <c r="F2288" i="2" s="1"/>
  <c r="G2288" i="2" s="1"/>
  <c r="E2289" i="2"/>
  <c r="F2289" i="2" s="1"/>
  <c r="G2289" i="2" s="1"/>
  <c r="E2290" i="2"/>
  <c r="F2290" i="2" s="1"/>
  <c r="G2290" i="2" s="1"/>
  <c r="E2291" i="2"/>
  <c r="F2291" i="2" s="1"/>
  <c r="G2291" i="2" s="1"/>
  <c r="E2292" i="2"/>
  <c r="F2292" i="2" s="1"/>
  <c r="G2292" i="2" s="1"/>
  <c r="E2293" i="2"/>
  <c r="F2293" i="2" s="1"/>
  <c r="G2293" i="2" s="1"/>
  <c r="E2294" i="2"/>
  <c r="F2294" i="2" s="1"/>
  <c r="G2294" i="2" s="1"/>
  <c r="E2295" i="2"/>
  <c r="F2295" i="2" s="1"/>
  <c r="G2295" i="2" s="1"/>
  <c r="E2296" i="2"/>
  <c r="F2296" i="2" s="1"/>
  <c r="G2296" i="2" s="1"/>
  <c r="E2297" i="2"/>
  <c r="F2297" i="2" s="1"/>
  <c r="G2297" i="2" s="1"/>
  <c r="E2298" i="2"/>
  <c r="F2298" i="2" s="1"/>
  <c r="G2298" i="2" s="1"/>
  <c r="E2299" i="2"/>
  <c r="F2299" i="2" s="1"/>
  <c r="G2299" i="2" s="1"/>
  <c r="E2300" i="2"/>
  <c r="F2300" i="2" s="1"/>
  <c r="G2300" i="2" s="1"/>
  <c r="E2301" i="2"/>
  <c r="F2301" i="2" s="1"/>
  <c r="G2301" i="2" s="1"/>
  <c r="E2302" i="2"/>
  <c r="F2302" i="2" s="1"/>
  <c r="G2302" i="2" s="1"/>
  <c r="E2303" i="2"/>
  <c r="F2303" i="2" s="1"/>
  <c r="G2303" i="2" s="1"/>
  <c r="E2304" i="2"/>
  <c r="F2304" i="2" s="1"/>
  <c r="G2304" i="2" s="1"/>
  <c r="E2305" i="2"/>
  <c r="F2305" i="2" s="1"/>
  <c r="G2305" i="2" s="1"/>
  <c r="E2306" i="2"/>
  <c r="F2306" i="2" s="1"/>
  <c r="G2306" i="2" s="1"/>
  <c r="E2307" i="2"/>
  <c r="F2307" i="2" s="1"/>
  <c r="G2307" i="2" s="1"/>
  <c r="E2308" i="2"/>
  <c r="F2308" i="2" s="1"/>
  <c r="G2308" i="2" s="1"/>
  <c r="E2309" i="2"/>
  <c r="F2309" i="2" s="1"/>
  <c r="G2309" i="2" s="1"/>
  <c r="E2310" i="2"/>
  <c r="F2310" i="2" s="1"/>
  <c r="G2310" i="2" s="1"/>
  <c r="E2311" i="2"/>
  <c r="F2311" i="2" s="1"/>
  <c r="G2311" i="2" s="1"/>
  <c r="E2312" i="2"/>
  <c r="F2312" i="2" s="1"/>
  <c r="G2312" i="2" s="1"/>
  <c r="E2313" i="2"/>
  <c r="F2313" i="2" s="1"/>
  <c r="G2313" i="2" s="1"/>
  <c r="E2314" i="2"/>
  <c r="F2314" i="2" s="1"/>
  <c r="G2314" i="2" s="1"/>
  <c r="E2315" i="2"/>
  <c r="F2315" i="2" s="1"/>
  <c r="G2315" i="2" s="1"/>
  <c r="E2316" i="2"/>
  <c r="F2316" i="2" s="1"/>
  <c r="G2316" i="2" s="1"/>
  <c r="E2317" i="2"/>
  <c r="F2317" i="2" s="1"/>
  <c r="G2317" i="2" s="1"/>
  <c r="E2318" i="2"/>
  <c r="F2318" i="2" s="1"/>
  <c r="G2318" i="2" s="1"/>
  <c r="E2319" i="2"/>
  <c r="F2319" i="2" s="1"/>
  <c r="G2319" i="2" s="1"/>
  <c r="E2320" i="2"/>
  <c r="F2320" i="2" s="1"/>
  <c r="G2320" i="2" s="1"/>
  <c r="E2321" i="2"/>
  <c r="F2321" i="2" s="1"/>
  <c r="G2321" i="2" s="1"/>
  <c r="E2322" i="2"/>
  <c r="F2322" i="2" s="1"/>
  <c r="G2322" i="2" s="1"/>
  <c r="E2323" i="2"/>
  <c r="F2323" i="2" s="1"/>
  <c r="G2323" i="2" s="1"/>
  <c r="E2324" i="2"/>
  <c r="F2324" i="2" s="1"/>
  <c r="G2324" i="2" s="1"/>
  <c r="E2325" i="2"/>
  <c r="F2325" i="2" s="1"/>
  <c r="G2325" i="2" s="1"/>
  <c r="E2326" i="2"/>
  <c r="F2326" i="2" s="1"/>
  <c r="G2326" i="2" s="1"/>
  <c r="E2327" i="2"/>
  <c r="F2327" i="2" s="1"/>
  <c r="G2327" i="2" s="1"/>
  <c r="E2328" i="2"/>
  <c r="F2328" i="2" s="1"/>
  <c r="G2328" i="2" s="1"/>
  <c r="E2329" i="2"/>
  <c r="F2329" i="2" s="1"/>
  <c r="G2329" i="2" s="1"/>
  <c r="E2330" i="2"/>
  <c r="F2330" i="2" s="1"/>
  <c r="G2330" i="2" s="1"/>
  <c r="E2331" i="2"/>
  <c r="F2331" i="2" s="1"/>
  <c r="G2331" i="2" s="1"/>
  <c r="E2332" i="2"/>
  <c r="F2332" i="2" s="1"/>
  <c r="G2332" i="2" s="1"/>
  <c r="E2333" i="2"/>
  <c r="F2333" i="2" s="1"/>
  <c r="G2333" i="2" s="1"/>
  <c r="E2334" i="2"/>
  <c r="F2334" i="2" s="1"/>
  <c r="G2334" i="2" s="1"/>
  <c r="E2335" i="2"/>
  <c r="F2335" i="2" s="1"/>
  <c r="G2335" i="2" s="1"/>
  <c r="E2336" i="2"/>
  <c r="F2336" i="2" s="1"/>
  <c r="G2336" i="2" s="1"/>
  <c r="E2337" i="2"/>
  <c r="F2337" i="2" s="1"/>
  <c r="G2337" i="2" s="1"/>
  <c r="E2338" i="2"/>
  <c r="F2338" i="2" s="1"/>
  <c r="G2338" i="2" s="1"/>
  <c r="E2339" i="2"/>
  <c r="F2339" i="2" s="1"/>
  <c r="G2339" i="2" s="1"/>
  <c r="E2340" i="2"/>
  <c r="F2340" i="2" s="1"/>
  <c r="G2340" i="2" s="1"/>
  <c r="E2341" i="2"/>
  <c r="F2341" i="2" s="1"/>
  <c r="G2341" i="2" s="1"/>
  <c r="E2342" i="2"/>
  <c r="F2342" i="2" s="1"/>
  <c r="G2342" i="2" s="1"/>
  <c r="E2343" i="2"/>
  <c r="F2343" i="2" s="1"/>
  <c r="G2343" i="2" s="1"/>
  <c r="E2344" i="2"/>
  <c r="F2344" i="2" s="1"/>
  <c r="G2344" i="2" s="1"/>
  <c r="E2345" i="2"/>
  <c r="F2345" i="2" s="1"/>
  <c r="G2345" i="2" s="1"/>
  <c r="E2346" i="2"/>
  <c r="F2346" i="2" s="1"/>
  <c r="G2346" i="2" s="1"/>
  <c r="E2347" i="2"/>
  <c r="F2347" i="2" s="1"/>
  <c r="G2347" i="2" s="1"/>
  <c r="E2348" i="2"/>
  <c r="F2348" i="2" s="1"/>
  <c r="G2348" i="2" s="1"/>
  <c r="E2349" i="2"/>
  <c r="F2349" i="2" s="1"/>
  <c r="G2349" i="2" s="1"/>
  <c r="E2350" i="2"/>
  <c r="F2350" i="2" s="1"/>
  <c r="G2350" i="2" s="1"/>
  <c r="E2351" i="2"/>
  <c r="F2351" i="2" s="1"/>
  <c r="G2351" i="2" s="1"/>
  <c r="E2352" i="2"/>
  <c r="F2352" i="2" s="1"/>
  <c r="G2352" i="2" s="1"/>
  <c r="E2353" i="2"/>
  <c r="F2353" i="2" s="1"/>
  <c r="G2353" i="2" s="1"/>
  <c r="E2354" i="2"/>
  <c r="F2354" i="2" s="1"/>
  <c r="G2354" i="2" s="1"/>
  <c r="E2355" i="2"/>
  <c r="F2355" i="2" s="1"/>
  <c r="G2355" i="2" s="1"/>
  <c r="E2356" i="2"/>
  <c r="F2356" i="2" s="1"/>
  <c r="G2356" i="2" s="1"/>
  <c r="E2357" i="2"/>
  <c r="F2357" i="2" s="1"/>
  <c r="G2357" i="2" s="1"/>
  <c r="E2358" i="2"/>
  <c r="F2358" i="2" s="1"/>
  <c r="G2358" i="2" s="1"/>
  <c r="E2359" i="2"/>
  <c r="F2359" i="2" s="1"/>
  <c r="G2359" i="2" s="1"/>
  <c r="E2360" i="2"/>
  <c r="F2360" i="2" s="1"/>
  <c r="G2360" i="2" s="1"/>
  <c r="E2361" i="2"/>
  <c r="F2361" i="2" s="1"/>
  <c r="G2361" i="2" s="1"/>
  <c r="E2362" i="2"/>
  <c r="F2362" i="2" s="1"/>
  <c r="G2362" i="2" s="1"/>
  <c r="E2363" i="2"/>
  <c r="F2363" i="2" s="1"/>
  <c r="G2363" i="2" s="1"/>
  <c r="E2364" i="2"/>
  <c r="F2364" i="2" s="1"/>
  <c r="G2364" i="2" s="1"/>
  <c r="E2365" i="2"/>
  <c r="F2365" i="2" s="1"/>
  <c r="G2365" i="2" s="1"/>
  <c r="E2366" i="2"/>
  <c r="F2366" i="2" s="1"/>
  <c r="G2366" i="2" s="1"/>
  <c r="E2367" i="2"/>
  <c r="F2367" i="2" s="1"/>
  <c r="G2367" i="2" s="1"/>
  <c r="E2368" i="2"/>
  <c r="F2368" i="2" s="1"/>
  <c r="G2368" i="2" s="1"/>
  <c r="E2369" i="2"/>
  <c r="F2369" i="2" s="1"/>
  <c r="G2369" i="2" s="1"/>
  <c r="E2370" i="2"/>
  <c r="F2370" i="2" s="1"/>
  <c r="G2370" i="2" s="1"/>
  <c r="E2371" i="2"/>
  <c r="F2371" i="2" s="1"/>
  <c r="G2371" i="2" s="1"/>
  <c r="E2372" i="2"/>
  <c r="F2372" i="2" s="1"/>
  <c r="G2372" i="2" s="1"/>
  <c r="E2373" i="2"/>
  <c r="F2373" i="2" s="1"/>
  <c r="G2373" i="2" s="1"/>
  <c r="E2374" i="2"/>
  <c r="F2374" i="2" s="1"/>
  <c r="G2374" i="2" s="1"/>
  <c r="E2375" i="2"/>
  <c r="F2375" i="2" s="1"/>
  <c r="G2375" i="2" s="1"/>
  <c r="E2376" i="2"/>
  <c r="F2376" i="2" s="1"/>
  <c r="G2376" i="2" s="1"/>
  <c r="E2377" i="2"/>
  <c r="F2377" i="2" s="1"/>
  <c r="G2377" i="2" s="1"/>
  <c r="E2378" i="2"/>
  <c r="F2378" i="2" s="1"/>
  <c r="G2378" i="2" s="1"/>
  <c r="E2379" i="2"/>
  <c r="F2379" i="2" s="1"/>
  <c r="G2379" i="2" s="1"/>
  <c r="E2380" i="2"/>
  <c r="F2380" i="2" s="1"/>
  <c r="G2380" i="2" s="1"/>
  <c r="E2381" i="2"/>
  <c r="F2381" i="2" s="1"/>
  <c r="G2381" i="2" s="1"/>
  <c r="E2382" i="2"/>
  <c r="F2382" i="2" s="1"/>
  <c r="G2382" i="2" s="1"/>
  <c r="E2383" i="2"/>
  <c r="F2383" i="2" s="1"/>
  <c r="G2383" i="2" s="1"/>
  <c r="E2384" i="2"/>
  <c r="F2384" i="2" s="1"/>
  <c r="G2384" i="2" s="1"/>
  <c r="E2385" i="2"/>
  <c r="F2385" i="2" s="1"/>
  <c r="G2385" i="2" s="1"/>
  <c r="E2386" i="2"/>
  <c r="F2386" i="2" s="1"/>
  <c r="G2386" i="2" s="1"/>
  <c r="E2387" i="2"/>
  <c r="F2387" i="2" s="1"/>
  <c r="G2387" i="2" s="1"/>
  <c r="E2388" i="2"/>
  <c r="F2388" i="2" s="1"/>
  <c r="G2388" i="2" s="1"/>
  <c r="E2389" i="2"/>
  <c r="F2389" i="2" s="1"/>
  <c r="G2389" i="2" s="1"/>
  <c r="E2390" i="2"/>
  <c r="F2390" i="2" s="1"/>
  <c r="G2390" i="2" s="1"/>
  <c r="E2391" i="2"/>
  <c r="F2391" i="2" s="1"/>
  <c r="G2391" i="2" s="1"/>
  <c r="E2392" i="2"/>
  <c r="F2392" i="2" s="1"/>
  <c r="G2392" i="2" s="1"/>
  <c r="E2393" i="2"/>
  <c r="F2393" i="2" s="1"/>
  <c r="G2393" i="2" s="1"/>
  <c r="E2394" i="2"/>
  <c r="F2394" i="2" s="1"/>
  <c r="G2394" i="2" s="1"/>
  <c r="E2395" i="2"/>
  <c r="F2395" i="2" s="1"/>
  <c r="G2395" i="2" s="1"/>
  <c r="E2396" i="2"/>
  <c r="F2396" i="2" s="1"/>
  <c r="G2396" i="2" s="1"/>
  <c r="E2397" i="2"/>
  <c r="F2397" i="2" s="1"/>
  <c r="G2397" i="2" s="1"/>
  <c r="E2398" i="2"/>
  <c r="F2398" i="2" s="1"/>
  <c r="G2398" i="2" s="1"/>
  <c r="E2399" i="2"/>
  <c r="F2399" i="2" s="1"/>
  <c r="G2399" i="2" s="1"/>
  <c r="E2400" i="2"/>
  <c r="F2400" i="2" s="1"/>
  <c r="G2400" i="2" s="1"/>
  <c r="E2401" i="2"/>
  <c r="F2401" i="2" s="1"/>
  <c r="G2401" i="2" s="1"/>
  <c r="E2402" i="2"/>
  <c r="F2402" i="2" s="1"/>
  <c r="G2402" i="2" s="1"/>
  <c r="E2403" i="2"/>
  <c r="F2403" i="2" s="1"/>
  <c r="G2403" i="2" s="1"/>
  <c r="E2404" i="2"/>
  <c r="F2404" i="2" s="1"/>
  <c r="G2404" i="2" s="1"/>
  <c r="E2405" i="2"/>
  <c r="F2405" i="2" s="1"/>
  <c r="G2405" i="2" s="1"/>
  <c r="E2406" i="2"/>
  <c r="F2406" i="2" s="1"/>
  <c r="G2406" i="2" s="1"/>
  <c r="E2407" i="2"/>
  <c r="F2407" i="2" s="1"/>
  <c r="G2407" i="2" s="1"/>
  <c r="E2408" i="2"/>
  <c r="F2408" i="2" s="1"/>
  <c r="G2408" i="2" s="1"/>
  <c r="E2409" i="2"/>
  <c r="F2409" i="2" s="1"/>
  <c r="G2409" i="2" s="1"/>
  <c r="E2410" i="2"/>
  <c r="F2410" i="2" s="1"/>
  <c r="G2410" i="2" s="1"/>
  <c r="E2411" i="2"/>
  <c r="F2411" i="2" s="1"/>
  <c r="G2411" i="2" s="1"/>
  <c r="E2412" i="2"/>
  <c r="F2412" i="2" s="1"/>
  <c r="G2412" i="2" s="1"/>
  <c r="E2413" i="2"/>
  <c r="F2413" i="2" s="1"/>
  <c r="G2413" i="2" s="1"/>
  <c r="E2414" i="2"/>
  <c r="F2414" i="2" s="1"/>
  <c r="G2414" i="2" s="1"/>
  <c r="E2415" i="2"/>
  <c r="F2415" i="2" s="1"/>
  <c r="G2415" i="2" s="1"/>
  <c r="E2416" i="2"/>
  <c r="F2416" i="2" s="1"/>
  <c r="G2416" i="2" s="1"/>
  <c r="E2417" i="2"/>
  <c r="F2417" i="2" s="1"/>
  <c r="G2417" i="2" s="1"/>
  <c r="E2418" i="2"/>
  <c r="F2418" i="2" s="1"/>
  <c r="G2418" i="2" s="1"/>
  <c r="E2419" i="2"/>
  <c r="F2419" i="2" s="1"/>
  <c r="G2419" i="2" s="1"/>
  <c r="E2420" i="2"/>
  <c r="F2420" i="2" s="1"/>
  <c r="G2420" i="2" s="1"/>
  <c r="E2421" i="2"/>
  <c r="F2421" i="2" s="1"/>
  <c r="G2421" i="2" s="1"/>
  <c r="E2422" i="2"/>
  <c r="F2422" i="2" s="1"/>
  <c r="G2422" i="2" s="1"/>
  <c r="E2423" i="2"/>
  <c r="F2423" i="2" s="1"/>
  <c r="G2423" i="2" s="1"/>
  <c r="E2424" i="2"/>
  <c r="F2424" i="2" s="1"/>
  <c r="G2424" i="2" s="1"/>
  <c r="E2425" i="2"/>
  <c r="F2425" i="2" s="1"/>
  <c r="G2425" i="2" s="1"/>
  <c r="E2426" i="2"/>
  <c r="F2426" i="2" s="1"/>
  <c r="G2426" i="2" s="1"/>
  <c r="E2427" i="2"/>
  <c r="F2427" i="2" s="1"/>
  <c r="G2427" i="2" s="1"/>
  <c r="E2428" i="2"/>
  <c r="F2428" i="2" s="1"/>
  <c r="G2428" i="2" s="1"/>
  <c r="E2429" i="2"/>
  <c r="F2429" i="2" s="1"/>
  <c r="G2429" i="2" s="1"/>
  <c r="E2430" i="2"/>
  <c r="F2430" i="2" s="1"/>
  <c r="G2430" i="2" s="1"/>
  <c r="E2431" i="2"/>
  <c r="F2431" i="2" s="1"/>
  <c r="G2431" i="2" s="1"/>
  <c r="E2432" i="2"/>
  <c r="F2432" i="2" s="1"/>
  <c r="G2432" i="2" s="1"/>
  <c r="E2433" i="2"/>
  <c r="F2433" i="2" s="1"/>
  <c r="G2433" i="2" s="1"/>
  <c r="E2434" i="2"/>
  <c r="F2434" i="2" s="1"/>
  <c r="G2434" i="2" s="1"/>
  <c r="E2435" i="2"/>
  <c r="F2435" i="2" s="1"/>
  <c r="G2435" i="2" s="1"/>
  <c r="E2436" i="2"/>
  <c r="F2436" i="2" s="1"/>
  <c r="G2436" i="2" s="1"/>
  <c r="E2437" i="2"/>
  <c r="F2437" i="2" s="1"/>
  <c r="G2437" i="2" s="1"/>
  <c r="E2438" i="2"/>
  <c r="F2438" i="2" s="1"/>
  <c r="G2438" i="2" s="1"/>
  <c r="E2439" i="2"/>
  <c r="F2439" i="2" s="1"/>
  <c r="G2439" i="2" s="1"/>
  <c r="E2440" i="2"/>
  <c r="F2440" i="2" s="1"/>
  <c r="G2440" i="2" s="1"/>
  <c r="E2441" i="2"/>
  <c r="F2441" i="2" s="1"/>
  <c r="G2441" i="2" s="1"/>
  <c r="E2442" i="2"/>
  <c r="F2442" i="2" s="1"/>
  <c r="G2442" i="2" s="1"/>
  <c r="E2443" i="2"/>
  <c r="F2443" i="2" s="1"/>
  <c r="G2443" i="2" s="1"/>
  <c r="E2444" i="2"/>
  <c r="F2444" i="2" s="1"/>
  <c r="G2444" i="2" s="1"/>
  <c r="E2445" i="2"/>
  <c r="F2445" i="2" s="1"/>
  <c r="G2445" i="2" s="1"/>
  <c r="E2446" i="2"/>
  <c r="F2446" i="2" s="1"/>
  <c r="G2446" i="2" s="1"/>
  <c r="E2447" i="2"/>
  <c r="F2447" i="2" s="1"/>
  <c r="G2447" i="2" s="1"/>
  <c r="E2448" i="2"/>
  <c r="F2448" i="2" s="1"/>
  <c r="G2448" i="2" s="1"/>
  <c r="E2449" i="2"/>
  <c r="F2449" i="2" s="1"/>
  <c r="G2449" i="2" s="1"/>
  <c r="E2450" i="2"/>
  <c r="F2450" i="2" s="1"/>
  <c r="G2450" i="2" s="1"/>
  <c r="E2451" i="2"/>
  <c r="F2451" i="2" s="1"/>
  <c r="G2451" i="2" s="1"/>
  <c r="E2452" i="2"/>
  <c r="F2452" i="2" s="1"/>
  <c r="G2452" i="2" s="1"/>
  <c r="E2453" i="2"/>
  <c r="F2453" i="2" s="1"/>
  <c r="G2453" i="2" s="1"/>
  <c r="E2454" i="2"/>
  <c r="F2454" i="2" s="1"/>
  <c r="G2454" i="2" s="1"/>
  <c r="E2455" i="2"/>
  <c r="F2455" i="2" s="1"/>
  <c r="G2455" i="2" s="1"/>
  <c r="E2456" i="2"/>
  <c r="F2456" i="2" s="1"/>
  <c r="G2456" i="2" s="1"/>
  <c r="E2457" i="2"/>
  <c r="F2457" i="2" s="1"/>
  <c r="G2457" i="2" s="1"/>
  <c r="E2458" i="2"/>
  <c r="F2458" i="2" s="1"/>
  <c r="G2458" i="2" s="1"/>
  <c r="E2459" i="2"/>
  <c r="F2459" i="2" s="1"/>
  <c r="G2459" i="2" s="1"/>
  <c r="E2460" i="2"/>
  <c r="F2460" i="2" s="1"/>
  <c r="G2460" i="2" s="1"/>
  <c r="E2461" i="2"/>
  <c r="F2461" i="2" s="1"/>
  <c r="G2461" i="2" s="1"/>
  <c r="E2462" i="2"/>
  <c r="F2462" i="2" s="1"/>
  <c r="G2462" i="2" s="1"/>
  <c r="E2463" i="2"/>
  <c r="F2463" i="2" s="1"/>
  <c r="G2463" i="2" s="1"/>
  <c r="E2464" i="2"/>
  <c r="F2464" i="2" s="1"/>
  <c r="G2464" i="2" s="1"/>
  <c r="E2465" i="2"/>
  <c r="F2465" i="2" s="1"/>
  <c r="G2465" i="2" s="1"/>
  <c r="E2466" i="2"/>
  <c r="F2466" i="2" s="1"/>
  <c r="G2466" i="2" s="1"/>
  <c r="E2467" i="2"/>
  <c r="F2467" i="2" s="1"/>
  <c r="G2467" i="2" s="1"/>
  <c r="E2468" i="2"/>
  <c r="F2468" i="2" s="1"/>
  <c r="G2468" i="2" s="1"/>
  <c r="E2469" i="2"/>
  <c r="F2469" i="2" s="1"/>
  <c r="G2469" i="2" s="1"/>
  <c r="E2470" i="2"/>
  <c r="F2470" i="2" s="1"/>
  <c r="G2470" i="2" s="1"/>
  <c r="E2471" i="2"/>
  <c r="F2471" i="2" s="1"/>
  <c r="G2471" i="2" s="1"/>
  <c r="E2472" i="2"/>
  <c r="F2472" i="2" s="1"/>
  <c r="G2472" i="2" s="1"/>
  <c r="E2473" i="2"/>
  <c r="F2473" i="2" s="1"/>
  <c r="G2473" i="2" s="1"/>
  <c r="E2474" i="2"/>
  <c r="F2474" i="2" s="1"/>
  <c r="G2474" i="2" s="1"/>
  <c r="E2475" i="2"/>
  <c r="F2475" i="2" s="1"/>
  <c r="G2475" i="2" s="1"/>
  <c r="E2476" i="2"/>
  <c r="F2476" i="2" s="1"/>
  <c r="G2476" i="2" s="1"/>
  <c r="E2477" i="2"/>
  <c r="F2477" i="2" s="1"/>
  <c r="G2477" i="2" s="1"/>
  <c r="E2478" i="2"/>
  <c r="F2478" i="2" s="1"/>
  <c r="G2478" i="2" s="1"/>
  <c r="E2479" i="2"/>
  <c r="F2479" i="2" s="1"/>
  <c r="G2479" i="2" s="1"/>
  <c r="E2480" i="2"/>
  <c r="F2480" i="2" s="1"/>
  <c r="G2480" i="2" s="1"/>
  <c r="E2481" i="2"/>
  <c r="F2481" i="2" s="1"/>
  <c r="G2481" i="2" s="1"/>
  <c r="E2482" i="2"/>
  <c r="F2482" i="2" s="1"/>
  <c r="G2482" i="2" s="1"/>
  <c r="E2483" i="2"/>
  <c r="F2483" i="2" s="1"/>
  <c r="G2483" i="2" s="1"/>
  <c r="E2484" i="2"/>
  <c r="F2484" i="2" s="1"/>
  <c r="G2484" i="2" s="1"/>
  <c r="E2485" i="2"/>
  <c r="F2485" i="2" s="1"/>
  <c r="G2485" i="2" s="1"/>
  <c r="E2486" i="2"/>
  <c r="F2486" i="2" s="1"/>
  <c r="G2486" i="2" s="1"/>
  <c r="E2487" i="2"/>
  <c r="F2487" i="2" s="1"/>
  <c r="G2487" i="2" s="1"/>
  <c r="E2488" i="2"/>
  <c r="F2488" i="2" s="1"/>
  <c r="G2488" i="2" s="1"/>
  <c r="E2489" i="2"/>
  <c r="F2489" i="2" s="1"/>
  <c r="G2489" i="2" s="1"/>
  <c r="E2490" i="2"/>
  <c r="F2490" i="2" s="1"/>
  <c r="G2490" i="2" s="1"/>
  <c r="E2491" i="2"/>
  <c r="F2491" i="2" s="1"/>
  <c r="G2491" i="2" s="1"/>
  <c r="E2492" i="2"/>
  <c r="F2492" i="2" s="1"/>
  <c r="G2492" i="2" s="1"/>
  <c r="E2493" i="2"/>
  <c r="F2493" i="2" s="1"/>
  <c r="G2493" i="2" s="1"/>
  <c r="E2494" i="2"/>
  <c r="F2494" i="2" s="1"/>
  <c r="G2494" i="2" s="1"/>
  <c r="E2495" i="2"/>
  <c r="F2495" i="2" s="1"/>
  <c r="G2495" i="2" s="1"/>
  <c r="E2496" i="2"/>
  <c r="F2496" i="2" s="1"/>
  <c r="G2496" i="2" s="1"/>
  <c r="E2497" i="2"/>
  <c r="F2497" i="2" s="1"/>
  <c r="G2497" i="2" s="1"/>
  <c r="E2498" i="2"/>
  <c r="F2498" i="2" s="1"/>
  <c r="G2498" i="2" s="1"/>
  <c r="E2499" i="2"/>
  <c r="F2499" i="2" s="1"/>
  <c r="G2499" i="2" s="1"/>
  <c r="E2500" i="2"/>
  <c r="F2500" i="2" s="1"/>
  <c r="G2500" i="2" s="1"/>
  <c r="E2501" i="2"/>
  <c r="F2501" i="2" s="1"/>
  <c r="G2501" i="2" s="1"/>
  <c r="E2502" i="2"/>
  <c r="F2502" i="2" s="1"/>
  <c r="G2502" i="2" s="1"/>
  <c r="E2503" i="2"/>
  <c r="F2503" i="2" s="1"/>
  <c r="G2503" i="2" s="1"/>
  <c r="E2504" i="2"/>
  <c r="F2504" i="2" s="1"/>
  <c r="G2504" i="2" s="1"/>
  <c r="E2505" i="2"/>
  <c r="F2505" i="2" s="1"/>
  <c r="G2505" i="2" s="1"/>
  <c r="E2506" i="2"/>
  <c r="F2506" i="2" s="1"/>
  <c r="G2506" i="2" s="1"/>
  <c r="E2507" i="2"/>
  <c r="F2507" i="2" s="1"/>
  <c r="G2507" i="2" s="1"/>
  <c r="E2508" i="2"/>
  <c r="F2508" i="2" s="1"/>
  <c r="G2508" i="2" s="1"/>
  <c r="E2509" i="2"/>
  <c r="F2509" i="2" s="1"/>
  <c r="G2509" i="2" s="1"/>
  <c r="E2510" i="2"/>
  <c r="F2510" i="2" s="1"/>
  <c r="G2510" i="2" s="1"/>
  <c r="E2511" i="2"/>
  <c r="F2511" i="2" s="1"/>
  <c r="G2511" i="2" s="1"/>
  <c r="E2512" i="2"/>
  <c r="F2512" i="2" s="1"/>
  <c r="G2512" i="2" s="1"/>
  <c r="E2513" i="2"/>
  <c r="F2513" i="2" s="1"/>
  <c r="G2513" i="2" s="1"/>
  <c r="E2514" i="2"/>
  <c r="F2514" i="2" s="1"/>
  <c r="G2514" i="2" s="1"/>
  <c r="E2515" i="2"/>
  <c r="F2515" i="2" s="1"/>
  <c r="G2515" i="2" s="1"/>
  <c r="E2516" i="2"/>
  <c r="F2516" i="2" s="1"/>
  <c r="G2516" i="2" s="1"/>
  <c r="E2517" i="2"/>
  <c r="F2517" i="2" s="1"/>
  <c r="G2517" i="2" s="1"/>
  <c r="E2518" i="2"/>
  <c r="F2518" i="2" s="1"/>
  <c r="G2518" i="2" s="1"/>
  <c r="E2519" i="2"/>
  <c r="F2519" i="2" s="1"/>
  <c r="G2519" i="2" s="1"/>
  <c r="E2520" i="2"/>
  <c r="F2520" i="2" s="1"/>
  <c r="G2520" i="2" s="1"/>
  <c r="E2521" i="2"/>
  <c r="F2521" i="2" s="1"/>
  <c r="G2521" i="2" s="1"/>
  <c r="E2522" i="2"/>
  <c r="F2522" i="2" s="1"/>
  <c r="G2522" i="2" s="1"/>
  <c r="E2523" i="2"/>
  <c r="F2523" i="2" s="1"/>
  <c r="G2523" i="2" s="1"/>
  <c r="E2524" i="2"/>
  <c r="F2524" i="2" s="1"/>
  <c r="G2524" i="2" s="1"/>
  <c r="E2525" i="2"/>
  <c r="F2525" i="2" s="1"/>
  <c r="G2525" i="2" s="1"/>
  <c r="E2526" i="2"/>
  <c r="F2526" i="2" s="1"/>
  <c r="G2526" i="2" s="1"/>
  <c r="E2527" i="2"/>
  <c r="F2527" i="2" s="1"/>
  <c r="G2527" i="2" s="1"/>
  <c r="E2528" i="2"/>
  <c r="F2528" i="2" s="1"/>
  <c r="G2528" i="2" s="1"/>
  <c r="E2529" i="2"/>
  <c r="F2529" i="2" s="1"/>
  <c r="G2529" i="2" s="1"/>
  <c r="E2530" i="2"/>
  <c r="F2530" i="2" s="1"/>
  <c r="G2530" i="2" s="1"/>
  <c r="E2531" i="2"/>
  <c r="F2531" i="2" s="1"/>
  <c r="G2531" i="2" s="1"/>
  <c r="E2532" i="2"/>
  <c r="F2532" i="2" s="1"/>
  <c r="G2532" i="2" s="1"/>
  <c r="E2533" i="2"/>
  <c r="F2533" i="2" s="1"/>
  <c r="G2533" i="2" s="1"/>
  <c r="E2534" i="2"/>
  <c r="F2534" i="2" s="1"/>
  <c r="G2534" i="2" s="1"/>
  <c r="E2535" i="2"/>
  <c r="F2535" i="2" s="1"/>
  <c r="G2535" i="2" s="1"/>
  <c r="E2536" i="2"/>
  <c r="F2536" i="2" s="1"/>
  <c r="G2536" i="2" s="1"/>
  <c r="E2537" i="2"/>
  <c r="F2537" i="2" s="1"/>
  <c r="G2537" i="2" s="1"/>
  <c r="E2538" i="2"/>
  <c r="F2538" i="2" s="1"/>
  <c r="G2538" i="2" s="1"/>
  <c r="E2539" i="2"/>
  <c r="F2539" i="2" s="1"/>
  <c r="G2539" i="2" s="1"/>
  <c r="E2540" i="2"/>
  <c r="F2540" i="2" s="1"/>
  <c r="G2540" i="2" s="1"/>
  <c r="E2541" i="2"/>
  <c r="F2541" i="2" s="1"/>
  <c r="G2541" i="2" s="1"/>
  <c r="E2542" i="2"/>
  <c r="F2542" i="2" s="1"/>
  <c r="G2542" i="2" s="1"/>
  <c r="E2543" i="2"/>
  <c r="F2543" i="2" s="1"/>
  <c r="G2543" i="2" s="1"/>
  <c r="E2544" i="2"/>
  <c r="F2544" i="2" s="1"/>
  <c r="G2544" i="2" s="1"/>
  <c r="E2545" i="2"/>
  <c r="F2545" i="2" s="1"/>
  <c r="G2545" i="2" s="1"/>
  <c r="E2546" i="2"/>
  <c r="F2546" i="2" s="1"/>
  <c r="G2546" i="2" s="1"/>
  <c r="E2547" i="2"/>
  <c r="F2547" i="2" s="1"/>
  <c r="G2547" i="2" s="1"/>
  <c r="E2548" i="2"/>
  <c r="F2548" i="2" s="1"/>
  <c r="G2548" i="2" s="1"/>
  <c r="E2549" i="2"/>
  <c r="F2549" i="2" s="1"/>
  <c r="G2549" i="2" s="1"/>
  <c r="E2550" i="2"/>
  <c r="F2550" i="2" s="1"/>
  <c r="G2550" i="2" s="1"/>
  <c r="E2551" i="2"/>
  <c r="F2551" i="2" s="1"/>
  <c r="G2551" i="2" s="1"/>
  <c r="E2552" i="2"/>
  <c r="F2552" i="2" s="1"/>
  <c r="G2552" i="2" s="1"/>
  <c r="E2553" i="2"/>
  <c r="F2553" i="2" s="1"/>
  <c r="G2553" i="2" s="1"/>
  <c r="E2554" i="2"/>
  <c r="F2554" i="2" s="1"/>
  <c r="G2554" i="2" s="1"/>
  <c r="E2555" i="2"/>
  <c r="F2555" i="2" s="1"/>
  <c r="G2555" i="2" s="1"/>
  <c r="E2556" i="2"/>
  <c r="F2556" i="2" s="1"/>
  <c r="G2556" i="2" s="1"/>
  <c r="E2557" i="2"/>
  <c r="F2557" i="2" s="1"/>
  <c r="G2557" i="2" s="1"/>
  <c r="E2558" i="2"/>
  <c r="F2558" i="2" s="1"/>
  <c r="G2558" i="2" s="1"/>
  <c r="E2559" i="2"/>
  <c r="F2559" i="2" s="1"/>
  <c r="G2559" i="2" s="1"/>
  <c r="E2560" i="2"/>
  <c r="F2560" i="2" s="1"/>
  <c r="G2560" i="2" s="1"/>
  <c r="E2561" i="2"/>
  <c r="F2561" i="2" s="1"/>
  <c r="G2561" i="2" s="1"/>
  <c r="E2562" i="2"/>
  <c r="F2562" i="2" s="1"/>
  <c r="G2562" i="2" s="1"/>
  <c r="E2563" i="2"/>
  <c r="F2563" i="2" s="1"/>
  <c r="G2563" i="2" s="1"/>
  <c r="E2564" i="2"/>
  <c r="F2564" i="2" s="1"/>
  <c r="G2564" i="2" s="1"/>
  <c r="E2565" i="2"/>
  <c r="F2565" i="2" s="1"/>
  <c r="G2565" i="2" s="1"/>
  <c r="E2566" i="2"/>
  <c r="F2566" i="2" s="1"/>
  <c r="G2566" i="2" s="1"/>
  <c r="E2567" i="2"/>
  <c r="F2567" i="2" s="1"/>
  <c r="G2567" i="2" s="1"/>
  <c r="E2568" i="2"/>
  <c r="F2568" i="2" s="1"/>
  <c r="G2568" i="2" s="1"/>
  <c r="E2569" i="2"/>
  <c r="F2569" i="2" s="1"/>
  <c r="G2569" i="2" s="1"/>
  <c r="E2570" i="2"/>
  <c r="F2570" i="2" s="1"/>
  <c r="G2570" i="2" s="1"/>
  <c r="E2571" i="2"/>
  <c r="F2571" i="2" s="1"/>
  <c r="G2571" i="2" s="1"/>
  <c r="E2572" i="2"/>
  <c r="F2572" i="2" s="1"/>
  <c r="G2572" i="2" s="1"/>
  <c r="E2573" i="2"/>
  <c r="F2573" i="2" s="1"/>
  <c r="G2573" i="2" s="1"/>
  <c r="E2574" i="2"/>
  <c r="F2574" i="2" s="1"/>
  <c r="G2574" i="2" s="1"/>
  <c r="E2575" i="2"/>
  <c r="F2575" i="2" s="1"/>
  <c r="G2575" i="2" s="1"/>
  <c r="E2576" i="2"/>
  <c r="F2576" i="2" s="1"/>
  <c r="G2576" i="2" s="1"/>
  <c r="E2577" i="2"/>
  <c r="F2577" i="2" s="1"/>
  <c r="G2577" i="2" s="1"/>
  <c r="E2578" i="2"/>
  <c r="F2578" i="2" s="1"/>
  <c r="G2578" i="2" s="1"/>
  <c r="E2579" i="2"/>
  <c r="F2579" i="2" s="1"/>
  <c r="G2579" i="2" s="1"/>
  <c r="E2580" i="2"/>
  <c r="F2580" i="2" s="1"/>
  <c r="G2580" i="2" s="1"/>
  <c r="E2581" i="2"/>
  <c r="F2581" i="2" s="1"/>
  <c r="G2581" i="2" s="1"/>
  <c r="E2582" i="2"/>
  <c r="F2582" i="2" s="1"/>
  <c r="G2582" i="2" s="1"/>
  <c r="E2583" i="2"/>
  <c r="F2583" i="2" s="1"/>
  <c r="G2583" i="2" s="1"/>
  <c r="E2584" i="2"/>
  <c r="F2584" i="2" s="1"/>
  <c r="G2584" i="2" s="1"/>
  <c r="E2585" i="2"/>
  <c r="F2585" i="2" s="1"/>
  <c r="G2585" i="2" s="1"/>
  <c r="E2586" i="2"/>
  <c r="F2586" i="2" s="1"/>
  <c r="G2586" i="2" s="1"/>
  <c r="E2587" i="2"/>
  <c r="F2587" i="2" s="1"/>
  <c r="G2587" i="2" s="1"/>
  <c r="E2588" i="2"/>
  <c r="F2588" i="2" s="1"/>
  <c r="G2588" i="2" s="1"/>
  <c r="E2589" i="2"/>
  <c r="F2589" i="2" s="1"/>
  <c r="G2589" i="2" s="1"/>
  <c r="E2590" i="2"/>
  <c r="F2590" i="2" s="1"/>
  <c r="G2590" i="2" s="1"/>
  <c r="E2591" i="2"/>
  <c r="F2591" i="2" s="1"/>
  <c r="G2591" i="2" s="1"/>
  <c r="E2592" i="2"/>
  <c r="F2592" i="2" s="1"/>
  <c r="G2592" i="2" s="1"/>
  <c r="E2593" i="2"/>
  <c r="F2593" i="2" s="1"/>
  <c r="G2593" i="2" s="1"/>
  <c r="E2594" i="2"/>
  <c r="F2594" i="2" s="1"/>
  <c r="G2594" i="2" s="1"/>
  <c r="E2595" i="2"/>
  <c r="F2595" i="2" s="1"/>
  <c r="G2595" i="2" s="1"/>
  <c r="E2596" i="2"/>
  <c r="F2596" i="2" s="1"/>
  <c r="G2596" i="2" s="1"/>
  <c r="E2597" i="2"/>
  <c r="F2597" i="2" s="1"/>
  <c r="G2597" i="2" s="1"/>
  <c r="E2598" i="2"/>
  <c r="F2598" i="2" s="1"/>
  <c r="G2598" i="2" s="1"/>
  <c r="E2599" i="2"/>
  <c r="F2599" i="2" s="1"/>
  <c r="G2599" i="2" s="1"/>
  <c r="E2600" i="2"/>
  <c r="F2600" i="2" s="1"/>
  <c r="G2600" i="2" s="1"/>
  <c r="E2601" i="2"/>
  <c r="F2601" i="2" s="1"/>
  <c r="G2601" i="2" s="1"/>
  <c r="E2602" i="2"/>
  <c r="F2602" i="2" s="1"/>
  <c r="G2602" i="2" s="1"/>
  <c r="E2603" i="2"/>
  <c r="F2603" i="2" s="1"/>
  <c r="G2603" i="2" s="1"/>
  <c r="E2604" i="2"/>
  <c r="F2604" i="2" s="1"/>
  <c r="G2604" i="2" s="1"/>
  <c r="E2605" i="2"/>
  <c r="F2605" i="2" s="1"/>
  <c r="G2605" i="2" s="1"/>
  <c r="E2606" i="2"/>
  <c r="F2606" i="2" s="1"/>
  <c r="G2606" i="2" s="1"/>
  <c r="E2607" i="2"/>
  <c r="F2607" i="2" s="1"/>
  <c r="G2607" i="2" s="1"/>
  <c r="E2608" i="2"/>
  <c r="F2608" i="2" s="1"/>
  <c r="G2608" i="2" s="1"/>
  <c r="E2609" i="2"/>
  <c r="F2609" i="2" s="1"/>
  <c r="G2609" i="2" s="1"/>
  <c r="E2610" i="2"/>
  <c r="F2610" i="2" s="1"/>
  <c r="G2610" i="2" s="1"/>
  <c r="E2611" i="2"/>
  <c r="F2611" i="2" s="1"/>
  <c r="G2611" i="2" s="1"/>
  <c r="E2612" i="2"/>
  <c r="F2612" i="2" s="1"/>
  <c r="G2612" i="2" s="1"/>
  <c r="E2613" i="2"/>
  <c r="F2613" i="2" s="1"/>
  <c r="G2613" i="2" s="1"/>
  <c r="E2614" i="2"/>
  <c r="F2614" i="2" s="1"/>
  <c r="G2614" i="2" s="1"/>
  <c r="E2615" i="2"/>
  <c r="F2615" i="2" s="1"/>
  <c r="G2615" i="2" s="1"/>
  <c r="E2616" i="2"/>
  <c r="F2616" i="2" s="1"/>
  <c r="G2616" i="2" s="1"/>
  <c r="E2617" i="2"/>
  <c r="F2617" i="2" s="1"/>
  <c r="G2617" i="2" s="1"/>
  <c r="E2618" i="2"/>
  <c r="F2618" i="2" s="1"/>
  <c r="G2618" i="2" s="1"/>
  <c r="E2619" i="2"/>
  <c r="F2619" i="2" s="1"/>
  <c r="G2619" i="2" s="1"/>
  <c r="E2620" i="2"/>
  <c r="F2620" i="2" s="1"/>
  <c r="G2620" i="2" s="1"/>
  <c r="E2621" i="2"/>
  <c r="F2621" i="2" s="1"/>
  <c r="G2621" i="2" s="1"/>
  <c r="E2622" i="2"/>
  <c r="F2622" i="2" s="1"/>
  <c r="G2622" i="2" s="1"/>
  <c r="E2623" i="2"/>
  <c r="F2623" i="2" s="1"/>
  <c r="G2623" i="2" s="1"/>
  <c r="E2624" i="2"/>
  <c r="F2624" i="2" s="1"/>
  <c r="G2624" i="2" s="1"/>
  <c r="E2625" i="2"/>
  <c r="F2625" i="2" s="1"/>
  <c r="G2625" i="2" s="1"/>
  <c r="E2626" i="2"/>
  <c r="F2626" i="2" s="1"/>
  <c r="G2626" i="2" s="1"/>
  <c r="E2627" i="2"/>
  <c r="F2627" i="2" s="1"/>
  <c r="G2627" i="2" s="1"/>
  <c r="E2628" i="2"/>
  <c r="F2628" i="2" s="1"/>
  <c r="G2628" i="2" s="1"/>
  <c r="E2629" i="2"/>
  <c r="F2629" i="2" s="1"/>
  <c r="G2629" i="2" s="1"/>
  <c r="E2630" i="2"/>
  <c r="F2630" i="2" s="1"/>
  <c r="G2630" i="2" s="1"/>
  <c r="E2631" i="2"/>
  <c r="F2631" i="2" s="1"/>
  <c r="G2631" i="2" s="1"/>
  <c r="E2632" i="2"/>
  <c r="F2632" i="2" s="1"/>
  <c r="G2632" i="2" s="1"/>
  <c r="E2633" i="2"/>
  <c r="F2633" i="2" s="1"/>
  <c r="G2633" i="2" s="1"/>
  <c r="E2634" i="2"/>
  <c r="F2634" i="2" s="1"/>
  <c r="G2634" i="2" s="1"/>
  <c r="E2635" i="2"/>
  <c r="F2635" i="2" s="1"/>
  <c r="G2635" i="2" s="1"/>
  <c r="E2636" i="2"/>
  <c r="F2636" i="2" s="1"/>
  <c r="G2636" i="2" s="1"/>
  <c r="E2637" i="2"/>
  <c r="F2637" i="2" s="1"/>
  <c r="G2637" i="2" s="1"/>
  <c r="E2638" i="2"/>
  <c r="F2638" i="2" s="1"/>
  <c r="G2638" i="2" s="1"/>
  <c r="E2639" i="2"/>
  <c r="F2639" i="2" s="1"/>
  <c r="G2639" i="2" s="1"/>
  <c r="E2640" i="2"/>
  <c r="F2640" i="2" s="1"/>
  <c r="G2640" i="2" s="1"/>
  <c r="E2641" i="2"/>
  <c r="F2641" i="2" s="1"/>
  <c r="G2641" i="2" s="1"/>
  <c r="E2642" i="2"/>
  <c r="F2642" i="2" s="1"/>
  <c r="G2642" i="2" s="1"/>
  <c r="E2643" i="2"/>
  <c r="F2643" i="2" s="1"/>
  <c r="G2643" i="2" s="1"/>
  <c r="E2644" i="2"/>
  <c r="F2644" i="2" s="1"/>
  <c r="G2644" i="2" s="1"/>
  <c r="E2645" i="2"/>
  <c r="F2645" i="2" s="1"/>
  <c r="G2645" i="2" s="1"/>
  <c r="E2646" i="2"/>
  <c r="F2646" i="2" s="1"/>
  <c r="G2646" i="2" s="1"/>
  <c r="E2647" i="2"/>
  <c r="F2647" i="2" s="1"/>
  <c r="G2647" i="2" s="1"/>
  <c r="E2648" i="2"/>
  <c r="F2648" i="2" s="1"/>
  <c r="G2648" i="2" s="1"/>
  <c r="E2649" i="2"/>
  <c r="F2649" i="2" s="1"/>
  <c r="G2649" i="2" s="1"/>
  <c r="E2650" i="2"/>
  <c r="F2650" i="2" s="1"/>
  <c r="G2650" i="2" s="1"/>
  <c r="E2651" i="2"/>
  <c r="F2651" i="2" s="1"/>
  <c r="G2651" i="2" s="1"/>
  <c r="E2652" i="2"/>
  <c r="F2652" i="2" s="1"/>
  <c r="G2652" i="2" s="1"/>
  <c r="E2653" i="2"/>
  <c r="F2653" i="2" s="1"/>
  <c r="G2653" i="2" s="1"/>
  <c r="E2654" i="2"/>
  <c r="F2654" i="2" s="1"/>
  <c r="G2654" i="2" s="1"/>
  <c r="E2655" i="2"/>
  <c r="F2655" i="2" s="1"/>
  <c r="G2655" i="2" s="1"/>
  <c r="E2656" i="2"/>
  <c r="F2656" i="2" s="1"/>
  <c r="G2656" i="2" s="1"/>
  <c r="E2657" i="2"/>
  <c r="F2657" i="2" s="1"/>
  <c r="G2657" i="2" s="1"/>
  <c r="E2658" i="2"/>
  <c r="F2658" i="2" s="1"/>
  <c r="G2658" i="2" s="1"/>
  <c r="E2659" i="2"/>
  <c r="F2659" i="2" s="1"/>
  <c r="G2659" i="2" s="1"/>
  <c r="E2660" i="2"/>
  <c r="F2660" i="2" s="1"/>
  <c r="G2660" i="2" s="1"/>
  <c r="E2661" i="2"/>
  <c r="F2661" i="2" s="1"/>
  <c r="G2661" i="2" s="1"/>
  <c r="E2662" i="2"/>
  <c r="F2662" i="2" s="1"/>
  <c r="G2662" i="2" s="1"/>
  <c r="E2663" i="2"/>
  <c r="F2663" i="2" s="1"/>
  <c r="G2663" i="2" s="1"/>
  <c r="E2664" i="2"/>
  <c r="F2664" i="2" s="1"/>
  <c r="G2664" i="2" s="1"/>
  <c r="E2665" i="2"/>
  <c r="F2665" i="2" s="1"/>
  <c r="G2665" i="2" s="1"/>
  <c r="E2666" i="2"/>
  <c r="F2666" i="2" s="1"/>
  <c r="G2666" i="2" s="1"/>
  <c r="E2667" i="2"/>
  <c r="F2667" i="2" s="1"/>
  <c r="G2667" i="2" s="1"/>
  <c r="E2668" i="2"/>
  <c r="F2668" i="2" s="1"/>
  <c r="G2668" i="2" s="1"/>
  <c r="E2669" i="2"/>
  <c r="F2669" i="2" s="1"/>
  <c r="G2669" i="2" s="1"/>
  <c r="E2670" i="2"/>
  <c r="F2670" i="2" s="1"/>
  <c r="G2670" i="2" s="1"/>
  <c r="E2671" i="2"/>
  <c r="F2671" i="2" s="1"/>
  <c r="G2671" i="2" s="1"/>
  <c r="E2672" i="2"/>
  <c r="F2672" i="2" s="1"/>
  <c r="G2672" i="2" s="1"/>
  <c r="E2673" i="2"/>
  <c r="F2673" i="2" s="1"/>
  <c r="G2673" i="2" s="1"/>
  <c r="E2674" i="2"/>
  <c r="F2674" i="2" s="1"/>
  <c r="G2674" i="2" s="1"/>
  <c r="E2675" i="2"/>
  <c r="F2675" i="2" s="1"/>
  <c r="G2675" i="2" s="1"/>
  <c r="E2676" i="2"/>
  <c r="F2676" i="2" s="1"/>
  <c r="G2676" i="2" s="1"/>
  <c r="E2677" i="2"/>
  <c r="F2677" i="2" s="1"/>
  <c r="G2677" i="2" s="1"/>
  <c r="E2678" i="2"/>
  <c r="F2678" i="2" s="1"/>
  <c r="G2678" i="2" s="1"/>
  <c r="E2679" i="2"/>
  <c r="F2679" i="2" s="1"/>
  <c r="G2679" i="2" s="1"/>
  <c r="E2680" i="2"/>
  <c r="F2680" i="2" s="1"/>
  <c r="G2680" i="2" s="1"/>
  <c r="E2681" i="2"/>
  <c r="F2681" i="2" s="1"/>
  <c r="G2681" i="2" s="1"/>
  <c r="E2682" i="2"/>
  <c r="F2682" i="2" s="1"/>
  <c r="G2682" i="2" s="1"/>
  <c r="E2683" i="2"/>
  <c r="F2683" i="2" s="1"/>
  <c r="G2683" i="2" s="1"/>
  <c r="E2684" i="2"/>
  <c r="F2684" i="2" s="1"/>
  <c r="G2684" i="2" s="1"/>
  <c r="E2685" i="2"/>
  <c r="F2685" i="2" s="1"/>
  <c r="G2685" i="2" s="1"/>
  <c r="E2686" i="2"/>
  <c r="F2686" i="2" s="1"/>
  <c r="G2686" i="2" s="1"/>
  <c r="E2687" i="2"/>
  <c r="F2687" i="2" s="1"/>
  <c r="G2687" i="2" s="1"/>
  <c r="E2688" i="2"/>
  <c r="F2688" i="2" s="1"/>
  <c r="G2688" i="2" s="1"/>
  <c r="E2689" i="2"/>
  <c r="F2689" i="2" s="1"/>
  <c r="G2689" i="2" s="1"/>
  <c r="E2690" i="2"/>
  <c r="F2690" i="2" s="1"/>
  <c r="G2690" i="2" s="1"/>
  <c r="E2691" i="2"/>
  <c r="F2691" i="2" s="1"/>
  <c r="G2691" i="2" s="1"/>
  <c r="E2692" i="2"/>
  <c r="F2692" i="2" s="1"/>
  <c r="G2692" i="2" s="1"/>
  <c r="E2693" i="2"/>
  <c r="F2693" i="2" s="1"/>
  <c r="G2693" i="2" s="1"/>
  <c r="E2694" i="2"/>
  <c r="F2694" i="2" s="1"/>
  <c r="G2694" i="2" s="1"/>
  <c r="E2695" i="2"/>
  <c r="F2695" i="2" s="1"/>
  <c r="G2695" i="2" s="1"/>
  <c r="E2696" i="2"/>
  <c r="F2696" i="2" s="1"/>
  <c r="G2696" i="2" s="1"/>
  <c r="E2697" i="2"/>
  <c r="F2697" i="2" s="1"/>
  <c r="G2697" i="2" s="1"/>
  <c r="E2698" i="2"/>
  <c r="F2698" i="2" s="1"/>
  <c r="G2698" i="2" s="1"/>
  <c r="E2699" i="2"/>
  <c r="F2699" i="2" s="1"/>
  <c r="G2699" i="2" s="1"/>
  <c r="E2700" i="2"/>
  <c r="F2700" i="2" s="1"/>
  <c r="G2700" i="2" s="1"/>
  <c r="E2701" i="2"/>
  <c r="F2701" i="2" s="1"/>
  <c r="G2701" i="2" s="1"/>
  <c r="E2702" i="2"/>
  <c r="F2702" i="2" s="1"/>
  <c r="G2702" i="2" s="1"/>
  <c r="E2703" i="2"/>
  <c r="F2703" i="2" s="1"/>
  <c r="G2703" i="2" s="1"/>
  <c r="E2704" i="2"/>
  <c r="F2704" i="2" s="1"/>
  <c r="G2704" i="2" s="1"/>
  <c r="E2705" i="2"/>
  <c r="F2705" i="2" s="1"/>
  <c r="G2705" i="2" s="1"/>
  <c r="E2706" i="2"/>
  <c r="F2706" i="2" s="1"/>
  <c r="G2706" i="2" s="1"/>
  <c r="E2707" i="2"/>
  <c r="F2707" i="2" s="1"/>
  <c r="G2707" i="2" s="1"/>
  <c r="E2708" i="2"/>
  <c r="F2708" i="2" s="1"/>
  <c r="G2708" i="2" s="1"/>
  <c r="E2709" i="2"/>
  <c r="F2709" i="2" s="1"/>
  <c r="G2709" i="2" s="1"/>
  <c r="E2710" i="2"/>
  <c r="F2710" i="2" s="1"/>
  <c r="G2710" i="2" s="1"/>
  <c r="E2711" i="2"/>
  <c r="F2711" i="2" s="1"/>
  <c r="G2711" i="2" s="1"/>
  <c r="E2712" i="2"/>
  <c r="F2712" i="2" s="1"/>
  <c r="G2712" i="2" s="1"/>
  <c r="E2713" i="2"/>
  <c r="F2713" i="2" s="1"/>
  <c r="G2713" i="2" s="1"/>
  <c r="E2714" i="2"/>
  <c r="F2714" i="2" s="1"/>
  <c r="G2714" i="2" s="1"/>
  <c r="E2715" i="2"/>
  <c r="F2715" i="2" s="1"/>
  <c r="G2715" i="2" s="1"/>
  <c r="E2716" i="2"/>
  <c r="F2716" i="2" s="1"/>
  <c r="G2716" i="2" s="1"/>
  <c r="E2717" i="2"/>
  <c r="F2717" i="2" s="1"/>
  <c r="G2717" i="2" s="1"/>
  <c r="E2718" i="2"/>
  <c r="F2718" i="2" s="1"/>
  <c r="G2718" i="2" s="1"/>
  <c r="E2719" i="2"/>
  <c r="F2719" i="2" s="1"/>
  <c r="G2719" i="2" s="1"/>
  <c r="E2720" i="2"/>
  <c r="F2720" i="2" s="1"/>
  <c r="G2720" i="2" s="1"/>
  <c r="E2721" i="2"/>
  <c r="F2721" i="2" s="1"/>
  <c r="G2721" i="2" s="1"/>
  <c r="E2722" i="2"/>
  <c r="F2722" i="2" s="1"/>
  <c r="G2722" i="2" s="1"/>
  <c r="E2723" i="2"/>
  <c r="F2723" i="2" s="1"/>
  <c r="G2723" i="2" s="1"/>
  <c r="E2724" i="2"/>
  <c r="F2724" i="2" s="1"/>
  <c r="G2724" i="2" s="1"/>
  <c r="E2725" i="2"/>
  <c r="F2725" i="2" s="1"/>
  <c r="G2725" i="2" s="1"/>
  <c r="E2726" i="2"/>
  <c r="F2726" i="2" s="1"/>
  <c r="G2726" i="2" s="1"/>
  <c r="E2727" i="2"/>
  <c r="F2727" i="2" s="1"/>
  <c r="G2727" i="2" s="1"/>
  <c r="E2728" i="2"/>
  <c r="F2728" i="2" s="1"/>
  <c r="G2728" i="2" s="1"/>
  <c r="E2729" i="2"/>
  <c r="F2729" i="2" s="1"/>
  <c r="G2729" i="2" s="1"/>
  <c r="E2730" i="2"/>
  <c r="F2730" i="2" s="1"/>
  <c r="G2730" i="2" s="1"/>
  <c r="E2731" i="2"/>
  <c r="F2731" i="2" s="1"/>
  <c r="G2731" i="2" s="1"/>
  <c r="E2732" i="2"/>
  <c r="F2732" i="2" s="1"/>
  <c r="G2732" i="2" s="1"/>
  <c r="E2733" i="2"/>
  <c r="F2733" i="2" s="1"/>
  <c r="G2733" i="2" s="1"/>
  <c r="E2734" i="2"/>
  <c r="F2734" i="2" s="1"/>
  <c r="G2734" i="2" s="1"/>
  <c r="E2735" i="2"/>
  <c r="F2735" i="2" s="1"/>
  <c r="G2735" i="2" s="1"/>
  <c r="E2736" i="2"/>
  <c r="F2736" i="2" s="1"/>
  <c r="G2736" i="2" s="1"/>
  <c r="E2737" i="2"/>
  <c r="F2737" i="2" s="1"/>
  <c r="G2737" i="2" s="1"/>
  <c r="E2738" i="2"/>
  <c r="F2738" i="2" s="1"/>
  <c r="G2738" i="2" s="1"/>
  <c r="E2739" i="2"/>
  <c r="F2739" i="2" s="1"/>
  <c r="G2739" i="2" s="1"/>
  <c r="E2740" i="2"/>
  <c r="F2740" i="2" s="1"/>
  <c r="G2740" i="2" s="1"/>
  <c r="E2741" i="2"/>
  <c r="F2741" i="2" s="1"/>
  <c r="G2741" i="2" s="1"/>
  <c r="E2742" i="2"/>
  <c r="F2742" i="2" s="1"/>
  <c r="G2742" i="2" s="1"/>
  <c r="E2743" i="2"/>
  <c r="F2743" i="2" s="1"/>
  <c r="G2743" i="2" s="1"/>
  <c r="E2744" i="2"/>
  <c r="F2744" i="2" s="1"/>
  <c r="G2744" i="2" s="1"/>
  <c r="E2745" i="2"/>
  <c r="F2745" i="2" s="1"/>
  <c r="G2745" i="2" s="1"/>
  <c r="E2746" i="2"/>
  <c r="F2746" i="2" s="1"/>
  <c r="G2746" i="2" s="1"/>
  <c r="E2747" i="2"/>
  <c r="F2747" i="2" s="1"/>
  <c r="G2747" i="2" s="1"/>
  <c r="E2748" i="2"/>
  <c r="F2748" i="2" s="1"/>
  <c r="G2748" i="2" s="1"/>
  <c r="E2749" i="2"/>
  <c r="F2749" i="2" s="1"/>
  <c r="G2749" i="2" s="1"/>
  <c r="E2750" i="2"/>
  <c r="F2750" i="2" s="1"/>
  <c r="G2750" i="2" s="1"/>
  <c r="E2751" i="2"/>
  <c r="F2751" i="2" s="1"/>
  <c r="G2751" i="2" s="1"/>
  <c r="E2752" i="2"/>
  <c r="F2752" i="2" s="1"/>
  <c r="G2752" i="2" s="1"/>
  <c r="E2753" i="2"/>
  <c r="F2753" i="2" s="1"/>
  <c r="G2753" i="2" s="1"/>
  <c r="E2754" i="2"/>
  <c r="F2754" i="2" s="1"/>
  <c r="G2754" i="2" s="1"/>
  <c r="E2755" i="2"/>
  <c r="F2755" i="2" s="1"/>
  <c r="G2755" i="2" s="1"/>
  <c r="E2756" i="2"/>
  <c r="F2756" i="2" s="1"/>
  <c r="G2756" i="2" s="1"/>
  <c r="E2757" i="2"/>
  <c r="F2757" i="2" s="1"/>
  <c r="G2757" i="2" s="1"/>
  <c r="E2758" i="2"/>
  <c r="F2758" i="2" s="1"/>
  <c r="G2758" i="2" s="1"/>
  <c r="E2759" i="2"/>
  <c r="F2759" i="2" s="1"/>
  <c r="G2759" i="2" s="1"/>
  <c r="E2760" i="2"/>
  <c r="F2760" i="2" s="1"/>
  <c r="G2760" i="2" s="1"/>
  <c r="E2761" i="2"/>
  <c r="F2761" i="2" s="1"/>
  <c r="G2761" i="2" s="1"/>
  <c r="E2762" i="2"/>
  <c r="F2762" i="2" s="1"/>
  <c r="G2762" i="2" s="1"/>
  <c r="E2763" i="2"/>
  <c r="F2763" i="2" s="1"/>
  <c r="G2763" i="2" s="1"/>
  <c r="E2764" i="2"/>
  <c r="F2764" i="2" s="1"/>
  <c r="G2764" i="2" s="1"/>
  <c r="E2765" i="2"/>
  <c r="F2765" i="2" s="1"/>
  <c r="G2765" i="2" s="1"/>
  <c r="E2766" i="2"/>
  <c r="F2766" i="2" s="1"/>
  <c r="G2766" i="2" s="1"/>
  <c r="E2767" i="2"/>
  <c r="F2767" i="2" s="1"/>
  <c r="G2767" i="2" s="1"/>
  <c r="E2768" i="2"/>
  <c r="F2768" i="2" s="1"/>
  <c r="G2768" i="2" s="1"/>
  <c r="E2769" i="2"/>
  <c r="F2769" i="2" s="1"/>
  <c r="G2769" i="2" s="1"/>
  <c r="E2770" i="2"/>
  <c r="F2770" i="2" s="1"/>
  <c r="G2770" i="2" s="1"/>
  <c r="E2771" i="2"/>
  <c r="F2771" i="2" s="1"/>
  <c r="G2771" i="2" s="1"/>
  <c r="E2772" i="2"/>
  <c r="F2772" i="2" s="1"/>
  <c r="G2772" i="2" s="1"/>
  <c r="E2773" i="2"/>
  <c r="F2773" i="2" s="1"/>
  <c r="G2773" i="2" s="1"/>
  <c r="E2774" i="2"/>
  <c r="F2774" i="2" s="1"/>
  <c r="G2774" i="2" s="1"/>
  <c r="E2775" i="2"/>
  <c r="F2775" i="2" s="1"/>
  <c r="G2775" i="2" s="1"/>
  <c r="E2776" i="2"/>
  <c r="F2776" i="2" s="1"/>
  <c r="G2776" i="2" s="1"/>
  <c r="E2777" i="2"/>
  <c r="F2777" i="2" s="1"/>
  <c r="G2777" i="2" s="1"/>
  <c r="E2778" i="2"/>
  <c r="F2778" i="2" s="1"/>
  <c r="G2778" i="2" s="1"/>
  <c r="E2779" i="2"/>
  <c r="F2779" i="2" s="1"/>
  <c r="G2779" i="2" s="1"/>
  <c r="E2780" i="2"/>
  <c r="F2780" i="2" s="1"/>
  <c r="G2780" i="2" s="1"/>
  <c r="E2781" i="2"/>
  <c r="F2781" i="2" s="1"/>
  <c r="G2781" i="2" s="1"/>
  <c r="E2782" i="2"/>
  <c r="F2782" i="2" s="1"/>
  <c r="G2782" i="2" s="1"/>
  <c r="E2783" i="2"/>
  <c r="F2783" i="2" s="1"/>
  <c r="G2783" i="2" s="1"/>
  <c r="E2784" i="2"/>
  <c r="F2784" i="2" s="1"/>
  <c r="G2784" i="2" s="1"/>
  <c r="E2785" i="2"/>
  <c r="F2785" i="2" s="1"/>
  <c r="G2785" i="2" s="1"/>
  <c r="E2786" i="2"/>
  <c r="F2786" i="2" s="1"/>
  <c r="G2786" i="2" s="1"/>
  <c r="E2787" i="2"/>
  <c r="F2787" i="2" s="1"/>
  <c r="G2787" i="2" s="1"/>
  <c r="E2788" i="2"/>
  <c r="F2788" i="2" s="1"/>
  <c r="G2788" i="2" s="1"/>
  <c r="E2789" i="2"/>
  <c r="F2789" i="2" s="1"/>
  <c r="G2789" i="2" s="1"/>
  <c r="E2790" i="2"/>
  <c r="F2790" i="2" s="1"/>
  <c r="G2790" i="2" s="1"/>
  <c r="E2791" i="2"/>
  <c r="F2791" i="2" s="1"/>
  <c r="G2791" i="2" s="1"/>
  <c r="E2792" i="2"/>
  <c r="F2792" i="2" s="1"/>
  <c r="G2792" i="2" s="1"/>
  <c r="E2793" i="2"/>
  <c r="F2793" i="2" s="1"/>
  <c r="G2793" i="2" s="1"/>
  <c r="E2794" i="2"/>
  <c r="F2794" i="2" s="1"/>
  <c r="G2794" i="2" s="1"/>
  <c r="E2795" i="2"/>
  <c r="F2795" i="2" s="1"/>
  <c r="G2795" i="2" s="1"/>
  <c r="E2796" i="2"/>
  <c r="F2796" i="2" s="1"/>
  <c r="G2796" i="2" s="1"/>
  <c r="E2797" i="2"/>
  <c r="F2797" i="2" s="1"/>
  <c r="G2797" i="2" s="1"/>
  <c r="E2798" i="2"/>
  <c r="F2798" i="2" s="1"/>
  <c r="G2798" i="2" s="1"/>
  <c r="E2799" i="2"/>
  <c r="F2799" i="2" s="1"/>
  <c r="G2799" i="2" s="1"/>
  <c r="E2800" i="2"/>
  <c r="F2800" i="2" s="1"/>
  <c r="G2800" i="2" s="1"/>
  <c r="E2801" i="2"/>
  <c r="F2801" i="2" s="1"/>
  <c r="G2801" i="2" s="1"/>
  <c r="E2802" i="2"/>
  <c r="F2802" i="2" s="1"/>
  <c r="G2802" i="2" s="1"/>
  <c r="E2803" i="2"/>
  <c r="F2803" i="2" s="1"/>
  <c r="G2803" i="2" s="1"/>
  <c r="E2804" i="2"/>
  <c r="F2804" i="2" s="1"/>
  <c r="G2804" i="2" s="1"/>
  <c r="E2805" i="2"/>
  <c r="F2805" i="2" s="1"/>
  <c r="G2805" i="2" s="1"/>
  <c r="E2806" i="2"/>
  <c r="F2806" i="2" s="1"/>
  <c r="G2806" i="2" s="1"/>
  <c r="E2807" i="2"/>
  <c r="F2807" i="2" s="1"/>
  <c r="G2807" i="2" s="1"/>
  <c r="E2808" i="2"/>
  <c r="F2808" i="2" s="1"/>
  <c r="G2808" i="2" s="1"/>
  <c r="E2809" i="2"/>
  <c r="F2809" i="2" s="1"/>
  <c r="G2809" i="2" s="1"/>
  <c r="E2810" i="2"/>
  <c r="F2810" i="2" s="1"/>
  <c r="G2810" i="2" s="1"/>
  <c r="E2811" i="2"/>
  <c r="F2811" i="2" s="1"/>
  <c r="G2811" i="2" s="1"/>
  <c r="E2812" i="2"/>
  <c r="F2812" i="2" s="1"/>
  <c r="G2812" i="2" s="1"/>
  <c r="E2813" i="2"/>
  <c r="F2813" i="2" s="1"/>
  <c r="G2813" i="2" s="1"/>
  <c r="E2814" i="2"/>
  <c r="F2814" i="2" s="1"/>
  <c r="G2814" i="2" s="1"/>
  <c r="E2815" i="2"/>
  <c r="F2815" i="2" s="1"/>
  <c r="G2815" i="2" s="1"/>
  <c r="E2816" i="2"/>
  <c r="F2816" i="2" s="1"/>
  <c r="G2816" i="2" s="1"/>
  <c r="E2817" i="2"/>
  <c r="F2817" i="2" s="1"/>
  <c r="G2817" i="2" s="1"/>
  <c r="E2818" i="2"/>
  <c r="F2818" i="2" s="1"/>
  <c r="G2818" i="2" s="1"/>
  <c r="E2819" i="2"/>
  <c r="F2819" i="2" s="1"/>
  <c r="G2819" i="2" s="1"/>
  <c r="E2820" i="2"/>
  <c r="F2820" i="2" s="1"/>
  <c r="G2820" i="2" s="1"/>
  <c r="E2821" i="2"/>
  <c r="F2821" i="2" s="1"/>
  <c r="G2821" i="2" s="1"/>
  <c r="E2822" i="2"/>
  <c r="F2822" i="2" s="1"/>
  <c r="G2822" i="2" s="1"/>
  <c r="E2823" i="2"/>
  <c r="F2823" i="2" s="1"/>
  <c r="G2823" i="2" s="1"/>
  <c r="E2824" i="2"/>
  <c r="F2824" i="2" s="1"/>
  <c r="G2824" i="2" s="1"/>
  <c r="E2825" i="2"/>
  <c r="F2825" i="2" s="1"/>
  <c r="G2825" i="2" s="1"/>
  <c r="E2826" i="2"/>
  <c r="F2826" i="2" s="1"/>
  <c r="G2826" i="2" s="1"/>
  <c r="E2827" i="2"/>
  <c r="F2827" i="2" s="1"/>
  <c r="G2827" i="2" s="1"/>
  <c r="E2828" i="2"/>
  <c r="F2828" i="2" s="1"/>
  <c r="G2828" i="2" s="1"/>
  <c r="E2829" i="2"/>
  <c r="F2829" i="2" s="1"/>
  <c r="G2829" i="2" s="1"/>
  <c r="E2830" i="2"/>
  <c r="F2830" i="2" s="1"/>
  <c r="G2830" i="2" s="1"/>
  <c r="E2831" i="2"/>
  <c r="F2831" i="2" s="1"/>
  <c r="G2831" i="2" s="1"/>
  <c r="E2832" i="2"/>
  <c r="F2832" i="2" s="1"/>
  <c r="G2832" i="2" s="1"/>
  <c r="E2833" i="2"/>
  <c r="F2833" i="2" s="1"/>
  <c r="G2833" i="2" s="1"/>
  <c r="E2834" i="2"/>
  <c r="F2834" i="2" s="1"/>
  <c r="G2834" i="2" s="1"/>
  <c r="E2835" i="2"/>
  <c r="F2835" i="2" s="1"/>
  <c r="G2835" i="2" s="1"/>
  <c r="E2836" i="2"/>
  <c r="F2836" i="2" s="1"/>
  <c r="G2836" i="2" s="1"/>
  <c r="E2837" i="2"/>
  <c r="F2837" i="2" s="1"/>
  <c r="G2837" i="2" s="1"/>
  <c r="E2838" i="2"/>
  <c r="F2838" i="2" s="1"/>
  <c r="G2838" i="2" s="1"/>
  <c r="E2839" i="2"/>
  <c r="F2839" i="2" s="1"/>
  <c r="G2839" i="2" s="1"/>
  <c r="E2840" i="2"/>
  <c r="F2840" i="2" s="1"/>
  <c r="G2840" i="2" s="1"/>
  <c r="E2841" i="2"/>
  <c r="F2841" i="2" s="1"/>
  <c r="G2841" i="2" s="1"/>
  <c r="E2842" i="2"/>
  <c r="F2842" i="2" s="1"/>
  <c r="G2842" i="2" s="1"/>
  <c r="E2843" i="2"/>
  <c r="F2843" i="2" s="1"/>
  <c r="G2843" i="2" s="1"/>
  <c r="E2844" i="2"/>
  <c r="F2844" i="2" s="1"/>
  <c r="G2844" i="2" s="1"/>
  <c r="E2845" i="2"/>
  <c r="F2845" i="2" s="1"/>
  <c r="G2845" i="2" s="1"/>
  <c r="E2846" i="2"/>
  <c r="F2846" i="2" s="1"/>
  <c r="G2846" i="2" s="1"/>
  <c r="E2847" i="2"/>
  <c r="F2847" i="2" s="1"/>
  <c r="G2847" i="2" s="1"/>
  <c r="E2848" i="2"/>
  <c r="F2848" i="2" s="1"/>
  <c r="G2848" i="2" s="1"/>
  <c r="E2849" i="2"/>
  <c r="F2849" i="2" s="1"/>
  <c r="G2849" i="2" s="1"/>
  <c r="E2850" i="2"/>
  <c r="F2850" i="2" s="1"/>
  <c r="G2850" i="2" s="1"/>
  <c r="E2851" i="2"/>
  <c r="F2851" i="2" s="1"/>
  <c r="G2851" i="2" s="1"/>
  <c r="E2852" i="2"/>
  <c r="F2852" i="2" s="1"/>
  <c r="G2852" i="2" s="1"/>
  <c r="E2853" i="2"/>
  <c r="F2853" i="2" s="1"/>
  <c r="G2853" i="2" s="1"/>
  <c r="E2854" i="2"/>
  <c r="F2854" i="2" s="1"/>
  <c r="G2854" i="2" s="1"/>
  <c r="E2855" i="2"/>
  <c r="F2855" i="2" s="1"/>
  <c r="G2855" i="2" s="1"/>
  <c r="E2856" i="2"/>
  <c r="F2856" i="2" s="1"/>
  <c r="G2856" i="2" s="1"/>
  <c r="E2857" i="2"/>
  <c r="F2857" i="2" s="1"/>
  <c r="G2857" i="2" s="1"/>
  <c r="E2858" i="2"/>
  <c r="F2858" i="2" s="1"/>
  <c r="G2858" i="2" s="1"/>
  <c r="E2859" i="2"/>
  <c r="F2859" i="2" s="1"/>
  <c r="G2859" i="2" s="1"/>
  <c r="E2860" i="2"/>
  <c r="F2860" i="2" s="1"/>
  <c r="G2860" i="2" s="1"/>
  <c r="E2861" i="2"/>
  <c r="F2861" i="2" s="1"/>
  <c r="G2861" i="2" s="1"/>
  <c r="E2862" i="2"/>
  <c r="F2862" i="2" s="1"/>
  <c r="G2862" i="2" s="1"/>
  <c r="E2863" i="2"/>
  <c r="F2863" i="2" s="1"/>
  <c r="G2863" i="2" s="1"/>
  <c r="E2864" i="2"/>
  <c r="F2864" i="2" s="1"/>
  <c r="G2864" i="2" s="1"/>
  <c r="E2865" i="2"/>
  <c r="F2865" i="2" s="1"/>
  <c r="G2865" i="2" s="1"/>
  <c r="E2866" i="2"/>
  <c r="F2866" i="2" s="1"/>
  <c r="G2866" i="2" s="1"/>
  <c r="E2867" i="2"/>
  <c r="F2867" i="2" s="1"/>
  <c r="G2867" i="2" s="1"/>
  <c r="E2868" i="2"/>
  <c r="F2868" i="2" s="1"/>
  <c r="G2868" i="2" s="1"/>
  <c r="E2869" i="2"/>
  <c r="F2869" i="2" s="1"/>
  <c r="G2869" i="2" s="1"/>
  <c r="E2870" i="2"/>
  <c r="F2870" i="2" s="1"/>
  <c r="G2870" i="2" s="1"/>
  <c r="E2871" i="2"/>
  <c r="F2871" i="2" s="1"/>
  <c r="G2871" i="2" s="1"/>
  <c r="E2872" i="2"/>
  <c r="F2872" i="2" s="1"/>
  <c r="G2872" i="2" s="1"/>
  <c r="E2873" i="2"/>
  <c r="F2873" i="2" s="1"/>
  <c r="G2873" i="2" s="1"/>
  <c r="E2874" i="2"/>
  <c r="F2874" i="2" s="1"/>
  <c r="G2874" i="2" s="1"/>
  <c r="E2875" i="2"/>
  <c r="F2875" i="2" s="1"/>
  <c r="G2875" i="2" s="1"/>
  <c r="E2876" i="2"/>
  <c r="F2876" i="2" s="1"/>
  <c r="G2876" i="2" s="1"/>
  <c r="E2877" i="2"/>
  <c r="F2877" i="2" s="1"/>
  <c r="G2877" i="2" s="1"/>
  <c r="E2878" i="2"/>
  <c r="F2878" i="2" s="1"/>
  <c r="G2878" i="2" s="1"/>
  <c r="E2879" i="2"/>
  <c r="F2879" i="2" s="1"/>
  <c r="G2879" i="2" s="1"/>
  <c r="E2880" i="2"/>
  <c r="F2880" i="2" s="1"/>
  <c r="G2880" i="2" s="1"/>
  <c r="E2881" i="2"/>
  <c r="F2881" i="2" s="1"/>
  <c r="G2881" i="2" s="1"/>
  <c r="E2882" i="2"/>
  <c r="F2882" i="2" s="1"/>
  <c r="G2882" i="2" s="1"/>
  <c r="E2883" i="2"/>
  <c r="F2883" i="2" s="1"/>
  <c r="G2883" i="2" s="1"/>
  <c r="E2884" i="2"/>
  <c r="F2884" i="2" s="1"/>
  <c r="G2884" i="2" s="1"/>
  <c r="E2" i="2"/>
  <c r="J1" i="2"/>
  <c r="F2" i="2" l="1"/>
  <c r="G2" i="2" s="1"/>
  <c r="B1710" i="2"/>
  <c r="C1710" i="2" s="1"/>
  <c r="B1715" i="2"/>
  <c r="C1715" i="2" s="1"/>
  <c r="B1718" i="2"/>
  <c r="C1718" i="2" s="1"/>
  <c r="B1721" i="2"/>
  <c r="C1721" i="2" s="1"/>
  <c r="B1723" i="2"/>
  <c r="C1723" i="2" s="1"/>
  <c r="B1728" i="2"/>
  <c r="C1728" i="2" s="1"/>
  <c r="B1732" i="2"/>
  <c r="C1732" i="2" s="1"/>
  <c r="B1737" i="2"/>
  <c r="C1737" i="2" s="1"/>
  <c r="B1740" i="2"/>
  <c r="C1740" i="2" s="1"/>
  <c r="B1742" i="2"/>
  <c r="C1742" i="2" s="1"/>
  <c r="B1747" i="2"/>
  <c r="C1747" i="2" s="1"/>
  <c r="B1751" i="2"/>
  <c r="C1751" i="2" s="1"/>
  <c r="B1754" i="2"/>
  <c r="C1754" i="2" s="1"/>
  <c r="B1757" i="2"/>
  <c r="C1757" i="2" s="1"/>
  <c r="B1761" i="2"/>
  <c r="C1761" i="2" s="1"/>
  <c r="B1763" i="2"/>
  <c r="C1763" i="2" s="1"/>
  <c r="B1767" i="2"/>
  <c r="C1767" i="2" s="1"/>
  <c r="B1771" i="2"/>
  <c r="C1771" i="2" s="1"/>
  <c r="B1775" i="2"/>
  <c r="C1775" i="2" s="1"/>
  <c r="B1780" i="2"/>
  <c r="C1780" i="2" s="1"/>
  <c r="B1783" i="2"/>
  <c r="C1783" i="2" s="1"/>
  <c r="B1787" i="2"/>
  <c r="C1787" i="2" s="1"/>
  <c r="B1788" i="2"/>
  <c r="C1788" i="2" s="1"/>
  <c r="B1791" i="2"/>
  <c r="C1791" i="2" s="1"/>
  <c r="B1796" i="2"/>
  <c r="C1796" i="2" s="1"/>
  <c r="B1800" i="2"/>
  <c r="C1800" i="2" s="1"/>
  <c r="B1805" i="2"/>
  <c r="C1805" i="2" s="1"/>
  <c r="B1807" i="2"/>
  <c r="C1807" i="2" s="1"/>
  <c r="B1810" i="2"/>
  <c r="C1810" i="2" s="1"/>
  <c r="B1811" i="2"/>
  <c r="C1811" i="2" s="1"/>
  <c r="B1814" i="2"/>
  <c r="C1814" i="2" s="1"/>
  <c r="B1817" i="2"/>
  <c r="C1817" i="2" s="1"/>
  <c r="B1819" i="2"/>
  <c r="C1819" i="2" s="1"/>
  <c r="B1822" i="2"/>
  <c r="C1822" i="2" s="1"/>
  <c r="B1824" i="2"/>
  <c r="C1824" i="2" s="1"/>
  <c r="B1828" i="2"/>
  <c r="C1828" i="2" s="1"/>
  <c r="B1831" i="2"/>
  <c r="C1831" i="2" s="1"/>
  <c r="B1834" i="2"/>
  <c r="C1834" i="2" s="1"/>
  <c r="B1835" i="2"/>
  <c r="C1835" i="2" s="1"/>
  <c r="B1838" i="2"/>
  <c r="C1838" i="2" s="1"/>
  <c r="B1842" i="2"/>
  <c r="C1842" i="2" s="1"/>
  <c r="B1843" i="2"/>
  <c r="C1843" i="2" s="1"/>
  <c r="B1846" i="2"/>
  <c r="C1846" i="2" s="1"/>
  <c r="B1848" i="2"/>
  <c r="C1848" i="2" s="1"/>
  <c r="B1850" i="2"/>
  <c r="C1850" i="2" s="1"/>
  <c r="B1852" i="2"/>
  <c r="C1852" i="2" s="1"/>
  <c r="B1855" i="2"/>
  <c r="C1855" i="2" s="1"/>
  <c r="B1859" i="2"/>
  <c r="C1859" i="2" s="1"/>
  <c r="B1866" i="2"/>
  <c r="C1866" i="2" s="1"/>
  <c r="B1870" i="2"/>
  <c r="C1870" i="2" s="1"/>
  <c r="B1871" i="2"/>
  <c r="C1871" i="2" s="1"/>
  <c r="B1874" i="2"/>
  <c r="C1874" i="2" s="1"/>
  <c r="B1876" i="2"/>
  <c r="C1876" i="2" s="1"/>
  <c r="B1878" i="2"/>
  <c r="C1878" i="2" s="1"/>
  <c r="B1886" i="2"/>
  <c r="C1886" i="2" s="1"/>
  <c r="B1890" i="2"/>
  <c r="C1890" i="2" s="1"/>
  <c r="B1893" i="2"/>
  <c r="C1893" i="2" s="1"/>
  <c r="B1897" i="2"/>
  <c r="C1897" i="2" s="1"/>
  <c r="B1900" i="2"/>
  <c r="C1900" i="2" s="1"/>
  <c r="B1904" i="2"/>
  <c r="C1904" i="2" s="1"/>
  <c r="B1909" i="2"/>
  <c r="C1909" i="2" s="1"/>
  <c r="B1912" i="2"/>
  <c r="C1912" i="2" s="1"/>
  <c r="B1916" i="2"/>
  <c r="C1916" i="2" s="1"/>
  <c r="B1922" i="2"/>
  <c r="C1922" i="2" s="1"/>
  <c r="B1924" i="2"/>
  <c r="C1924" i="2" s="1"/>
  <c r="B1928" i="2"/>
  <c r="C1928" i="2" s="1"/>
  <c r="B1931" i="2"/>
  <c r="C1931" i="2" s="1"/>
  <c r="B1934" i="2"/>
  <c r="C1934" i="2" s="1"/>
  <c r="B1936" i="2"/>
  <c r="C1936" i="2" s="1"/>
  <c r="B1940" i="2"/>
  <c r="C1940" i="2" s="1"/>
  <c r="B1942" i="2"/>
  <c r="C1942" i="2" s="1"/>
  <c r="B1944" i="2"/>
  <c r="C1944" i="2" s="1"/>
  <c r="B1952" i="2"/>
  <c r="C1952" i="2" s="1"/>
  <c r="B1956" i="2"/>
  <c r="C1956" i="2" s="1"/>
  <c r="B1958" i="2"/>
  <c r="C1958" i="2" s="1"/>
  <c r="B1960" i="2"/>
  <c r="C1960" i="2" s="1"/>
  <c r="B1965" i="2"/>
  <c r="C1965" i="2" s="1"/>
  <c r="B1968" i="2"/>
  <c r="C1968" i="2" s="1"/>
  <c r="B1972" i="2"/>
  <c r="C1972" i="2" s="1"/>
  <c r="B1975" i="2"/>
  <c r="C1975" i="2" s="1"/>
  <c r="B1977" i="2"/>
  <c r="C1977" i="2" s="1"/>
  <c r="B1979" i="2"/>
  <c r="C1979" i="2" s="1"/>
  <c r="B1982" i="2"/>
  <c r="C1982" i="2" s="1"/>
  <c r="B1985" i="2"/>
  <c r="C1985" i="2" s="1"/>
  <c r="B1989" i="2"/>
  <c r="C1989" i="2" s="1"/>
  <c r="B1993" i="2"/>
  <c r="C1993" i="2" s="1"/>
  <c r="B1997" i="2"/>
  <c r="C1997" i="2" s="1"/>
  <c r="B2000" i="2"/>
  <c r="C2000" i="2" s="1"/>
  <c r="B2004" i="2"/>
  <c r="C2004" i="2" s="1"/>
  <c r="B2007" i="2"/>
  <c r="C2007" i="2" s="1"/>
  <c r="B2010" i="2"/>
  <c r="C2010" i="2" s="1"/>
  <c r="B2012" i="2"/>
  <c r="C2012" i="2" s="1"/>
  <c r="B2014" i="2"/>
  <c r="C2014" i="2" s="1"/>
  <c r="B2016" i="2"/>
  <c r="C2016" i="2" s="1"/>
  <c r="B2019" i="2"/>
  <c r="C2019" i="2" s="1"/>
  <c r="B2022" i="2"/>
  <c r="C2022" i="2" s="1"/>
  <c r="B2026" i="2"/>
  <c r="C2026" i="2" s="1"/>
  <c r="B2029" i="2"/>
  <c r="C2029" i="2" s="1"/>
  <c r="B2030" i="2"/>
  <c r="C2030" i="2" s="1"/>
  <c r="B2032" i="2"/>
  <c r="C2032" i="2" s="1"/>
  <c r="B2037" i="2"/>
  <c r="C2037" i="2" s="1"/>
  <c r="B2039" i="2"/>
  <c r="C2039" i="2" s="1"/>
  <c r="B2042" i="2"/>
  <c r="C2042" i="2" s="1"/>
  <c r="B2045" i="2"/>
  <c r="C2045" i="2" s="1"/>
  <c r="B2050" i="2"/>
  <c r="C2050" i="2" s="1"/>
  <c r="B2053" i="2"/>
  <c r="C2053" i="2" s="1"/>
  <c r="B2055" i="2"/>
  <c r="C2055" i="2" s="1"/>
  <c r="B2058" i="2"/>
  <c r="C2058" i="2" s="1"/>
  <c r="B2062" i="2"/>
  <c r="C2062" i="2" s="1"/>
  <c r="B2066" i="2"/>
  <c r="C2066" i="2" s="1"/>
  <c r="B2071" i="2"/>
  <c r="C2071" i="2" s="1"/>
  <c r="B2074" i="2"/>
  <c r="C2074" i="2" s="1"/>
  <c r="B2077" i="2"/>
  <c r="C2077" i="2" s="1"/>
  <c r="B2079" i="2"/>
  <c r="C2079" i="2" s="1"/>
  <c r="B2082" i="2"/>
  <c r="C2082" i="2" s="1"/>
  <c r="B2084" i="2"/>
  <c r="C2084" i="2" s="1"/>
  <c r="B2086" i="2"/>
  <c r="C2086" i="2" s="1"/>
  <c r="B2089" i="2"/>
  <c r="C2089" i="2" s="1"/>
  <c r="B2093" i="2"/>
  <c r="C2093" i="2" s="1"/>
  <c r="B2096" i="2"/>
  <c r="C2096" i="2" s="1"/>
  <c r="B2098" i="2"/>
  <c r="C2098" i="2" s="1"/>
  <c r="B2100" i="2"/>
  <c r="C2100" i="2" s="1"/>
  <c r="B2104" i="2"/>
  <c r="C2104" i="2" s="1"/>
  <c r="B2107" i="2"/>
  <c r="C2107" i="2" s="1"/>
  <c r="B2109" i="2"/>
  <c r="C2109" i="2" s="1"/>
  <c r="B2111" i="2"/>
  <c r="C2111" i="2" s="1"/>
  <c r="B2116" i="2"/>
  <c r="C2116" i="2" s="1"/>
  <c r="B2120" i="2"/>
  <c r="C2120" i="2" s="1"/>
  <c r="B2123" i="2"/>
  <c r="C2123" i="2" s="1"/>
  <c r="B2127" i="2"/>
  <c r="C2127" i="2" s="1"/>
  <c r="B2130" i="2"/>
  <c r="C2130" i="2" s="1"/>
  <c r="B2133" i="2"/>
  <c r="C2133" i="2" s="1"/>
  <c r="B2137" i="2"/>
  <c r="C2137" i="2" s="1"/>
  <c r="B2140" i="2"/>
  <c r="C2140" i="2" s="1"/>
  <c r="B2143" i="2"/>
  <c r="C2143" i="2" s="1"/>
  <c r="B2146" i="2"/>
  <c r="C2146" i="2" s="1"/>
  <c r="B2151" i="2"/>
  <c r="C2151" i="2" s="1"/>
  <c r="B2153" i="2"/>
  <c r="C2153" i="2" s="1"/>
  <c r="B2156" i="2"/>
  <c r="C2156" i="2" s="1"/>
  <c r="B2159" i="2"/>
  <c r="C2159" i="2" s="1"/>
  <c r="B440" i="2"/>
  <c r="C440" i="2" s="1"/>
  <c r="B441" i="2"/>
  <c r="C441" i="2" s="1"/>
  <c r="B442" i="2"/>
  <c r="C442" i="2" s="1"/>
  <c r="B443" i="2"/>
  <c r="C443" i="2" s="1"/>
  <c r="B444" i="2"/>
  <c r="C444" i="2" s="1"/>
  <c r="B445" i="2"/>
  <c r="C445" i="2" s="1"/>
  <c r="B446" i="2"/>
  <c r="C446" i="2" s="1"/>
  <c r="B447" i="2"/>
  <c r="C447" i="2" s="1"/>
  <c r="B448" i="2"/>
  <c r="C448" i="2" s="1"/>
  <c r="B449" i="2"/>
  <c r="C449" i="2" s="1"/>
  <c r="B450" i="2"/>
  <c r="C450" i="2" s="1"/>
  <c r="B451" i="2"/>
  <c r="C451" i="2" s="1"/>
  <c r="B452" i="2"/>
  <c r="C452" i="2" s="1"/>
  <c r="B453" i="2"/>
  <c r="C453" i="2" s="1"/>
  <c r="B454" i="2"/>
  <c r="C454" i="2" s="1"/>
  <c r="B455" i="2"/>
  <c r="C455" i="2" s="1"/>
  <c r="B456" i="2"/>
  <c r="C456" i="2" s="1"/>
  <c r="B457" i="2"/>
  <c r="C457" i="2" s="1"/>
  <c r="B458" i="2"/>
  <c r="C458" i="2" s="1"/>
  <c r="B459" i="2"/>
  <c r="C459" i="2" s="1"/>
  <c r="B460" i="2"/>
  <c r="C460" i="2" s="1"/>
  <c r="B461" i="2"/>
  <c r="C461" i="2" s="1"/>
  <c r="B462" i="2"/>
  <c r="C462" i="2" s="1"/>
  <c r="B463" i="2"/>
  <c r="C463" i="2" s="1"/>
  <c r="B464" i="2"/>
  <c r="C464" i="2" s="1"/>
  <c r="B465" i="2"/>
  <c r="C465" i="2" s="1"/>
  <c r="B466" i="2"/>
  <c r="C466" i="2" s="1"/>
  <c r="B467" i="2"/>
  <c r="C467" i="2" s="1"/>
  <c r="B468" i="2"/>
  <c r="C468" i="2" s="1"/>
  <c r="B469" i="2"/>
  <c r="C469" i="2" s="1"/>
  <c r="B470" i="2"/>
  <c r="C470" i="2" s="1"/>
  <c r="B471" i="2"/>
  <c r="C471" i="2" s="1"/>
  <c r="B472" i="2"/>
  <c r="C472" i="2" s="1"/>
  <c r="B473" i="2"/>
  <c r="C473" i="2" s="1"/>
  <c r="B474" i="2"/>
  <c r="C474" i="2" s="1"/>
  <c r="B475" i="2"/>
  <c r="C475" i="2" s="1"/>
  <c r="B476" i="2"/>
  <c r="C476" i="2" s="1"/>
  <c r="B477" i="2"/>
  <c r="C477" i="2" s="1"/>
  <c r="B478" i="2"/>
  <c r="C478" i="2" s="1"/>
  <c r="B479" i="2"/>
  <c r="C479" i="2" s="1"/>
  <c r="B480" i="2"/>
  <c r="C480" i="2" s="1"/>
  <c r="B481" i="2"/>
  <c r="C481" i="2" s="1"/>
  <c r="B482" i="2"/>
  <c r="C482" i="2" s="1"/>
  <c r="B483" i="2"/>
  <c r="C483" i="2" s="1"/>
  <c r="B484" i="2"/>
  <c r="C484" i="2" s="1"/>
  <c r="B485" i="2"/>
  <c r="C485" i="2" s="1"/>
  <c r="B486" i="2"/>
  <c r="C486" i="2" s="1"/>
  <c r="B487" i="2"/>
  <c r="C487" i="2" s="1"/>
  <c r="B488" i="2"/>
  <c r="C488" i="2" s="1"/>
  <c r="B489" i="2"/>
  <c r="C489" i="2" s="1"/>
  <c r="B490" i="2"/>
  <c r="C490" i="2" s="1"/>
  <c r="B491" i="2"/>
  <c r="C491" i="2" s="1"/>
  <c r="B492" i="2"/>
  <c r="C492" i="2" s="1"/>
  <c r="B493" i="2"/>
  <c r="C493" i="2" s="1"/>
  <c r="B494" i="2"/>
  <c r="C494" i="2" s="1"/>
  <c r="B495" i="2"/>
  <c r="C495" i="2" s="1"/>
  <c r="B496" i="2"/>
  <c r="C496" i="2" s="1"/>
  <c r="B497" i="2"/>
  <c r="C497" i="2" s="1"/>
  <c r="B498" i="2"/>
  <c r="C498" i="2" s="1"/>
  <c r="B499" i="2"/>
  <c r="C499" i="2" s="1"/>
  <c r="B500" i="2"/>
  <c r="C500" i="2" s="1"/>
  <c r="B501" i="2"/>
  <c r="C501" i="2" s="1"/>
  <c r="B502" i="2"/>
  <c r="C502" i="2" s="1"/>
  <c r="B503" i="2"/>
  <c r="C503" i="2" s="1"/>
  <c r="B504" i="2"/>
  <c r="C504" i="2" s="1"/>
  <c r="B505" i="2"/>
  <c r="C505" i="2" s="1"/>
  <c r="B506" i="2"/>
  <c r="C506" i="2" s="1"/>
  <c r="B507" i="2"/>
  <c r="C507" i="2" s="1"/>
  <c r="B508" i="2"/>
  <c r="C508" i="2" s="1"/>
  <c r="B509" i="2"/>
  <c r="C509" i="2" s="1"/>
  <c r="B510" i="2"/>
  <c r="C510" i="2" s="1"/>
  <c r="B511" i="2"/>
  <c r="C511" i="2" s="1"/>
  <c r="B512" i="2"/>
  <c r="C512" i="2" s="1"/>
  <c r="B513" i="2"/>
  <c r="C513" i="2" s="1"/>
  <c r="B514" i="2"/>
  <c r="C514" i="2" s="1"/>
  <c r="B515" i="2"/>
  <c r="C515" i="2" s="1"/>
  <c r="B516" i="2"/>
  <c r="C516" i="2" s="1"/>
  <c r="B517" i="2"/>
  <c r="C517" i="2" s="1"/>
  <c r="B518" i="2"/>
  <c r="C518" i="2" s="1"/>
  <c r="B519" i="2"/>
  <c r="C519" i="2" s="1"/>
  <c r="B520" i="2"/>
  <c r="C520" i="2" s="1"/>
  <c r="B521" i="2"/>
  <c r="C521" i="2" s="1"/>
  <c r="B522" i="2"/>
  <c r="C522" i="2" s="1"/>
  <c r="B523" i="2"/>
  <c r="C523" i="2" s="1"/>
  <c r="B524" i="2"/>
  <c r="C524" i="2" s="1"/>
  <c r="B525" i="2"/>
  <c r="C525" i="2" s="1"/>
  <c r="B526" i="2"/>
  <c r="C526" i="2" s="1"/>
  <c r="B527" i="2"/>
  <c r="C527" i="2" s="1"/>
  <c r="B528" i="2"/>
  <c r="C528" i="2" s="1"/>
  <c r="B529" i="2"/>
  <c r="C529" i="2" s="1"/>
  <c r="B530" i="2"/>
  <c r="C530" i="2" s="1"/>
  <c r="B531" i="2"/>
  <c r="C531" i="2" s="1"/>
  <c r="B532" i="2"/>
  <c r="C532" i="2" s="1"/>
  <c r="B533" i="2"/>
  <c r="C533" i="2" s="1"/>
  <c r="B534" i="2"/>
  <c r="C534" i="2" s="1"/>
  <c r="B535" i="2"/>
  <c r="C535" i="2" s="1"/>
  <c r="B536" i="2"/>
  <c r="C536" i="2" s="1"/>
  <c r="B537" i="2"/>
  <c r="C537" i="2" s="1"/>
  <c r="B538" i="2"/>
  <c r="C538" i="2" s="1"/>
  <c r="B539" i="2"/>
  <c r="C539" i="2" s="1"/>
  <c r="B540" i="2"/>
  <c r="C540" i="2" s="1"/>
  <c r="B541" i="2"/>
  <c r="C541" i="2" s="1"/>
  <c r="B542" i="2"/>
  <c r="C542" i="2" s="1"/>
  <c r="B543" i="2"/>
  <c r="C543" i="2" s="1"/>
  <c r="B544" i="2"/>
  <c r="C544" i="2" s="1"/>
  <c r="B545" i="2"/>
  <c r="C545" i="2" s="1"/>
  <c r="B546" i="2"/>
  <c r="C546" i="2" s="1"/>
  <c r="B547" i="2"/>
  <c r="C547" i="2" s="1"/>
  <c r="B548" i="2"/>
  <c r="C548" i="2" s="1"/>
  <c r="B549" i="2"/>
  <c r="C549" i="2" s="1"/>
  <c r="B550" i="2"/>
  <c r="C550" i="2" s="1"/>
  <c r="B551" i="2"/>
  <c r="C551" i="2" s="1"/>
  <c r="B552" i="2"/>
  <c r="C552" i="2" s="1"/>
  <c r="B553" i="2"/>
  <c r="C553" i="2" s="1"/>
  <c r="B554" i="2"/>
  <c r="C554" i="2" s="1"/>
  <c r="B555" i="2"/>
  <c r="C555" i="2" s="1"/>
  <c r="B556" i="2"/>
  <c r="C556" i="2" s="1"/>
  <c r="B557" i="2"/>
  <c r="C557" i="2" s="1"/>
  <c r="B558" i="2"/>
  <c r="C558" i="2" s="1"/>
  <c r="B559" i="2"/>
  <c r="C559" i="2" s="1"/>
  <c r="B560" i="2"/>
  <c r="C560" i="2" s="1"/>
  <c r="B561" i="2"/>
  <c r="C561" i="2" s="1"/>
  <c r="B562" i="2"/>
  <c r="C562" i="2" s="1"/>
  <c r="B563" i="2"/>
  <c r="C563" i="2" s="1"/>
  <c r="B564" i="2"/>
  <c r="C564" i="2" s="1"/>
  <c r="B565" i="2"/>
  <c r="C565" i="2" s="1"/>
  <c r="B566" i="2"/>
  <c r="C566" i="2" s="1"/>
  <c r="B567" i="2"/>
  <c r="C567" i="2" s="1"/>
  <c r="B568" i="2"/>
  <c r="C568" i="2" s="1"/>
  <c r="B569" i="2"/>
  <c r="C569" i="2" s="1"/>
  <c r="B570" i="2"/>
  <c r="C570" i="2" s="1"/>
  <c r="B571" i="2"/>
  <c r="C571" i="2" s="1"/>
  <c r="B572" i="2"/>
  <c r="C572" i="2" s="1"/>
  <c r="B573" i="2"/>
  <c r="C573" i="2" s="1"/>
  <c r="B574" i="2"/>
  <c r="C574" i="2" s="1"/>
  <c r="B575" i="2"/>
  <c r="C575" i="2" s="1"/>
  <c r="B576" i="2"/>
  <c r="C576" i="2" s="1"/>
  <c r="B577" i="2"/>
  <c r="C577" i="2" s="1"/>
  <c r="B578" i="2"/>
  <c r="C578" i="2" s="1"/>
  <c r="B579" i="2"/>
  <c r="C579" i="2" s="1"/>
  <c r="B580" i="2"/>
  <c r="C580" i="2" s="1"/>
  <c r="B581" i="2"/>
  <c r="C581" i="2" s="1"/>
  <c r="B582" i="2"/>
  <c r="C582" i="2" s="1"/>
  <c r="B583" i="2"/>
  <c r="C583" i="2" s="1"/>
  <c r="B584" i="2"/>
  <c r="C584" i="2" s="1"/>
  <c r="B585" i="2"/>
  <c r="C585" i="2" s="1"/>
  <c r="B586" i="2"/>
  <c r="C586" i="2" s="1"/>
  <c r="B587" i="2"/>
  <c r="C587" i="2" s="1"/>
  <c r="B588" i="2"/>
  <c r="C588" i="2" s="1"/>
  <c r="B589" i="2"/>
  <c r="C589" i="2" s="1"/>
  <c r="B590" i="2"/>
  <c r="C590" i="2" s="1"/>
  <c r="B591" i="2"/>
  <c r="C591" i="2" s="1"/>
  <c r="B592" i="2"/>
  <c r="C592" i="2" s="1"/>
  <c r="B593" i="2"/>
  <c r="C593" i="2" s="1"/>
  <c r="B594" i="2"/>
  <c r="C594" i="2" s="1"/>
  <c r="B595" i="2"/>
  <c r="C595" i="2" s="1"/>
  <c r="B596" i="2"/>
  <c r="C596" i="2" s="1"/>
  <c r="B597" i="2"/>
  <c r="C597" i="2" s="1"/>
  <c r="B598" i="2"/>
  <c r="C598" i="2" s="1"/>
  <c r="B599" i="2"/>
  <c r="C599" i="2" s="1"/>
  <c r="B600" i="2"/>
  <c r="C600" i="2" s="1"/>
  <c r="B601" i="2"/>
  <c r="C601" i="2" s="1"/>
  <c r="B602" i="2"/>
  <c r="C602" i="2" s="1"/>
  <c r="B797" i="2"/>
  <c r="C797" i="2" s="1"/>
  <c r="B799" i="2"/>
  <c r="C799" i="2" s="1"/>
  <c r="B800" i="2"/>
  <c r="C800" i="2" s="1"/>
  <c r="B802" i="2"/>
  <c r="C802" i="2" s="1"/>
  <c r="B804" i="2"/>
  <c r="C804" i="2" s="1"/>
  <c r="B805" i="2"/>
  <c r="C805" i="2" s="1"/>
  <c r="B807" i="2"/>
  <c r="C807" i="2" s="1"/>
  <c r="B809" i="2"/>
  <c r="C809" i="2" s="1"/>
  <c r="B811" i="2"/>
  <c r="C811" i="2" s="1"/>
  <c r="B813" i="2"/>
  <c r="C813" i="2" s="1"/>
  <c r="B814" i="2"/>
  <c r="C814" i="2" s="1"/>
  <c r="B816" i="2"/>
  <c r="C816" i="2" s="1"/>
  <c r="B818" i="2"/>
  <c r="C818" i="2" s="1"/>
  <c r="B820" i="2"/>
  <c r="C820" i="2" s="1"/>
  <c r="B822" i="2"/>
  <c r="C822" i="2" s="1"/>
  <c r="B825" i="2"/>
  <c r="C825" i="2" s="1"/>
  <c r="B827" i="2"/>
  <c r="C827" i="2" s="1"/>
  <c r="B829" i="2"/>
  <c r="C829" i="2" s="1"/>
  <c r="B831" i="2"/>
  <c r="C831" i="2" s="1"/>
  <c r="B833" i="2"/>
  <c r="C833" i="2" s="1"/>
  <c r="B835" i="2"/>
  <c r="C835" i="2" s="1"/>
  <c r="B837" i="2"/>
  <c r="C837" i="2" s="1"/>
  <c r="B839" i="2"/>
  <c r="C839" i="2" s="1"/>
  <c r="B841" i="2"/>
  <c r="C841" i="2" s="1"/>
  <c r="B843" i="2"/>
  <c r="C843" i="2" s="1"/>
  <c r="B844" i="2"/>
  <c r="C844" i="2" s="1"/>
  <c r="B846" i="2"/>
  <c r="C846" i="2" s="1"/>
  <c r="B848" i="2"/>
  <c r="C848" i="2" s="1"/>
  <c r="B850" i="2"/>
  <c r="C850" i="2" s="1"/>
  <c r="B852" i="2"/>
  <c r="C852" i="2" s="1"/>
  <c r="B854" i="2"/>
  <c r="C854" i="2" s="1"/>
  <c r="B856" i="2"/>
  <c r="C856" i="2" s="1"/>
  <c r="B857" i="2"/>
  <c r="C857" i="2" s="1"/>
  <c r="B859" i="2"/>
  <c r="C859" i="2" s="1"/>
  <c r="B861" i="2"/>
  <c r="C861" i="2" s="1"/>
  <c r="B862" i="2"/>
  <c r="C862" i="2" s="1"/>
  <c r="B865" i="2"/>
  <c r="C865" i="2" s="1"/>
  <c r="B867" i="2"/>
  <c r="C867" i="2" s="1"/>
  <c r="B869" i="2"/>
  <c r="C869" i="2" s="1"/>
  <c r="B871" i="2"/>
  <c r="C871" i="2" s="1"/>
  <c r="B873" i="2"/>
  <c r="C873" i="2" s="1"/>
  <c r="B875" i="2"/>
  <c r="C875" i="2" s="1"/>
  <c r="B877" i="2"/>
  <c r="C877" i="2" s="1"/>
  <c r="B879" i="2"/>
  <c r="C879" i="2" s="1"/>
  <c r="B881" i="2"/>
  <c r="C881" i="2" s="1"/>
  <c r="B883" i="2"/>
  <c r="C883" i="2" s="1"/>
  <c r="B885" i="2"/>
  <c r="C885" i="2" s="1"/>
  <c r="B887" i="2"/>
  <c r="C887" i="2" s="1"/>
  <c r="B889" i="2"/>
  <c r="C889" i="2" s="1"/>
  <c r="B890" i="2"/>
  <c r="C890" i="2" s="1"/>
  <c r="B893" i="2"/>
  <c r="C893" i="2" s="1"/>
  <c r="B895" i="2"/>
  <c r="C895" i="2" s="1"/>
  <c r="B897" i="2"/>
  <c r="C897" i="2" s="1"/>
  <c r="B899" i="2"/>
  <c r="C899" i="2" s="1"/>
  <c r="B900" i="2"/>
  <c r="C900" i="2" s="1"/>
  <c r="B902" i="2"/>
  <c r="C902" i="2" s="1"/>
  <c r="B905" i="2"/>
  <c r="C905" i="2" s="1"/>
  <c r="B906" i="2"/>
  <c r="C906" i="2" s="1"/>
  <c r="B908" i="2"/>
  <c r="C908" i="2" s="1"/>
  <c r="B910" i="2"/>
  <c r="C910" i="2" s="1"/>
  <c r="B912" i="2"/>
  <c r="C912" i="2" s="1"/>
  <c r="B914" i="2"/>
  <c r="C914" i="2" s="1"/>
  <c r="B916" i="2"/>
  <c r="C916" i="2" s="1"/>
  <c r="B918" i="2"/>
  <c r="C918" i="2" s="1"/>
  <c r="B920" i="2"/>
  <c r="C920" i="2" s="1"/>
  <c r="B922" i="2"/>
  <c r="C922" i="2" s="1"/>
  <c r="B925" i="2"/>
  <c r="C925" i="2" s="1"/>
  <c r="B927" i="2"/>
  <c r="C927" i="2" s="1"/>
  <c r="B929" i="2"/>
  <c r="C929" i="2" s="1"/>
  <c r="B931" i="2"/>
  <c r="C931" i="2" s="1"/>
  <c r="B933" i="2"/>
  <c r="C933" i="2" s="1"/>
  <c r="B935" i="2"/>
  <c r="C935" i="2" s="1"/>
  <c r="B936" i="2"/>
  <c r="C936" i="2" s="1"/>
  <c r="B938" i="2"/>
  <c r="C938" i="2" s="1"/>
  <c r="B939" i="2"/>
  <c r="C939" i="2" s="1"/>
  <c r="B940" i="2"/>
  <c r="C940" i="2" s="1"/>
  <c r="B942" i="2"/>
  <c r="C942" i="2" s="1"/>
  <c r="B944" i="2"/>
  <c r="C944" i="2" s="1"/>
  <c r="B945" i="2"/>
  <c r="C945" i="2" s="1"/>
  <c r="B947" i="2"/>
  <c r="C947" i="2" s="1"/>
  <c r="B949" i="2"/>
  <c r="C949" i="2" s="1"/>
  <c r="B951" i="2"/>
  <c r="C951" i="2" s="1"/>
  <c r="B952" i="2"/>
  <c r="C952" i="2" s="1"/>
  <c r="B954" i="2"/>
  <c r="C954" i="2" s="1"/>
  <c r="B956" i="2"/>
  <c r="C956" i="2" s="1"/>
  <c r="B958" i="2"/>
  <c r="C958" i="2" s="1"/>
  <c r="B1630" i="2"/>
  <c r="C1630" i="2" s="1"/>
  <c r="B1632" i="2"/>
  <c r="C1632" i="2" s="1"/>
  <c r="B1634" i="2"/>
  <c r="C1634" i="2" s="1"/>
  <c r="B1636" i="2"/>
  <c r="C1636" i="2" s="1"/>
  <c r="B1638" i="2"/>
  <c r="C1638" i="2" s="1"/>
  <c r="B1640" i="2"/>
  <c r="C1640" i="2" s="1"/>
  <c r="B1642" i="2"/>
  <c r="C1642" i="2" s="1"/>
  <c r="B1644" i="2"/>
  <c r="C1644" i="2" s="1"/>
  <c r="B1648" i="2"/>
  <c r="C1648" i="2" s="1"/>
  <c r="B1651" i="2"/>
  <c r="C1651" i="2" s="1"/>
  <c r="B1654" i="2"/>
  <c r="C1654" i="2" s="1"/>
  <c r="B1656" i="2"/>
  <c r="C1656" i="2" s="1"/>
  <c r="B1658" i="2"/>
  <c r="C1658" i="2" s="1"/>
  <c r="B1660" i="2"/>
  <c r="C1660" i="2" s="1"/>
  <c r="B1662" i="2"/>
  <c r="C1662" i="2" s="1"/>
  <c r="B1665" i="2"/>
  <c r="C1665" i="2" s="1"/>
  <c r="B1668" i="2"/>
  <c r="C1668" i="2" s="1"/>
  <c r="B1670" i="2"/>
  <c r="C1670" i="2" s="1"/>
  <c r="B1673" i="2"/>
  <c r="C1673" i="2" s="1"/>
  <c r="B1674" i="2"/>
  <c r="C1674" i="2" s="1"/>
  <c r="B1676" i="2"/>
  <c r="C1676" i="2" s="1"/>
  <c r="B1678" i="2"/>
  <c r="C1678" i="2" s="1"/>
  <c r="B1679" i="2"/>
  <c r="C1679" i="2" s="1"/>
  <c r="B1681" i="2"/>
  <c r="C1681" i="2" s="1"/>
  <c r="B1682" i="2"/>
  <c r="C1682" i="2" s="1"/>
  <c r="B1683" i="2"/>
  <c r="C1683" i="2" s="1"/>
  <c r="B1685" i="2"/>
  <c r="C1685" i="2" s="1"/>
  <c r="B1687" i="2"/>
  <c r="C1687" i="2" s="1"/>
  <c r="B1689" i="2"/>
  <c r="C1689" i="2" s="1"/>
  <c r="B1691" i="2"/>
  <c r="C1691" i="2" s="1"/>
  <c r="B1693" i="2"/>
  <c r="C1693" i="2" s="1"/>
  <c r="B1695" i="2"/>
  <c r="C1695" i="2" s="1"/>
  <c r="B1697" i="2"/>
  <c r="C1697" i="2" s="1"/>
  <c r="B1699" i="2"/>
  <c r="C1699" i="2" s="1"/>
  <c r="B1701" i="2"/>
  <c r="C1701" i="2" s="1"/>
  <c r="B1704" i="2"/>
  <c r="C1704" i="2" s="1"/>
  <c r="B1706" i="2"/>
  <c r="C1706" i="2" s="1"/>
  <c r="B1708" i="2"/>
  <c r="C1708" i="2" s="1"/>
  <c r="B1711" i="2"/>
  <c r="C1711" i="2" s="1"/>
  <c r="B1714" i="2"/>
  <c r="C1714" i="2" s="1"/>
  <c r="B1717" i="2"/>
  <c r="C1717" i="2" s="1"/>
  <c r="B1719" i="2"/>
  <c r="C1719" i="2" s="1"/>
  <c r="B1722" i="2"/>
  <c r="C1722" i="2" s="1"/>
  <c r="B1726" i="2"/>
  <c r="C1726" i="2" s="1"/>
  <c r="B1731" i="2"/>
  <c r="C1731" i="2" s="1"/>
  <c r="B1735" i="2"/>
  <c r="C1735" i="2" s="1"/>
  <c r="B1738" i="2"/>
  <c r="C1738" i="2" s="1"/>
  <c r="B1744" i="2"/>
  <c r="C1744" i="2" s="1"/>
  <c r="B1746" i="2"/>
  <c r="C1746" i="2" s="1"/>
  <c r="B1752" i="2"/>
  <c r="C1752" i="2" s="1"/>
  <c r="B1758" i="2"/>
  <c r="C1758" i="2" s="1"/>
  <c r="B1762" i="2"/>
  <c r="C1762" i="2" s="1"/>
  <c r="B1766" i="2"/>
  <c r="C1766" i="2" s="1"/>
  <c r="B1769" i="2"/>
  <c r="C1769" i="2" s="1"/>
  <c r="B1773" i="2"/>
  <c r="C1773" i="2" s="1"/>
  <c r="B1779" i="2"/>
  <c r="C1779" i="2" s="1"/>
  <c r="B1785" i="2"/>
  <c r="C1785" i="2" s="1"/>
  <c r="B1789" i="2"/>
  <c r="C1789" i="2" s="1"/>
  <c r="B1793" i="2"/>
  <c r="C1793" i="2" s="1"/>
  <c r="B1797" i="2"/>
  <c r="C1797" i="2" s="1"/>
  <c r="B1799" i="2"/>
  <c r="C1799" i="2" s="1"/>
  <c r="B1802" i="2"/>
  <c r="C1802" i="2" s="1"/>
  <c r="B1806" i="2"/>
  <c r="C1806" i="2" s="1"/>
  <c r="B1809" i="2"/>
  <c r="C1809" i="2" s="1"/>
  <c r="B1812" i="2"/>
  <c r="C1812" i="2" s="1"/>
  <c r="B1815" i="2"/>
  <c r="C1815" i="2" s="1"/>
  <c r="B1818" i="2"/>
  <c r="C1818" i="2" s="1"/>
  <c r="B1820" i="2"/>
  <c r="C1820" i="2" s="1"/>
  <c r="B1823" i="2"/>
  <c r="C1823" i="2" s="1"/>
  <c r="B1826" i="2"/>
  <c r="C1826" i="2" s="1"/>
  <c r="B1830" i="2"/>
  <c r="C1830" i="2" s="1"/>
  <c r="B1833" i="2"/>
  <c r="C1833" i="2" s="1"/>
  <c r="B1837" i="2"/>
  <c r="C1837" i="2" s="1"/>
  <c r="B1841" i="2"/>
  <c r="C1841" i="2" s="1"/>
  <c r="B1861" i="2"/>
  <c r="C1861" i="2" s="1"/>
  <c r="B1865" i="2"/>
  <c r="C1865" i="2" s="1"/>
  <c r="B1868" i="2"/>
  <c r="C1868" i="2" s="1"/>
  <c r="B1873" i="2"/>
  <c r="C1873" i="2" s="1"/>
  <c r="B1880" i="2"/>
  <c r="C1880" i="2" s="1"/>
  <c r="B1884" i="2"/>
  <c r="C1884" i="2" s="1"/>
  <c r="B1887" i="2"/>
  <c r="C1887" i="2" s="1"/>
  <c r="B1891" i="2"/>
  <c r="C1891" i="2" s="1"/>
  <c r="B1895" i="2"/>
  <c r="C1895" i="2" s="1"/>
  <c r="B1898" i="2"/>
  <c r="C1898" i="2" s="1"/>
  <c r="B1903" i="2"/>
  <c r="C1903" i="2" s="1"/>
  <c r="B1906" i="2"/>
  <c r="C1906" i="2" s="1"/>
  <c r="B1908" i="2"/>
  <c r="C1908" i="2" s="1"/>
  <c r="B1911" i="2"/>
  <c r="C1911" i="2" s="1"/>
  <c r="B1914" i="2"/>
  <c r="C1914" i="2" s="1"/>
  <c r="B1917" i="2"/>
  <c r="C1917" i="2" s="1"/>
  <c r="B1920" i="2"/>
  <c r="C1920" i="2" s="1"/>
  <c r="B1926" i="2"/>
  <c r="C1926" i="2" s="1"/>
  <c r="B1933" i="2"/>
  <c r="C1933" i="2" s="1"/>
  <c r="B1937" i="2"/>
  <c r="C1937" i="2" s="1"/>
  <c r="B1941" i="2"/>
  <c r="C1941" i="2" s="1"/>
  <c r="B1946" i="2"/>
  <c r="C1946" i="2" s="1"/>
  <c r="B1948" i="2"/>
  <c r="C1948" i="2" s="1"/>
  <c r="B1951" i="2"/>
  <c r="C1951" i="2" s="1"/>
  <c r="B1955" i="2"/>
  <c r="C1955" i="2" s="1"/>
  <c r="B1959" i="2"/>
  <c r="C1959" i="2" s="1"/>
  <c r="B1963" i="2"/>
  <c r="C1963" i="2" s="1"/>
  <c r="B1966" i="2"/>
  <c r="C1966" i="2" s="1"/>
  <c r="B1971" i="2"/>
  <c r="C1971" i="2" s="1"/>
  <c r="B1973" i="2"/>
  <c r="C1973" i="2" s="1"/>
  <c r="B1983" i="2"/>
  <c r="C1983" i="2" s="1"/>
  <c r="B1988" i="2"/>
  <c r="C1988" i="2" s="1"/>
  <c r="B1992" i="2"/>
  <c r="C1992" i="2" s="1"/>
  <c r="B1995" i="2"/>
  <c r="C1995" i="2" s="1"/>
  <c r="B1998" i="2"/>
  <c r="C1998" i="2" s="1"/>
  <c r="B2002" i="2"/>
  <c r="C2002" i="2" s="1"/>
  <c r="B2006" i="2"/>
  <c r="C2006" i="2" s="1"/>
  <c r="B2008" i="2"/>
  <c r="C2008" i="2" s="1"/>
  <c r="B2011" i="2"/>
  <c r="C2011" i="2" s="1"/>
  <c r="B2017" i="2"/>
  <c r="C2017" i="2" s="1"/>
  <c r="B2025" i="2"/>
  <c r="C2025" i="2" s="1"/>
  <c r="B2035" i="2"/>
  <c r="C2035" i="2" s="1"/>
  <c r="B2040" i="2"/>
  <c r="C2040" i="2" s="1"/>
  <c r="B2043" i="2"/>
  <c r="C2043" i="2" s="1"/>
  <c r="B2046" i="2"/>
  <c r="C2046" i="2" s="1"/>
  <c r="B2049" i="2"/>
  <c r="C2049" i="2" s="1"/>
  <c r="B2052" i="2"/>
  <c r="C2052" i="2" s="1"/>
  <c r="B2057" i="2"/>
  <c r="C2057" i="2" s="1"/>
  <c r="B2063" i="2"/>
  <c r="C2063" i="2" s="1"/>
  <c r="B2065" i="2"/>
  <c r="C2065" i="2" s="1"/>
  <c r="B2068" i="2"/>
  <c r="C2068" i="2" s="1"/>
  <c r="B2073" i="2"/>
  <c r="C2073" i="2" s="1"/>
  <c r="B2076" i="2"/>
  <c r="C2076" i="2" s="1"/>
  <c r="B2081" i="2"/>
  <c r="C2081" i="2" s="1"/>
  <c r="B2088" i="2"/>
  <c r="C2088" i="2" s="1"/>
  <c r="B2091" i="2"/>
  <c r="C2091" i="2" s="1"/>
  <c r="B2094" i="2"/>
  <c r="C2094" i="2" s="1"/>
  <c r="B2103" i="2"/>
  <c r="C2103" i="2" s="1"/>
  <c r="B2106" i="2"/>
  <c r="C2106" i="2" s="1"/>
  <c r="B2110" i="2"/>
  <c r="C2110" i="2" s="1"/>
  <c r="B2113" i="2"/>
  <c r="C2113" i="2" s="1"/>
  <c r="B2121" i="2"/>
  <c r="C2121" i="2" s="1"/>
  <c r="B2125" i="2"/>
  <c r="C2125" i="2" s="1"/>
  <c r="B2129" i="2"/>
  <c r="C2129" i="2" s="1"/>
  <c r="B2132" i="2"/>
  <c r="C2132" i="2" s="1"/>
  <c r="B2135" i="2"/>
  <c r="C2135" i="2" s="1"/>
  <c r="B2139" i="2"/>
  <c r="C2139" i="2" s="1"/>
  <c r="B2142" i="2"/>
  <c r="C2142" i="2" s="1"/>
  <c r="B2145" i="2"/>
  <c r="C2145" i="2" s="1"/>
  <c r="B2147" i="2"/>
  <c r="C2147" i="2" s="1"/>
  <c r="B2150" i="2"/>
  <c r="C2150" i="2" s="1"/>
  <c r="B2155" i="2"/>
  <c r="C2155" i="2" s="1"/>
  <c r="B2158" i="2"/>
  <c r="C2158" i="2" s="1"/>
  <c r="B3" i="2"/>
  <c r="C3" i="2" s="1"/>
  <c r="B4" i="2"/>
  <c r="C4" i="2" s="1"/>
  <c r="B5" i="2"/>
  <c r="C5" i="2" s="1"/>
  <c r="B6" i="2"/>
  <c r="C6" i="2" s="1"/>
  <c r="B7" i="2"/>
  <c r="C7" i="2" s="1"/>
  <c r="B8" i="2"/>
  <c r="C8" i="2" s="1"/>
  <c r="B9" i="2"/>
  <c r="C9" i="2" s="1"/>
  <c r="B10" i="2"/>
  <c r="C10" i="2" s="1"/>
  <c r="B11" i="2"/>
  <c r="C11" i="2" s="1"/>
  <c r="B12" i="2"/>
  <c r="C12" i="2" s="1"/>
  <c r="B13" i="2"/>
  <c r="C13" i="2" s="1"/>
  <c r="B14" i="2"/>
  <c r="C14" i="2" s="1"/>
  <c r="B15" i="2"/>
  <c r="C15" i="2" s="1"/>
  <c r="B16" i="2"/>
  <c r="C16" i="2" s="1"/>
  <c r="B17" i="2"/>
  <c r="C17" i="2" s="1"/>
  <c r="B18" i="2"/>
  <c r="C18" i="2" s="1"/>
  <c r="B19" i="2"/>
  <c r="C19" i="2" s="1"/>
  <c r="B20" i="2"/>
  <c r="C20" i="2" s="1"/>
  <c r="B21" i="2"/>
  <c r="C21" i="2" s="1"/>
  <c r="B22" i="2"/>
  <c r="C22" i="2" s="1"/>
  <c r="B23" i="2"/>
  <c r="C23" i="2" s="1"/>
  <c r="B24" i="2"/>
  <c r="C24" i="2" s="1"/>
  <c r="B25" i="2"/>
  <c r="C25" i="2" s="1"/>
  <c r="B26" i="2"/>
  <c r="C26" i="2" s="1"/>
  <c r="B27" i="2"/>
  <c r="C27" i="2" s="1"/>
  <c r="B28" i="2"/>
  <c r="C28" i="2" s="1"/>
  <c r="B29" i="2"/>
  <c r="C29" i="2" s="1"/>
  <c r="B30" i="2"/>
  <c r="C30" i="2" s="1"/>
  <c r="B31" i="2"/>
  <c r="C31" i="2" s="1"/>
  <c r="B32" i="2"/>
  <c r="C32" i="2" s="1"/>
  <c r="B33" i="2"/>
  <c r="C33" i="2" s="1"/>
  <c r="B34" i="2"/>
  <c r="C34" i="2" s="1"/>
  <c r="B35" i="2"/>
  <c r="C35" i="2" s="1"/>
  <c r="B36" i="2"/>
  <c r="C36" i="2" s="1"/>
  <c r="B37" i="2"/>
  <c r="C37" i="2" s="1"/>
  <c r="B38" i="2"/>
  <c r="C38" i="2" s="1"/>
  <c r="B39" i="2"/>
  <c r="C39" i="2" s="1"/>
  <c r="B40" i="2"/>
  <c r="C40" i="2" s="1"/>
  <c r="B41" i="2"/>
  <c r="C41" i="2" s="1"/>
  <c r="B42" i="2"/>
  <c r="C42" i="2" s="1"/>
  <c r="B43" i="2"/>
  <c r="C43" i="2" s="1"/>
  <c r="B44" i="2"/>
  <c r="C44" i="2" s="1"/>
  <c r="B45" i="2"/>
  <c r="C45" i="2" s="1"/>
  <c r="B46" i="2"/>
  <c r="C46" i="2" s="1"/>
  <c r="B47" i="2"/>
  <c r="C47" i="2" s="1"/>
  <c r="B48" i="2"/>
  <c r="C48" i="2" s="1"/>
  <c r="B49" i="2"/>
  <c r="C49" i="2" s="1"/>
  <c r="B50" i="2"/>
  <c r="C50" i="2" s="1"/>
  <c r="B51" i="2"/>
  <c r="C51" i="2" s="1"/>
  <c r="B52" i="2"/>
  <c r="C52" i="2" s="1"/>
  <c r="B53" i="2"/>
  <c r="C53" i="2" s="1"/>
  <c r="B54" i="2"/>
  <c r="C54" i="2" s="1"/>
  <c r="B55" i="2"/>
  <c r="C55" i="2" s="1"/>
  <c r="B56" i="2"/>
  <c r="C56" i="2" s="1"/>
  <c r="B57" i="2"/>
  <c r="C57" i="2" s="1"/>
  <c r="B58" i="2"/>
  <c r="C58" i="2" s="1"/>
  <c r="B59" i="2"/>
  <c r="C59" i="2" s="1"/>
  <c r="B60" i="2"/>
  <c r="C60" i="2" s="1"/>
  <c r="B61" i="2"/>
  <c r="C61" i="2" s="1"/>
  <c r="B62" i="2"/>
  <c r="C62" i="2" s="1"/>
  <c r="B63" i="2"/>
  <c r="C63" i="2" s="1"/>
  <c r="B64" i="2"/>
  <c r="C64" i="2" s="1"/>
  <c r="B65" i="2"/>
  <c r="C65" i="2" s="1"/>
  <c r="B66" i="2"/>
  <c r="C66" i="2" s="1"/>
  <c r="B67" i="2"/>
  <c r="C67" i="2" s="1"/>
  <c r="B68" i="2"/>
  <c r="C68" i="2" s="1"/>
  <c r="B69" i="2"/>
  <c r="C69" i="2" s="1"/>
  <c r="B70" i="2"/>
  <c r="C70" i="2" s="1"/>
  <c r="B71" i="2"/>
  <c r="C71" i="2" s="1"/>
  <c r="B72" i="2"/>
  <c r="C72" i="2" s="1"/>
  <c r="B73" i="2"/>
  <c r="C73" i="2" s="1"/>
  <c r="B74" i="2"/>
  <c r="C74" i="2" s="1"/>
  <c r="B75" i="2"/>
  <c r="C75" i="2" s="1"/>
  <c r="B76" i="2"/>
  <c r="C76" i="2" s="1"/>
  <c r="B77" i="2"/>
  <c r="C77" i="2" s="1"/>
  <c r="B78" i="2"/>
  <c r="C78" i="2" s="1"/>
  <c r="B79" i="2"/>
  <c r="C79" i="2" s="1"/>
  <c r="B80" i="2"/>
  <c r="C80" i="2" s="1"/>
  <c r="B81" i="2"/>
  <c r="C81" i="2" s="1"/>
  <c r="B82" i="2"/>
  <c r="C82" i="2" s="1"/>
  <c r="B83" i="2"/>
  <c r="C83" i="2" s="1"/>
  <c r="B84" i="2"/>
  <c r="C84" i="2" s="1"/>
  <c r="B85" i="2"/>
  <c r="C85" i="2" s="1"/>
  <c r="B86" i="2"/>
  <c r="C86" i="2" s="1"/>
  <c r="B87" i="2"/>
  <c r="C87" i="2" s="1"/>
  <c r="B88" i="2"/>
  <c r="C88" i="2" s="1"/>
  <c r="B89" i="2"/>
  <c r="C89" i="2" s="1"/>
  <c r="B90" i="2"/>
  <c r="C90" i="2" s="1"/>
  <c r="B91" i="2"/>
  <c r="C91" i="2" s="1"/>
  <c r="B92" i="2"/>
  <c r="C92" i="2" s="1"/>
  <c r="B93" i="2"/>
  <c r="C93" i="2" s="1"/>
  <c r="B94" i="2"/>
  <c r="C94" i="2" s="1"/>
  <c r="B95" i="2"/>
  <c r="C95" i="2" s="1"/>
  <c r="B96" i="2"/>
  <c r="C96" i="2" s="1"/>
  <c r="B97" i="2"/>
  <c r="C97" i="2" s="1"/>
  <c r="B98" i="2"/>
  <c r="C98" i="2" s="1"/>
  <c r="B99" i="2"/>
  <c r="C99" i="2" s="1"/>
  <c r="B100" i="2"/>
  <c r="C100" i="2" s="1"/>
  <c r="B101" i="2"/>
  <c r="C101" i="2" s="1"/>
  <c r="B102" i="2"/>
  <c r="C102" i="2" s="1"/>
  <c r="B103" i="2"/>
  <c r="C103" i="2" s="1"/>
  <c r="B104" i="2"/>
  <c r="C104" i="2" s="1"/>
  <c r="B105" i="2"/>
  <c r="C105" i="2" s="1"/>
  <c r="B106" i="2"/>
  <c r="C106" i="2" s="1"/>
  <c r="B107" i="2"/>
  <c r="C107" i="2" s="1"/>
  <c r="B108" i="2"/>
  <c r="C108" i="2" s="1"/>
  <c r="B109" i="2"/>
  <c r="C109" i="2" s="1"/>
  <c r="B110" i="2"/>
  <c r="C110" i="2" s="1"/>
  <c r="B111" i="2"/>
  <c r="C111" i="2" s="1"/>
  <c r="B112" i="2"/>
  <c r="C112" i="2" s="1"/>
  <c r="B113" i="2"/>
  <c r="C113" i="2" s="1"/>
  <c r="B114" i="2"/>
  <c r="C114" i="2" s="1"/>
  <c r="B115" i="2"/>
  <c r="C115" i="2" s="1"/>
  <c r="B116" i="2"/>
  <c r="C116" i="2" s="1"/>
  <c r="B117" i="2"/>
  <c r="C117" i="2" s="1"/>
  <c r="B118" i="2"/>
  <c r="C118" i="2" s="1"/>
  <c r="B119" i="2"/>
  <c r="C119" i="2" s="1"/>
  <c r="B120" i="2"/>
  <c r="C120" i="2" s="1"/>
  <c r="B121" i="2"/>
  <c r="C121" i="2" s="1"/>
  <c r="B122" i="2"/>
  <c r="C122" i="2" s="1"/>
  <c r="B123" i="2"/>
  <c r="C123" i="2" s="1"/>
  <c r="B124" i="2"/>
  <c r="C124" i="2" s="1"/>
  <c r="B125" i="2"/>
  <c r="C125" i="2" s="1"/>
  <c r="B126" i="2"/>
  <c r="C126" i="2" s="1"/>
  <c r="B127" i="2"/>
  <c r="C127" i="2" s="1"/>
  <c r="B128" i="2"/>
  <c r="C128" i="2" s="1"/>
  <c r="B129" i="2"/>
  <c r="C129" i="2" s="1"/>
  <c r="B130" i="2"/>
  <c r="C130" i="2" s="1"/>
  <c r="B131" i="2"/>
  <c r="C131" i="2" s="1"/>
  <c r="B132" i="2"/>
  <c r="C132" i="2" s="1"/>
  <c r="B133" i="2"/>
  <c r="C133" i="2" s="1"/>
  <c r="B134" i="2"/>
  <c r="C134" i="2" s="1"/>
  <c r="B135" i="2"/>
  <c r="C135" i="2" s="1"/>
  <c r="B136" i="2"/>
  <c r="C136" i="2" s="1"/>
  <c r="B137" i="2"/>
  <c r="C137" i="2" s="1"/>
  <c r="B138" i="2"/>
  <c r="C138" i="2" s="1"/>
  <c r="B139" i="2"/>
  <c r="C139" i="2" s="1"/>
  <c r="B140" i="2"/>
  <c r="C140" i="2" s="1"/>
  <c r="B141" i="2"/>
  <c r="C141" i="2" s="1"/>
  <c r="B142" i="2"/>
  <c r="C142" i="2" s="1"/>
  <c r="B143" i="2"/>
  <c r="C143" i="2" s="1"/>
  <c r="B144" i="2"/>
  <c r="C144" i="2" s="1"/>
  <c r="B145" i="2"/>
  <c r="C145" i="2" s="1"/>
  <c r="B146" i="2"/>
  <c r="C146" i="2" s="1"/>
  <c r="B147" i="2"/>
  <c r="C147" i="2" s="1"/>
  <c r="B148" i="2"/>
  <c r="C148" i="2" s="1"/>
  <c r="B149" i="2"/>
  <c r="C149" i="2" s="1"/>
  <c r="B150" i="2"/>
  <c r="C150" i="2" s="1"/>
  <c r="B151" i="2"/>
  <c r="C151" i="2" s="1"/>
  <c r="B152" i="2"/>
  <c r="C152" i="2" s="1"/>
  <c r="B153" i="2"/>
  <c r="C153" i="2" s="1"/>
  <c r="B154" i="2"/>
  <c r="C154" i="2" s="1"/>
  <c r="B155" i="2"/>
  <c r="C155" i="2" s="1"/>
  <c r="B156" i="2"/>
  <c r="C156" i="2" s="1"/>
  <c r="B157" i="2"/>
  <c r="C157" i="2" s="1"/>
  <c r="B158" i="2"/>
  <c r="C158" i="2" s="1"/>
  <c r="B159" i="2"/>
  <c r="C159" i="2" s="1"/>
  <c r="B160" i="2"/>
  <c r="C160" i="2" s="1"/>
  <c r="B161" i="2"/>
  <c r="C161" i="2" s="1"/>
  <c r="B162" i="2"/>
  <c r="C162" i="2" s="1"/>
  <c r="B163" i="2"/>
  <c r="C163" i="2" s="1"/>
  <c r="B164" i="2"/>
  <c r="C164" i="2" s="1"/>
  <c r="B165" i="2"/>
  <c r="C165" i="2" s="1"/>
  <c r="B166" i="2"/>
  <c r="C166" i="2" s="1"/>
  <c r="B167" i="2"/>
  <c r="C167" i="2" s="1"/>
  <c r="B168" i="2"/>
  <c r="C168" i="2" s="1"/>
  <c r="B169" i="2"/>
  <c r="C169" i="2" s="1"/>
  <c r="B170" i="2"/>
  <c r="C170" i="2" s="1"/>
  <c r="B171" i="2"/>
  <c r="C171" i="2" s="1"/>
  <c r="B172" i="2"/>
  <c r="C172" i="2" s="1"/>
  <c r="B173" i="2"/>
  <c r="C173" i="2" s="1"/>
  <c r="B174" i="2"/>
  <c r="C174" i="2" s="1"/>
  <c r="B175" i="2"/>
  <c r="C175" i="2" s="1"/>
  <c r="B176" i="2"/>
  <c r="C176" i="2" s="1"/>
  <c r="B177" i="2"/>
  <c r="C177" i="2" s="1"/>
  <c r="B178" i="2"/>
  <c r="C178" i="2" s="1"/>
  <c r="B179" i="2"/>
  <c r="C179" i="2" s="1"/>
  <c r="B180" i="2"/>
  <c r="C180" i="2" s="1"/>
  <c r="B181" i="2"/>
  <c r="C181" i="2" s="1"/>
  <c r="B182" i="2"/>
  <c r="C182" i="2" s="1"/>
  <c r="B183" i="2"/>
  <c r="C183" i="2" s="1"/>
  <c r="B184" i="2"/>
  <c r="C184" i="2" s="1"/>
  <c r="B185" i="2"/>
  <c r="C185" i="2" s="1"/>
  <c r="B186" i="2"/>
  <c r="C186" i="2" s="1"/>
  <c r="B187" i="2"/>
  <c r="C187" i="2" s="1"/>
  <c r="B188" i="2"/>
  <c r="C188" i="2" s="1"/>
  <c r="B189" i="2"/>
  <c r="C189" i="2" s="1"/>
  <c r="B190" i="2"/>
  <c r="C190" i="2" s="1"/>
  <c r="B191" i="2"/>
  <c r="C191" i="2" s="1"/>
  <c r="B192" i="2"/>
  <c r="C192" i="2" s="1"/>
  <c r="B193" i="2"/>
  <c r="C193" i="2" s="1"/>
  <c r="B194" i="2"/>
  <c r="C194" i="2" s="1"/>
  <c r="B195" i="2"/>
  <c r="C195" i="2" s="1"/>
  <c r="B196" i="2"/>
  <c r="C196" i="2" s="1"/>
  <c r="B197" i="2"/>
  <c r="C197" i="2" s="1"/>
  <c r="B198" i="2"/>
  <c r="C198" i="2" s="1"/>
  <c r="B199" i="2"/>
  <c r="C199" i="2" s="1"/>
  <c r="B200" i="2"/>
  <c r="C200" i="2" s="1"/>
  <c r="B201" i="2"/>
  <c r="C201" i="2" s="1"/>
  <c r="B202" i="2"/>
  <c r="C202" i="2" s="1"/>
  <c r="B203" i="2"/>
  <c r="C203" i="2" s="1"/>
  <c r="B204" i="2"/>
  <c r="C204" i="2" s="1"/>
  <c r="B205" i="2"/>
  <c r="C205" i="2" s="1"/>
  <c r="B206" i="2"/>
  <c r="C206" i="2" s="1"/>
  <c r="B207" i="2"/>
  <c r="C207" i="2" s="1"/>
  <c r="B208" i="2"/>
  <c r="C208" i="2" s="1"/>
  <c r="B209" i="2"/>
  <c r="C209" i="2" s="1"/>
  <c r="B210" i="2"/>
  <c r="C210" i="2" s="1"/>
  <c r="B211" i="2"/>
  <c r="C211" i="2" s="1"/>
  <c r="B212" i="2"/>
  <c r="C212" i="2" s="1"/>
  <c r="B213" i="2"/>
  <c r="C213" i="2" s="1"/>
  <c r="B214" i="2"/>
  <c r="C214" i="2" s="1"/>
  <c r="B215" i="2"/>
  <c r="C215" i="2" s="1"/>
  <c r="B216" i="2"/>
  <c r="C216" i="2" s="1"/>
  <c r="B217" i="2"/>
  <c r="C217" i="2" s="1"/>
  <c r="B218" i="2"/>
  <c r="C218" i="2" s="1"/>
  <c r="B219" i="2"/>
  <c r="C219" i="2" s="1"/>
  <c r="B220" i="2"/>
  <c r="C220" i="2" s="1"/>
  <c r="B221" i="2"/>
  <c r="C221" i="2" s="1"/>
  <c r="B222" i="2"/>
  <c r="C222" i="2" s="1"/>
  <c r="B223" i="2"/>
  <c r="C223" i="2" s="1"/>
  <c r="B224" i="2"/>
  <c r="C224" i="2" s="1"/>
  <c r="B225" i="2"/>
  <c r="C225" i="2" s="1"/>
  <c r="B226" i="2"/>
  <c r="C226" i="2" s="1"/>
  <c r="B227" i="2"/>
  <c r="C227" i="2" s="1"/>
  <c r="B228" i="2"/>
  <c r="C228" i="2" s="1"/>
  <c r="B229" i="2"/>
  <c r="C229" i="2" s="1"/>
  <c r="B230" i="2"/>
  <c r="C230" i="2" s="1"/>
  <c r="B231" i="2"/>
  <c r="C231" i="2" s="1"/>
  <c r="B232" i="2"/>
  <c r="C232" i="2" s="1"/>
  <c r="B233" i="2"/>
  <c r="C233" i="2" s="1"/>
  <c r="B234" i="2"/>
  <c r="C234" i="2" s="1"/>
  <c r="B235" i="2"/>
  <c r="C235" i="2" s="1"/>
  <c r="B236" i="2"/>
  <c r="C236" i="2" s="1"/>
  <c r="B237" i="2"/>
  <c r="C237" i="2" s="1"/>
  <c r="B238" i="2"/>
  <c r="C238" i="2" s="1"/>
  <c r="B239" i="2"/>
  <c r="C239" i="2" s="1"/>
  <c r="B240" i="2"/>
  <c r="C240" i="2" s="1"/>
  <c r="B241" i="2"/>
  <c r="C241" i="2" s="1"/>
  <c r="B242" i="2"/>
  <c r="C242" i="2" s="1"/>
  <c r="B243" i="2"/>
  <c r="C243" i="2" s="1"/>
  <c r="B244" i="2"/>
  <c r="C244" i="2" s="1"/>
  <c r="B245" i="2"/>
  <c r="C245" i="2" s="1"/>
  <c r="B246" i="2"/>
  <c r="C246" i="2" s="1"/>
  <c r="B247" i="2"/>
  <c r="C247" i="2" s="1"/>
  <c r="B248" i="2"/>
  <c r="C248" i="2" s="1"/>
  <c r="B249" i="2"/>
  <c r="C249" i="2" s="1"/>
  <c r="B250" i="2"/>
  <c r="C250" i="2" s="1"/>
  <c r="B251" i="2"/>
  <c r="C251" i="2" s="1"/>
  <c r="B252" i="2"/>
  <c r="C252" i="2" s="1"/>
  <c r="B253" i="2"/>
  <c r="C253" i="2" s="1"/>
  <c r="B254" i="2"/>
  <c r="C254" i="2" s="1"/>
  <c r="B255" i="2"/>
  <c r="C255" i="2" s="1"/>
  <c r="B256" i="2"/>
  <c r="C256" i="2" s="1"/>
  <c r="B257" i="2"/>
  <c r="C257" i="2" s="1"/>
  <c r="B258" i="2"/>
  <c r="C258" i="2" s="1"/>
  <c r="B259" i="2"/>
  <c r="C259" i="2" s="1"/>
  <c r="B260" i="2"/>
  <c r="C260" i="2" s="1"/>
  <c r="B261" i="2"/>
  <c r="C261" i="2" s="1"/>
  <c r="B262" i="2"/>
  <c r="C262" i="2" s="1"/>
  <c r="B263" i="2"/>
  <c r="C263" i="2" s="1"/>
  <c r="B264" i="2"/>
  <c r="C264" i="2" s="1"/>
  <c r="B265" i="2"/>
  <c r="C265" i="2" s="1"/>
  <c r="B266" i="2"/>
  <c r="C266" i="2" s="1"/>
  <c r="B267" i="2"/>
  <c r="C267" i="2" s="1"/>
  <c r="B268" i="2"/>
  <c r="C268" i="2" s="1"/>
  <c r="B269" i="2"/>
  <c r="C269" i="2" s="1"/>
  <c r="B270" i="2"/>
  <c r="C270" i="2" s="1"/>
  <c r="B271" i="2"/>
  <c r="C271" i="2" s="1"/>
  <c r="B272" i="2"/>
  <c r="C272" i="2" s="1"/>
  <c r="B273" i="2"/>
  <c r="C273" i="2" s="1"/>
  <c r="B274" i="2"/>
  <c r="C274" i="2" s="1"/>
  <c r="B275" i="2"/>
  <c r="C275" i="2" s="1"/>
  <c r="B276" i="2"/>
  <c r="C276" i="2" s="1"/>
  <c r="B277" i="2"/>
  <c r="C277" i="2" s="1"/>
  <c r="B278" i="2"/>
  <c r="C278" i="2" s="1"/>
  <c r="B279" i="2"/>
  <c r="C279" i="2" s="1"/>
  <c r="B280" i="2"/>
  <c r="C280" i="2" s="1"/>
  <c r="B281" i="2"/>
  <c r="C281" i="2" s="1"/>
  <c r="B282" i="2"/>
  <c r="C282" i="2" s="1"/>
  <c r="B283" i="2"/>
  <c r="C283" i="2" s="1"/>
  <c r="B284" i="2"/>
  <c r="C284" i="2" s="1"/>
  <c r="B285" i="2"/>
  <c r="C285" i="2" s="1"/>
  <c r="B286" i="2"/>
  <c r="C286" i="2" s="1"/>
  <c r="B287" i="2"/>
  <c r="C287" i="2" s="1"/>
  <c r="B288" i="2"/>
  <c r="C288" i="2" s="1"/>
  <c r="B289" i="2"/>
  <c r="C289" i="2" s="1"/>
  <c r="B290" i="2"/>
  <c r="C290" i="2" s="1"/>
  <c r="B291" i="2"/>
  <c r="C291" i="2" s="1"/>
  <c r="B292" i="2"/>
  <c r="C292" i="2" s="1"/>
  <c r="B293" i="2"/>
  <c r="C293" i="2" s="1"/>
  <c r="B294" i="2"/>
  <c r="C294" i="2" s="1"/>
  <c r="B295" i="2"/>
  <c r="C295" i="2" s="1"/>
  <c r="B296" i="2"/>
  <c r="C296" i="2" s="1"/>
  <c r="B297" i="2"/>
  <c r="C297" i="2" s="1"/>
  <c r="B298" i="2"/>
  <c r="C298" i="2" s="1"/>
  <c r="B299" i="2"/>
  <c r="C299" i="2" s="1"/>
  <c r="B300" i="2"/>
  <c r="C300" i="2" s="1"/>
  <c r="B301" i="2"/>
  <c r="C301" i="2" s="1"/>
  <c r="B302" i="2"/>
  <c r="C302" i="2" s="1"/>
  <c r="B303" i="2"/>
  <c r="C303" i="2" s="1"/>
  <c r="B304" i="2"/>
  <c r="C304" i="2" s="1"/>
  <c r="B305" i="2"/>
  <c r="C305" i="2" s="1"/>
  <c r="B306" i="2"/>
  <c r="C306" i="2" s="1"/>
  <c r="B307" i="2"/>
  <c r="C307" i="2" s="1"/>
  <c r="B308" i="2"/>
  <c r="C308" i="2" s="1"/>
  <c r="B309" i="2"/>
  <c r="C309" i="2" s="1"/>
  <c r="B310" i="2"/>
  <c r="C310" i="2" s="1"/>
  <c r="B311" i="2"/>
  <c r="C311" i="2" s="1"/>
  <c r="B312" i="2"/>
  <c r="C312" i="2" s="1"/>
  <c r="B313" i="2"/>
  <c r="C313" i="2" s="1"/>
  <c r="B314" i="2"/>
  <c r="C314" i="2" s="1"/>
  <c r="B315" i="2"/>
  <c r="C315" i="2" s="1"/>
  <c r="B316" i="2"/>
  <c r="C316" i="2" s="1"/>
  <c r="B317" i="2"/>
  <c r="C317" i="2" s="1"/>
  <c r="B318" i="2"/>
  <c r="C318" i="2" s="1"/>
  <c r="B319" i="2"/>
  <c r="C319" i="2" s="1"/>
  <c r="B320" i="2"/>
  <c r="C320" i="2" s="1"/>
  <c r="B321" i="2"/>
  <c r="C321" i="2" s="1"/>
  <c r="B322" i="2"/>
  <c r="C322" i="2" s="1"/>
  <c r="B323" i="2"/>
  <c r="C323" i="2" s="1"/>
  <c r="B324" i="2"/>
  <c r="C324" i="2" s="1"/>
  <c r="B325" i="2"/>
  <c r="C325" i="2" s="1"/>
  <c r="B326" i="2"/>
  <c r="C326" i="2" s="1"/>
  <c r="B327" i="2"/>
  <c r="C327" i="2" s="1"/>
  <c r="B328" i="2"/>
  <c r="C328" i="2" s="1"/>
  <c r="B329" i="2"/>
  <c r="C329" i="2" s="1"/>
  <c r="B330" i="2"/>
  <c r="C330" i="2" s="1"/>
  <c r="B331" i="2"/>
  <c r="C331" i="2" s="1"/>
  <c r="B332" i="2"/>
  <c r="C332" i="2" s="1"/>
  <c r="B333" i="2"/>
  <c r="C333" i="2" s="1"/>
  <c r="B334" i="2"/>
  <c r="C334" i="2" s="1"/>
  <c r="B335" i="2"/>
  <c r="C335" i="2" s="1"/>
  <c r="B336" i="2"/>
  <c r="C336" i="2" s="1"/>
  <c r="B337" i="2"/>
  <c r="C337" i="2" s="1"/>
  <c r="B338" i="2"/>
  <c r="C338" i="2" s="1"/>
  <c r="B339" i="2"/>
  <c r="C339" i="2" s="1"/>
  <c r="B340" i="2"/>
  <c r="C340" i="2" s="1"/>
  <c r="B341" i="2"/>
  <c r="C341" i="2" s="1"/>
  <c r="B342" i="2"/>
  <c r="C342" i="2" s="1"/>
  <c r="B343" i="2"/>
  <c r="C343" i="2" s="1"/>
  <c r="B344" i="2"/>
  <c r="C344" i="2" s="1"/>
  <c r="B345" i="2"/>
  <c r="C345" i="2" s="1"/>
  <c r="B346" i="2"/>
  <c r="C346" i="2" s="1"/>
  <c r="B347" i="2"/>
  <c r="C347" i="2" s="1"/>
  <c r="B348" i="2"/>
  <c r="C348" i="2" s="1"/>
  <c r="B349" i="2"/>
  <c r="C349" i="2" s="1"/>
  <c r="B350" i="2"/>
  <c r="C350" i="2" s="1"/>
  <c r="B351" i="2"/>
  <c r="C351" i="2" s="1"/>
  <c r="B352" i="2"/>
  <c r="C352" i="2" s="1"/>
  <c r="B353" i="2"/>
  <c r="C353" i="2" s="1"/>
  <c r="B354" i="2"/>
  <c r="C354" i="2" s="1"/>
  <c r="B355" i="2"/>
  <c r="C355" i="2" s="1"/>
  <c r="B356" i="2"/>
  <c r="C356" i="2" s="1"/>
  <c r="B357" i="2"/>
  <c r="C357" i="2" s="1"/>
  <c r="B358" i="2"/>
  <c r="C358" i="2" s="1"/>
  <c r="B359" i="2"/>
  <c r="C359" i="2" s="1"/>
  <c r="B360" i="2"/>
  <c r="C360" i="2" s="1"/>
  <c r="B361" i="2"/>
  <c r="C361" i="2" s="1"/>
  <c r="B362" i="2"/>
  <c r="C362" i="2" s="1"/>
  <c r="B363" i="2"/>
  <c r="C363" i="2" s="1"/>
  <c r="B364" i="2"/>
  <c r="C364" i="2" s="1"/>
  <c r="B365" i="2"/>
  <c r="C365" i="2" s="1"/>
  <c r="B366" i="2"/>
  <c r="C366" i="2" s="1"/>
  <c r="B367" i="2"/>
  <c r="C367" i="2" s="1"/>
  <c r="B368" i="2"/>
  <c r="C368" i="2" s="1"/>
  <c r="B369" i="2"/>
  <c r="C369" i="2" s="1"/>
  <c r="B370" i="2"/>
  <c r="C370" i="2" s="1"/>
  <c r="B371" i="2"/>
  <c r="C371" i="2" s="1"/>
  <c r="B372" i="2"/>
  <c r="C372" i="2" s="1"/>
  <c r="B373" i="2"/>
  <c r="C373" i="2" s="1"/>
  <c r="B374" i="2"/>
  <c r="C374" i="2" s="1"/>
  <c r="B375" i="2"/>
  <c r="C375" i="2" s="1"/>
  <c r="B376" i="2"/>
  <c r="C376" i="2" s="1"/>
  <c r="B377" i="2"/>
  <c r="C377" i="2" s="1"/>
  <c r="B378" i="2"/>
  <c r="C378" i="2" s="1"/>
  <c r="B379" i="2"/>
  <c r="C379" i="2" s="1"/>
  <c r="B380" i="2"/>
  <c r="C380" i="2" s="1"/>
  <c r="B381" i="2"/>
  <c r="C381" i="2" s="1"/>
  <c r="B382" i="2"/>
  <c r="C382" i="2" s="1"/>
  <c r="B383" i="2"/>
  <c r="C383" i="2" s="1"/>
  <c r="B384" i="2"/>
  <c r="C384" i="2" s="1"/>
  <c r="B385" i="2"/>
  <c r="C385" i="2" s="1"/>
  <c r="B386" i="2"/>
  <c r="C386" i="2" s="1"/>
  <c r="B387" i="2"/>
  <c r="C387" i="2" s="1"/>
  <c r="B388" i="2"/>
  <c r="C388" i="2" s="1"/>
  <c r="B389" i="2"/>
  <c r="C389" i="2" s="1"/>
  <c r="B390" i="2"/>
  <c r="C390" i="2" s="1"/>
  <c r="B391" i="2"/>
  <c r="C391" i="2" s="1"/>
  <c r="B392" i="2"/>
  <c r="C392" i="2" s="1"/>
  <c r="B393" i="2"/>
  <c r="C393" i="2" s="1"/>
  <c r="B394" i="2"/>
  <c r="C394" i="2" s="1"/>
  <c r="B395" i="2"/>
  <c r="C395" i="2" s="1"/>
  <c r="B396" i="2"/>
  <c r="C396" i="2" s="1"/>
  <c r="B397" i="2"/>
  <c r="C397" i="2" s="1"/>
  <c r="B398" i="2"/>
  <c r="C398" i="2" s="1"/>
  <c r="B399" i="2"/>
  <c r="C399" i="2" s="1"/>
  <c r="B400" i="2"/>
  <c r="C400" i="2" s="1"/>
  <c r="B401" i="2"/>
  <c r="C401" i="2" s="1"/>
  <c r="B402" i="2"/>
  <c r="C402" i="2" s="1"/>
  <c r="B403" i="2"/>
  <c r="C403" i="2" s="1"/>
  <c r="B404" i="2"/>
  <c r="C404" i="2" s="1"/>
  <c r="B405" i="2"/>
  <c r="C405" i="2" s="1"/>
  <c r="B406" i="2"/>
  <c r="C406" i="2" s="1"/>
  <c r="B407" i="2"/>
  <c r="C407" i="2" s="1"/>
  <c r="B408" i="2"/>
  <c r="C408" i="2" s="1"/>
  <c r="B409" i="2"/>
  <c r="C409" i="2" s="1"/>
  <c r="B410" i="2"/>
  <c r="C410" i="2" s="1"/>
  <c r="B411" i="2"/>
  <c r="C411" i="2" s="1"/>
  <c r="B412" i="2"/>
  <c r="C412" i="2" s="1"/>
  <c r="B413" i="2"/>
  <c r="C413" i="2" s="1"/>
  <c r="B414" i="2"/>
  <c r="C414" i="2" s="1"/>
  <c r="B415" i="2"/>
  <c r="C415" i="2" s="1"/>
  <c r="B416" i="2"/>
  <c r="C416" i="2" s="1"/>
  <c r="B417" i="2"/>
  <c r="C417" i="2" s="1"/>
  <c r="B418" i="2"/>
  <c r="C418" i="2" s="1"/>
  <c r="B419" i="2"/>
  <c r="C419" i="2" s="1"/>
  <c r="B420" i="2"/>
  <c r="C420" i="2" s="1"/>
  <c r="B421" i="2"/>
  <c r="C421" i="2" s="1"/>
  <c r="B422" i="2"/>
  <c r="C422" i="2" s="1"/>
  <c r="B423" i="2"/>
  <c r="C423" i="2" s="1"/>
  <c r="B424" i="2"/>
  <c r="C424" i="2" s="1"/>
  <c r="B425" i="2"/>
  <c r="C425" i="2" s="1"/>
  <c r="B426" i="2"/>
  <c r="C426" i="2" s="1"/>
  <c r="B427" i="2"/>
  <c r="C427" i="2" s="1"/>
  <c r="B428" i="2"/>
  <c r="C428" i="2" s="1"/>
  <c r="B429" i="2"/>
  <c r="C429" i="2" s="1"/>
  <c r="B430" i="2"/>
  <c r="C430" i="2" s="1"/>
  <c r="B431" i="2"/>
  <c r="C431" i="2" s="1"/>
  <c r="B432" i="2"/>
  <c r="C432" i="2" s="1"/>
  <c r="B433" i="2"/>
  <c r="C433" i="2" s="1"/>
  <c r="B434" i="2"/>
  <c r="C434" i="2" s="1"/>
  <c r="B435" i="2"/>
  <c r="C435" i="2" s="1"/>
  <c r="B436" i="2"/>
  <c r="C436" i="2" s="1"/>
  <c r="B437" i="2"/>
  <c r="C437" i="2" s="1"/>
  <c r="B438" i="2"/>
  <c r="C438" i="2" s="1"/>
  <c r="B439" i="2"/>
  <c r="C439" i="2" s="1"/>
  <c r="B603" i="2"/>
  <c r="C603" i="2" s="1"/>
  <c r="B604" i="2"/>
  <c r="C604" i="2" s="1"/>
  <c r="B605" i="2"/>
  <c r="C605" i="2" s="1"/>
  <c r="B606" i="2"/>
  <c r="C606" i="2" s="1"/>
  <c r="B607" i="2"/>
  <c r="C607" i="2" s="1"/>
  <c r="B608" i="2"/>
  <c r="C608" i="2" s="1"/>
  <c r="B609" i="2"/>
  <c r="C609" i="2" s="1"/>
  <c r="B610" i="2"/>
  <c r="C610" i="2" s="1"/>
  <c r="B611" i="2"/>
  <c r="C611" i="2" s="1"/>
  <c r="B612" i="2"/>
  <c r="C612" i="2" s="1"/>
  <c r="B613" i="2"/>
  <c r="C613" i="2" s="1"/>
  <c r="B614" i="2"/>
  <c r="C614" i="2" s="1"/>
  <c r="B615" i="2"/>
  <c r="C615" i="2" s="1"/>
  <c r="B616" i="2"/>
  <c r="C616" i="2" s="1"/>
  <c r="B617" i="2"/>
  <c r="C617" i="2" s="1"/>
  <c r="B618" i="2"/>
  <c r="C618" i="2" s="1"/>
  <c r="B619" i="2"/>
  <c r="C619" i="2" s="1"/>
  <c r="B620" i="2"/>
  <c r="C620" i="2" s="1"/>
  <c r="B621" i="2"/>
  <c r="C621" i="2" s="1"/>
  <c r="B622" i="2"/>
  <c r="C622" i="2" s="1"/>
  <c r="B623" i="2"/>
  <c r="C623" i="2" s="1"/>
  <c r="B624" i="2"/>
  <c r="C624" i="2" s="1"/>
  <c r="B625" i="2"/>
  <c r="C625" i="2" s="1"/>
  <c r="B626" i="2"/>
  <c r="C626" i="2" s="1"/>
  <c r="B627" i="2"/>
  <c r="C627" i="2" s="1"/>
  <c r="B628" i="2"/>
  <c r="C628" i="2" s="1"/>
  <c r="B629" i="2"/>
  <c r="C629" i="2" s="1"/>
  <c r="B630" i="2"/>
  <c r="C630" i="2" s="1"/>
  <c r="B631" i="2"/>
  <c r="C631" i="2" s="1"/>
  <c r="B632" i="2"/>
  <c r="C632" i="2" s="1"/>
  <c r="B633" i="2"/>
  <c r="C633" i="2" s="1"/>
  <c r="B634" i="2"/>
  <c r="C634" i="2" s="1"/>
  <c r="B635" i="2"/>
  <c r="C635" i="2" s="1"/>
  <c r="B636" i="2"/>
  <c r="C636" i="2" s="1"/>
  <c r="B637" i="2"/>
  <c r="C637" i="2" s="1"/>
  <c r="B638" i="2"/>
  <c r="C638" i="2" s="1"/>
  <c r="B639" i="2"/>
  <c r="C639" i="2" s="1"/>
  <c r="B640" i="2"/>
  <c r="C640" i="2" s="1"/>
  <c r="B641" i="2"/>
  <c r="C641" i="2" s="1"/>
  <c r="B642" i="2"/>
  <c r="C642" i="2" s="1"/>
  <c r="B643" i="2"/>
  <c r="C643" i="2" s="1"/>
  <c r="B644" i="2"/>
  <c r="C644" i="2" s="1"/>
  <c r="B645" i="2"/>
  <c r="C645" i="2" s="1"/>
  <c r="B646" i="2"/>
  <c r="C646" i="2" s="1"/>
  <c r="B647" i="2"/>
  <c r="C647" i="2" s="1"/>
  <c r="B648" i="2"/>
  <c r="C648" i="2" s="1"/>
  <c r="B649" i="2"/>
  <c r="C649" i="2" s="1"/>
  <c r="B650" i="2"/>
  <c r="C650" i="2" s="1"/>
  <c r="B651" i="2"/>
  <c r="C651" i="2" s="1"/>
  <c r="B652" i="2"/>
  <c r="C652" i="2" s="1"/>
  <c r="B653" i="2"/>
  <c r="C653" i="2" s="1"/>
  <c r="B654" i="2"/>
  <c r="C654" i="2" s="1"/>
  <c r="B655" i="2"/>
  <c r="C655" i="2" s="1"/>
  <c r="B656" i="2"/>
  <c r="C656" i="2" s="1"/>
  <c r="B657" i="2"/>
  <c r="C657" i="2" s="1"/>
  <c r="B658" i="2"/>
  <c r="C658" i="2" s="1"/>
  <c r="B659" i="2"/>
  <c r="C659" i="2" s="1"/>
  <c r="B660" i="2"/>
  <c r="C660" i="2" s="1"/>
  <c r="B661" i="2"/>
  <c r="C661" i="2" s="1"/>
  <c r="B662" i="2"/>
  <c r="C662" i="2" s="1"/>
  <c r="B663" i="2"/>
  <c r="C663" i="2" s="1"/>
  <c r="B664" i="2"/>
  <c r="C664" i="2" s="1"/>
  <c r="B665" i="2"/>
  <c r="C665" i="2" s="1"/>
  <c r="B666" i="2"/>
  <c r="C666" i="2" s="1"/>
  <c r="B667" i="2"/>
  <c r="C667" i="2" s="1"/>
  <c r="B668" i="2"/>
  <c r="C668" i="2" s="1"/>
  <c r="B669" i="2"/>
  <c r="C669" i="2" s="1"/>
  <c r="B670" i="2"/>
  <c r="C670" i="2" s="1"/>
  <c r="B671" i="2"/>
  <c r="C671" i="2" s="1"/>
  <c r="B672" i="2"/>
  <c r="C672" i="2" s="1"/>
  <c r="B673" i="2"/>
  <c r="C673" i="2" s="1"/>
  <c r="B674" i="2"/>
  <c r="C674" i="2" s="1"/>
  <c r="B675" i="2"/>
  <c r="C675" i="2" s="1"/>
  <c r="B676" i="2"/>
  <c r="C676" i="2" s="1"/>
  <c r="B677" i="2"/>
  <c r="C677" i="2" s="1"/>
  <c r="B678" i="2"/>
  <c r="C678" i="2" s="1"/>
  <c r="B679" i="2"/>
  <c r="C679" i="2" s="1"/>
  <c r="B680" i="2"/>
  <c r="C680" i="2" s="1"/>
  <c r="B681" i="2"/>
  <c r="C681" i="2" s="1"/>
  <c r="B682" i="2"/>
  <c r="C682" i="2" s="1"/>
  <c r="B683" i="2"/>
  <c r="C683" i="2" s="1"/>
  <c r="B684" i="2"/>
  <c r="C684" i="2" s="1"/>
  <c r="B685" i="2"/>
  <c r="C685" i="2" s="1"/>
  <c r="B686" i="2"/>
  <c r="C686" i="2" s="1"/>
  <c r="B687" i="2"/>
  <c r="C687" i="2" s="1"/>
  <c r="B688" i="2"/>
  <c r="C688" i="2" s="1"/>
  <c r="B689" i="2"/>
  <c r="C689" i="2" s="1"/>
  <c r="B690" i="2"/>
  <c r="C690" i="2" s="1"/>
  <c r="B691" i="2"/>
  <c r="C691" i="2" s="1"/>
  <c r="B692" i="2"/>
  <c r="C692" i="2" s="1"/>
  <c r="B693" i="2"/>
  <c r="C693" i="2" s="1"/>
  <c r="B694" i="2"/>
  <c r="C694" i="2" s="1"/>
  <c r="B695" i="2"/>
  <c r="C695" i="2" s="1"/>
  <c r="B696" i="2"/>
  <c r="C696" i="2" s="1"/>
  <c r="B697" i="2"/>
  <c r="C697" i="2" s="1"/>
  <c r="B698" i="2"/>
  <c r="C698" i="2" s="1"/>
  <c r="B699" i="2"/>
  <c r="C699" i="2" s="1"/>
  <c r="B700" i="2"/>
  <c r="C700" i="2" s="1"/>
  <c r="B701" i="2"/>
  <c r="C701" i="2" s="1"/>
  <c r="B702" i="2"/>
  <c r="C702" i="2" s="1"/>
  <c r="B703" i="2"/>
  <c r="C703" i="2" s="1"/>
  <c r="B704" i="2"/>
  <c r="C704" i="2" s="1"/>
  <c r="B705" i="2"/>
  <c r="C705" i="2" s="1"/>
  <c r="B706" i="2"/>
  <c r="C706" i="2" s="1"/>
  <c r="B707" i="2"/>
  <c r="C707" i="2" s="1"/>
  <c r="B708" i="2"/>
  <c r="C708" i="2" s="1"/>
  <c r="B709" i="2"/>
  <c r="C709" i="2" s="1"/>
  <c r="B710" i="2"/>
  <c r="C710" i="2" s="1"/>
  <c r="B711" i="2"/>
  <c r="C711" i="2" s="1"/>
  <c r="B712" i="2"/>
  <c r="C712" i="2" s="1"/>
  <c r="B713" i="2"/>
  <c r="C713" i="2" s="1"/>
  <c r="B714" i="2"/>
  <c r="C714" i="2" s="1"/>
  <c r="B715" i="2"/>
  <c r="C715" i="2" s="1"/>
  <c r="B716" i="2"/>
  <c r="C716" i="2" s="1"/>
  <c r="B717" i="2"/>
  <c r="C717" i="2" s="1"/>
  <c r="B718" i="2"/>
  <c r="C718" i="2" s="1"/>
  <c r="B719" i="2"/>
  <c r="C719" i="2" s="1"/>
  <c r="B720" i="2"/>
  <c r="C720" i="2" s="1"/>
  <c r="B721" i="2"/>
  <c r="C721" i="2" s="1"/>
  <c r="B722" i="2"/>
  <c r="C722" i="2" s="1"/>
  <c r="B723" i="2"/>
  <c r="C723" i="2" s="1"/>
  <c r="B724" i="2"/>
  <c r="C724" i="2" s="1"/>
  <c r="B725" i="2"/>
  <c r="C725" i="2" s="1"/>
  <c r="B726" i="2"/>
  <c r="C726" i="2" s="1"/>
  <c r="B727" i="2"/>
  <c r="C727" i="2" s="1"/>
  <c r="B728" i="2"/>
  <c r="C728" i="2" s="1"/>
  <c r="B729" i="2"/>
  <c r="C729" i="2" s="1"/>
  <c r="B730" i="2"/>
  <c r="C730" i="2" s="1"/>
  <c r="B731" i="2"/>
  <c r="C731" i="2" s="1"/>
  <c r="B732" i="2"/>
  <c r="C732" i="2" s="1"/>
  <c r="B733" i="2"/>
  <c r="C733" i="2" s="1"/>
  <c r="B734" i="2"/>
  <c r="C734" i="2" s="1"/>
  <c r="B735" i="2"/>
  <c r="C735" i="2" s="1"/>
  <c r="B736" i="2"/>
  <c r="C736" i="2" s="1"/>
  <c r="B737" i="2"/>
  <c r="C737" i="2" s="1"/>
  <c r="B738" i="2"/>
  <c r="C738" i="2" s="1"/>
  <c r="B739" i="2"/>
  <c r="C739" i="2" s="1"/>
  <c r="B740" i="2"/>
  <c r="C740" i="2" s="1"/>
  <c r="B741" i="2"/>
  <c r="C741" i="2" s="1"/>
  <c r="B742" i="2"/>
  <c r="C742" i="2" s="1"/>
  <c r="B743" i="2"/>
  <c r="C743" i="2" s="1"/>
  <c r="B744" i="2"/>
  <c r="C744" i="2" s="1"/>
  <c r="B745" i="2"/>
  <c r="C745" i="2" s="1"/>
  <c r="B746" i="2"/>
  <c r="C746" i="2" s="1"/>
  <c r="B747" i="2"/>
  <c r="C747" i="2" s="1"/>
  <c r="B748" i="2"/>
  <c r="C748" i="2" s="1"/>
  <c r="B749" i="2"/>
  <c r="C749" i="2" s="1"/>
  <c r="B750" i="2"/>
  <c r="C750" i="2" s="1"/>
  <c r="B751" i="2"/>
  <c r="C751" i="2" s="1"/>
  <c r="B752" i="2"/>
  <c r="C752" i="2" s="1"/>
  <c r="B753" i="2"/>
  <c r="C753" i="2" s="1"/>
  <c r="B754" i="2"/>
  <c r="C754" i="2" s="1"/>
  <c r="B755" i="2"/>
  <c r="C755" i="2" s="1"/>
  <c r="B756" i="2"/>
  <c r="C756" i="2" s="1"/>
  <c r="B757" i="2"/>
  <c r="C757" i="2" s="1"/>
  <c r="B758" i="2"/>
  <c r="C758" i="2" s="1"/>
  <c r="B759" i="2"/>
  <c r="C759" i="2" s="1"/>
  <c r="B760" i="2"/>
  <c r="C760" i="2" s="1"/>
  <c r="B761" i="2"/>
  <c r="C761" i="2" s="1"/>
  <c r="B762" i="2"/>
  <c r="C762" i="2" s="1"/>
  <c r="B763" i="2"/>
  <c r="C763" i="2" s="1"/>
  <c r="B764" i="2"/>
  <c r="C764" i="2" s="1"/>
  <c r="B765" i="2"/>
  <c r="C765" i="2" s="1"/>
  <c r="B766" i="2"/>
  <c r="C766" i="2" s="1"/>
  <c r="B767" i="2"/>
  <c r="C767" i="2" s="1"/>
  <c r="B768" i="2"/>
  <c r="C768" i="2" s="1"/>
  <c r="B769" i="2"/>
  <c r="C769" i="2" s="1"/>
  <c r="B770" i="2"/>
  <c r="C770" i="2" s="1"/>
  <c r="B771" i="2"/>
  <c r="C771" i="2" s="1"/>
  <c r="B772" i="2"/>
  <c r="C772" i="2" s="1"/>
  <c r="B773" i="2"/>
  <c r="C773" i="2" s="1"/>
  <c r="B774" i="2"/>
  <c r="C774" i="2" s="1"/>
  <c r="B775" i="2"/>
  <c r="C775" i="2" s="1"/>
  <c r="B776" i="2"/>
  <c r="C776" i="2" s="1"/>
  <c r="B777" i="2"/>
  <c r="C777" i="2" s="1"/>
  <c r="B778" i="2"/>
  <c r="C778" i="2" s="1"/>
  <c r="B779" i="2"/>
  <c r="C779" i="2" s="1"/>
  <c r="B780" i="2"/>
  <c r="C780" i="2" s="1"/>
  <c r="B781" i="2"/>
  <c r="C781" i="2" s="1"/>
  <c r="B782" i="2"/>
  <c r="C782" i="2" s="1"/>
  <c r="B783" i="2"/>
  <c r="C783" i="2" s="1"/>
  <c r="B784" i="2"/>
  <c r="C784" i="2" s="1"/>
  <c r="B785" i="2"/>
  <c r="C785" i="2" s="1"/>
  <c r="B786" i="2"/>
  <c r="C786" i="2" s="1"/>
  <c r="B787" i="2"/>
  <c r="C787" i="2" s="1"/>
  <c r="B788" i="2"/>
  <c r="C788" i="2" s="1"/>
  <c r="B789" i="2"/>
  <c r="C789" i="2" s="1"/>
  <c r="B790" i="2"/>
  <c r="C790" i="2" s="1"/>
  <c r="B791" i="2"/>
  <c r="C791" i="2" s="1"/>
  <c r="B792" i="2"/>
  <c r="C792" i="2" s="1"/>
  <c r="B793" i="2"/>
  <c r="C793" i="2" s="1"/>
  <c r="B794" i="2"/>
  <c r="C794" i="2" s="1"/>
  <c r="B795" i="2"/>
  <c r="C795" i="2" s="1"/>
  <c r="B796" i="2"/>
  <c r="C796" i="2" s="1"/>
  <c r="B798" i="2"/>
  <c r="C798" i="2" s="1"/>
  <c r="B801" i="2"/>
  <c r="C801" i="2" s="1"/>
  <c r="B803" i="2"/>
  <c r="C803" i="2" s="1"/>
  <c r="B806" i="2"/>
  <c r="C806" i="2" s="1"/>
  <c r="B808" i="2"/>
  <c r="C808" i="2" s="1"/>
  <c r="B810" i="2"/>
  <c r="C810" i="2" s="1"/>
  <c r="B812" i="2"/>
  <c r="C812" i="2" s="1"/>
  <c r="B815" i="2"/>
  <c r="C815" i="2" s="1"/>
  <c r="B817" i="2"/>
  <c r="C817" i="2" s="1"/>
  <c r="B819" i="2"/>
  <c r="C819" i="2" s="1"/>
  <c r="B821" i="2"/>
  <c r="C821" i="2" s="1"/>
  <c r="B823" i="2"/>
  <c r="C823" i="2" s="1"/>
  <c r="B824" i="2"/>
  <c r="C824" i="2" s="1"/>
  <c r="B826" i="2"/>
  <c r="C826" i="2" s="1"/>
  <c r="B828" i="2"/>
  <c r="C828" i="2" s="1"/>
  <c r="B830" i="2"/>
  <c r="C830" i="2" s="1"/>
  <c r="B832" i="2"/>
  <c r="C832" i="2" s="1"/>
  <c r="B834" i="2"/>
  <c r="C834" i="2" s="1"/>
  <c r="B836" i="2"/>
  <c r="C836" i="2" s="1"/>
  <c r="B838" i="2"/>
  <c r="C838" i="2" s="1"/>
  <c r="B840" i="2"/>
  <c r="C840" i="2" s="1"/>
  <c r="B842" i="2"/>
  <c r="C842" i="2" s="1"/>
  <c r="B845" i="2"/>
  <c r="C845" i="2" s="1"/>
  <c r="B847" i="2"/>
  <c r="C847" i="2" s="1"/>
  <c r="B849" i="2"/>
  <c r="C849" i="2" s="1"/>
  <c r="B851" i="2"/>
  <c r="C851" i="2" s="1"/>
  <c r="B853" i="2"/>
  <c r="C853" i="2" s="1"/>
  <c r="B855" i="2"/>
  <c r="C855" i="2" s="1"/>
  <c r="B858" i="2"/>
  <c r="C858" i="2" s="1"/>
  <c r="B860" i="2"/>
  <c r="C860" i="2" s="1"/>
  <c r="B863" i="2"/>
  <c r="C863" i="2" s="1"/>
  <c r="B864" i="2"/>
  <c r="C864" i="2" s="1"/>
  <c r="B866" i="2"/>
  <c r="C866" i="2" s="1"/>
  <c r="B868" i="2"/>
  <c r="C868" i="2" s="1"/>
  <c r="B870" i="2"/>
  <c r="C870" i="2" s="1"/>
  <c r="B872" i="2"/>
  <c r="C872" i="2" s="1"/>
  <c r="B874" i="2"/>
  <c r="C874" i="2" s="1"/>
  <c r="B876" i="2"/>
  <c r="C876" i="2" s="1"/>
  <c r="B878" i="2"/>
  <c r="C878" i="2" s="1"/>
  <c r="B880" i="2"/>
  <c r="C880" i="2" s="1"/>
  <c r="B882" i="2"/>
  <c r="C882" i="2" s="1"/>
  <c r="B884" i="2"/>
  <c r="C884" i="2" s="1"/>
  <c r="B886" i="2"/>
  <c r="C886" i="2" s="1"/>
  <c r="B888" i="2"/>
  <c r="C888" i="2" s="1"/>
  <c r="B891" i="2"/>
  <c r="C891" i="2" s="1"/>
  <c r="B892" i="2"/>
  <c r="C892" i="2" s="1"/>
  <c r="B894" i="2"/>
  <c r="C894" i="2" s="1"/>
  <c r="B896" i="2"/>
  <c r="C896" i="2" s="1"/>
  <c r="B898" i="2"/>
  <c r="C898" i="2" s="1"/>
  <c r="B901" i="2"/>
  <c r="C901" i="2" s="1"/>
  <c r="B903" i="2"/>
  <c r="C903" i="2" s="1"/>
  <c r="B904" i="2"/>
  <c r="C904" i="2" s="1"/>
  <c r="B907" i="2"/>
  <c r="C907" i="2" s="1"/>
  <c r="B909" i="2"/>
  <c r="C909" i="2" s="1"/>
  <c r="B911" i="2"/>
  <c r="C911" i="2" s="1"/>
  <c r="B913" i="2"/>
  <c r="C913" i="2" s="1"/>
  <c r="B915" i="2"/>
  <c r="C915" i="2" s="1"/>
  <c r="B917" i="2"/>
  <c r="C917" i="2" s="1"/>
  <c r="B919" i="2"/>
  <c r="C919" i="2" s="1"/>
  <c r="B921" i="2"/>
  <c r="C921" i="2" s="1"/>
  <c r="B923" i="2"/>
  <c r="C923" i="2" s="1"/>
  <c r="B924" i="2"/>
  <c r="C924" i="2" s="1"/>
  <c r="B926" i="2"/>
  <c r="C926" i="2" s="1"/>
  <c r="B928" i="2"/>
  <c r="C928" i="2" s="1"/>
  <c r="B930" i="2"/>
  <c r="C930" i="2" s="1"/>
  <c r="B932" i="2"/>
  <c r="C932" i="2" s="1"/>
  <c r="B934" i="2"/>
  <c r="C934" i="2" s="1"/>
  <c r="B937" i="2"/>
  <c r="C937" i="2" s="1"/>
  <c r="B941" i="2"/>
  <c r="C941" i="2" s="1"/>
  <c r="B943" i="2"/>
  <c r="C943" i="2" s="1"/>
  <c r="B946" i="2"/>
  <c r="C946" i="2" s="1"/>
  <c r="B948" i="2"/>
  <c r="C948" i="2" s="1"/>
  <c r="B950" i="2"/>
  <c r="C950" i="2" s="1"/>
  <c r="B953" i="2"/>
  <c r="C953" i="2" s="1"/>
  <c r="B955" i="2"/>
  <c r="C955" i="2" s="1"/>
  <c r="B957" i="2"/>
  <c r="C957" i="2" s="1"/>
  <c r="B959" i="2"/>
  <c r="C959" i="2" s="1"/>
  <c r="B1633" i="2"/>
  <c r="C1633" i="2" s="1"/>
  <c r="B1639" i="2"/>
  <c r="C1639" i="2" s="1"/>
  <c r="B1643" i="2"/>
  <c r="C1643" i="2" s="1"/>
  <c r="B1645" i="2"/>
  <c r="C1645" i="2" s="1"/>
  <c r="B1647" i="2"/>
  <c r="C1647" i="2" s="1"/>
  <c r="B1649" i="2"/>
  <c r="C1649" i="2" s="1"/>
  <c r="B1652" i="2"/>
  <c r="C1652" i="2" s="1"/>
  <c r="B1653" i="2"/>
  <c r="C1653" i="2" s="1"/>
  <c r="B1657" i="2"/>
  <c r="C1657" i="2" s="1"/>
  <c r="B1659" i="2"/>
  <c r="C1659" i="2" s="1"/>
  <c r="B1661" i="2"/>
  <c r="C1661" i="2" s="1"/>
  <c r="B1663" i="2"/>
  <c r="C1663" i="2" s="1"/>
  <c r="B1666" i="2"/>
  <c r="C1666" i="2" s="1"/>
  <c r="B1669" i="2"/>
  <c r="C1669" i="2" s="1"/>
  <c r="B1672" i="2"/>
  <c r="C1672" i="2" s="1"/>
  <c r="B1684" i="2"/>
  <c r="C1684" i="2" s="1"/>
  <c r="B1686" i="2"/>
  <c r="C1686" i="2" s="1"/>
  <c r="B1688" i="2"/>
  <c r="C1688" i="2" s="1"/>
  <c r="B1690" i="2"/>
  <c r="C1690" i="2" s="1"/>
  <c r="B1692" i="2"/>
  <c r="C1692" i="2" s="1"/>
  <c r="B1694" i="2"/>
  <c r="C1694" i="2" s="1"/>
  <c r="B1696" i="2"/>
  <c r="C1696" i="2" s="1"/>
  <c r="B1698" i="2"/>
  <c r="C1698" i="2" s="1"/>
  <c r="B1700" i="2"/>
  <c r="C1700" i="2" s="1"/>
  <c r="B1702" i="2"/>
  <c r="C1702" i="2" s="1"/>
  <c r="B1703" i="2"/>
  <c r="C1703" i="2" s="1"/>
  <c r="B1705" i="2"/>
  <c r="C1705" i="2" s="1"/>
  <c r="B1707" i="2"/>
  <c r="C1707" i="2" s="1"/>
  <c r="B1709" i="2"/>
  <c r="C1709" i="2" s="1"/>
  <c r="B1712" i="2"/>
  <c r="C1712" i="2" s="1"/>
  <c r="B1713" i="2"/>
  <c r="C1713" i="2" s="1"/>
  <c r="B1716" i="2"/>
  <c r="C1716" i="2" s="1"/>
  <c r="B1720" i="2"/>
  <c r="C1720" i="2" s="1"/>
  <c r="B1724" i="2"/>
  <c r="C1724" i="2" s="1"/>
  <c r="B1727" i="2"/>
  <c r="C1727" i="2" s="1"/>
  <c r="B1729" i="2"/>
  <c r="C1729" i="2" s="1"/>
  <c r="B1733" i="2"/>
  <c r="C1733" i="2" s="1"/>
  <c r="B1736" i="2"/>
  <c r="C1736" i="2" s="1"/>
  <c r="B1739" i="2"/>
  <c r="C1739" i="2" s="1"/>
  <c r="B1741" i="2"/>
  <c r="C1741" i="2" s="1"/>
  <c r="B1743" i="2"/>
  <c r="C1743" i="2" s="1"/>
  <c r="B1745" i="2"/>
  <c r="C1745" i="2" s="1"/>
  <c r="B1748" i="2"/>
  <c r="C1748" i="2" s="1"/>
  <c r="B1750" i="2"/>
  <c r="C1750" i="2" s="1"/>
  <c r="B1753" i="2"/>
  <c r="C1753" i="2" s="1"/>
  <c r="B1755" i="2"/>
  <c r="C1755" i="2" s="1"/>
  <c r="B1756" i="2"/>
  <c r="C1756" i="2" s="1"/>
  <c r="B1760" i="2"/>
  <c r="C1760" i="2" s="1"/>
  <c r="B1764" i="2"/>
  <c r="C1764" i="2" s="1"/>
  <c r="B1768" i="2"/>
  <c r="C1768" i="2" s="1"/>
  <c r="B1770" i="2"/>
  <c r="C1770" i="2" s="1"/>
  <c r="B1774" i="2"/>
  <c r="C1774" i="2" s="1"/>
  <c r="B1776" i="2"/>
  <c r="C1776" i="2" s="1"/>
  <c r="B1778" i="2"/>
  <c r="C1778" i="2" s="1"/>
  <c r="B1781" i="2"/>
  <c r="C1781" i="2" s="1"/>
  <c r="B1782" i="2"/>
  <c r="C1782" i="2" s="1"/>
  <c r="B1786" i="2"/>
  <c r="C1786" i="2" s="1"/>
  <c r="B1790" i="2"/>
  <c r="C1790" i="2" s="1"/>
  <c r="B1792" i="2"/>
  <c r="C1792" i="2" s="1"/>
  <c r="B1795" i="2"/>
  <c r="C1795" i="2" s="1"/>
  <c r="B1798" i="2"/>
  <c r="C1798" i="2" s="1"/>
  <c r="B1801" i="2"/>
  <c r="C1801" i="2" s="1"/>
  <c r="B1804" i="2"/>
  <c r="C1804" i="2" s="1"/>
  <c r="B1825" i="2"/>
  <c r="C1825" i="2" s="1"/>
  <c r="B1827" i="2"/>
  <c r="C1827" i="2" s="1"/>
  <c r="B1832" i="2"/>
  <c r="C1832" i="2" s="1"/>
  <c r="B1836" i="2"/>
  <c r="C1836" i="2" s="1"/>
  <c r="B1839" i="2"/>
  <c r="C1839" i="2" s="1"/>
  <c r="B1844" i="2"/>
  <c r="C1844" i="2" s="1"/>
  <c r="B1845" i="2"/>
  <c r="C1845" i="2" s="1"/>
  <c r="B1849" i="2"/>
  <c r="C1849" i="2" s="1"/>
  <c r="B1851" i="2"/>
  <c r="C1851" i="2" s="1"/>
  <c r="B1854" i="2"/>
  <c r="C1854" i="2" s="1"/>
  <c r="B1856" i="2"/>
  <c r="C1856" i="2" s="1"/>
  <c r="B1858" i="2"/>
  <c r="C1858" i="2" s="1"/>
  <c r="B1860" i="2"/>
  <c r="C1860" i="2" s="1"/>
  <c r="B1862" i="2"/>
  <c r="C1862" i="2" s="1"/>
  <c r="B1864" i="2"/>
  <c r="C1864" i="2" s="1"/>
  <c r="B1867" i="2"/>
  <c r="C1867" i="2" s="1"/>
  <c r="B1872" i="2"/>
  <c r="C1872" i="2" s="1"/>
  <c r="B1875" i="2"/>
  <c r="C1875" i="2" s="1"/>
  <c r="B1879" i="2"/>
  <c r="C1879" i="2" s="1"/>
  <c r="B1881" i="2"/>
  <c r="C1881" i="2" s="1"/>
  <c r="B1883" i="2"/>
  <c r="C1883" i="2" s="1"/>
  <c r="B1885" i="2"/>
  <c r="C1885" i="2" s="1"/>
  <c r="B1888" i="2"/>
  <c r="C1888" i="2" s="1"/>
  <c r="B1892" i="2"/>
  <c r="C1892" i="2" s="1"/>
  <c r="B1894" i="2"/>
  <c r="C1894" i="2" s="1"/>
  <c r="B1896" i="2"/>
  <c r="C1896" i="2" s="1"/>
  <c r="B1899" i="2"/>
  <c r="C1899" i="2" s="1"/>
  <c r="B1901" i="2"/>
  <c r="C1901" i="2" s="1"/>
  <c r="B1905" i="2"/>
  <c r="C1905" i="2" s="1"/>
  <c r="B1910" i="2"/>
  <c r="C1910" i="2" s="1"/>
  <c r="B1913" i="2"/>
  <c r="C1913" i="2" s="1"/>
  <c r="B1918" i="2"/>
  <c r="C1918" i="2" s="1"/>
  <c r="B1921" i="2"/>
  <c r="C1921" i="2" s="1"/>
  <c r="B1925" i="2"/>
  <c r="C1925" i="2" s="1"/>
  <c r="B1927" i="2"/>
  <c r="C1927" i="2" s="1"/>
  <c r="B1930" i="2"/>
  <c r="C1930" i="2" s="1"/>
  <c r="B1932" i="2"/>
  <c r="C1932" i="2" s="1"/>
  <c r="B1939" i="2"/>
  <c r="C1939" i="2" s="1"/>
  <c r="B1943" i="2"/>
  <c r="C1943" i="2" s="1"/>
  <c r="B1947" i="2"/>
  <c r="C1947" i="2" s="1"/>
  <c r="B1950" i="2"/>
  <c r="C1950" i="2" s="1"/>
  <c r="B1953" i="2"/>
  <c r="C1953" i="2" s="1"/>
  <c r="B1957" i="2"/>
  <c r="C1957" i="2" s="1"/>
  <c r="B1961" i="2"/>
  <c r="C1961" i="2" s="1"/>
  <c r="B1964" i="2"/>
  <c r="C1964" i="2" s="1"/>
  <c r="B1969" i="2"/>
  <c r="C1969" i="2" s="1"/>
  <c r="B1974" i="2"/>
  <c r="C1974" i="2" s="1"/>
  <c r="B1976" i="2"/>
  <c r="C1976" i="2" s="1"/>
  <c r="B1980" i="2"/>
  <c r="C1980" i="2" s="1"/>
  <c r="B1986" i="2"/>
  <c r="C1986" i="2" s="1"/>
  <c r="B1990" i="2"/>
  <c r="C1990" i="2" s="1"/>
  <c r="B1996" i="2"/>
  <c r="C1996" i="2" s="1"/>
  <c r="B2001" i="2"/>
  <c r="C2001" i="2" s="1"/>
  <c r="B2003" i="2"/>
  <c r="C2003" i="2" s="1"/>
  <c r="B2009" i="2"/>
  <c r="C2009" i="2" s="1"/>
  <c r="B2013" i="2"/>
  <c r="C2013" i="2" s="1"/>
  <c r="B2018" i="2"/>
  <c r="C2018" i="2" s="1"/>
  <c r="B2021" i="2"/>
  <c r="C2021" i="2" s="1"/>
  <c r="B2023" i="2"/>
  <c r="C2023" i="2" s="1"/>
  <c r="B2027" i="2"/>
  <c r="C2027" i="2" s="1"/>
  <c r="B2028" i="2"/>
  <c r="C2028" i="2" s="1"/>
  <c r="B2031" i="2"/>
  <c r="C2031" i="2" s="1"/>
  <c r="B2033" i="2"/>
  <c r="C2033" i="2" s="1"/>
  <c r="B2036" i="2"/>
  <c r="C2036" i="2" s="1"/>
  <c r="B2041" i="2"/>
  <c r="C2041" i="2" s="1"/>
  <c r="B2044" i="2"/>
  <c r="C2044" i="2" s="1"/>
  <c r="B2048" i="2"/>
  <c r="C2048" i="2" s="1"/>
  <c r="B2051" i="2"/>
  <c r="C2051" i="2" s="1"/>
  <c r="B2054" i="2"/>
  <c r="C2054" i="2" s="1"/>
  <c r="B2056" i="2"/>
  <c r="C2056" i="2" s="1"/>
  <c r="B2059" i="2"/>
  <c r="C2059" i="2" s="1"/>
  <c r="B2061" i="2"/>
  <c r="C2061" i="2" s="1"/>
  <c r="B2064" i="2"/>
  <c r="C2064" i="2" s="1"/>
  <c r="B2067" i="2"/>
  <c r="C2067" i="2" s="1"/>
  <c r="B2070" i="2"/>
  <c r="C2070" i="2" s="1"/>
  <c r="B2072" i="2"/>
  <c r="C2072" i="2" s="1"/>
  <c r="B2075" i="2"/>
  <c r="C2075" i="2" s="1"/>
  <c r="B2080" i="2"/>
  <c r="C2080" i="2" s="1"/>
  <c r="B2083" i="2"/>
  <c r="C2083" i="2" s="1"/>
  <c r="B2085" i="2"/>
  <c r="C2085" i="2" s="1"/>
  <c r="B2090" i="2"/>
  <c r="C2090" i="2" s="1"/>
  <c r="B2095" i="2"/>
  <c r="C2095" i="2" s="1"/>
  <c r="B2097" i="2"/>
  <c r="C2097" i="2" s="1"/>
  <c r="B2099" i="2"/>
  <c r="C2099" i="2" s="1"/>
  <c r="B2101" i="2"/>
  <c r="C2101" i="2" s="1"/>
  <c r="B2105" i="2"/>
  <c r="C2105" i="2" s="1"/>
  <c r="B2112" i="2"/>
  <c r="C2112" i="2" s="1"/>
  <c r="B2115" i="2"/>
  <c r="C2115" i="2" s="1"/>
  <c r="B2117" i="2"/>
  <c r="C2117" i="2" s="1"/>
  <c r="B2119" i="2"/>
  <c r="C2119" i="2" s="1"/>
  <c r="B2124" i="2"/>
  <c r="C2124" i="2" s="1"/>
  <c r="B2128" i="2"/>
  <c r="C2128" i="2" s="1"/>
  <c r="B2131" i="2"/>
  <c r="C2131" i="2" s="1"/>
  <c r="B2136" i="2"/>
  <c r="C2136" i="2" s="1"/>
  <c r="B2138" i="2"/>
  <c r="C2138" i="2" s="1"/>
  <c r="B2141" i="2"/>
  <c r="C2141" i="2" s="1"/>
  <c r="B2144" i="2"/>
  <c r="C2144" i="2" s="1"/>
  <c r="B2149" i="2"/>
  <c r="C2149" i="2" s="1"/>
  <c r="B2152" i="2"/>
  <c r="C2152" i="2" s="1"/>
  <c r="B2154" i="2"/>
  <c r="C2154" i="2" s="1"/>
  <c r="B2157" i="2"/>
  <c r="C2157" i="2" s="1"/>
  <c r="B2160" i="2"/>
  <c r="C2160" i="2" s="1"/>
  <c r="B2161" i="2"/>
  <c r="C2161" i="2" s="1"/>
  <c r="B960" i="2"/>
  <c r="C960" i="2" s="1"/>
  <c r="B961" i="2"/>
  <c r="C961" i="2" s="1"/>
  <c r="B962" i="2"/>
  <c r="C962" i="2" s="1"/>
  <c r="B963" i="2"/>
  <c r="C963" i="2" s="1"/>
  <c r="B964" i="2"/>
  <c r="C964" i="2" s="1"/>
  <c r="B965" i="2"/>
  <c r="C965" i="2" s="1"/>
  <c r="B966" i="2"/>
  <c r="C966" i="2" s="1"/>
  <c r="B967" i="2"/>
  <c r="C967" i="2" s="1"/>
  <c r="B968" i="2"/>
  <c r="C968" i="2" s="1"/>
  <c r="B969" i="2"/>
  <c r="C969" i="2" s="1"/>
  <c r="B970" i="2"/>
  <c r="C970" i="2" s="1"/>
  <c r="B971" i="2"/>
  <c r="C971" i="2" s="1"/>
  <c r="B972" i="2"/>
  <c r="C972" i="2" s="1"/>
  <c r="B973" i="2"/>
  <c r="C973" i="2" s="1"/>
  <c r="B974" i="2"/>
  <c r="C974" i="2" s="1"/>
  <c r="B975" i="2"/>
  <c r="C975" i="2" s="1"/>
  <c r="B976" i="2"/>
  <c r="C976" i="2" s="1"/>
  <c r="B977" i="2"/>
  <c r="C977" i="2" s="1"/>
  <c r="B978" i="2"/>
  <c r="C978" i="2" s="1"/>
  <c r="B979" i="2"/>
  <c r="C979" i="2" s="1"/>
  <c r="B980" i="2"/>
  <c r="C980" i="2" s="1"/>
  <c r="B981" i="2"/>
  <c r="C981" i="2" s="1"/>
  <c r="B982" i="2"/>
  <c r="C982" i="2" s="1"/>
  <c r="B983" i="2"/>
  <c r="C983" i="2" s="1"/>
  <c r="B984" i="2"/>
  <c r="C984" i="2" s="1"/>
  <c r="B985" i="2"/>
  <c r="C985" i="2" s="1"/>
  <c r="B986" i="2"/>
  <c r="C986" i="2" s="1"/>
  <c r="B987" i="2"/>
  <c r="C987" i="2" s="1"/>
  <c r="B988" i="2"/>
  <c r="C988" i="2" s="1"/>
  <c r="B989" i="2"/>
  <c r="C989" i="2" s="1"/>
  <c r="B990" i="2"/>
  <c r="C990" i="2" s="1"/>
  <c r="B991" i="2"/>
  <c r="C991" i="2" s="1"/>
  <c r="B992" i="2"/>
  <c r="C992" i="2" s="1"/>
  <c r="B993" i="2"/>
  <c r="C993" i="2" s="1"/>
  <c r="B994" i="2"/>
  <c r="C994" i="2" s="1"/>
  <c r="B995" i="2"/>
  <c r="C995" i="2" s="1"/>
  <c r="B996" i="2"/>
  <c r="C996" i="2" s="1"/>
  <c r="B997" i="2"/>
  <c r="C997" i="2" s="1"/>
  <c r="B998" i="2"/>
  <c r="C998" i="2" s="1"/>
  <c r="B999" i="2"/>
  <c r="C999" i="2" s="1"/>
  <c r="B1000" i="2"/>
  <c r="C1000" i="2" s="1"/>
  <c r="B1001" i="2"/>
  <c r="C1001" i="2" s="1"/>
  <c r="B1002" i="2"/>
  <c r="C1002" i="2" s="1"/>
  <c r="B1003" i="2"/>
  <c r="C1003" i="2" s="1"/>
  <c r="B1004" i="2"/>
  <c r="C1004" i="2" s="1"/>
  <c r="B1005" i="2"/>
  <c r="C1005" i="2" s="1"/>
  <c r="B1006" i="2"/>
  <c r="C1006" i="2" s="1"/>
  <c r="B1007" i="2"/>
  <c r="C1007" i="2" s="1"/>
  <c r="B1008" i="2"/>
  <c r="C1008" i="2" s="1"/>
  <c r="B1009" i="2"/>
  <c r="C1009" i="2" s="1"/>
  <c r="B1010" i="2"/>
  <c r="C1010" i="2" s="1"/>
  <c r="B1011" i="2"/>
  <c r="C1011" i="2" s="1"/>
  <c r="B1012" i="2"/>
  <c r="C1012" i="2" s="1"/>
  <c r="B1013" i="2"/>
  <c r="C1013" i="2" s="1"/>
  <c r="B1014" i="2"/>
  <c r="C1014" i="2" s="1"/>
  <c r="B1015" i="2"/>
  <c r="C1015" i="2" s="1"/>
  <c r="B1016" i="2"/>
  <c r="C1016" i="2" s="1"/>
  <c r="B1017" i="2"/>
  <c r="C1017" i="2" s="1"/>
  <c r="B1018" i="2"/>
  <c r="C1018" i="2" s="1"/>
  <c r="B1019" i="2"/>
  <c r="C1019" i="2" s="1"/>
  <c r="B1020" i="2"/>
  <c r="C1020" i="2" s="1"/>
  <c r="B1021" i="2"/>
  <c r="C1021" i="2" s="1"/>
  <c r="B1022" i="2"/>
  <c r="C1022" i="2" s="1"/>
  <c r="B1023" i="2"/>
  <c r="C1023" i="2" s="1"/>
  <c r="B1024" i="2"/>
  <c r="C1024" i="2" s="1"/>
  <c r="B1025" i="2"/>
  <c r="C1025" i="2" s="1"/>
  <c r="B1026" i="2"/>
  <c r="C1026" i="2" s="1"/>
  <c r="B1027" i="2"/>
  <c r="C1027" i="2" s="1"/>
  <c r="B1028" i="2"/>
  <c r="C1028" i="2" s="1"/>
  <c r="B1029" i="2"/>
  <c r="C1029" i="2" s="1"/>
  <c r="B1030" i="2"/>
  <c r="C1030" i="2" s="1"/>
  <c r="B1031" i="2"/>
  <c r="C1031" i="2" s="1"/>
  <c r="B1032" i="2"/>
  <c r="C1032" i="2" s="1"/>
  <c r="B1033" i="2"/>
  <c r="C1033" i="2" s="1"/>
  <c r="B1034" i="2"/>
  <c r="C1034" i="2" s="1"/>
  <c r="B1035" i="2"/>
  <c r="C1035" i="2" s="1"/>
  <c r="B1036" i="2"/>
  <c r="C1036" i="2" s="1"/>
  <c r="B1037" i="2"/>
  <c r="C1037" i="2" s="1"/>
  <c r="B1038" i="2"/>
  <c r="C1038" i="2" s="1"/>
  <c r="B1039" i="2"/>
  <c r="C1039" i="2" s="1"/>
  <c r="B1040" i="2"/>
  <c r="C1040" i="2" s="1"/>
  <c r="B1041" i="2"/>
  <c r="C1041" i="2" s="1"/>
  <c r="B1042" i="2"/>
  <c r="C1042" i="2" s="1"/>
  <c r="B1043" i="2"/>
  <c r="C1043" i="2" s="1"/>
  <c r="B1044" i="2"/>
  <c r="C1044" i="2" s="1"/>
  <c r="B1045" i="2"/>
  <c r="C1045" i="2" s="1"/>
  <c r="B1046" i="2"/>
  <c r="C1046" i="2" s="1"/>
  <c r="B1047" i="2"/>
  <c r="C1047" i="2" s="1"/>
  <c r="B1048" i="2"/>
  <c r="C1048" i="2" s="1"/>
  <c r="B1049" i="2"/>
  <c r="C1049" i="2" s="1"/>
  <c r="B1050" i="2"/>
  <c r="C1050" i="2" s="1"/>
  <c r="B1051" i="2"/>
  <c r="C1051" i="2" s="1"/>
  <c r="B1052" i="2"/>
  <c r="C1052" i="2" s="1"/>
  <c r="B1053" i="2"/>
  <c r="C1053" i="2" s="1"/>
  <c r="B1054" i="2"/>
  <c r="C1054" i="2" s="1"/>
  <c r="B1055" i="2"/>
  <c r="C1055" i="2" s="1"/>
  <c r="B1056" i="2"/>
  <c r="C1056" i="2" s="1"/>
  <c r="B1057" i="2"/>
  <c r="C1057" i="2" s="1"/>
  <c r="B1058" i="2"/>
  <c r="C1058" i="2" s="1"/>
  <c r="B1059" i="2"/>
  <c r="C1059" i="2" s="1"/>
  <c r="B1060" i="2"/>
  <c r="C1060" i="2" s="1"/>
  <c r="B1061" i="2"/>
  <c r="C1061" i="2" s="1"/>
  <c r="B1062" i="2"/>
  <c r="C1062" i="2" s="1"/>
  <c r="B1063" i="2"/>
  <c r="C1063" i="2" s="1"/>
  <c r="B1064" i="2"/>
  <c r="C1064" i="2" s="1"/>
  <c r="B1065" i="2"/>
  <c r="C1065" i="2" s="1"/>
  <c r="B1066" i="2"/>
  <c r="C1066" i="2" s="1"/>
  <c r="B1067" i="2"/>
  <c r="C1067" i="2" s="1"/>
  <c r="B1068" i="2"/>
  <c r="C1068" i="2" s="1"/>
  <c r="B1069" i="2"/>
  <c r="C1069" i="2" s="1"/>
  <c r="B1070" i="2"/>
  <c r="C1070" i="2" s="1"/>
  <c r="B1071" i="2"/>
  <c r="C1071" i="2" s="1"/>
  <c r="B1072" i="2"/>
  <c r="C1072" i="2" s="1"/>
  <c r="B1073" i="2"/>
  <c r="C1073" i="2" s="1"/>
  <c r="B1074" i="2"/>
  <c r="C1074" i="2" s="1"/>
  <c r="B1075" i="2"/>
  <c r="C1075" i="2" s="1"/>
  <c r="B1076" i="2"/>
  <c r="C1076" i="2" s="1"/>
  <c r="B1077" i="2"/>
  <c r="C1077" i="2" s="1"/>
  <c r="B1078" i="2"/>
  <c r="C1078" i="2" s="1"/>
  <c r="B1079" i="2"/>
  <c r="C1079" i="2" s="1"/>
  <c r="B1080" i="2"/>
  <c r="C1080" i="2" s="1"/>
  <c r="B1081" i="2"/>
  <c r="C1081" i="2" s="1"/>
  <c r="B1082" i="2"/>
  <c r="C1082" i="2" s="1"/>
  <c r="B1083" i="2"/>
  <c r="C1083" i="2" s="1"/>
  <c r="B1084" i="2"/>
  <c r="C1084" i="2" s="1"/>
  <c r="B1085" i="2"/>
  <c r="C1085" i="2" s="1"/>
  <c r="B1086" i="2"/>
  <c r="C1086" i="2" s="1"/>
  <c r="B1087" i="2"/>
  <c r="C1087" i="2" s="1"/>
  <c r="B1088" i="2"/>
  <c r="C1088" i="2" s="1"/>
  <c r="B1089" i="2"/>
  <c r="C1089" i="2" s="1"/>
  <c r="B1090" i="2"/>
  <c r="C1090" i="2" s="1"/>
  <c r="B1091" i="2"/>
  <c r="C1091" i="2" s="1"/>
  <c r="B1092" i="2"/>
  <c r="C1092" i="2" s="1"/>
  <c r="B1093" i="2"/>
  <c r="C1093" i="2" s="1"/>
  <c r="B1094" i="2"/>
  <c r="C1094" i="2" s="1"/>
  <c r="B1095" i="2"/>
  <c r="C1095" i="2" s="1"/>
  <c r="B1096" i="2"/>
  <c r="C1096" i="2" s="1"/>
  <c r="B1097" i="2"/>
  <c r="C1097" i="2" s="1"/>
  <c r="B1098" i="2"/>
  <c r="C1098" i="2" s="1"/>
  <c r="B1099" i="2"/>
  <c r="C1099" i="2" s="1"/>
  <c r="B1100" i="2"/>
  <c r="C1100" i="2" s="1"/>
  <c r="B1101" i="2"/>
  <c r="C1101" i="2" s="1"/>
  <c r="B1102" i="2"/>
  <c r="C1102" i="2" s="1"/>
  <c r="B1103" i="2"/>
  <c r="C1103" i="2" s="1"/>
  <c r="B1104" i="2"/>
  <c r="C1104" i="2" s="1"/>
  <c r="B1105" i="2"/>
  <c r="C1105" i="2" s="1"/>
  <c r="B1106" i="2"/>
  <c r="C1106" i="2" s="1"/>
  <c r="B1107" i="2"/>
  <c r="C1107" i="2" s="1"/>
  <c r="B1108" i="2"/>
  <c r="C1108" i="2" s="1"/>
  <c r="B1109" i="2"/>
  <c r="C1109" i="2" s="1"/>
  <c r="B1110" i="2"/>
  <c r="C1110" i="2" s="1"/>
  <c r="B1111" i="2"/>
  <c r="C1111" i="2" s="1"/>
  <c r="B1112" i="2"/>
  <c r="C1112" i="2" s="1"/>
  <c r="B1113" i="2"/>
  <c r="C1113" i="2" s="1"/>
  <c r="B1114" i="2"/>
  <c r="C1114" i="2" s="1"/>
  <c r="B1115" i="2"/>
  <c r="C1115" i="2" s="1"/>
  <c r="B1116" i="2"/>
  <c r="C1116" i="2" s="1"/>
  <c r="B1117" i="2"/>
  <c r="C1117" i="2" s="1"/>
  <c r="B1118" i="2"/>
  <c r="C1118" i="2" s="1"/>
  <c r="B1119" i="2"/>
  <c r="C1119" i="2" s="1"/>
  <c r="B1120" i="2"/>
  <c r="C1120" i="2" s="1"/>
  <c r="B1121" i="2"/>
  <c r="C1121" i="2" s="1"/>
  <c r="B1122" i="2"/>
  <c r="C1122" i="2" s="1"/>
  <c r="B1123" i="2"/>
  <c r="C1123" i="2" s="1"/>
  <c r="B1124" i="2"/>
  <c r="C1124" i="2" s="1"/>
  <c r="B1125" i="2"/>
  <c r="C1125" i="2" s="1"/>
  <c r="B1126" i="2"/>
  <c r="C1126" i="2" s="1"/>
  <c r="B1127" i="2"/>
  <c r="C1127" i="2" s="1"/>
  <c r="B1128" i="2"/>
  <c r="C1128" i="2" s="1"/>
  <c r="B1129" i="2"/>
  <c r="C1129" i="2" s="1"/>
  <c r="B1130" i="2"/>
  <c r="C1130" i="2" s="1"/>
  <c r="B1131" i="2"/>
  <c r="C1131" i="2" s="1"/>
  <c r="B1132" i="2"/>
  <c r="C1132" i="2" s="1"/>
  <c r="B1133" i="2"/>
  <c r="C1133" i="2" s="1"/>
  <c r="B1134" i="2"/>
  <c r="C1134" i="2" s="1"/>
  <c r="B1135" i="2"/>
  <c r="C1135" i="2" s="1"/>
  <c r="B1136" i="2"/>
  <c r="C1136" i="2" s="1"/>
  <c r="B1137" i="2"/>
  <c r="C1137" i="2" s="1"/>
  <c r="B1138" i="2"/>
  <c r="C1138" i="2" s="1"/>
  <c r="B1139" i="2"/>
  <c r="C1139" i="2" s="1"/>
  <c r="B1140" i="2"/>
  <c r="C1140" i="2" s="1"/>
  <c r="B1141" i="2"/>
  <c r="C1141" i="2" s="1"/>
  <c r="B1142" i="2"/>
  <c r="C1142" i="2" s="1"/>
  <c r="B1143" i="2"/>
  <c r="C1143" i="2" s="1"/>
  <c r="B1144" i="2"/>
  <c r="C1144" i="2" s="1"/>
  <c r="B1145" i="2"/>
  <c r="C1145" i="2" s="1"/>
  <c r="B1146" i="2"/>
  <c r="C1146" i="2" s="1"/>
  <c r="B1147" i="2"/>
  <c r="C1147" i="2" s="1"/>
  <c r="B1148" i="2"/>
  <c r="C1148" i="2" s="1"/>
  <c r="B1149" i="2"/>
  <c r="C1149" i="2" s="1"/>
  <c r="B1150" i="2"/>
  <c r="C1150" i="2" s="1"/>
  <c r="B1151" i="2"/>
  <c r="C1151" i="2" s="1"/>
  <c r="B1152" i="2"/>
  <c r="C1152" i="2" s="1"/>
  <c r="B1153" i="2"/>
  <c r="C1153" i="2" s="1"/>
  <c r="B1154" i="2"/>
  <c r="C1154" i="2" s="1"/>
  <c r="B1155" i="2"/>
  <c r="C1155" i="2" s="1"/>
  <c r="B1156" i="2"/>
  <c r="C1156" i="2" s="1"/>
  <c r="B1157" i="2"/>
  <c r="C1157" i="2" s="1"/>
  <c r="B1158" i="2"/>
  <c r="C1158" i="2" s="1"/>
  <c r="B1159" i="2"/>
  <c r="C1159" i="2" s="1"/>
  <c r="B1160" i="2"/>
  <c r="C1160" i="2" s="1"/>
  <c r="B1161" i="2"/>
  <c r="C1161" i="2" s="1"/>
  <c r="B1162" i="2"/>
  <c r="C1162" i="2" s="1"/>
  <c r="B1163" i="2"/>
  <c r="C1163" i="2" s="1"/>
  <c r="B1164" i="2"/>
  <c r="C1164" i="2" s="1"/>
  <c r="B1165" i="2"/>
  <c r="C1165" i="2" s="1"/>
  <c r="B1166" i="2"/>
  <c r="C1166" i="2" s="1"/>
  <c r="B1167" i="2"/>
  <c r="C1167" i="2" s="1"/>
  <c r="B1168" i="2"/>
  <c r="C1168" i="2" s="1"/>
  <c r="B1169" i="2"/>
  <c r="C1169" i="2" s="1"/>
  <c r="B1170" i="2"/>
  <c r="C1170" i="2" s="1"/>
  <c r="B1171" i="2"/>
  <c r="C1171" i="2" s="1"/>
  <c r="B1172" i="2"/>
  <c r="C1172" i="2" s="1"/>
  <c r="B1173" i="2"/>
  <c r="C1173" i="2" s="1"/>
  <c r="B1174" i="2"/>
  <c r="C1174" i="2" s="1"/>
  <c r="B1175" i="2"/>
  <c r="C1175" i="2" s="1"/>
  <c r="B1176" i="2"/>
  <c r="C1176" i="2" s="1"/>
  <c r="B1177" i="2"/>
  <c r="C1177" i="2" s="1"/>
  <c r="B1178" i="2"/>
  <c r="C1178" i="2" s="1"/>
  <c r="B1179" i="2"/>
  <c r="C1179" i="2" s="1"/>
  <c r="B1180" i="2"/>
  <c r="C1180" i="2" s="1"/>
  <c r="B1181" i="2"/>
  <c r="C1181" i="2" s="1"/>
  <c r="B1182" i="2"/>
  <c r="C1182" i="2" s="1"/>
  <c r="B1183" i="2"/>
  <c r="C1183" i="2" s="1"/>
  <c r="B1184" i="2"/>
  <c r="C1184" i="2" s="1"/>
  <c r="B1185" i="2"/>
  <c r="C1185" i="2" s="1"/>
  <c r="B1186" i="2"/>
  <c r="C1186" i="2" s="1"/>
  <c r="B1187" i="2"/>
  <c r="C1187" i="2" s="1"/>
  <c r="B1188" i="2"/>
  <c r="C1188" i="2" s="1"/>
  <c r="B1189" i="2"/>
  <c r="C1189" i="2" s="1"/>
  <c r="B1190" i="2"/>
  <c r="C1190" i="2" s="1"/>
  <c r="B1191" i="2"/>
  <c r="C1191" i="2" s="1"/>
  <c r="B1192" i="2"/>
  <c r="C1192" i="2" s="1"/>
  <c r="B1193" i="2"/>
  <c r="C1193" i="2" s="1"/>
  <c r="B1194" i="2"/>
  <c r="C1194" i="2" s="1"/>
  <c r="B1195" i="2"/>
  <c r="C1195" i="2" s="1"/>
  <c r="B1196" i="2"/>
  <c r="C1196" i="2" s="1"/>
  <c r="B1197" i="2"/>
  <c r="C1197" i="2" s="1"/>
  <c r="B1198" i="2"/>
  <c r="C1198" i="2" s="1"/>
  <c r="B1199" i="2"/>
  <c r="C1199" i="2" s="1"/>
  <c r="B1200" i="2"/>
  <c r="C1200" i="2" s="1"/>
  <c r="B1201" i="2"/>
  <c r="C1201" i="2" s="1"/>
  <c r="B1202" i="2"/>
  <c r="C1202" i="2" s="1"/>
  <c r="B1203" i="2"/>
  <c r="C1203" i="2" s="1"/>
  <c r="B1204" i="2"/>
  <c r="C1204" i="2" s="1"/>
  <c r="B1205" i="2"/>
  <c r="C1205" i="2" s="1"/>
  <c r="B1206" i="2"/>
  <c r="C1206" i="2" s="1"/>
  <c r="B1207" i="2"/>
  <c r="C1207" i="2" s="1"/>
  <c r="B1208" i="2"/>
  <c r="C1208" i="2" s="1"/>
  <c r="B1209" i="2"/>
  <c r="C1209" i="2" s="1"/>
  <c r="B1210" i="2"/>
  <c r="C1210" i="2" s="1"/>
  <c r="B1211" i="2"/>
  <c r="C1211" i="2" s="1"/>
  <c r="B1212" i="2"/>
  <c r="C1212" i="2" s="1"/>
  <c r="B1213" i="2"/>
  <c r="C1213" i="2" s="1"/>
  <c r="B1214" i="2"/>
  <c r="C1214" i="2" s="1"/>
  <c r="B1215" i="2"/>
  <c r="C1215" i="2" s="1"/>
  <c r="B1216" i="2"/>
  <c r="C1216" i="2" s="1"/>
  <c r="B1217" i="2"/>
  <c r="C1217" i="2" s="1"/>
  <c r="B1218" i="2"/>
  <c r="C1218" i="2" s="1"/>
  <c r="B1219" i="2"/>
  <c r="C1219" i="2" s="1"/>
  <c r="B1220" i="2"/>
  <c r="C1220" i="2" s="1"/>
  <c r="B1221" i="2"/>
  <c r="C1221" i="2" s="1"/>
  <c r="B1222" i="2"/>
  <c r="C1222" i="2" s="1"/>
  <c r="B1223" i="2"/>
  <c r="C1223" i="2" s="1"/>
  <c r="B1224" i="2"/>
  <c r="C1224" i="2" s="1"/>
  <c r="B1225" i="2"/>
  <c r="C1225" i="2" s="1"/>
  <c r="B1226" i="2"/>
  <c r="C1226" i="2" s="1"/>
  <c r="B1227" i="2"/>
  <c r="C1227" i="2" s="1"/>
  <c r="B1228" i="2"/>
  <c r="C1228" i="2" s="1"/>
  <c r="B1229" i="2"/>
  <c r="C1229" i="2" s="1"/>
  <c r="B1230" i="2"/>
  <c r="C1230" i="2" s="1"/>
  <c r="B1231" i="2"/>
  <c r="C1231" i="2" s="1"/>
  <c r="B1232" i="2"/>
  <c r="C1232" i="2" s="1"/>
  <c r="B1233" i="2"/>
  <c r="C1233" i="2" s="1"/>
  <c r="B1234" i="2"/>
  <c r="C1234" i="2" s="1"/>
  <c r="B1235" i="2"/>
  <c r="C1235" i="2" s="1"/>
  <c r="B1236" i="2"/>
  <c r="C1236" i="2" s="1"/>
  <c r="B1237" i="2"/>
  <c r="C1237" i="2" s="1"/>
  <c r="B1238" i="2"/>
  <c r="C1238" i="2" s="1"/>
  <c r="B1239" i="2"/>
  <c r="C1239" i="2" s="1"/>
  <c r="B1240" i="2"/>
  <c r="C1240" i="2" s="1"/>
  <c r="B1241" i="2"/>
  <c r="C1241" i="2" s="1"/>
  <c r="B1242" i="2"/>
  <c r="C1242" i="2" s="1"/>
  <c r="B1243" i="2"/>
  <c r="C1243" i="2" s="1"/>
  <c r="B1244" i="2"/>
  <c r="C1244" i="2" s="1"/>
  <c r="B1245" i="2"/>
  <c r="C1245" i="2" s="1"/>
  <c r="B1246" i="2"/>
  <c r="C1246" i="2" s="1"/>
  <c r="B1247" i="2"/>
  <c r="C1247" i="2" s="1"/>
  <c r="B1248" i="2"/>
  <c r="C1248" i="2" s="1"/>
  <c r="B1249" i="2"/>
  <c r="C1249" i="2" s="1"/>
  <c r="B1250" i="2"/>
  <c r="C1250" i="2" s="1"/>
  <c r="B1251" i="2"/>
  <c r="C1251" i="2" s="1"/>
  <c r="B1252" i="2"/>
  <c r="C1252" i="2" s="1"/>
  <c r="B1253" i="2"/>
  <c r="C1253" i="2" s="1"/>
  <c r="B1254" i="2"/>
  <c r="C1254" i="2" s="1"/>
  <c r="B1255" i="2"/>
  <c r="C1255" i="2" s="1"/>
  <c r="B1256" i="2"/>
  <c r="C1256" i="2" s="1"/>
  <c r="B1257" i="2"/>
  <c r="C1257" i="2" s="1"/>
  <c r="B1258" i="2"/>
  <c r="C1258" i="2" s="1"/>
  <c r="B1259" i="2"/>
  <c r="C1259" i="2" s="1"/>
  <c r="B1260" i="2"/>
  <c r="C1260" i="2" s="1"/>
  <c r="B1261" i="2"/>
  <c r="C1261" i="2" s="1"/>
  <c r="B1262" i="2"/>
  <c r="C1262" i="2" s="1"/>
  <c r="B1263" i="2"/>
  <c r="C1263" i="2" s="1"/>
  <c r="B1264" i="2"/>
  <c r="C1264" i="2" s="1"/>
  <c r="B1265" i="2"/>
  <c r="C1265" i="2" s="1"/>
  <c r="B1266" i="2"/>
  <c r="C1266" i="2" s="1"/>
  <c r="B1267" i="2"/>
  <c r="C1267" i="2" s="1"/>
  <c r="B1268" i="2"/>
  <c r="C1268" i="2" s="1"/>
  <c r="B1269" i="2"/>
  <c r="C1269" i="2" s="1"/>
  <c r="B1270" i="2"/>
  <c r="C1270" i="2" s="1"/>
  <c r="B1271" i="2"/>
  <c r="C1271" i="2" s="1"/>
  <c r="B1272" i="2"/>
  <c r="C1272" i="2" s="1"/>
  <c r="B1273" i="2"/>
  <c r="C1273" i="2" s="1"/>
  <c r="B1274" i="2"/>
  <c r="C1274" i="2" s="1"/>
  <c r="B1275" i="2"/>
  <c r="C1275" i="2" s="1"/>
  <c r="B1276" i="2"/>
  <c r="C1276" i="2" s="1"/>
  <c r="B1277" i="2"/>
  <c r="C1277" i="2" s="1"/>
  <c r="B1278" i="2"/>
  <c r="C1278" i="2" s="1"/>
  <c r="B1279" i="2"/>
  <c r="C1279" i="2" s="1"/>
  <c r="B1280" i="2"/>
  <c r="C1280" i="2" s="1"/>
  <c r="B1281" i="2"/>
  <c r="C1281" i="2" s="1"/>
  <c r="B1282" i="2"/>
  <c r="C1282" i="2" s="1"/>
  <c r="B1283" i="2"/>
  <c r="C1283" i="2" s="1"/>
  <c r="B1284" i="2"/>
  <c r="C1284" i="2" s="1"/>
  <c r="B1285" i="2"/>
  <c r="C1285" i="2" s="1"/>
  <c r="B1286" i="2"/>
  <c r="C1286" i="2" s="1"/>
  <c r="B1287" i="2"/>
  <c r="C1287" i="2" s="1"/>
  <c r="B1288" i="2"/>
  <c r="C1288" i="2" s="1"/>
  <c r="B1289" i="2"/>
  <c r="C1289" i="2" s="1"/>
  <c r="B1290" i="2"/>
  <c r="C1290" i="2" s="1"/>
  <c r="B1291" i="2"/>
  <c r="C1291" i="2" s="1"/>
  <c r="B1292" i="2"/>
  <c r="C1292" i="2" s="1"/>
  <c r="B1293" i="2"/>
  <c r="C1293" i="2" s="1"/>
  <c r="B1294" i="2"/>
  <c r="C1294" i="2" s="1"/>
  <c r="B1295" i="2"/>
  <c r="C1295" i="2" s="1"/>
  <c r="B1296" i="2"/>
  <c r="C1296" i="2" s="1"/>
  <c r="B1297" i="2"/>
  <c r="C1297" i="2" s="1"/>
  <c r="B1298" i="2"/>
  <c r="C1298" i="2" s="1"/>
  <c r="B1299" i="2"/>
  <c r="C1299" i="2" s="1"/>
  <c r="B1300" i="2"/>
  <c r="C1300" i="2" s="1"/>
  <c r="B1301" i="2"/>
  <c r="C1301" i="2" s="1"/>
  <c r="B1302" i="2"/>
  <c r="C1302" i="2" s="1"/>
  <c r="B1303" i="2"/>
  <c r="C1303" i="2" s="1"/>
  <c r="B1304" i="2"/>
  <c r="C1304" i="2" s="1"/>
  <c r="B1305" i="2"/>
  <c r="C1305" i="2" s="1"/>
  <c r="B1306" i="2"/>
  <c r="C1306" i="2" s="1"/>
  <c r="B1307" i="2"/>
  <c r="C1307" i="2" s="1"/>
  <c r="B1308" i="2"/>
  <c r="C1308" i="2" s="1"/>
  <c r="B1309" i="2"/>
  <c r="C1309" i="2" s="1"/>
  <c r="B1310" i="2"/>
  <c r="C1310" i="2" s="1"/>
  <c r="B1311" i="2"/>
  <c r="C1311" i="2" s="1"/>
  <c r="B1312" i="2"/>
  <c r="C1312" i="2" s="1"/>
  <c r="B1313" i="2"/>
  <c r="C1313" i="2" s="1"/>
  <c r="B1314" i="2"/>
  <c r="C1314" i="2" s="1"/>
  <c r="B1315" i="2"/>
  <c r="C1315" i="2" s="1"/>
  <c r="B1316" i="2"/>
  <c r="C1316" i="2" s="1"/>
  <c r="B1317" i="2"/>
  <c r="C1317" i="2" s="1"/>
  <c r="B1318" i="2"/>
  <c r="C1318" i="2" s="1"/>
  <c r="B1319" i="2"/>
  <c r="C1319" i="2" s="1"/>
  <c r="B1320" i="2"/>
  <c r="C1320" i="2" s="1"/>
  <c r="B1321" i="2"/>
  <c r="C1321" i="2" s="1"/>
  <c r="B1322" i="2"/>
  <c r="C1322" i="2" s="1"/>
  <c r="B1323" i="2"/>
  <c r="C1323" i="2" s="1"/>
  <c r="B1324" i="2"/>
  <c r="C1324" i="2" s="1"/>
  <c r="B1325" i="2"/>
  <c r="C1325" i="2" s="1"/>
  <c r="B1326" i="2"/>
  <c r="C1326" i="2" s="1"/>
  <c r="B1327" i="2"/>
  <c r="C1327" i="2" s="1"/>
  <c r="B1328" i="2"/>
  <c r="C1328" i="2" s="1"/>
  <c r="B1329" i="2"/>
  <c r="C1329" i="2" s="1"/>
  <c r="B1330" i="2"/>
  <c r="C1330" i="2" s="1"/>
  <c r="B1331" i="2"/>
  <c r="C1331" i="2" s="1"/>
  <c r="B1332" i="2"/>
  <c r="C1332" i="2" s="1"/>
  <c r="B1333" i="2"/>
  <c r="C1333" i="2" s="1"/>
  <c r="B1334" i="2"/>
  <c r="C1334" i="2" s="1"/>
  <c r="B1335" i="2"/>
  <c r="C1335" i="2" s="1"/>
  <c r="B1336" i="2"/>
  <c r="C1336" i="2" s="1"/>
  <c r="B1337" i="2"/>
  <c r="C1337" i="2" s="1"/>
  <c r="B1338" i="2"/>
  <c r="C1338" i="2" s="1"/>
  <c r="B1339" i="2"/>
  <c r="C1339" i="2" s="1"/>
  <c r="B1340" i="2"/>
  <c r="C1340" i="2" s="1"/>
  <c r="B1341" i="2"/>
  <c r="C1341" i="2" s="1"/>
  <c r="B1342" i="2"/>
  <c r="C1342" i="2" s="1"/>
  <c r="B1343" i="2"/>
  <c r="C1343" i="2" s="1"/>
  <c r="B1344" i="2"/>
  <c r="C1344" i="2" s="1"/>
  <c r="B1345" i="2"/>
  <c r="C1345" i="2" s="1"/>
  <c r="B1346" i="2"/>
  <c r="C1346" i="2" s="1"/>
  <c r="B1347" i="2"/>
  <c r="C1347" i="2" s="1"/>
  <c r="B1348" i="2"/>
  <c r="C1348" i="2" s="1"/>
  <c r="B1349" i="2"/>
  <c r="C1349" i="2" s="1"/>
  <c r="B1350" i="2"/>
  <c r="C1350" i="2" s="1"/>
  <c r="B1351" i="2"/>
  <c r="C1351" i="2" s="1"/>
  <c r="B1352" i="2"/>
  <c r="C1352" i="2" s="1"/>
  <c r="B1353" i="2"/>
  <c r="C1353" i="2" s="1"/>
  <c r="B1354" i="2"/>
  <c r="C1354" i="2" s="1"/>
  <c r="B1355" i="2"/>
  <c r="C1355" i="2" s="1"/>
  <c r="B1356" i="2"/>
  <c r="C1356" i="2" s="1"/>
  <c r="B1357" i="2"/>
  <c r="C1357" i="2" s="1"/>
  <c r="B1358" i="2"/>
  <c r="C1358" i="2" s="1"/>
  <c r="B1359" i="2"/>
  <c r="C1359" i="2" s="1"/>
  <c r="B1360" i="2"/>
  <c r="C1360" i="2" s="1"/>
  <c r="B1361" i="2"/>
  <c r="C1361" i="2" s="1"/>
  <c r="B1362" i="2"/>
  <c r="C1362" i="2" s="1"/>
  <c r="B1363" i="2"/>
  <c r="C1363" i="2" s="1"/>
  <c r="B1364" i="2"/>
  <c r="C1364" i="2" s="1"/>
  <c r="B1365" i="2"/>
  <c r="C1365" i="2" s="1"/>
  <c r="B1366" i="2"/>
  <c r="C1366" i="2" s="1"/>
  <c r="B1367" i="2"/>
  <c r="C1367" i="2" s="1"/>
  <c r="B1368" i="2"/>
  <c r="C1368" i="2" s="1"/>
  <c r="B1369" i="2"/>
  <c r="C1369" i="2" s="1"/>
  <c r="B1370" i="2"/>
  <c r="C1370" i="2" s="1"/>
  <c r="B1371" i="2"/>
  <c r="C1371" i="2" s="1"/>
  <c r="B1372" i="2"/>
  <c r="C1372" i="2" s="1"/>
  <c r="B1373" i="2"/>
  <c r="C1373" i="2" s="1"/>
  <c r="B1374" i="2"/>
  <c r="C1374" i="2" s="1"/>
  <c r="B1375" i="2"/>
  <c r="C1375" i="2" s="1"/>
  <c r="B1376" i="2"/>
  <c r="C1376" i="2" s="1"/>
  <c r="B1377" i="2"/>
  <c r="C1377" i="2" s="1"/>
  <c r="B1378" i="2"/>
  <c r="C1378" i="2" s="1"/>
  <c r="B1379" i="2"/>
  <c r="C1379" i="2" s="1"/>
  <c r="B1380" i="2"/>
  <c r="C1380" i="2" s="1"/>
  <c r="B1381" i="2"/>
  <c r="C1381" i="2" s="1"/>
  <c r="B1382" i="2"/>
  <c r="C1382" i="2" s="1"/>
  <c r="B1383" i="2"/>
  <c r="C1383" i="2" s="1"/>
  <c r="B1384" i="2"/>
  <c r="C1384" i="2" s="1"/>
  <c r="B1385" i="2"/>
  <c r="C1385" i="2" s="1"/>
  <c r="B1386" i="2"/>
  <c r="C1386" i="2" s="1"/>
  <c r="B1387" i="2"/>
  <c r="C1387" i="2" s="1"/>
  <c r="B1388" i="2"/>
  <c r="C1388" i="2" s="1"/>
  <c r="B1389" i="2"/>
  <c r="C1389" i="2" s="1"/>
  <c r="B1390" i="2"/>
  <c r="C1390" i="2" s="1"/>
  <c r="B1391" i="2"/>
  <c r="C1391" i="2" s="1"/>
  <c r="B1392" i="2"/>
  <c r="C1392" i="2" s="1"/>
  <c r="B1393" i="2"/>
  <c r="C1393" i="2" s="1"/>
  <c r="B1394" i="2"/>
  <c r="C1394" i="2" s="1"/>
  <c r="B1395" i="2"/>
  <c r="C1395" i="2" s="1"/>
  <c r="B1396" i="2"/>
  <c r="C1396" i="2" s="1"/>
  <c r="B1397" i="2"/>
  <c r="C1397" i="2" s="1"/>
  <c r="B1398" i="2"/>
  <c r="C1398" i="2" s="1"/>
  <c r="B1399" i="2"/>
  <c r="C1399" i="2" s="1"/>
  <c r="B1400" i="2"/>
  <c r="C1400" i="2" s="1"/>
  <c r="B1401" i="2"/>
  <c r="C1401" i="2" s="1"/>
  <c r="B1402" i="2"/>
  <c r="C1402" i="2" s="1"/>
  <c r="B1403" i="2"/>
  <c r="C1403" i="2" s="1"/>
  <c r="B1404" i="2"/>
  <c r="C1404" i="2" s="1"/>
  <c r="B1405" i="2"/>
  <c r="C1405" i="2" s="1"/>
  <c r="B1406" i="2"/>
  <c r="C1406" i="2" s="1"/>
  <c r="B1407" i="2"/>
  <c r="C1407" i="2" s="1"/>
  <c r="B1408" i="2"/>
  <c r="C1408" i="2" s="1"/>
  <c r="B1409" i="2"/>
  <c r="C1409" i="2" s="1"/>
  <c r="B1410" i="2"/>
  <c r="C1410" i="2" s="1"/>
  <c r="B1411" i="2"/>
  <c r="C1411" i="2" s="1"/>
  <c r="B1412" i="2"/>
  <c r="C1412" i="2" s="1"/>
  <c r="B1413" i="2"/>
  <c r="C1413" i="2" s="1"/>
  <c r="B1414" i="2"/>
  <c r="C1414" i="2" s="1"/>
  <c r="B1415" i="2"/>
  <c r="C1415" i="2" s="1"/>
  <c r="B1416" i="2"/>
  <c r="C1416" i="2" s="1"/>
  <c r="B1417" i="2"/>
  <c r="C1417" i="2" s="1"/>
  <c r="B1418" i="2"/>
  <c r="C1418" i="2" s="1"/>
  <c r="B1419" i="2"/>
  <c r="C1419" i="2" s="1"/>
  <c r="B1420" i="2"/>
  <c r="C1420" i="2" s="1"/>
  <c r="B1421" i="2"/>
  <c r="C1421" i="2" s="1"/>
  <c r="B1422" i="2"/>
  <c r="C1422" i="2" s="1"/>
  <c r="B1423" i="2"/>
  <c r="C1423" i="2" s="1"/>
  <c r="B1424" i="2"/>
  <c r="C1424" i="2" s="1"/>
  <c r="B1425" i="2"/>
  <c r="C1425" i="2" s="1"/>
  <c r="B1426" i="2"/>
  <c r="C1426" i="2" s="1"/>
  <c r="B1427" i="2"/>
  <c r="C1427" i="2" s="1"/>
  <c r="B1428" i="2"/>
  <c r="C1428" i="2" s="1"/>
  <c r="B1429" i="2"/>
  <c r="C1429" i="2" s="1"/>
  <c r="B1430" i="2"/>
  <c r="C1430" i="2" s="1"/>
  <c r="B1431" i="2"/>
  <c r="C1431" i="2" s="1"/>
  <c r="B1432" i="2"/>
  <c r="C1432" i="2" s="1"/>
  <c r="B1433" i="2"/>
  <c r="C1433" i="2" s="1"/>
  <c r="B1434" i="2"/>
  <c r="C1434" i="2" s="1"/>
  <c r="B1435" i="2"/>
  <c r="C1435" i="2" s="1"/>
  <c r="B1436" i="2"/>
  <c r="C1436" i="2" s="1"/>
  <c r="B1437" i="2"/>
  <c r="C1437" i="2" s="1"/>
  <c r="B1438" i="2"/>
  <c r="C1438" i="2" s="1"/>
  <c r="B1439" i="2"/>
  <c r="C1439" i="2" s="1"/>
  <c r="B1440" i="2"/>
  <c r="C1440" i="2" s="1"/>
  <c r="B1441" i="2"/>
  <c r="C1441" i="2" s="1"/>
  <c r="B1442" i="2"/>
  <c r="C1442" i="2" s="1"/>
  <c r="B1443" i="2"/>
  <c r="C1443" i="2" s="1"/>
  <c r="B1444" i="2"/>
  <c r="C1444" i="2" s="1"/>
  <c r="B1445" i="2"/>
  <c r="C1445" i="2" s="1"/>
  <c r="B1446" i="2"/>
  <c r="C1446" i="2" s="1"/>
  <c r="B1447" i="2"/>
  <c r="C1447" i="2" s="1"/>
  <c r="B1448" i="2"/>
  <c r="C1448" i="2" s="1"/>
  <c r="B1449" i="2"/>
  <c r="C1449" i="2" s="1"/>
  <c r="B1450" i="2"/>
  <c r="C1450" i="2" s="1"/>
  <c r="B1451" i="2"/>
  <c r="C1451" i="2" s="1"/>
  <c r="B1452" i="2"/>
  <c r="C1452" i="2" s="1"/>
  <c r="B1453" i="2"/>
  <c r="C1453" i="2" s="1"/>
  <c r="B1454" i="2"/>
  <c r="C1454" i="2" s="1"/>
  <c r="B1455" i="2"/>
  <c r="C1455" i="2" s="1"/>
  <c r="B1456" i="2"/>
  <c r="C1456" i="2" s="1"/>
  <c r="B1457" i="2"/>
  <c r="C1457" i="2" s="1"/>
  <c r="B1458" i="2"/>
  <c r="C1458" i="2" s="1"/>
  <c r="B1459" i="2"/>
  <c r="C1459" i="2" s="1"/>
  <c r="B1460" i="2"/>
  <c r="C1460" i="2" s="1"/>
  <c r="B1461" i="2"/>
  <c r="C1461" i="2" s="1"/>
  <c r="B1462" i="2"/>
  <c r="C1462" i="2" s="1"/>
  <c r="B1463" i="2"/>
  <c r="C1463" i="2" s="1"/>
  <c r="B1464" i="2"/>
  <c r="C1464" i="2" s="1"/>
  <c r="B1465" i="2"/>
  <c r="C1465" i="2" s="1"/>
  <c r="B1466" i="2"/>
  <c r="C1466" i="2" s="1"/>
  <c r="B1467" i="2"/>
  <c r="C1467" i="2" s="1"/>
  <c r="B1468" i="2"/>
  <c r="C1468" i="2" s="1"/>
  <c r="B1469" i="2"/>
  <c r="C1469" i="2" s="1"/>
  <c r="B1470" i="2"/>
  <c r="C1470" i="2" s="1"/>
  <c r="B1471" i="2"/>
  <c r="C1471" i="2" s="1"/>
  <c r="B1472" i="2"/>
  <c r="C1472" i="2" s="1"/>
  <c r="B1473" i="2"/>
  <c r="C1473" i="2" s="1"/>
  <c r="B1474" i="2"/>
  <c r="C1474" i="2" s="1"/>
  <c r="B1475" i="2"/>
  <c r="C1475" i="2" s="1"/>
  <c r="B1476" i="2"/>
  <c r="C1476" i="2" s="1"/>
  <c r="B1477" i="2"/>
  <c r="C1477" i="2" s="1"/>
  <c r="B1478" i="2"/>
  <c r="C1478" i="2" s="1"/>
  <c r="B1479" i="2"/>
  <c r="C1479" i="2" s="1"/>
  <c r="B1480" i="2"/>
  <c r="C1480" i="2" s="1"/>
  <c r="B1481" i="2"/>
  <c r="C1481" i="2" s="1"/>
  <c r="B1482" i="2"/>
  <c r="C1482" i="2" s="1"/>
  <c r="B1483" i="2"/>
  <c r="C1483" i="2" s="1"/>
  <c r="B1484" i="2"/>
  <c r="C1484" i="2" s="1"/>
  <c r="B1485" i="2"/>
  <c r="C1485" i="2" s="1"/>
  <c r="B1486" i="2"/>
  <c r="C1486" i="2" s="1"/>
  <c r="B1487" i="2"/>
  <c r="C1487" i="2" s="1"/>
  <c r="B1488" i="2"/>
  <c r="C1488" i="2" s="1"/>
  <c r="B1489" i="2"/>
  <c r="C1489" i="2" s="1"/>
  <c r="B1490" i="2"/>
  <c r="C1490" i="2" s="1"/>
  <c r="B1491" i="2"/>
  <c r="C1491" i="2" s="1"/>
  <c r="B1492" i="2"/>
  <c r="C1492" i="2" s="1"/>
  <c r="B1493" i="2"/>
  <c r="C1493" i="2" s="1"/>
  <c r="B1494" i="2"/>
  <c r="C1494" i="2" s="1"/>
  <c r="B1495" i="2"/>
  <c r="C1495" i="2" s="1"/>
  <c r="B1496" i="2"/>
  <c r="C1496" i="2" s="1"/>
  <c r="B1497" i="2"/>
  <c r="C1497" i="2" s="1"/>
  <c r="B1498" i="2"/>
  <c r="C1498" i="2" s="1"/>
  <c r="B1499" i="2"/>
  <c r="C1499" i="2" s="1"/>
  <c r="B1500" i="2"/>
  <c r="C1500" i="2" s="1"/>
  <c r="B1501" i="2"/>
  <c r="C1501" i="2" s="1"/>
  <c r="B1502" i="2"/>
  <c r="C1502" i="2" s="1"/>
  <c r="B1503" i="2"/>
  <c r="C1503" i="2" s="1"/>
  <c r="B1504" i="2"/>
  <c r="C1504" i="2" s="1"/>
  <c r="B1505" i="2"/>
  <c r="C1505" i="2" s="1"/>
  <c r="B1506" i="2"/>
  <c r="C1506" i="2" s="1"/>
  <c r="B1507" i="2"/>
  <c r="C1507" i="2" s="1"/>
  <c r="B1508" i="2"/>
  <c r="C1508" i="2" s="1"/>
  <c r="B1509" i="2"/>
  <c r="C1509" i="2" s="1"/>
  <c r="B1510" i="2"/>
  <c r="C1510" i="2" s="1"/>
  <c r="B1511" i="2"/>
  <c r="C1511" i="2" s="1"/>
  <c r="B1512" i="2"/>
  <c r="C1512" i="2" s="1"/>
  <c r="B1513" i="2"/>
  <c r="C1513" i="2" s="1"/>
  <c r="B1514" i="2"/>
  <c r="C1514" i="2" s="1"/>
  <c r="B1515" i="2"/>
  <c r="C1515" i="2" s="1"/>
  <c r="B1516" i="2"/>
  <c r="C1516" i="2" s="1"/>
  <c r="B1517" i="2"/>
  <c r="C1517" i="2" s="1"/>
  <c r="B1518" i="2"/>
  <c r="C1518" i="2" s="1"/>
  <c r="B1519" i="2"/>
  <c r="C1519" i="2" s="1"/>
  <c r="B1520" i="2"/>
  <c r="C1520" i="2" s="1"/>
  <c r="B1521" i="2"/>
  <c r="C1521" i="2" s="1"/>
  <c r="B1522" i="2"/>
  <c r="C1522" i="2" s="1"/>
  <c r="B1523" i="2"/>
  <c r="C1523" i="2" s="1"/>
  <c r="B1524" i="2"/>
  <c r="C1524" i="2" s="1"/>
  <c r="B1525" i="2"/>
  <c r="C1525" i="2" s="1"/>
  <c r="B1526" i="2"/>
  <c r="C1526" i="2" s="1"/>
  <c r="B1527" i="2"/>
  <c r="C1527" i="2" s="1"/>
  <c r="B1528" i="2"/>
  <c r="C1528" i="2" s="1"/>
  <c r="B1529" i="2"/>
  <c r="C1529" i="2" s="1"/>
  <c r="B1530" i="2"/>
  <c r="C1530" i="2" s="1"/>
  <c r="B1531" i="2"/>
  <c r="C1531" i="2" s="1"/>
  <c r="B1532" i="2"/>
  <c r="C1532" i="2" s="1"/>
  <c r="B1533" i="2"/>
  <c r="C1533" i="2" s="1"/>
  <c r="B1534" i="2"/>
  <c r="C1534" i="2" s="1"/>
  <c r="B1535" i="2"/>
  <c r="C1535" i="2" s="1"/>
  <c r="B1536" i="2"/>
  <c r="C1536" i="2" s="1"/>
  <c r="B1537" i="2"/>
  <c r="C1537" i="2" s="1"/>
  <c r="B1538" i="2"/>
  <c r="C1538" i="2" s="1"/>
  <c r="B1539" i="2"/>
  <c r="C1539" i="2" s="1"/>
  <c r="B1540" i="2"/>
  <c r="C1540" i="2" s="1"/>
  <c r="B1541" i="2"/>
  <c r="C1541" i="2" s="1"/>
  <c r="B1542" i="2"/>
  <c r="C1542" i="2" s="1"/>
  <c r="B1543" i="2"/>
  <c r="C1543" i="2" s="1"/>
  <c r="B1544" i="2"/>
  <c r="C1544" i="2" s="1"/>
  <c r="B1545" i="2"/>
  <c r="C1545" i="2" s="1"/>
  <c r="B1546" i="2"/>
  <c r="C1546" i="2" s="1"/>
  <c r="B1547" i="2"/>
  <c r="C1547" i="2" s="1"/>
  <c r="B1548" i="2"/>
  <c r="C1548" i="2" s="1"/>
  <c r="B1549" i="2"/>
  <c r="C1549" i="2" s="1"/>
  <c r="B1550" i="2"/>
  <c r="C1550" i="2" s="1"/>
  <c r="B1551" i="2"/>
  <c r="C1551" i="2" s="1"/>
  <c r="B1552" i="2"/>
  <c r="C1552" i="2" s="1"/>
  <c r="B1553" i="2"/>
  <c r="C1553" i="2" s="1"/>
  <c r="B1554" i="2"/>
  <c r="C1554" i="2" s="1"/>
  <c r="B1555" i="2"/>
  <c r="C1555" i="2" s="1"/>
  <c r="B1556" i="2"/>
  <c r="C1556" i="2" s="1"/>
  <c r="B1557" i="2"/>
  <c r="C1557" i="2" s="1"/>
  <c r="B1558" i="2"/>
  <c r="C1558" i="2" s="1"/>
  <c r="B1559" i="2"/>
  <c r="C1559" i="2" s="1"/>
  <c r="B1560" i="2"/>
  <c r="C1560" i="2" s="1"/>
  <c r="B1561" i="2"/>
  <c r="C1561" i="2" s="1"/>
  <c r="B1562" i="2"/>
  <c r="C1562" i="2" s="1"/>
  <c r="B1563" i="2"/>
  <c r="C1563" i="2" s="1"/>
  <c r="B1564" i="2"/>
  <c r="C1564" i="2" s="1"/>
  <c r="B1565" i="2"/>
  <c r="C1565" i="2" s="1"/>
  <c r="B1566" i="2"/>
  <c r="C1566" i="2" s="1"/>
  <c r="B1567" i="2"/>
  <c r="C1567" i="2" s="1"/>
  <c r="B1568" i="2"/>
  <c r="C1568" i="2" s="1"/>
  <c r="B1569" i="2"/>
  <c r="C1569" i="2" s="1"/>
  <c r="B1570" i="2"/>
  <c r="C1570" i="2" s="1"/>
  <c r="B1571" i="2"/>
  <c r="C1571" i="2" s="1"/>
  <c r="B1572" i="2"/>
  <c r="C1572" i="2" s="1"/>
  <c r="B1573" i="2"/>
  <c r="C1573" i="2" s="1"/>
  <c r="B1574" i="2"/>
  <c r="C1574" i="2" s="1"/>
  <c r="B1575" i="2"/>
  <c r="C1575" i="2" s="1"/>
  <c r="B1576" i="2"/>
  <c r="C1576" i="2" s="1"/>
  <c r="B1577" i="2"/>
  <c r="C1577" i="2" s="1"/>
  <c r="B1578" i="2"/>
  <c r="C1578" i="2" s="1"/>
  <c r="B1579" i="2"/>
  <c r="C1579" i="2" s="1"/>
  <c r="B1580" i="2"/>
  <c r="C1580" i="2" s="1"/>
  <c r="B1581" i="2"/>
  <c r="C1581" i="2" s="1"/>
  <c r="B1582" i="2"/>
  <c r="C1582" i="2" s="1"/>
  <c r="B1583" i="2"/>
  <c r="C1583" i="2" s="1"/>
  <c r="B1584" i="2"/>
  <c r="C1584" i="2" s="1"/>
  <c r="B1585" i="2"/>
  <c r="C1585" i="2" s="1"/>
  <c r="B1586" i="2"/>
  <c r="C1586" i="2" s="1"/>
  <c r="B1587" i="2"/>
  <c r="C1587" i="2" s="1"/>
  <c r="B1588" i="2"/>
  <c r="C1588" i="2" s="1"/>
  <c r="B1589" i="2"/>
  <c r="C1589" i="2" s="1"/>
  <c r="B1590" i="2"/>
  <c r="C1590" i="2" s="1"/>
  <c r="B1591" i="2"/>
  <c r="C1591" i="2" s="1"/>
  <c r="B1592" i="2"/>
  <c r="C1592" i="2" s="1"/>
  <c r="B1593" i="2"/>
  <c r="C1593" i="2" s="1"/>
  <c r="B1594" i="2"/>
  <c r="C1594" i="2" s="1"/>
  <c r="B1595" i="2"/>
  <c r="C1595" i="2" s="1"/>
  <c r="B1596" i="2"/>
  <c r="C1596" i="2" s="1"/>
  <c r="B1597" i="2"/>
  <c r="C1597" i="2" s="1"/>
  <c r="B1598" i="2"/>
  <c r="C1598" i="2" s="1"/>
  <c r="B1599" i="2"/>
  <c r="C1599" i="2" s="1"/>
  <c r="B1600" i="2"/>
  <c r="C1600" i="2" s="1"/>
  <c r="B1601" i="2"/>
  <c r="C1601" i="2" s="1"/>
  <c r="B1602" i="2"/>
  <c r="C1602" i="2" s="1"/>
  <c r="B1603" i="2"/>
  <c r="C1603" i="2" s="1"/>
  <c r="B1604" i="2"/>
  <c r="C1604" i="2" s="1"/>
  <c r="B1605" i="2"/>
  <c r="C1605" i="2" s="1"/>
  <c r="B1606" i="2"/>
  <c r="C1606" i="2" s="1"/>
  <c r="B1607" i="2"/>
  <c r="C1607" i="2" s="1"/>
  <c r="B1608" i="2"/>
  <c r="C1608" i="2" s="1"/>
  <c r="B1609" i="2"/>
  <c r="C1609" i="2" s="1"/>
  <c r="B1610" i="2"/>
  <c r="C1610" i="2" s="1"/>
  <c r="B1611" i="2"/>
  <c r="C1611" i="2" s="1"/>
  <c r="B1612" i="2"/>
  <c r="C1612" i="2" s="1"/>
  <c r="B1613" i="2"/>
  <c r="C1613" i="2" s="1"/>
  <c r="B1614" i="2"/>
  <c r="C1614" i="2" s="1"/>
  <c r="B1615" i="2"/>
  <c r="C1615" i="2" s="1"/>
  <c r="B1616" i="2"/>
  <c r="C1616" i="2" s="1"/>
  <c r="B1617" i="2"/>
  <c r="C1617" i="2" s="1"/>
  <c r="B1618" i="2"/>
  <c r="C1618" i="2" s="1"/>
  <c r="B1619" i="2"/>
  <c r="C1619" i="2" s="1"/>
  <c r="B1620" i="2"/>
  <c r="C1620" i="2" s="1"/>
  <c r="B1621" i="2"/>
  <c r="C1621" i="2" s="1"/>
  <c r="B1622" i="2"/>
  <c r="C1622" i="2" s="1"/>
  <c r="B1623" i="2"/>
  <c r="C1623" i="2" s="1"/>
  <c r="B1624" i="2"/>
  <c r="C1624" i="2" s="1"/>
  <c r="B1625" i="2"/>
  <c r="C1625" i="2" s="1"/>
  <c r="B1626" i="2"/>
  <c r="C1626" i="2" s="1"/>
  <c r="B1627" i="2"/>
  <c r="C1627" i="2" s="1"/>
  <c r="B1628" i="2"/>
  <c r="C1628" i="2" s="1"/>
  <c r="B1629" i="2"/>
  <c r="C1629" i="2" s="1"/>
  <c r="B1631" i="2"/>
  <c r="C1631" i="2" s="1"/>
  <c r="B1635" i="2"/>
  <c r="C1635" i="2" s="1"/>
  <c r="B1637" i="2"/>
  <c r="C1637" i="2" s="1"/>
  <c r="B1641" i="2"/>
  <c r="C1641" i="2" s="1"/>
  <c r="B1646" i="2"/>
  <c r="C1646" i="2" s="1"/>
  <c r="B1650" i="2"/>
  <c r="C1650" i="2" s="1"/>
  <c r="B1655" i="2"/>
  <c r="C1655" i="2" s="1"/>
  <c r="B1664" i="2"/>
  <c r="C1664" i="2" s="1"/>
  <c r="B1667" i="2"/>
  <c r="C1667" i="2" s="1"/>
  <c r="B1671" i="2"/>
  <c r="C1671" i="2" s="1"/>
  <c r="B1675" i="2"/>
  <c r="C1675" i="2" s="1"/>
  <c r="B1677" i="2"/>
  <c r="C1677" i="2" s="1"/>
  <c r="B1680" i="2"/>
  <c r="C1680" i="2" s="1"/>
  <c r="B1725" i="2"/>
  <c r="C1725" i="2" s="1"/>
  <c r="B1730" i="2"/>
  <c r="C1730" i="2" s="1"/>
  <c r="B1734" i="2"/>
  <c r="C1734" i="2" s="1"/>
  <c r="B1749" i="2"/>
  <c r="C1749" i="2" s="1"/>
  <c r="B1759" i="2"/>
  <c r="C1759" i="2" s="1"/>
  <c r="B1765" i="2"/>
  <c r="C1765" i="2" s="1"/>
  <c r="B1772" i="2"/>
  <c r="C1772" i="2" s="1"/>
  <c r="B1777" i="2"/>
  <c r="C1777" i="2" s="1"/>
  <c r="B1784" i="2"/>
  <c r="C1784" i="2" s="1"/>
  <c r="B1794" i="2"/>
  <c r="C1794" i="2" s="1"/>
  <c r="B1803" i="2"/>
  <c r="C1803" i="2" s="1"/>
  <c r="B1808" i="2"/>
  <c r="C1808" i="2" s="1"/>
  <c r="B1813" i="2"/>
  <c r="C1813" i="2" s="1"/>
  <c r="B1816" i="2"/>
  <c r="C1816" i="2" s="1"/>
  <c r="B1821" i="2"/>
  <c r="C1821" i="2" s="1"/>
  <c r="B1829" i="2"/>
  <c r="C1829" i="2" s="1"/>
  <c r="B1840" i="2"/>
  <c r="C1840" i="2" s="1"/>
  <c r="B1847" i="2"/>
  <c r="C1847" i="2" s="1"/>
  <c r="B1853" i="2"/>
  <c r="C1853" i="2" s="1"/>
  <c r="B1857" i="2"/>
  <c r="C1857" i="2" s="1"/>
  <c r="B1863" i="2"/>
  <c r="C1863" i="2" s="1"/>
  <c r="B1869" i="2"/>
  <c r="C1869" i="2" s="1"/>
  <c r="B1877" i="2"/>
  <c r="C1877" i="2" s="1"/>
  <c r="B1882" i="2"/>
  <c r="C1882" i="2" s="1"/>
  <c r="B1889" i="2"/>
  <c r="C1889" i="2" s="1"/>
  <c r="B1902" i="2"/>
  <c r="C1902" i="2" s="1"/>
  <c r="B1907" i="2"/>
  <c r="C1907" i="2" s="1"/>
  <c r="B1915" i="2"/>
  <c r="C1915" i="2" s="1"/>
  <c r="B1919" i="2"/>
  <c r="C1919" i="2" s="1"/>
  <c r="B1923" i="2"/>
  <c r="C1923" i="2" s="1"/>
  <c r="B1929" i="2"/>
  <c r="C1929" i="2" s="1"/>
  <c r="B1935" i="2"/>
  <c r="C1935" i="2" s="1"/>
  <c r="B1938" i="2"/>
  <c r="C1938" i="2" s="1"/>
  <c r="B1945" i="2"/>
  <c r="C1945" i="2" s="1"/>
  <c r="B1949" i="2"/>
  <c r="C1949" i="2" s="1"/>
  <c r="B1954" i="2"/>
  <c r="C1954" i="2" s="1"/>
  <c r="B1962" i="2"/>
  <c r="C1962" i="2" s="1"/>
  <c r="B1967" i="2"/>
  <c r="C1967" i="2" s="1"/>
  <c r="B1970" i="2"/>
  <c r="C1970" i="2" s="1"/>
  <c r="B1978" i="2"/>
  <c r="C1978" i="2" s="1"/>
  <c r="B1981" i="2"/>
  <c r="C1981" i="2" s="1"/>
  <c r="B1984" i="2"/>
  <c r="C1984" i="2" s="1"/>
  <c r="B1987" i="2"/>
  <c r="C1987" i="2" s="1"/>
  <c r="B1991" i="2"/>
  <c r="C1991" i="2" s="1"/>
  <c r="B1994" i="2"/>
  <c r="C1994" i="2" s="1"/>
  <c r="B1999" i="2"/>
  <c r="C1999" i="2" s="1"/>
  <c r="B2005" i="2"/>
  <c r="C2005" i="2" s="1"/>
  <c r="B2015" i="2"/>
  <c r="C2015" i="2" s="1"/>
  <c r="B2020" i="2"/>
  <c r="C2020" i="2" s="1"/>
  <c r="B2024" i="2"/>
  <c r="C2024" i="2" s="1"/>
  <c r="B2034" i="2"/>
  <c r="C2034" i="2" s="1"/>
  <c r="B2038" i="2"/>
  <c r="C2038" i="2" s="1"/>
  <c r="B2047" i="2"/>
  <c r="C2047" i="2" s="1"/>
  <c r="B2060" i="2"/>
  <c r="C2060" i="2" s="1"/>
  <c r="B2069" i="2"/>
  <c r="C2069" i="2" s="1"/>
  <c r="B2078" i="2"/>
  <c r="C2078" i="2" s="1"/>
  <c r="B2087" i="2"/>
  <c r="C2087" i="2" s="1"/>
  <c r="B2092" i="2"/>
  <c r="C2092" i="2" s="1"/>
  <c r="B2102" i="2"/>
  <c r="C2102" i="2" s="1"/>
  <c r="B2108" i="2"/>
  <c r="C2108" i="2" s="1"/>
  <c r="B2114" i="2"/>
  <c r="C2114" i="2" s="1"/>
  <c r="B2118" i="2"/>
  <c r="C2118" i="2" s="1"/>
  <c r="B2122" i="2"/>
  <c r="C2122" i="2" s="1"/>
  <c r="B2126" i="2"/>
  <c r="C2126" i="2" s="1"/>
  <c r="B2134" i="2"/>
  <c r="C2134" i="2" s="1"/>
  <c r="B2148" i="2"/>
  <c r="C2148" i="2" s="1"/>
  <c r="B2162" i="2"/>
  <c r="C2162" i="2" s="1"/>
  <c r="B2163" i="2"/>
  <c r="C2163" i="2" s="1"/>
  <c r="B2164" i="2"/>
  <c r="C2164" i="2" s="1"/>
  <c r="B2165" i="2"/>
  <c r="C2165" i="2" s="1"/>
  <c r="B2166" i="2"/>
  <c r="C2166" i="2" s="1"/>
  <c r="B2167" i="2"/>
  <c r="C2167" i="2" s="1"/>
  <c r="B2168" i="2"/>
  <c r="C2168" i="2" s="1"/>
  <c r="B2169" i="2"/>
  <c r="C2169" i="2" s="1"/>
  <c r="B2170" i="2"/>
  <c r="C2170" i="2" s="1"/>
  <c r="B2171" i="2"/>
  <c r="C2171" i="2" s="1"/>
  <c r="B2172" i="2"/>
  <c r="C2172" i="2" s="1"/>
  <c r="B2173" i="2"/>
  <c r="C2173" i="2" s="1"/>
  <c r="B2174" i="2"/>
  <c r="C2174" i="2" s="1"/>
  <c r="B2175" i="2"/>
  <c r="C2175" i="2" s="1"/>
  <c r="B2176" i="2"/>
  <c r="C2176" i="2" s="1"/>
  <c r="B2177" i="2"/>
  <c r="C2177" i="2" s="1"/>
  <c r="B2178" i="2"/>
  <c r="C2178" i="2" s="1"/>
  <c r="B2179" i="2"/>
  <c r="C2179" i="2" s="1"/>
  <c r="B2180" i="2"/>
  <c r="C2180" i="2" s="1"/>
  <c r="B2181" i="2"/>
  <c r="C2181" i="2" s="1"/>
  <c r="B2182" i="2"/>
  <c r="C2182" i="2" s="1"/>
  <c r="B2183" i="2"/>
  <c r="C2183" i="2" s="1"/>
  <c r="B2184" i="2"/>
  <c r="C2184" i="2" s="1"/>
  <c r="B2185" i="2"/>
  <c r="C2185" i="2" s="1"/>
  <c r="B2186" i="2"/>
  <c r="C2186" i="2" s="1"/>
  <c r="B2187" i="2"/>
  <c r="C2187" i="2" s="1"/>
  <c r="B2188" i="2"/>
  <c r="C2188" i="2" s="1"/>
  <c r="B2189" i="2"/>
  <c r="C2189" i="2" s="1"/>
  <c r="B2190" i="2"/>
  <c r="C2190" i="2" s="1"/>
  <c r="B2191" i="2"/>
  <c r="C2191" i="2" s="1"/>
  <c r="B2192" i="2"/>
  <c r="C2192" i="2" s="1"/>
  <c r="B2193" i="2"/>
  <c r="C2193" i="2" s="1"/>
  <c r="B2194" i="2"/>
  <c r="C2194" i="2" s="1"/>
  <c r="B2195" i="2"/>
  <c r="C2195" i="2" s="1"/>
  <c r="B2196" i="2"/>
  <c r="C2196" i="2" s="1"/>
  <c r="B2197" i="2"/>
  <c r="C2197" i="2" s="1"/>
  <c r="B2198" i="2"/>
  <c r="C2198" i="2" s="1"/>
  <c r="B2199" i="2"/>
  <c r="C2199" i="2" s="1"/>
  <c r="B2200" i="2"/>
  <c r="C2200" i="2" s="1"/>
  <c r="B2201" i="2"/>
  <c r="C2201" i="2" s="1"/>
  <c r="B2202" i="2"/>
  <c r="C2202" i="2" s="1"/>
  <c r="B2203" i="2"/>
  <c r="C2203" i="2" s="1"/>
  <c r="B2204" i="2"/>
  <c r="C2204" i="2" s="1"/>
  <c r="B2205" i="2"/>
  <c r="C2205" i="2" s="1"/>
  <c r="B2206" i="2"/>
  <c r="C2206" i="2" s="1"/>
  <c r="B2207" i="2"/>
  <c r="C2207" i="2" s="1"/>
  <c r="B2208" i="2"/>
  <c r="C2208" i="2" s="1"/>
  <c r="B2209" i="2"/>
  <c r="C2209" i="2" s="1"/>
  <c r="B2210" i="2"/>
  <c r="C2210" i="2" s="1"/>
  <c r="B2211" i="2"/>
  <c r="C2211" i="2" s="1"/>
  <c r="B2212" i="2"/>
  <c r="C2212" i="2" s="1"/>
  <c r="B2213" i="2"/>
  <c r="C2213" i="2" s="1"/>
  <c r="B2214" i="2"/>
  <c r="C2214" i="2" s="1"/>
  <c r="B2215" i="2"/>
  <c r="C2215" i="2" s="1"/>
  <c r="B2216" i="2"/>
  <c r="C2216" i="2" s="1"/>
  <c r="B2217" i="2"/>
  <c r="C2217" i="2" s="1"/>
  <c r="B2218" i="2"/>
  <c r="C2218" i="2" s="1"/>
  <c r="B2219" i="2"/>
  <c r="C2219" i="2" s="1"/>
  <c r="B2220" i="2"/>
  <c r="C2220" i="2" s="1"/>
  <c r="B2221" i="2"/>
  <c r="C2221" i="2" s="1"/>
  <c r="B2222" i="2"/>
  <c r="C2222" i="2" s="1"/>
  <c r="B2223" i="2"/>
  <c r="C2223" i="2" s="1"/>
  <c r="B2224" i="2"/>
  <c r="C2224" i="2" s="1"/>
  <c r="B2225" i="2"/>
  <c r="C2225" i="2" s="1"/>
  <c r="B2226" i="2"/>
  <c r="C2226" i="2" s="1"/>
  <c r="B2227" i="2"/>
  <c r="C2227" i="2" s="1"/>
  <c r="B2228" i="2"/>
  <c r="C2228" i="2" s="1"/>
  <c r="B2229" i="2"/>
  <c r="C2229" i="2" s="1"/>
  <c r="B2230" i="2"/>
  <c r="C2230" i="2" s="1"/>
  <c r="B2231" i="2"/>
  <c r="C2231" i="2" s="1"/>
  <c r="B2232" i="2"/>
  <c r="C2232" i="2" s="1"/>
  <c r="B2233" i="2"/>
  <c r="C2233" i="2" s="1"/>
  <c r="B2234" i="2"/>
  <c r="C2234" i="2" s="1"/>
  <c r="B2235" i="2"/>
  <c r="C2235" i="2" s="1"/>
  <c r="B2236" i="2"/>
  <c r="C2236" i="2" s="1"/>
  <c r="B2237" i="2"/>
  <c r="C2237" i="2" s="1"/>
  <c r="B2238" i="2"/>
  <c r="C2238" i="2" s="1"/>
  <c r="B2239" i="2"/>
  <c r="C2239" i="2" s="1"/>
  <c r="B2240" i="2"/>
  <c r="C2240" i="2" s="1"/>
  <c r="B2241" i="2"/>
  <c r="C2241" i="2" s="1"/>
  <c r="B2242" i="2"/>
  <c r="C2242" i="2" s="1"/>
  <c r="B2243" i="2"/>
  <c r="C2243" i="2" s="1"/>
  <c r="B2244" i="2"/>
  <c r="C2244" i="2" s="1"/>
  <c r="B2245" i="2"/>
  <c r="C2245" i="2" s="1"/>
  <c r="B2246" i="2"/>
  <c r="C2246" i="2" s="1"/>
  <c r="B2247" i="2"/>
  <c r="C2247" i="2" s="1"/>
  <c r="B2248" i="2"/>
  <c r="C2248" i="2" s="1"/>
  <c r="B2249" i="2"/>
  <c r="C2249" i="2" s="1"/>
  <c r="B2250" i="2"/>
  <c r="C2250" i="2" s="1"/>
  <c r="B2251" i="2"/>
  <c r="C2251" i="2" s="1"/>
  <c r="B2252" i="2"/>
  <c r="C2252" i="2" s="1"/>
  <c r="B2253" i="2"/>
  <c r="C2253" i="2" s="1"/>
  <c r="B2254" i="2"/>
  <c r="C2254" i="2" s="1"/>
  <c r="B2255" i="2"/>
  <c r="C2255" i="2" s="1"/>
  <c r="B2256" i="2"/>
  <c r="C2256" i="2" s="1"/>
  <c r="B2257" i="2"/>
  <c r="C2257" i="2" s="1"/>
  <c r="B2258" i="2"/>
  <c r="C2258" i="2" s="1"/>
  <c r="B2259" i="2"/>
  <c r="C2259" i="2" s="1"/>
  <c r="B2260" i="2"/>
  <c r="C2260" i="2" s="1"/>
  <c r="B2261" i="2"/>
  <c r="C2261" i="2" s="1"/>
  <c r="B2262" i="2"/>
  <c r="C2262" i="2" s="1"/>
  <c r="B2263" i="2"/>
  <c r="C2263" i="2" s="1"/>
  <c r="B2264" i="2"/>
  <c r="C2264" i="2" s="1"/>
  <c r="B2265" i="2"/>
  <c r="C2265" i="2" s="1"/>
  <c r="B2266" i="2"/>
  <c r="C2266" i="2" s="1"/>
  <c r="B2267" i="2"/>
  <c r="C2267" i="2" s="1"/>
  <c r="B2268" i="2"/>
  <c r="C2268" i="2" s="1"/>
  <c r="B2269" i="2"/>
  <c r="C2269" i="2" s="1"/>
  <c r="B2270" i="2"/>
  <c r="C2270" i="2" s="1"/>
  <c r="B2271" i="2"/>
  <c r="C2271" i="2" s="1"/>
  <c r="B2272" i="2"/>
  <c r="C2272" i="2" s="1"/>
  <c r="B2273" i="2"/>
  <c r="C2273" i="2" s="1"/>
  <c r="B2274" i="2"/>
  <c r="C2274" i="2" s="1"/>
  <c r="B2275" i="2"/>
  <c r="C2275" i="2" s="1"/>
  <c r="B2276" i="2"/>
  <c r="C2276" i="2" s="1"/>
  <c r="B2277" i="2"/>
  <c r="C2277" i="2" s="1"/>
  <c r="B2278" i="2"/>
  <c r="C2278" i="2" s="1"/>
  <c r="B2279" i="2"/>
  <c r="C2279" i="2" s="1"/>
  <c r="B2280" i="2"/>
  <c r="C2280" i="2" s="1"/>
  <c r="B2281" i="2"/>
  <c r="C2281" i="2" s="1"/>
  <c r="B2282" i="2"/>
  <c r="C2282" i="2" s="1"/>
  <c r="B2283" i="2"/>
  <c r="C2283" i="2" s="1"/>
  <c r="B2284" i="2"/>
  <c r="C2284" i="2" s="1"/>
  <c r="B2285" i="2"/>
  <c r="C2285" i="2" s="1"/>
  <c r="B2286" i="2"/>
  <c r="C2286" i="2" s="1"/>
  <c r="B2287" i="2"/>
  <c r="C2287" i="2" s="1"/>
  <c r="B2288" i="2"/>
  <c r="C2288" i="2" s="1"/>
  <c r="B2289" i="2"/>
  <c r="C2289" i="2" s="1"/>
  <c r="B2290" i="2"/>
  <c r="C2290" i="2" s="1"/>
  <c r="B2291" i="2"/>
  <c r="C2291" i="2" s="1"/>
  <c r="B2292" i="2"/>
  <c r="C2292" i="2" s="1"/>
  <c r="B2293" i="2"/>
  <c r="C2293" i="2" s="1"/>
  <c r="B2294" i="2"/>
  <c r="C2294" i="2" s="1"/>
  <c r="B2295" i="2"/>
  <c r="C2295" i="2" s="1"/>
  <c r="B2296" i="2"/>
  <c r="C2296" i="2" s="1"/>
  <c r="B2297" i="2"/>
  <c r="C2297" i="2" s="1"/>
  <c r="B2298" i="2"/>
  <c r="C2298" i="2" s="1"/>
  <c r="B2299" i="2"/>
  <c r="C2299" i="2" s="1"/>
  <c r="B2300" i="2"/>
  <c r="C2300" i="2" s="1"/>
  <c r="B2301" i="2"/>
  <c r="C2301" i="2" s="1"/>
  <c r="B2302" i="2"/>
  <c r="C2302" i="2" s="1"/>
  <c r="B2303" i="2"/>
  <c r="C2303" i="2" s="1"/>
  <c r="B2304" i="2"/>
  <c r="C2304" i="2" s="1"/>
  <c r="B2305" i="2"/>
  <c r="C2305" i="2" s="1"/>
  <c r="B2306" i="2"/>
  <c r="C2306" i="2" s="1"/>
  <c r="B2307" i="2"/>
  <c r="C2307" i="2" s="1"/>
  <c r="B2308" i="2"/>
  <c r="C2308" i="2" s="1"/>
  <c r="B2309" i="2"/>
  <c r="C2309" i="2" s="1"/>
  <c r="B2310" i="2"/>
  <c r="C2310" i="2" s="1"/>
  <c r="B2311" i="2"/>
  <c r="C2311" i="2" s="1"/>
  <c r="B2312" i="2"/>
  <c r="C2312" i="2" s="1"/>
  <c r="B2313" i="2"/>
  <c r="C2313" i="2" s="1"/>
  <c r="B2314" i="2"/>
  <c r="C2314" i="2" s="1"/>
  <c r="B2315" i="2"/>
  <c r="C2315" i="2" s="1"/>
  <c r="B2316" i="2"/>
  <c r="C2316" i="2" s="1"/>
  <c r="B2317" i="2"/>
  <c r="C2317" i="2" s="1"/>
  <c r="B2318" i="2"/>
  <c r="C2318" i="2" s="1"/>
  <c r="B2319" i="2"/>
  <c r="C2319" i="2" s="1"/>
  <c r="B2320" i="2"/>
  <c r="C2320" i="2" s="1"/>
  <c r="B2321" i="2"/>
  <c r="C2321" i="2" s="1"/>
  <c r="B2322" i="2"/>
  <c r="C2322" i="2" s="1"/>
  <c r="B2323" i="2"/>
  <c r="C2323" i="2" s="1"/>
  <c r="B2324" i="2"/>
  <c r="C2324" i="2" s="1"/>
  <c r="B2325" i="2"/>
  <c r="C2325" i="2" s="1"/>
  <c r="B2326" i="2"/>
  <c r="C2326" i="2" s="1"/>
  <c r="B2327" i="2"/>
  <c r="C2327" i="2" s="1"/>
  <c r="B2328" i="2"/>
  <c r="C2328" i="2" s="1"/>
  <c r="B2329" i="2"/>
  <c r="C2329" i="2" s="1"/>
  <c r="B2330" i="2"/>
  <c r="C2330" i="2" s="1"/>
  <c r="B2331" i="2"/>
  <c r="C2331" i="2" s="1"/>
  <c r="B2332" i="2"/>
  <c r="C2332" i="2" s="1"/>
  <c r="B2333" i="2"/>
  <c r="C2333" i="2" s="1"/>
  <c r="B2334" i="2"/>
  <c r="C2334" i="2" s="1"/>
  <c r="B2335" i="2"/>
  <c r="C2335" i="2" s="1"/>
  <c r="B2336" i="2"/>
  <c r="C2336" i="2" s="1"/>
  <c r="B2337" i="2"/>
  <c r="C2337" i="2" s="1"/>
  <c r="B2338" i="2"/>
  <c r="C2338" i="2" s="1"/>
  <c r="B2339" i="2"/>
  <c r="C2339" i="2" s="1"/>
  <c r="B2340" i="2"/>
  <c r="C2340" i="2" s="1"/>
  <c r="B2341" i="2"/>
  <c r="C2341" i="2" s="1"/>
  <c r="B2342" i="2"/>
  <c r="C2342" i="2" s="1"/>
  <c r="B2343" i="2"/>
  <c r="C2343" i="2" s="1"/>
  <c r="B2344" i="2"/>
  <c r="C2344" i="2" s="1"/>
  <c r="B2345" i="2"/>
  <c r="C2345" i="2" s="1"/>
  <c r="B2346" i="2"/>
  <c r="C2346" i="2" s="1"/>
  <c r="B2347" i="2"/>
  <c r="C2347" i="2" s="1"/>
  <c r="B2348" i="2"/>
  <c r="C2348" i="2" s="1"/>
  <c r="B2349" i="2"/>
  <c r="C2349" i="2" s="1"/>
  <c r="B2350" i="2"/>
  <c r="C2350" i="2" s="1"/>
  <c r="B2351" i="2"/>
  <c r="C2351" i="2" s="1"/>
  <c r="B2352" i="2"/>
  <c r="C2352" i="2" s="1"/>
  <c r="B2353" i="2"/>
  <c r="C2353" i="2" s="1"/>
  <c r="B2354" i="2"/>
  <c r="C2354" i="2" s="1"/>
  <c r="B2355" i="2"/>
  <c r="C2355" i="2" s="1"/>
  <c r="B2356" i="2"/>
  <c r="C2356" i="2" s="1"/>
  <c r="B2357" i="2"/>
  <c r="C2357" i="2" s="1"/>
  <c r="B2358" i="2"/>
  <c r="C2358" i="2" s="1"/>
  <c r="B2359" i="2"/>
  <c r="C2359" i="2" s="1"/>
  <c r="B2360" i="2"/>
  <c r="C2360" i="2" s="1"/>
  <c r="B2361" i="2"/>
  <c r="C2361" i="2" s="1"/>
  <c r="B2362" i="2"/>
  <c r="C2362" i="2" s="1"/>
  <c r="B2363" i="2"/>
  <c r="C2363" i="2" s="1"/>
  <c r="B2364" i="2"/>
  <c r="C2364" i="2" s="1"/>
  <c r="B2365" i="2"/>
  <c r="C2365" i="2" s="1"/>
  <c r="B2366" i="2"/>
  <c r="C2366" i="2" s="1"/>
  <c r="B2367" i="2"/>
  <c r="C2367" i="2" s="1"/>
  <c r="B2368" i="2"/>
  <c r="C2368" i="2" s="1"/>
  <c r="B2369" i="2"/>
  <c r="C2369" i="2" s="1"/>
  <c r="B2370" i="2"/>
  <c r="C2370" i="2" s="1"/>
  <c r="B2371" i="2"/>
  <c r="C2371" i="2" s="1"/>
  <c r="B2372" i="2"/>
  <c r="C2372" i="2" s="1"/>
  <c r="B2373" i="2"/>
  <c r="C2373" i="2" s="1"/>
  <c r="B2374" i="2"/>
  <c r="C2374" i="2" s="1"/>
  <c r="B2375" i="2"/>
  <c r="C2375" i="2" s="1"/>
  <c r="B2376" i="2"/>
  <c r="C2376" i="2" s="1"/>
  <c r="B2377" i="2"/>
  <c r="C2377" i="2" s="1"/>
  <c r="B2378" i="2"/>
  <c r="C2378" i="2" s="1"/>
  <c r="B2379" i="2"/>
  <c r="C2379" i="2" s="1"/>
  <c r="B2380" i="2"/>
  <c r="C2380" i="2" s="1"/>
  <c r="B2381" i="2"/>
  <c r="C2381" i="2" s="1"/>
  <c r="B2382" i="2"/>
  <c r="C2382" i="2" s="1"/>
  <c r="B2383" i="2"/>
  <c r="C2383" i="2" s="1"/>
  <c r="B2384" i="2"/>
  <c r="C2384" i="2" s="1"/>
  <c r="B2385" i="2"/>
  <c r="C2385" i="2" s="1"/>
  <c r="B2386" i="2"/>
  <c r="C2386" i="2" s="1"/>
  <c r="B2387" i="2"/>
  <c r="C2387" i="2" s="1"/>
  <c r="B2388" i="2"/>
  <c r="C2388" i="2" s="1"/>
  <c r="B2389" i="2"/>
  <c r="C2389" i="2" s="1"/>
  <c r="B2390" i="2"/>
  <c r="C2390" i="2" s="1"/>
  <c r="B2391" i="2"/>
  <c r="C2391" i="2" s="1"/>
  <c r="B2392" i="2"/>
  <c r="C2392" i="2" s="1"/>
  <c r="B2393" i="2"/>
  <c r="C2393" i="2" s="1"/>
  <c r="B2394" i="2"/>
  <c r="C2394" i="2" s="1"/>
  <c r="B2395" i="2"/>
  <c r="C2395" i="2" s="1"/>
  <c r="B2396" i="2"/>
  <c r="C2396" i="2" s="1"/>
  <c r="B2397" i="2"/>
  <c r="C2397" i="2" s="1"/>
  <c r="B2398" i="2"/>
  <c r="C2398" i="2" s="1"/>
  <c r="B2399" i="2"/>
  <c r="C2399" i="2" s="1"/>
  <c r="B2400" i="2"/>
  <c r="C2400" i="2" s="1"/>
  <c r="B2401" i="2"/>
  <c r="C2401" i="2" s="1"/>
  <c r="B2402" i="2"/>
  <c r="C2402" i="2" s="1"/>
  <c r="B2403" i="2"/>
  <c r="C2403" i="2" s="1"/>
  <c r="B2404" i="2"/>
  <c r="C2404" i="2" s="1"/>
  <c r="B2405" i="2"/>
  <c r="C2405" i="2" s="1"/>
  <c r="B2406" i="2"/>
  <c r="C2406" i="2" s="1"/>
  <c r="B2407" i="2"/>
  <c r="C2407" i="2" s="1"/>
  <c r="B2408" i="2"/>
  <c r="C2408" i="2" s="1"/>
  <c r="B2409" i="2"/>
  <c r="C2409" i="2" s="1"/>
  <c r="B2410" i="2"/>
  <c r="C2410" i="2" s="1"/>
  <c r="B2411" i="2"/>
  <c r="C2411" i="2" s="1"/>
  <c r="B2412" i="2"/>
  <c r="C2412" i="2" s="1"/>
  <c r="B2413" i="2"/>
  <c r="C2413" i="2" s="1"/>
  <c r="B2414" i="2"/>
  <c r="C2414" i="2" s="1"/>
  <c r="B2415" i="2"/>
  <c r="C2415" i="2" s="1"/>
  <c r="B2416" i="2"/>
  <c r="C2416" i="2" s="1"/>
  <c r="B2417" i="2"/>
  <c r="C2417" i="2" s="1"/>
  <c r="B2418" i="2"/>
  <c r="C2418" i="2" s="1"/>
  <c r="B2419" i="2"/>
  <c r="C2419" i="2" s="1"/>
  <c r="B2420" i="2"/>
  <c r="C2420" i="2" s="1"/>
  <c r="B2421" i="2"/>
  <c r="C2421" i="2" s="1"/>
  <c r="B2422" i="2"/>
  <c r="C2422" i="2" s="1"/>
  <c r="B2423" i="2"/>
  <c r="C2423" i="2" s="1"/>
  <c r="B2424" i="2"/>
  <c r="C2424" i="2" s="1"/>
  <c r="B2425" i="2"/>
  <c r="C2425" i="2" s="1"/>
  <c r="B2426" i="2"/>
  <c r="C2426" i="2" s="1"/>
  <c r="B2427" i="2"/>
  <c r="C2427" i="2" s="1"/>
  <c r="B2428" i="2"/>
  <c r="C2428" i="2" s="1"/>
  <c r="B2429" i="2"/>
  <c r="C2429" i="2" s="1"/>
  <c r="B2430" i="2"/>
  <c r="C2430" i="2" s="1"/>
  <c r="B2431" i="2"/>
  <c r="C2431" i="2" s="1"/>
  <c r="B2432" i="2"/>
  <c r="C2432" i="2" s="1"/>
  <c r="B2433" i="2"/>
  <c r="C2433" i="2" s="1"/>
  <c r="B2434" i="2"/>
  <c r="C2434" i="2" s="1"/>
  <c r="B2435" i="2"/>
  <c r="C2435" i="2" s="1"/>
  <c r="B2436" i="2"/>
  <c r="C2436" i="2" s="1"/>
  <c r="B2437" i="2"/>
  <c r="C2437" i="2" s="1"/>
  <c r="B2438" i="2"/>
  <c r="C2438" i="2" s="1"/>
  <c r="B2439" i="2"/>
  <c r="C2439" i="2" s="1"/>
  <c r="B2440" i="2"/>
  <c r="C2440" i="2" s="1"/>
  <c r="B2441" i="2"/>
  <c r="C2441" i="2" s="1"/>
  <c r="B2442" i="2"/>
  <c r="C2442" i="2" s="1"/>
  <c r="B2443" i="2"/>
  <c r="C2443" i="2" s="1"/>
  <c r="B2444" i="2"/>
  <c r="C2444" i="2" s="1"/>
  <c r="B2445" i="2"/>
  <c r="C2445" i="2" s="1"/>
  <c r="B2446" i="2"/>
  <c r="C2446" i="2" s="1"/>
  <c r="B2447" i="2"/>
  <c r="C2447" i="2" s="1"/>
  <c r="B2448" i="2"/>
  <c r="C2448" i="2" s="1"/>
  <c r="B2449" i="2"/>
  <c r="C2449" i="2" s="1"/>
  <c r="B2450" i="2"/>
  <c r="C2450" i="2" s="1"/>
  <c r="B2451" i="2"/>
  <c r="C2451" i="2" s="1"/>
  <c r="B2452" i="2"/>
  <c r="C2452" i="2" s="1"/>
  <c r="B2453" i="2"/>
  <c r="C2453" i="2" s="1"/>
  <c r="B2454" i="2"/>
  <c r="C2454" i="2" s="1"/>
  <c r="B2455" i="2"/>
  <c r="C2455" i="2" s="1"/>
  <c r="B2456" i="2"/>
  <c r="C2456" i="2" s="1"/>
  <c r="B2457" i="2"/>
  <c r="C2457" i="2" s="1"/>
  <c r="B2458" i="2"/>
  <c r="C2458" i="2" s="1"/>
  <c r="B2459" i="2"/>
  <c r="C2459" i="2" s="1"/>
  <c r="B2460" i="2"/>
  <c r="C2460" i="2" s="1"/>
  <c r="B2461" i="2"/>
  <c r="C2461" i="2" s="1"/>
  <c r="B2462" i="2"/>
  <c r="C2462" i="2" s="1"/>
  <c r="B2463" i="2"/>
  <c r="C2463" i="2" s="1"/>
  <c r="B2464" i="2"/>
  <c r="C2464" i="2" s="1"/>
  <c r="B2465" i="2"/>
  <c r="C2465" i="2" s="1"/>
  <c r="B2466" i="2"/>
  <c r="C2466" i="2" s="1"/>
  <c r="B2467" i="2"/>
  <c r="C2467" i="2" s="1"/>
  <c r="B2468" i="2"/>
  <c r="C2468" i="2" s="1"/>
  <c r="B2469" i="2"/>
  <c r="C2469" i="2" s="1"/>
  <c r="B2470" i="2"/>
  <c r="C2470" i="2" s="1"/>
  <c r="B2471" i="2"/>
  <c r="C2471" i="2" s="1"/>
  <c r="B2472" i="2"/>
  <c r="C2472" i="2" s="1"/>
  <c r="B2473" i="2"/>
  <c r="C2473" i="2" s="1"/>
  <c r="B2474" i="2"/>
  <c r="C2474" i="2" s="1"/>
  <c r="B2475" i="2"/>
  <c r="C2475" i="2" s="1"/>
  <c r="B2476" i="2"/>
  <c r="C2476" i="2" s="1"/>
  <c r="B2477" i="2"/>
  <c r="C2477" i="2" s="1"/>
  <c r="B2478" i="2"/>
  <c r="C2478" i="2" s="1"/>
  <c r="B2479" i="2"/>
  <c r="C2479" i="2" s="1"/>
  <c r="B2480" i="2"/>
  <c r="C2480" i="2" s="1"/>
  <c r="B2481" i="2"/>
  <c r="C2481" i="2" s="1"/>
  <c r="B2482" i="2"/>
  <c r="C2482" i="2" s="1"/>
  <c r="B2483" i="2"/>
  <c r="C2483" i="2" s="1"/>
  <c r="B2484" i="2"/>
  <c r="C2484" i="2" s="1"/>
  <c r="B2485" i="2"/>
  <c r="C2485" i="2" s="1"/>
  <c r="B2486" i="2"/>
  <c r="C2486" i="2" s="1"/>
  <c r="B2487" i="2"/>
  <c r="C2487" i="2" s="1"/>
  <c r="B2488" i="2"/>
  <c r="C2488" i="2" s="1"/>
  <c r="B2489" i="2"/>
  <c r="C2489" i="2" s="1"/>
  <c r="B2490" i="2"/>
  <c r="C2490" i="2" s="1"/>
  <c r="B2491" i="2"/>
  <c r="C2491" i="2" s="1"/>
  <c r="B2492" i="2"/>
  <c r="C2492" i="2" s="1"/>
  <c r="B2493" i="2"/>
  <c r="C2493" i="2" s="1"/>
  <c r="B2494" i="2"/>
  <c r="C2494" i="2" s="1"/>
  <c r="B2495" i="2"/>
  <c r="C2495" i="2" s="1"/>
  <c r="B2496" i="2"/>
  <c r="C2496" i="2" s="1"/>
  <c r="B2497" i="2"/>
  <c r="C2497" i="2" s="1"/>
  <c r="B2498" i="2"/>
  <c r="C2498" i="2" s="1"/>
  <c r="B2499" i="2"/>
  <c r="C2499" i="2" s="1"/>
  <c r="B2500" i="2"/>
  <c r="C2500" i="2" s="1"/>
  <c r="B2501" i="2"/>
  <c r="C2501" i="2" s="1"/>
  <c r="B2502" i="2"/>
  <c r="C2502" i="2" s="1"/>
  <c r="B2503" i="2"/>
  <c r="C2503" i="2" s="1"/>
  <c r="B2504" i="2"/>
  <c r="C2504" i="2" s="1"/>
  <c r="B2505" i="2"/>
  <c r="C2505" i="2" s="1"/>
  <c r="B2506" i="2"/>
  <c r="C2506" i="2" s="1"/>
  <c r="B2507" i="2"/>
  <c r="C2507" i="2" s="1"/>
  <c r="B2508" i="2"/>
  <c r="C2508" i="2" s="1"/>
  <c r="B2509" i="2"/>
  <c r="C2509" i="2" s="1"/>
  <c r="B2510" i="2"/>
  <c r="C2510" i="2" s="1"/>
  <c r="B2511" i="2"/>
  <c r="C2511" i="2" s="1"/>
  <c r="B2512" i="2"/>
  <c r="C2512" i="2" s="1"/>
  <c r="B2513" i="2"/>
  <c r="C2513" i="2" s="1"/>
  <c r="B2514" i="2"/>
  <c r="C2514" i="2" s="1"/>
  <c r="B2515" i="2"/>
  <c r="C2515" i="2" s="1"/>
  <c r="B2516" i="2"/>
  <c r="C2516" i="2" s="1"/>
  <c r="B2517" i="2"/>
  <c r="C2517" i="2" s="1"/>
  <c r="B2518" i="2"/>
  <c r="C2518" i="2" s="1"/>
  <c r="B2519" i="2"/>
  <c r="C2519" i="2" s="1"/>
  <c r="B2520" i="2"/>
  <c r="C2520" i="2" s="1"/>
  <c r="B2521" i="2"/>
  <c r="C2521" i="2" s="1"/>
  <c r="B2522" i="2"/>
  <c r="C2522" i="2" s="1"/>
  <c r="B2523" i="2"/>
  <c r="C2523" i="2" s="1"/>
  <c r="B2524" i="2"/>
  <c r="C2524" i="2" s="1"/>
  <c r="B2525" i="2"/>
  <c r="C2525" i="2" s="1"/>
  <c r="B2526" i="2"/>
  <c r="C2526" i="2" s="1"/>
  <c r="B2527" i="2"/>
  <c r="C2527" i="2" s="1"/>
  <c r="B2528" i="2"/>
  <c r="C2528" i="2" s="1"/>
  <c r="B2529" i="2"/>
  <c r="C2529" i="2" s="1"/>
  <c r="B2530" i="2"/>
  <c r="C2530" i="2" s="1"/>
  <c r="B2531" i="2"/>
  <c r="C2531" i="2" s="1"/>
  <c r="B2532" i="2"/>
  <c r="C2532" i="2" s="1"/>
  <c r="B2533" i="2"/>
  <c r="C2533" i="2" s="1"/>
  <c r="B2534" i="2"/>
  <c r="C2534" i="2" s="1"/>
  <c r="B2535" i="2"/>
  <c r="C2535" i="2" s="1"/>
  <c r="B2536" i="2"/>
  <c r="C2536" i="2" s="1"/>
  <c r="B2537" i="2"/>
  <c r="C2537" i="2" s="1"/>
  <c r="B2538" i="2"/>
  <c r="C2538" i="2" s="1"/>
  <c r="B2539" i="2"/>
  <c r="C2539" i="2" s="1"/>
  <c r="B2540" i="2"/>
  <c r="C2540" i="2" s="1"/>
  <c r="B2541" i="2"/>
  <c r="C2541" i="2" s="1"/>
  <c r="B2542" i="2"/>
  <c r="C2542" i="2" s="1"/>
  <c r="B2543" i="2"/>
  <c r="C2543" i="2" s="1"/>
  <c r="B2544" i="2"/>
  <c r="C2544" i="2" s="1"/>
  <c r="B2545" i="2"/>
  <c r="C2545" i="2" s="1"/>
  <c r="B2546" i="2"/>
  <c r="C2546" i="2" s="1"/>
  <c r="B2547" i="2"/>
  <c r="C2547" i="2" s="1"/>
  <c r="B2548" i="2"/>
  <c r="C2548" i="2" s="1"/>
  <c r="B2549" i="2"/>
  <c r="C2549" i="2" s="1"/>
  <c r="B2550" i="2"/>
  <c r="C2550" i="2" s="1"/>
  <c r="B2551" i="2"/>
  <c r="C2551" i="2" s="1"/>
  <c r="B2552" i="2"/>
  <c r="C2552" i="2" s="1"/>
  <c r="B2553" i="2"/>
  <c r="C2553" i="2" s="1"/>
  <c r="B2554" i="2"/>
  <c r="C2554" i="2" s="1"/>
  <c r="B2555" i="2"/>
  <c r="C2555" i="2" s="1"/>
  <c r="B2556" i="2"/>
  <c r="C2556" i="2" s="1"/>
  <c r="B2557" i="2"/>
  <c r="C2557" i="2" s="1"/>
  <c r="B2558" i="2"/>
  <c r="C2558" i="2" s="1"/>
  <c r="B2559" i="2"/>
  <c r="C2559" i="2" s="1"/>
  <c r="B2560" i="2"/>
  <c r="C2560" i="2" s="1"/>
  <c r="B2561" i="2"/>
  <c r="C2561" i="2" s="1"/>
  <c r="B2562" i="2"/>
  <c r="C2562" i="2" s="1"/>
  <c r="B2563" i="2"/>
  <c r="C2563" i="2" s="1"/>
  <c r="B2564" i="2"/>
  <c r="C2564" i="2" s="1"/>
  <c r="B2565" i="2"/>
  <c r="C2565" i="2" s="1"/>
  <c r="B2566" i="2"/>
  <c r="C2566" i="2" s="1"/>
  <c r="B2567" i="2"/>
  <c r="C2567" i="2" s="1"/>
  <c r="B2568" i="2"/>
  <c r="C2568" i="2" s="1"/>
  <c r="B2569" i="2"/>
  <c r="C2569" i="2" s="1"/>
  <c r="B2570" i="2"/>
  <c r="C2570" i="2" s="1"/>
  <c r="B2571" i="2"/>
  <c r="C2571" i="2" s="1"/>
  <c r="B2572" i="2"/>
  <c r="C2572" i="2" s="1"/>
  <c r="B2573" i="2"/>
  <c r="C2573" i="2" s="1"/>
  <c r="B2574" i="2"/>
  <c r="C2574" i="2" s="1"/>
  <c r="B2575" i="2"/>
  <c r="C2575" i="2" s="1"/>
  <c r="B2576" i="2"/>
  <c r="C2576" i="2" s="1"/>
  <c r="B2577" i="2"/>
  <c r="C2577" i="2" s="1"/>
  <c r="B2578" i="2"/>
  <c r="C2578" i="2" s="1"/>
  <c r="B2579" i="2"/>
  <c r="C2579" i="2" s="1"/>
  <c r="B2580" i="2"/>
  <c r="C2580" i="2" s="1"/>
  <c r="B2581" i="2"/>
  <c r="C2581" i="2" s="1"/>
  <c r="B2582" i="2"/>
  <c r="C2582" i="2" s="1"/>
  <c r="B2583" i="2"/>
  <c r="C2583" i="2" s="1"/>
  <c r="B2584" i="2"/>
  <c r="C2584" i="2" s="1"/>
  <c r="B2585" i="2"/>
  <c r="C2585" i="2" s="1"/>
  <c r="B2586" i="2"/>
  <c r="C2586" i="2" s="1"/>
  <c r="B2587" i="2"/>
  <c r="C2587" i="2" s="1"/>
  <c r="B2588" i="2"/>
  <c r="C2588" i="2" s="1"/>
  <c r="B2589" i="2"/>
  <c r="C2589" i="2" s="1"/>
  <c r="B2590" i="2"/>
  <c r="C2590" i="2" s="1"/>
  <c r="B2591" i="2"/>
  <c r="C2591" i="2" s="1"/>
  <c r="B2592" i="2"/>
  <c r="C2592" i="2" s="1"/>
  <c r="B2593" i="2"/>
  <c r="C2593" i="2" s="1"/>
  <c r="B2594" i="2"/>
  <c r="C2594" i="2" s="1"/>
  <c r="B2595" i="2"/>
  <c r="C2595" i="2" s="1"/>
  <c r="B2596" i="2"/>
  <c r="C2596" i="2" s="1"/>
  <c r="B2597" i="2"/>
  <c r="C2597" i="2" s="1"/>
  <c r="B2598" i="2"/>
  <c r="C2598" i="2" s="1"/>
  <c r="B2599" i="2"/>
  <c r="C2599" i="2" s="1"/>
  <c r="B2600" i="2"/>
  <c r="C2600" i="2" s="1"/>
  <c r="B2601" i="2"/>
  <c r="C2601" i="2" s="1"/>
  <c r="B2602" i="2"/>
  <c r="C2602" i="2" s="1"/>
  <c r="B2603" i="2"/>
  <c r="C2603" i="2" s="1"/>
  <c r="B2604" i="2"/>
  <c r="C2604" i="2" s="1"/>
  <c r="B2605" i="2"/>
  <c r="C2605" i="2" s="1"/>
  <c r="B2606" i="2"/>
  <c r="C2606" i="2" s="1"/>
  <c r="B2607" i="2"/>
  <c r="C2607" i="2" s="1"/>
  <c r="B2608" i="2"/>
  <c r="C2608" i="2" s="1"/>
  <c r="B2609" i="2"/>
  <c r="C2609" i="2" s="1"/>
  <c r="B2610" i="2"/>
  <c r="C2610" i="2" s="1"/>
  <c r="B2611" i="2"/>
  <c r="C2611" i="2" s="1"/>
  <c r="B2612" i="2"/>
  <c r="C2612" i="2" s="1"/>
  <c r="B2613" i="2"/>
  <c r="C2613" i="2" s="1"/>
  <c r="B2614" i="2"/>
  <c r="C2614" i="2" s="1"/>
  <c r="B2615" i="2"/>
  <c r="C2615" i="2" s="1"/>
  <c r="B2616" i="2"/>
  <c r="C2616" i="2" s="1"/>
  <c r="B2617" i="2"/>
  <c r="C2617" i="2" s="1"/>
  <c r="B2618" i="2"/>
  <c r="C2618" i="2" s="1"/>
  <c r="B2619" i="2"/>
  <c r="C2619" i="2" s="1"/>
  <c r="B2620" i="2"/>
  <c r="C2620" i="2" s="1"/>
  <c r="B2621" i="2"/>
  <c r="C2621" i="2" s="1"/>
  <c r="B2622" i="2"/>
  <c r="C2622" i="2" s="1"/>
  <c r="B2623" i="2"/>
  <c r="C2623" i="2" s="1"/>
  <c r="B2624" i="2"/>
  <c r="C2624" i="2" s="1"/>
  <c r="B2625" i="2"/>
  <c r="C2625" i="2" s="1"/>
  <c r="B2626" i="2"/>
  <c r="C2626" i="2" s="1"/>
  <c r="B2627" i="2"/>
  <c r="C2627" i="2" s="1"/>
  <c r="B2628" i="2"/>
  <c r="C2628" i="2" s="1"/>
  <c r="B2629" i="2"/>
  <c r="C2629" i="2" s="1"/>
  <c r="B2630" i="2"/>
  <c r="C2630" i="2" s="1"/>
  <c r="B2631" i="2"/>
  <c r="C2631" i="2" s="1"/>
  <c r="B2632" i="2"/>
  <c r="C2632" i="2" s="1"/>
  <c r="B2633" i="2"/>
  <c r="C2633" i="2" s="1"/>
  <c r="B2634" i="2"/>
  <c r="C2634" i="2" s="1"/>
  <c r="B2635" i="2"/>
  <c r="C2635" i="2" s="1"/>
  <c r="B2636" i="2"/>
  <c r="C2636" i="2" s="1"/>
  <c r="B2637" i="2"/>
  <c r="C2637" i="2" s="1"/>
  <c r="B2638" i="2"/>
  <c r="C2638" i="2" s="1"/>
  <c r="B2639" i="2"/>
  <c r="C2639" i="2" s="1"/>
  <c r="B2640" i="2"/>
  <c r="C2640" i="2" s="1"/>
  <c r="B2641" i="2"/>
  <c r="C2641" i="2" s="1"/>
  <c r="B2642" i="2"/>
  <c r="C2642" i="2" s="1"/>
  <c r="B2643" i="2"/>
  <c r="C2643" i="2" s="1"/>
  <c r="B2644" i="2"/>
  <c r="C2644" i="2" s="1"/>
  <c r="B2645" i="2"/>
  <c r="C2645" i="2" s="1"/>
  <c r="B2646" i="2"/>
  <c r="C2646" i="2" s="1"/>
  <c r="B2647" i="2"/>
  <c r="C2647" i="2" s="1"/>
  <c r="B2648" i="2"/>
  <c r="C2648" i="2" s="1"/>
  <c r="B2649" i="2"/>
  <c r="C2649" i="2" s="1"/>
  <c r="B2650" i="2"/>
  <c r="C2650" i="2" s="1"/>
  <c r="B2651" i="2"/>
  <c r="C2651" i="2" s="1"/>
  <c r="B2652" i="2"/>
  <c r="C2652" i="2" s="1"/>
  <c r="B2653" i="2"/>
  <c r="C2653" i="2" s="1"/>
  <c r="B2654" i="2"/>
  <c r="C2654" i="2" s="1"/>
  <c r="B2655" i="2"/>
  <c r="C2655" i="2" s="1"/>
  <c r="B2656" i="2"/>
  <c r="C2656" i="2" s="1"/>
  <c r="B2657" i="2"/>
  <c r="C2657" i="2" s="1"/>
  <c r="B2658" i="2"/>
  <c r="C2658" i="2" s="1"/>
  <c r="B2659" i="2"/>
  <c r="C2659" i="2" s="1"/>
  <c r="B2660" i="2"/>
  <c r="C2660" i="2" s="1"/>
  <c r="B2661" i="2"/>
  <c r="C2661" i="2" s="1"/>
  <c r="B2662" i="2"/>
  <c r="C2662" i="2" s="1"/>
  <c r="B2663" i="2"/>
  <c r="C2663" i="2" s="1"/>
  <c r="B2664" i="2"/>
  <c r="C2664" i="2" s="1"/>
  <c r="B2665" i="2"/>
  <c r="C2665" i="2" s="1"/>
  <c r="B2666" i="2"/>
  <c r="C2666" i="2" s="1"/>
  <c r="B2667" i="2"/>
  <c r="C2667" i="2" s="1"/>
  <c r="B2668" i="2"/>
  <c r="C2668" i="2" s="1"/>
  <c r="B2669" i="2"/>
  <c r="C2669" i="2" s="1"/>
  <c r="B2670" i="2"/>
  <c r="C2670" i="2" s="1"/>
  <c r="B2671" i="2"/>
  <c r="C2671" i="2" s="1"/>
  <c r="B2672" i="2"/>
  <c r="C2672" i="2" s="1"/>
  <c r="B2673" i="2"/>
  <c r="C2673" i="2" s="1"/>
  <c r="B2674" i="2"/>
  <c r="C2674" i="2" s="1"/>
  <c r="B2675" i="2"/>
  <c r="C2675" i="2" s="1"/>
  <c r="B2676" i="2"/>
  <c r="C2676" i="2" s="1"/>
  <c r="B2677" i="2"/>
  <c r="C2677" i="2" s="1"/>
  <c r="B2678" i="2"/>
  <c r="C2678" i="2" s="1"/>
  <c r="B2679" i="2"/>
  <c r="C2679" i="2" s="1"/>
  <c r="B2680" i="2"/>
  <c r="C2680" i="2" s="1"/>
  <c r="B2681" i="2"/>
  <c r="C2681" i="2" s="1"/>
  <c r="B2682" i="2"/>
  <c r="C2682" i="2" s="1"/>
  <c r="B2683" i="2"/>
  <c r="C2683" i="2" s="1"/>
  <c r="B2684" i="2"/>
  <c r="C2684" i="2" s="1"/>
  <c r="B2685" i="2"/>
  <c r="C2685" i="2" s="1"/>
  <c r="B2686" i="2"/>
  <c r="C2686" i="2" s="1"/>
  <c r="B2687" i="2"/>
  <c r="C2687" i="2" s="1"/>
  <c r="B2688" i="2"/>
  <c r="C2688" i="2" s="1"/>
  <c r="B2689" i="2"/>
  <c r="C2689" i="2" s="1"/>
  <c r="B2690" i="2"/>
  <c r="C2690" i="2" s="1"/>
  <c r="B2691" i="2"/>
  <c r="C2691" i="2" s="1"/>
  <c r="B2692" i="2"/>
  <c r="C2692" i="2" s="1"/>
  <c r="B2693" i="2"/>
  <c r="C2693" i="2" s="1"/>
  <c r="B2694" i="2"/>
  <c r="C2694" i="2" s="1"/>
  <c r="B2695" i="2"/>
  <c r="C2695" i="2" s="1"/>
  <c r="B2696" i="2"/>
  <c r="C2696" i="2" s="1"/>
  <c r="B2697" i="2"/>
  <c r="C2697" i="2" s="1"/>
  <c r="B2698" i="2"/>
  <c r="C2698" i="2" s="1"/>
  <c r="B2699" i="2"/>
  <c r="C2699" i="2" s="1"/>
  <c r="B2700" i="2"/>
  <c r="C2700" i="2" s="1"/>
  <c r="B2701" i="2"/>
  <c r="C2701" i="2" s="1"/>
  <c r="B2702" i="2"/>
  <c r="C2702" i="2" s="1"/>
  <c r="B2703" i="2"/>
  <c r="C2703" i="2" s="1"/>
  <c r="B2704" i="2"/>
  <c r="C2704" i="2" s="1"/>
  <c r="B2705" i="2"/>
  <c r="C2705" i="2" s="1"/>
  <c r="B2706" i="2"/>
  <c r="C2706" i="2" s="1"/>
  <c r="B2707" i="2"/>
  <c r="C2707" i="2" s="1"/>
  <c r="B2708" i="2"/>
  <c r="C2708" i="2" s="1"/>
  <c r="B2709" i="2"/>
  <c r="C2709" i="2" s="1"/>
  <c r="B2710" i="2"/>
  <c r="C2710" i="2" s="1"/>
  <c r="B2711" i="2"/>
  <c r="C2711" i="2" s="1"/>
  <c r="B2712" i="2"/>
  <c r="C2712" i="2" s="1"/>
  <c r="B2713" i="2"/>
  <c r="C2713" i="2" s="1"/>
  <c r="B2714" i="2"/>
  <c r="C2714" i="2" s="1"/>
  <c r="B2715" i="2"/>
  <c r="C2715" i="2" s="1"/>
  <c r="B2716" i="2"/>
  <c r="C2716" i="2" s="1"/>
  <c r="B2717" i="2"/>
  <c r="C2717" i="2" s="1"/>
  <c r="B2718" i="2"/>
  <c r="C2718" i="2" s="1"/>
  <c r="B2719" i="2"/>
  <c r="C2719" i="2" s="1"/>
  <c r="B2720" i="2"/>
  <c r="C2720" i="2" s="1"/>
  <c r="B2721" i="2"/>
  <c r="C2721" i="2" s="1"/>
  <c r="B2722" i="2"/>
  <c r="C2722" i="2" s="1"/>
  <c r="B2723" i="2"/>
  <c r="C2723" i="2" s="1"/>
  <c r="B2724" i="2"/>
  <c r="C2724" i="2" s="1"/>
  <c r="B2725" i="2"/>
  <c r="C2725" i="2" s="1"/>
  <c r="B2726" i="2"/>
  <c r="C2726" i="2" s="1"/>
  <c r="B2727" i="2"/>
  <c r="C2727" i="2" s="1"/>
  <c r="B2728" i="2"/>
  <c r="C2728" i="2" s="1"/>
  <c r="B2729" i="2"/>
  <c r="C2729" i="2" s="1"/>
  <c r="B2730" i="2"/>
  <c r="C2730" i="2" s="1"/>
  <c r="B2731" i="2"/>
  <c r="C2731" i="2" s="1"/>
  <c r="B2732" i="2"/>
  <c r="C2732" i="2" s="1"/>
  <c r="B2733" i="2"/>
  <c r="C2733" i="2" s="1"/>
  <c r="B2734" i="2"/>
  <c r="C2734" i="2" s="1"/>
  <c r="B2735" i="2"/>
  <c r="C2735" i="2" s="1"/>
  <c r="B2736" i="2"/>
  <c r="C2736" i="2" s="1"/>
  <c r="B2737" i="2"/>
  <c r="C2737" i="2" s="1"/>
  <c r="B2738" i="2"/>
  <c r="C2738" i="2" s="1"/>
  <c r="B2739" i="2"/>
  <c r="C2739" i="2" s="1"/>
  <c r="B2740" i="2"/>
  <c r="C2740" i="2" s="1"/>
  <c r="B2741" i="2"/>
  <c r="C2741" i="2" s="1"/>
  <c r="B2742" i="2"/>
  <c r="C2742" i="2" s="1"/>
  <c r="B2743" i="2"/>
  <c r="C2743" i="2" s="1"/>
  <c r="B2744" i="2"/>
  <c r="C2744" i="2" s="1"/>
  <c r="B2745" i="2"/>
  <c r="C2745" i="2" s="1"/>
  <c r="B2746" i="2"/>
  <c r="C2746" i="2" s="1"/>
  <c r="B2747" i="2"/>
  <c r="C2747" i="2" s="1"/>
  <c r="B2748" i="2"/>
  <c r="C2748" i="2" s="1"/>
  <c r="B2749" i="2"/>
  <c r="C2749" i="2" s="1"/>
  <c r="B2750" i="2"/>
  <c r="C2750" i="2" s="1"/>
  <c r="B2751" i="2"/>
  <c r="C2751" i="2" s="1"/>
  <c r="B2752" i="2"/>
  <c r="C2752" i="2" s="1"/>
  <c r="B2753" i="2"/>
  <c r="C2753" i="2" s="1"/>
  <c r="B2754" i="2"/>
  <c r="C2754" i="2" s="1"/>
  <c r="B2755" i="2"/>
  <c r="C2755" i="2" s="1"/>
  <c r="B2756" i="2"/>
  <c r="C2756" i="2" s="1"/>
  <c r="B2757" i="2"/>
  <c r="C2757" i="2" s="1"/>
  <c r="B2758" i="2"/>
  <c r="C2758" i="2" s="1"/>
  <c r="B2759" i="2"/>
  <c r="C2759" i="2" s="1"/>
  <c r="B2760" i="2"/>
  <c r="C2760" i="2" s="1"/>
  <c r="B2761" i="2"/>
  <c r="C2761" i="2" s="1"/>
  <c r="B2762" i="2"/>
  <c r="C2762" i="2" s="1"/>
  <c r="B2763" i="2"/>
  <c r="C2763" i="2" s="1"/>
  <c r="B2764" i="2"/>
  <c r="C2764" i="2" s="1"/>
  <c r="B2765" i="2"/>
  <c r="C2765" i="2" s="1"/>
  <c r="B2766" i="2"/>
  <c r="C2766" i="2" s="1"/>
  <c r="B2767" i="2"/>
  <c r="C2767" i="2" s="1"/>
  <c r="B2768" i="2"/>
  <c r="C2768" i="2" s="1"/>
  <c r="B2769" i="2"/>
  <c r="C2769" i="2" s="1"/>
  <c r="B2770" i="2"/>
  <c r="C2770" i="2" s="1"/>
  <c r="B2771" i="2"/>
  <c r="C2771" i="2" s="1"/>
  <c r="B2772" i="2"/>
  <c r="C2772" i="2" s="1"/>
  <c r="B2773" i="2"/>
  <c r="C2773" i="2" s="1"/>
  <c r="B2774" i="2"/>
  <c r="C2774" i="2" s="1"/>
  <c r="B2775" i="2"/>
  <c r="C2775" i="2" s="1"/>
  <c r="B2776" i="2"/>
  <c r="C2776" i="2" s="1"/>
  <c r="B2777" i="2"/>
  <c r="C2777" i="2" s="1"/>
  <c r="B2778" i="2"/>
  <c r="C2778" i="2" s="1"/>
  <c r="B2779" i="2"/>
  <c r="C2779" i="2" s="1"/>
  <c r="B2780" i="2"/>
  <c r="C2780" i="2" s="1"/>
  <c r="B2781" i="2"/>
  <c r="C2781" i="2" s="1"/>
  <c r="B2782" i="2"/>
  <c r="C2782" i="2" s="1"/>
  <c r="B2783" i="2"/>
  <c r="C2783" i="2" s="1"/>
  <c r="B2784" i="2"/>
  <c r="C2784" i="2" s="1"/>
  <c r="B2785" i="2"/>
  <c r="C2785" i="2" s="1"/>
  <c r="B2786" i="2"/>
  <c r="C2786" i="2" s="1"/>
  <c r="B2787" i="2"/>
  <c r="C2787" i="2" s="1"/>
  <c r="B2788" i="2"/>
  <c r="C2788" i="2" s="1"/>
  <c r="B2789" i="2"/>
  <c r="C2789" i="2" s="1"/>
  <c r="B2790" i="2"/>
  <c r="C2790" i="2" s="1"/>
  <c r="B2791" i="2"/>
  <c r="C2791" i="2" s="1"/>
  <c r="B2792" i="2"/>
  <c r="C2792" i="2" s="1"/>
  <c r="B2793" i="2"/>
  <c r="C2793" i="2" s="1"/>
  <c r="B2794" i="2"/>
  <c r="C2794" i="2" s="1"/>
  <c r="B2795" i="2"/>
  <c r="C2795" i="2" s="1"/>
  <c r="B2796" i="2"/>
  <c r="C2796" i="2" s="1"/>
  <c r="B2797" i="2"/>
  <c r="C2797" i="2" s="1"/>
  <c r="B2798" i="2"/>
  <c r="C2798" i="2" s="1"/>
  <c r="B2799" i="2"/>
  <c r="C2799" i="2" s="1"/>
  <c r="B2800" i="2"/>
  <c r="C2800" i="2" s="1"/>
  <c r="B2801" i="2"/>
  <c r="C2801" i="2" s="1"/>
  <c r="B2802" i="2"/>
  <c r="C2802" i="2" s="1"/>
  <c r="B2803" i="2"/>
  <c r="C2803" i="2" s="1"/>
  <c r="B2804" i="2"/>
  <c r="C2804" i="2" s="1"/>
  <c r="B2805" i="2"/>
  <c r="C2805" i="2" s="1"/>
  <c r="B2806" i="2"/>
  <c r="C2806" i="2" s="1"/>
  <c r="B2807" i="2"/>
  <c r="C2807" i="2" s="1"/>
  <c r="B2808" i="2"/>
  <c r="C2808" i="2" s="1"/>
  <c r="B2809" i="2"/>
  <c r="C2809" i="2" s="1"/>
  <c r="B2810" i="2"/>
  <c r="C2810" i="2" s="1"/>
  <c r="B2811" i="2"/>
  <c r="C2811" i="2" s="1"/>
  <c r="B2812" i="2"/>
  <c r="C2812" i="2" s="1"/>
  <c r="B2813" i="2"/>
  <c r="C2813" i="2" s="1"/>
  <c r="B2814" i="2"/>
  <c r="C2814" i="2" s="1"/>
  <c r="B2815" i="2"/>
  <c r="C2815" i="2" s="1"/>
  <c r="B2816" i="2"/>
  <c r="C2816" i="2" s="1"/>
  <c r="B2817" i="2"/>
  <c r="C2817" i="2" s="1"/>
  <c r="B2818" i="2"/>
  <c r="C2818" i="2" s="1"/>
  <c r="B2819" i="2"/>
  <c r="C2819" i="2" s="1"/>
  <c r="B2820" i="2"/>
  <c r="C2820" i="2" s="1"/>
  <c r="B2821" i="2"/>
  <c r="C2821" i="2" s="1"/>
  <c r="B2822" i="2"/>
  <c r="C2822" i="2" s="1"/>
  <c r="B2823" i="2"/>
  <c r="C2823" i="2" s="1"/>
  <c r="B2824" i="2"/>
  <c r="C2824" i="2" s="1"/>
  <c r="B2825" i="2"/>
  <c r="C2825" i="2" s="1"/>
  <c r="B2826" i="2"/>
  <c r="C2826" i="2" s="1"/>
  <c r="B2827" i="2"/>
  <c r="C2827" i="2" s="1"/>
  <c r="B2828" i="2"/>
  <c r="C2828" i="2" s="1"/>
  <c r="B2829" i="2"/>
  <c r="C2829" i="2" s="1"/>
  <c r="B2830" i="2"/>
  <c r="C2830" i="2" s="1"/>
  <c r="B2831" i="2"/>
  <c r="C2831" i="2" s="1"/>
  <c r="B2832" i="2"/>
  <c r="C2832" i="2" s="1"/>
  <c r="B2833" i="2"/>
  <c r="C2833" i="2" s="1"/>
  <c r="B2834" i="2"/>
  <c r="C2834" i="2" s="1"/>
  <c r="B2835" i="2"/>
  <c r="C2835" i="2" s="1"/>
  <c r="B2836" i="2"/>
  <c r="C2836" i="2" s="1"/>
  <c r="B2837" i="2"/>
  <c r="C2837" i="2" s="1"/>
  <c r="B2838" i="2"/>
  <c r="C2838" i="2" s="1"/>
  <c r="B2839" i="2"/>
  <c r="C2839" i="2" s="1"/>
  <c r="B2840" i="2"/>
  <c r="C2840" i="2" s="1"/>
  <c r="B2841" i="2"/>
  <c r="C2841" i="2" s="1"/>
  <c r="B2842" i="2"/>
  <c r="C2842" i="2" s="1"/>
  <c r="B2843" i="2"/>
  <c r="C2843" i="2" s="1"/>
  <c r="B2844" i="2"/>
  <c r="C2844" i="2" s="1"/>
  <c r="B2845" i="2"/>
  <c r="C2845" i="2" s="1"/>
  <c r="B2846" i="2"/>
  <c r="C2846" i="2" s="1"/>
  <c r="B2847" i="2"/>
  <c r="C2847" i="2" s="1"/>
  <c r="B2848" i="2"/>
  <c r="C2848" i="2" s="1"/>
  <c r="B2849" i="2"/>
  <c r="C2849" i="2" s="1"/>
  <c r="B2850" i="2"/>
  <c r="C2850" i="2" s="1"/>
  <c r="B2851" i="2"/>
  <c r="C2851" i="2" s="1"/>
  <c r="B2852" i="2"/>
  <c r="C2852" i="2" s="1"/>
  <c r="B2853" i="2"/>
  <c r="C2853" i="2" s="1"/>
  <c r="B2854" i="2"/>
  <c r="C2854" i="2" s="1"/>
  <c r="B2855" i="2"/>
  <c r="C2855" i="2" s="1"/>
  <c r="B2856" i="2"/>
  <c r="C2856" i="2" s="1"/>
  <c r="B2857" i="2"/>
  <c r="C2857" i="2" s="1"/>
  <c r="B2858" i="2"/>
  <c r="C2858" i="2" s="1"/>
  <c r="B2859" i="2"/>
  <c r="C2859" i="2" s="1"/>
  <c r="B2860" i="2"/>
  <c r="C2860" i="2" s="1"/>
  <c r="B2861" i="2"/>
  <c r="C2861" i="2" s="1"/>
  <c r="B2862" i="2"/>
  <c r="C2862" i="2" s="1"/>
  <c r="B2863" i="2"/>
  <c r="C2863" i="2" s="1"/>
  <c r="B2864" i="2"/>
  <c r="C2864" i="2" s="1"/>
  <c r="B2865" i="2"/>
  <c r="C2865" i="2" s="1"/>
  <c r="B2866" i="2"/>
  <c r="C2866" i="2" s="1"/>
  <c r="B2867" i="2"/>
  <c r="C2867" i="2" s="1"/>
  <c r="B2868" i="2"/>
  <c r="C2868" i="2" s="1"/>
  <c r="B2869" i="2"/>
  <c r="C2869" i="2" s="1"/>
  <c r="B2870" i="2"/>
  <c r="C2870" i="2" s="1"/>
  <c r="B2871" i="2"/>
  <c r="C2871" i="2" s="1"/>
  <c r="B2872" i="2"/>
  <c r="C2872" i="2" s="1"/>
  <c r="B2873" i="2"/>
  <c r="C2873" i="2" s="1"/>
  <c r="B2874" i="2"/>
  <c r="C2874" i="2" s="1"/>
  <c r="B2875" i="2"/>
  <c r="C2875" i="2" s="1"/>
  <c r="B2876" i="2"/>
  <c r="C2876" i="2" s="1"/>
  <c r="B2877" i="2"/>
  <c r="C2877" i="2" s="1"/>
  <c r="B2878" i="2"/>
  <c r="C2878" i="2" s="1"/>
  <c r="B2879" i="2"/>
  <c r="C2879" i="2" s="1"/>
  <c r="B2880" i="2"/>
  <c r="C2880" i="2" s="1"/>
  <c r="B2881" i="2"/>
  <c r="C2881" i="2" s="1"/>
  <c r="B2882" i="2"/>
  <c r="C2882" i="2" s="1"/>
  <c r="B2883" i="2"/>
  <c r="C2883" i="2" s="1"/>
  <c r="B2884" i="2"/>
  <c r="C2884" i="2" s="1"/>
  <c r="B2" i="2"/>
  <c r="C2" i="2" s="1"/>
  <c r="J17" i="2" l="1"/>
  <c r="J19" i="2" s="1"/>
  <c r="J6" i="2"/>
  <c r="J8" i="2" s="1"/>
  <c r="J5" i="2"/>
  <c r="J7" i="2" s="1"/>
  <c r="J16" i="2"/>
  <c r="J18" i="2" s="1"/>
</calcChain>
</file>

<file path=xl/sharedStrings.xml><?xml version="1.0" encoding="utf-8"?>
<sst xmlns="http://schemas.openxmlformats.org/spreadsheetml/2006/main" count="20248" uniqueCount="3037">
  <si>
    <t>kunci</t>
  </si>
  <si>
    <t>Domain_Code</t>
  </si>
  <si>
    <t>Domain</t>
  </si>
  <si>
    <t>Area_Code</t>
  </si>
  <si>
    <t>Area</t>
  </si>
  <si>
    <t>Element_Code</t>
  </si>
  <si>
    <t>Element</t>
  </si>
  <si>
    <t>Item_Code</t>
  </si>
  <si>
    <t>Item</t>
  </si>
  <si>
    <t>Year_Code</t>
  </si>
  <si>
    <t>Year</t>
  </si>
  <si>
    <t>Unit</t>
  </si>
  <si>
    <t>Value</t>
  </si>
  <si>
    <t>curah_hujan</t>
  </si>
  <si>
    <t>Afghanistan_1985</t>
  </si>
  <si>
    <t>QC</t>
  </si>
  <si>
    <t>Crops</t>
  </si>
  <si>
    <t>Afghanistan</t>
  </si>
  <si>
    <t>Yield</t>
  </si>
  <si>
    <t>Rice, paddy</t>
  </si>
  <si>
    <t>hg/ha</t>
  </si>
  <si>
    <t>Afghanistan_1986</t>
  </si>
  <si>
    <t>Afghanistan_1987</t>
  </si>
  <si>
    <t>Afghanistan_1989</t>
  </si>
  <si>
    <t>Afghanistan_1990</t>
  </si>
  <si>
    <t>Afghanistan_1991</t>
  </si>
  <si>
    <t>Afghanistan_1992</t>
  </si>
  <si>
    <t>Afghanistan_1993</t>
  </si>
  <si>
    <t>Afghanistan_1994</t>
  </si>
  <si>
    <t>Afghanistan_1995</t>
  </si>
  <si>
    <t>Afghanistan_1996</t>
  </si>
  <si>
    <t>Afghanistan_1997</t>
  </si>
  <si>
    <t>Afghanistan_1998</t>
  </si>
  <si>
    <t>Afghanistan_1999</t>
  </si>
  <si>
    <t>Afghanistan_2000</t>
  </si>
  <si>
    <t>Afghanistan_2001</t>
  </si>
  <si>
    <t>Afghanistan_2002</t>
  </si>
  <si>
    <t>Afghanistan_2004</t>
  </si>
  <si>
    <t>Afghanistan_2005</t>
  </si>
  <si>
    <t>Afghanistan_2006</t>
  </si>
  <si>
    <t>Afghanistan_2007</t>
  </si>
  <si>
    <t>Afghanistan_2008</t>
  </si>
  <si>
    <t>Afghanistan_2009</t>
  </si>
  <si>
    <t>Afghanistan_2010</t>
  </si>
  <si>
    <t>Afghanistan_2011</t>
  </si>
  <si>
    <t>Afghanistan_2012</t>
  </si>
  <si>
    <t>Afghanistan_2013</t>
  </si>
  <si>
    <t>Afghanistan_2014</t>
  </si>
  <si>
    <t>Afghanistan_2015</t>
  </si>
  <si>
    <t>Afghanistan_2016</t>
  </si>
  <si>
    <t>Albania_1985</t>
  </si>
  <si>
    <t>Albania</t>
  </si>
  <si>
    <t>Albania_1986</t>
  </si>
  <si>
    <t>Albania_1987</t>
  </si>
  <si>
    <t>Albania_1989</t>
  </si>
  <si>
    <t>Albania_1990</t>
  </si>
  <si>
    <t>Albania_1991</t>
  </si>
  <si>
    <t>Albania_1992</t>
  </si>
  <si>
    <t>Albania_1993</t>
  </si>
  <si>
    <t>Algeria_1985</t>
  </si>
  <si>
    <t>Algeria</t>
  </si>
  <si>
    <t>Algeria_1986</t>
  </si>
  <si>
    <t>Algeria_1987</t>
  </si>
  <si>
    <t>Algeria_1989</t>
  </si>
  <si>
    <t>Algeria_1990</t>
  </si>
  <si>
    <t>Algeria_1991</t>
  </si>
  <si>
    <t>Algeria_1992</t>
  </si>
  <si>
    <t>Algeria_1993</t>
  </si>
  <si>
    <t>Algeria_1994</t>
  </si>
  <si>
    <t>Algeria_1995</t>
  </si>
  <si>
    <t>Algeria_1996</t>
  </si>
  <si>
    <t>Algeria_1997</t>
  </si>
  <si>
    <t>Algeria_1998</t>
  </si>
  <si>
    <t>Algeria_1999</t>
  </si>
  <si>
    <t>Algeria_2000</t>
  </si>
  <si>
    <t>Algeria_2001</t>
  </si>
  <si>
    <t>Algeria_2002</t>
  </si>
  <si>
    <t>Algeria_2004</t>
  </si>
  <si>
    <t>Algeria_2005</t>
  </si>
  <si>
    <t>Algeria_2006</t>
  </si>
  <si>
    <t>Algeria_2007</t>
  </si>
  <si>
    <t>Algeria_2008</t>
  </si>
  <si>
    <t>Algeria_2009</t>
  </si>
  <si>
    <t>Algeria_2010</t>
  </si>
  <si>
    <t>Algeria_2011</t>
  </si>
  <si>
    <t>Algeria_2012</t>
  </si>
  <si>
    <t>Algeria_2013</t>
  </si>
  <si>
    <t>Algeria_2014</t>
  </si>
  <si>
    <t>Algeria_2015</t>
  </si>
  <si>
    <t>Algeria_2016</t>
  </si>
  <si>
    <t>Angola_1985</t>
  </si>
  <si>
    <t>Angola</t>
  </si>
  <si>
    <t>Angola_1986</t>
  </si>
  <si>
    <t>Angola_1987</t>
  </si>
  <si>
    <t>Angola_1989</t>
  </si>
  <si>
    <t>Angola_1990</t>
  </si>
  <si>
    <t>Angola_1991</t>
  </si>
  <si>
    <t>Angola_1992</t>
  </si>
  <si>
    <t>Angola_1993</t>
  </si>
  <si>
    <t>Angola_1994</t>
  </si>
  <si>
    <t>Angola_1995</t>
  </si>
  <si>
    <t>Angola_1996</t>
  </si>
  <si>
    <t>Angola_1997</t>
  </si>
  <si>
    <t>Angola_1998</t>
  </si>
  <si>
    <t>Angola_1999</t>
  </si>
  <si>
    <t>Angola_2000</t>
  </si>
  <si>
    <t>Angola_2001</t>
  </si>
  <si>
    <t>Angola_2002</t>
  </si>
  <si>
    <t>Angola_2004</t>
  </si>
  <si>
    <t>Angola_2005</t>
  </si>
  <si>
    <t>Angola_2006</t>
  </si>
  <si>
    <t>Angola_2007</t>
  </si>
  <si>
    <t>Angola_2008</t>
  </si>
  <si>
    <t>Angola_2009</t>
  </si>
  <si>
    <t>Angola_2010</t>
  </si>
  <si>
    <t>Angola_2011</t>
  </si>
  <si>
    <t>Angola_2012</t>
  </si>
  <si>
    <t>Angola_2013</t>
  </si>
  <si>
    <t>Angola_2014</t>
  </si>
  <si>
    <t>Angola_2015</t>
  </si>
  <si>
    <t>Angola_2016</t>
  </si>
  <si>
    <t>Argentina_1985</t>
  </si>
  <si>
    <t>Argentina</t>
  </si>
  <si>
    <t>Argentina_1986</t>
  </si>
  <si>
    <t>Argentina_1987</t>
  </si>
  <si>
    <t>Argentina_1989</t>
  </si>
  <si>
    <t>Argentina_1990</t>
  </si>
  <si>
    <t>Argentina_1991</t>
  </si>
  <si>
    <t>Argentina_1992</t>
  </si>
  <si>
    <t>Argentina_1993</t>
  </si>
  <si>
    <t>Argentina_1994</t>
  </si>
  <si>
    <t>Argentina_1995</t>
  </si>
  <si>
    <t>Argentina_1996</t>
  </si>
  <si>
    <t>Argentina_1997</t>
  </si>
  <si>
    <t>Argentina_1998</t>
  </si>
  <si>
    <t>Argentina_1999</t>
  </si>
  <si>
    <t>Argentina_2000</t>
  </si>
  <si>
    <t>Argentina_2001</t>
  </si>
  <si>
    <t>Argentina_2002</t>
  </si>
  <si>
    <t>Argentina_2004</t>
  </si>
  <si>
    <t>Argentina_2005</t>
  </si>
  <si>
    <t>Argentina_2006</t>
  </si>
  <si>
    <t>Argentina_2007</t>
  </si>
  <si>
    <t>Argentina_2008</t>
  </si>
  <si>
    <t>Argentina_2009</t>
  </si>
  <si>
    <t>Argentina_2010</t>
  </si>
  <si>
    <t>Argentina_2011</t>
  </si>
  <si>
    <t>Argentina_2012</t>
  </si>
  <si>
    <t>Argentina_2013</t>
  </si>
  <si>
    <t>Argentina_2014</t>
  </si>
  <si>
    <t>Argentina_2015</t>
  </si>
  <si>
    <t>Argentina_2016</t>
  </si>
  <si>
    <t>Australia_1985</t>
  </si>
  <si>
    <t>Australia</t>
  </si>
  <si>
    <t>Australia_1986</t>
  </si>
  <si>
    <t>Australia_1987</t>
  </si>
  <si>
    <t>Australia_1989</t>
  </si>
  <si>
    <t>Australia_1990</t>
  </si>
  <si>
    <t>Australia_1991</t>
  </si>
  <si>
    <t>Australia_1992</t>
  </si>
  <si>
    <t>Australia_1993</t>
  </si>
  <si>
    <t>Australia_1994</t>
  </si>
  <si>
    <t>Australia_1995</t>
  </si>
  <si>
    <t>Australia_1996</t>
  </si>
  <si>
    <t>Australia_1997</t>
  </si>
  <si>
    <t>Australia_1998</t>
  </si>
  <si>
    <t>Australia_1999</t>
  </si>
  <si>
    <t>Australia_2000</t>
  </si>
  <si>
    <t>Australia_2001</t>
  </si>
  <si>
    <t>Australia_2002</t>
  </si>
  <si>
    <t>Australia_2004</t>
  </si>
  <si>
    <t>Australia_2005</t>
  </si>
  <si>
    <t>Australia_2006</t>
  </si>
  <si>
    <t>Australia_2007</t>
  </si>
  <si>
    <t>Australia_2008</t>
  </si>
  <si>
    <t>Australia_2009</t>
  </si>
  <si>
    <t>Australia_2010</t>
  </si>
  <si>
    <t>Australia_2011</t>
  </si>
  <si>
    <t>Australia_2012</t>
  </si>
  <si>
    <t>Australia_2013</t>
  </si>
  <si>
    <t>Australia_2014</t>
  </si>
  <si>
    <t>Australia_2015</t>
  </si>
  <si>
    <t>Australia_2016</t>
  </si>
  <si>
    <t>Azerbaijan_1992</t>
  </si>
  <si>
    <t>Azerbaijan</t>
  </si>
  <si>
    <t>Azerbaijan_1993</t>
  </si>
  <si>
    <t>Azerbaijan_1994</t>
  </si>
  <si>
    <t>Azerbaijan_1995</t>
  </si>
  <si>
    <t>Azerbaijan_1996</t>
  </si>
  <si>
    <t>Azerbaijan_1997</t>
  </si>
  <si>
    <t>Azerbaijan_1998</t>
  </si>
  <si>
    <t>Azerbaijan_1999</t>
  </si>
  <si>
    <t>Azerbaijan_2000</t>
  </si>
  <si>
    <t>Azerbaijan_2001</t>
  </si>
  <si>
    <t>Azerbaijan_2002</t>
  </si>
  <si>
    <t>Azerbaijan_2004</t>
  </si>
  <si>
    <t>Azerbaijan_2005</t>
  </si>
  <si>
    <t>Azerbaijan_2006</t>
  </si>
  <si>
    <t>Azerbaijan_2007</t>
  </si>
  <si>
    <t>Azerbaijan_2008</t>
  </si>
  <si>
    <t>Azerbaijan_2009</t>
  </si>
  <si>
    <t>Azerbaijan_2010</t>
  </si>
  <si>
    <t>Azerbaijan_2011</t>
  </si>
  <si>
    <t>Azerbaijan_2012</t>
  </si>
  <si>
    <t>Azerbaijan_2013</t>
  </si>
  <si>
    <t>Azerbaijan_2014</t>
  </si>
  <si>
    <t>Azerbaijan_2015</t>
  </si>
  <si>
    <t>Azerbaijan_2016</t>
  </si>
  <si>
    <t>Bangladesh_1985</t>
  </si>
  <si>
    <t>Bangladesh</t>
  </si>
  <si>
    <t>Bangladesh_1986</t>
  </si>
  <si>
    <t>Bangladesh_1987</t>
  </si>
  <si>
    <t>Bangladesh_1989</t>
  </si>
  <si>
    <t>Bangladesh_1990</t>
  </si>
  <si>
    <t>Bangladesh_1991</t>
  </si>
  <si>
    <t>Bangladesh_1992</t>
  </si>
  <si>
    <t>Bangladesh_1993</t>
  </si>
  <si>
    <t>Bangladesh_1994</t>
  </si>
  <si>
    <t>Bangladesh_1995</t>
  </si>
  <si>
    <t>Bangladesh_1996</t>
  </si>
  <si>
    <t>Bangladesh_1997</t>
  </si>
  <si>
    <t>Bangladesh_1998</t>
  </si>
  <si>
    <t>Bangladesh_1999</t>
  </si>
  <si>
    <t>Bangladesh_2000</t>
  </si>
  <si>
    <t>Bangladesh_2001</t>
  </si>
  <si>
    <t>Bangladesh_2002</t>
  </si>
  <si>
    <t>Bangladesh_2004</t>
  </si>
  <si>
    <t>Bangladesh_2005</t>
  </si>
  <si>
    <t>Bangladesh_2006</t>
  </si>
  <si>
    <t>Bangladesh_2007</t>
  </si>
  <si>
    <t>Bangladesh_2008</t>
  </si>
  <si>
    <t>Bangladesh_2009</t>
  </si>
  <si>
    <t>Bangladesh_2010</t>
  </si>
  <si>
    <t>Bangladesh_2011</t>
  </si>
  <si>
    <t>Bangladesh_2012</t>
  </si>
  <si>
    <t>Bangladesh_2013</t>
  </si>
  <si>
    <t>Bangladesh_2014</t>
  </si>
  <si>
    <t>Bangladesh_2015</t>
  </si>
  <si>
    <t>Bangladesh_2016</t>
  </si>
  <si>
    <t>Belize_1985</t>
  </si>
  <si>
    <t>Belize</t>
  </si>
  <si>
    <t>Belize_1986</t>
  </si>
  <si>
    <t>Belize_1987</t>
  </si>
  <si>
    <t>Belize_1989</t>
  </si>
  <si>
    <t>Belize_1990</t>
  </si>
  <si>
    <t>Belize_1991</t>
  </si>
  <si>
    <t>Belize_1992</t>
  </si>
  <si>
    <t>Belize_1993</t>
  </si>
  <si>
    <t>Belize_1994</t>
  </si>
  <si>
    <t>Belize_1995</t>
  </si>
  <si>
    <t>Belize_1996</t>
  </si>
  <si>
    <t>Belize_1997</t>
  </si>
  <si>
    <t>Belize_1998</t>
  </si>
  <si>
    <t>Belize_1999</t>
  </si>
  <si>
    <t>Belize_2000</t>
  </si>
  <si>
    <t>Belize_2001</t>
  </si>
  <si>
    <t>Belize_2002</t>
  </si>
  <si>
    <t>Belize_2004</t>
  </si>
  <si>
    <t>Belize_2005</t>
  </si>
  <si>
    <t>Belize_2006</t>
  </si>
  <si>
    <t>Belize_2007</t>
  </si>
  <si>
    <t>Belize_2008</t>
  </si>
  <si>
    <t>Belize_2009</t>
  </si>
  <si>
    <t>Belize_2010</t>
  </si>
  <si>
    <t>Belize_2011</t>
  </si>
  <si>
    <t>Belize_2012</t>
  </si>
  <si>
    <t>Belize_2013</t>
  </si>
  <si>
    <t>Belize_2014</t>
  </si>
  <si>
    <t>Belize_2015</t>
  </si>
  <si>
    <t>Belize_2016</t>
  </si>
  <si>
    <t>Benin_1985</t>
  </si>
  <si>
    <t>Benin</t>
  </si>
  <si>
    <t>Benin_1986</t>
  </si>
  <si>
    <t>Benin_1987</t>
  </si>
  <si>
    <t>Benin_1989</t>
  </si>
  <si>
    <t>Benin_1990</t>
  </si>
  <si>
    <t>Benin_1991</t>
  </si>
  <si>
    <t>Benin_1992</t>
  </si>
  <si>
    <t>Benin_1993</t>
  </si>
  <si>
    <t>Benin_1994</t>
  </si>
  <si>
    <t>Benin_1995</t>
  </si>
  <si>
    <t>Benin_1996</t>
  </si>
  <si>
    <t>Benin_1997</t>
  </si>
  <si>
    <t>Benin_1998</t>
  </si>
  <si>
    <t>Benin_1999</t>
  </si>
  <si>
    <t>Benin_2000</t>
  </si>
  <si>
    <t>Benin_2001</t>
  </si>
  <si>
    <t>Benin_2002</t>
  </si>
  <si>
    <t>Benin_2004</t>
  </si>
  <si>
    <t>Benin_2005</t>
  </si>
  <si>
    <t>Benin_2006</t>
  </si>
  <si>
    <t>Benin_2007</t>
  </si>
  <si>
    <t>Benin_2008</t>
  </si>
  <si>
    <t>Benin_2009</t>
  </si>
  <si>
    <t>Benin_2010</t>
  </si>
  <si>
    <t>Benin_2011</t>
  </si>
  <si>
    <t>Benin_2012</t>
  </si>
  <si>
    <t>Benin_2013</t>
  </si>
  <si>
    <t>Benin_2014</t>
  </si>
  <si>
    <t>Benin_2015</t>
  </si>
  <si>
    <t>Benin_2016</t>
  </si>
  <si>
    <t>Bhutan_1985</t>
  </si>
  <si>
    <t>Bhutan</t>
  </si>
  <si>
    <t>Bhutan_1986</t>
  </si>
  <si>
    <t>Bhutan_1987</t>
  </si>
  <si>
    <t>Bhutan_1989</t>
  </si>
  <si>
    <t>Bhutan_1990</t>
  </si>
  <si>
    <t>Bhutan_1991</t>
  </si>
  <si>
    <t>Bhutan_1992</t>
  </si>
  <si>
    <t>Bhutan_1993</t>
  </si>
  <si>
    <t>Bhutan_1994</t>
  </si>
  <si>
    <t>Bhutan_1995</t>
  </si>
  <si>
    <t>Bhutan_1996</t>
  </si>
  <si>
    <t>Bhutan_1997</t>
  </si>
  <si>
    <t>Bhutan_1998</t>
  </si>
  <si>
    <t>Bhutan_1999</t>
  </si>
  <si>
    <t>Bhutan_2000</t>
  </si>
  <si>
    <t>Bhutan_2001</t>
  </si>
  <si>
    <t>Bhutan_2002</t>
  </si>
  <si>
    <t>Bhutan_2004</t>
  </si>
  <si>
    <t>Bhutan_2005</t>
  </si>
  <si>
    <t>Bhutan_2006</t>
  </si>
  <si>
    <t>Bhutan_2007</t>
  </si>
  <si>
    <t>Bhutan_2008</t>
  </si>
  <si>
    <t>Bhutan_2009</t>
  </si>
  <si>
    <t>Bhutan_2010</t>
  </si>
  <si>
    <t>Bhutan_2011</t>
  </si>
  <si>
    <t>Bhutan_2012</t>
  </si>
  <si>
    <t>Bhutan_2013</t>
  </si>
  <si>
    <t>Bhutan_2014</t>
  </si>
  <si>
    <t>Bhutan_2015</t>
  </si>
  <si>
    <t>Bhutan_2016</t>
  </si>
  <si>
    <t>Brazil_1985</t>
  </si>
  <si>
    <t>Brazil</t>
  </si>
  <si>
    <t>Brazil_1986</t>
  </si>
  <si>
    <t>Brazil_1987</t>
  </si>
  <si>
    <t>Brazil_1989</t>
  </si>
  <si>
    <t>Brazil_1990</t>
  </si>
  <si>
    <t>Brazil_1991</t>
  </si>
  <si>
    <t>Brazil_1992</t>
  </si>
  <si>
    <t>Brazil_1993</t>
  </si>
  <si>
    <t>Brazil_1994</t>
  </si>
  <si>
    <t>Brazil_1995</t>
  </si>
  <si>
    <t>Brazil_1996</t>
  </si>
  <si>
    <t>Brazil_1997</t>
  </si>
  <si>
    <t>Brazil_1998</t>
  </si>
  <si>
    <t>Brazil_1999</t>
  </si>
  <si>
    <t>Brazil_2000</t>
  </si>
  <si>
    <t>Brazil_2001</t>
  </si>
  <si>
    <t>Brazil_2002</t>
  </si>
  <si>
    <t>Brazil_2004</t>
  </si>
  <si>
    <t>Brazil_2005</t>
  </si>
  <si>
    <t>Brazil_2006</t>
  </si>
  <si>
    <t>Brazil_2007</t>
  </si>
  <si>
    <t>Brazil_2008</t>
  </si>
  <si>
    <t>Brazil_2009</t>
  </si>
  <si>
    <t>Brazil_2010</t>
  </si>
  <si>
    <t>Brazil_2011</t>
  </si>
  <si>
    <t>Brazil_2012</t>
  </si>
  <si>
    <t>Brazil_2013</t>
  </si>
  <si>
    <t>Brazil_2014</t>
  </si>
  <si>
    <t>Brazil_2015</t>
  </si>
  <si>
    <t>Brazil_2016</t>
  </si>
  <si>
    <t>Brunei Darussalam_1985</t>
  </si>
  <si>
    <t>Brunei Darussalam</t>
  </si>
  <si>
    <t>Brunei Darussalam_1986</t>
  </si>
  <si>
    <t>Brunei Darussalam_1987</t>
  </si>
  <si>
    <t>Brunei Darussalam_1989</t>
  </si>
  <si>
    <t>Brunei Darussalam_1990</t>
  </si>
  <si>
    <t>Brunei Darussalam_1991</t>
  </si>
  <si>
    <t>Brunei Darussalam_1992</t>
  </si>
  <si>
    <t>Brunei Darussalam_1993</t>
  </si>
  <si>
    <t>Brunei Darussalam_1994</t>
  </si>
  <si>
    <t>Brunei Darussalam_1995</t>
  </si>
  <si>
    <t>Brunei Darussalam_1996</t>
  </si>
  <si>
    <t>Brunei Darussalam_1997</t>
  </si>
  <si>
    <t>Brunei Darussalam_1998</t>
  </si>
  <si>
    <t>Brunei Darussalam_1999</t>
  </si>
  <si>
    <t>Brunei Darussalam_2000</t>
  </si>
  <si>
    <t>Brunei Darussalam_2001</t>
  </si>
  <si>
    <t>Brunei Darussalam_2002</t>
  </si>
  <si>
    <t>Brunei Darussalam_2004</t>
  </si>
  <si>
    <t>Brunei Darussalam_2005</t>
  </si>
  <si>
    <t>Brunei Darussalam_2006</t>
  </si>
  <si>
    <t>Brunei Darussalam_2007</t>
  </si>
  <si>
    <t>Brunei Darussalam_2008</t>
  </si>
  <si>
    <t>Brunei Darussalam_2009</t>
  </si>
  <si>
    <t>Brunei Darussalam_2010</t>
  </si>
  <si>
    <t>Brunei Darussalam_2011</t>
  </si>
  <si>
    <t>Brunei Darussalam_2012</t>
  </si>
  <si>
    <t>Brunei Darussalam_2013</t>
  </si>
  <si>
    <t>Brunei Darussalam_2014</t>
  </si>
  <si>
    <t>Brunei Darussalam_2015</t>
  </si>
  <si>
    <t>Brunei Darussalam_2016</t>
  </si>
  <si>
    <t>Bulgaria_1985</t>
  </si>
  <si>
    <t>Bulgaria</t>
  </si>
  <si>
    <t>Bulgaria_1986</t>
  </si>
  <si>
    <t>Bulgaria_1987</t>
  </si>
  <si>
    <t>Bulgaria_1989</t>
  </si>
  <si>
    <t>Bulgaria_1990</t>
  </si>
  <si>
    <t>Bulgaria_1991</t>
  </si>
  <si>
    <t>Bulgaria_1992</t>
  </si>
  <si>
    <t>Bulgaria_1993</t>
  </si>
  <si>
    <t>Bulgaria_1994</t>
  </si>
  <si>
    <t>Bulgaria_1995</t>
  </si>
  <si>
    <t>Bulgaria_1996</t>
  </si>
  <si>
    <t>Bulgaria_1997</t>
  </si>
  <si>
    <t>Bulgaria_1998</t>
  </si>
  <si>
    <t>Bulgaria_1999</t>
  </si>
  <si>
    <t>Bulgaria_2000</t>
  </si>
  <si>
    <t>Bulgaria_2001</t>
  </si>
  <si>
    <t>Bulgaria_2002</t>
  </si>
  <si>
    <t>Bulgaria_2004</t>
  </si>
  <si>
    <t>Bulgaria_2005</t>
  </si>
  <si>
    <t>Bulgaria_2006</t>
  </si>
  <si>
    <t>Bulgaria_2007</t>
  </si>
  <si>
    <t>Bulgaria_2008</t>
  </si>
  <si>
    <t>Bulgaria_2009</t>
  </si>
  <si>
    <t>Bulgaria_2010</t>
  </si>
  <si>
    <t>Bulgaria_2011</t>
  </si>
  <si>
    <t>Bulgaria_2012</t>
  </si>
  <si>
    <t>Bulgaria_2013</t>
  </si>
  <si>
    <t>Bulgaria_2014</t>
  </si>
  <si>
    <t>Bulgaria_2015</t>
  </si>
  <si>
    <t>Bulgaria_2016</t>
  </si>
  <si>
    <t>Burkina Faso_1985</t>
  </si>
  <si>
    <t>Burkina Faso</t>
  </si>
  <si>
    <t>Burkina Faso_1986</t>
  </si>
  <si>
    <t>Burkina Faso_1987</t>
  </si>
  <si>
    <t>Burkina Faso_1989</t>
  </si>
  <si>
    <t>Burkina Faso_1990</t>
  </si>
  <si>
    <t>Burkina Faso_1991</t>
  </si>
  <si>
    <t>Burkina Faso_1992</t>
  </si>
  <si>
    <t>Burkina Faso_1993</t>
  </si>
  <si>
    <t>Burkina Faso_1994</t>
  </si>
  <si>
    <t>Burkina Faso_1995</t>
  </si>
  <si>
    <t>Burkina Faso_1996</t>
  </si>
  <si>
    <t>Burkina Faso_1997</t>
  </si>
  <si>
    <t>Burkina Faso_1998</t>
  </si>
  <si>
    <t>Burkina Faso_1999</t>
  </si>
  <si>
    <t>Burkina Faso_2000</t>
  </si>
  <si>
    <t>Burkina Faso_2001</t>
  </si>
  <si>
    <t>Burkina Faso_2002</t>
  </si>
  <si>
    <t>Burkina Faso_2004</t>
  </si>
  <si>
    <t>Burkina Faso_2005</t>
  </si>
  <si>
    <t>Burkina Faso_2006</t>
  </si>
  <si>
    <t>Burkina Faso_2007</t>
  </si>
  <si>
    <t>Burkina Faso_2008</t>
  </si>
  <si>
    <t>Burkina Faso_2009</t>
  </si>
  <si>
    <t>Burkina Faso_2010</t>
  </si>
  <si>
    <t>Burkina Faso_2011</t>
  </si>
  <si>
    <t>Burkina Faso_2012</t>
  </si>
  <si>
    <t>Burkina Faso_2013</t>
  </si>
  <si>
    <t>Burkina Faso_2014</t>
  </si>
  <si>
    <t>Burkina Faso_2015</t>
  </si>
  <si>
    <t>Burkina Faso_2016</t>
  </si>
  <si>
    <t>Burundi_1985</t>
  </si>
  <si>
    <t>Burundi</t>
  </si>
  <si>
    <t>Burundi_1986</t>
  </si>
  <si>
    <t>Burundi_1987</t>
  </si>
  <si>
    <t>Burundi_1989</t>
  </si>
  <si>
    <t>Burundi_1990</t>
  </si>
  <si>
    <t>Burundi_1991</t>
  </si>
  <si>
    <t>Burundi_1992</t>
  </si>
  <si>
    <t>Burundi_1993</t>
  </si>
  <si>
    <t>Burundi_1994</t>
  </si>
  <si>
    <t>Burundi_1995</t>
  </si>
  <si>
    <t>Burundi_1996</t>
  </si>
  <si>
    <t>Burundi_1997</t>
  </si>
  <si>
    <t>Burundi_1998</t>
  </si>
  <si>
    <t>Burundi_1999</t>
  </si>
  <si>
    <t>Burundi_2000</t>
  </si>
  <si>
    <t>Burundi_2001</t>
  </si>
  <si>
    <t>Burundi_2002</t>
  </si>
  <si>
    <t>Burundi_2004</t>
  </si>
  <si>
    <t>Burundi_2005</t>
  </si>
  <si>
    <t>Burundi_2006</t>
  </si>
  <si>
    <t>Burundi_2007</t>
  </si>
  <si>
    <t>Burundi_2008</t>
  </si>
  <si>
    <t>Burundi_2009</t>
  </si>
  <si>
    <t>Burundi_2010</t>
  </si>
  <si>
    <t>Burundi_2011</t>
  </si>
  <si>
    <t>Burundi_2012</t>
  </si>
  <si>
    <t>Burundi_2013</t>
  </si>
  <si>
    <t>Burundi_2014</t>
  </si>
  <si>
    <t>Burundi_2015</t>
  </si>
  <si>
    <t>Burundi_2016</t>
  </si>
  <si>
    <t>Cambodia_1985</t>
  </si>
  <si>
    <t>Cambodia</t>
  </si>
  <si>
    <t>Cambodia_1986</t>
  </si>
  <si>
    <t>Cambodia_1987</t>
  </si>
  <si>
    <t>Cambodia_1989</t>
  </si>
  <si>
    <t>Cambodia_1990</t>
  </si>
  <si>
    <t>Cambodia_1991</t>
  </si>
  <si>
    <t>Cambodia_1992</t>
  </si>
  <si>
    <t>Cambodia_1993</t>
  </si>
  <si>
    <t>Cambodia_1994</t>
  </si>
  <si>
    <t>Cambodia_1995</t>
  </si>
  <si>
    <t>Cambodia_1996</t>
  </si>
  <si>
    <t>Cambodia_1997</t>
  </si>
  <si>
    <t>Cambodia_1998</t>
  </si>
  <si>
    <t>Cambodia_1999</t>
  </si>
  <si>
    <t>Cambodia_2000</t>
  </si>
  <si>
    <t>Cambodia_2001</t>
  </si>
  <si>
    <t>Cambodia_2002</t>
  </si>
  <si>
    <t>Cambodia_2004</t>
  </si>
  <si>
    <t>Cambodia_2005</t>
  </si>
  <si>
    <t>Cambodia_2006</t>
  </si>
  <si>
    <t>Cambodia_2007</t>
  </si>
  <si>
    <t>Cambodia_2008</t>
  </si>
  <si>
    <t>Cambodia_2009</t>
  </si>
  <si>
    <t>Cambodia_2010</t>
  </si>
  <si>
    <t>Cambodia_2011</t>
  </si>
  <si>
    <t>Cambodia_2012</t>
  </si>
  <si>
    <t>Cambodia_2013</t>
  </si>
  <si>
    <t>Cambodia_2014</t>
  </si>
  <si>
    <t>Cambodia_2015</t>
  </si>
  <si>
    <t>Cambodia_2016</t>
  </si>
  <si>
    <t>Cameroon_1985</t>
  </si>
  <si>
    <t>Cameroon</t>
  </si>
  <si>
    <t>Cameroon_1986</t>
  </si>
  <si>
    <t>Cameroon_1987</t>
  </si>
  <si>
    <t>Cameroon_1989</t>
  </si>
  <si>
    <t>Cameroon_1990</t>
  </si>
  <si>
    <t>Cameroon_1991</t>
  </si>
  <si>
    <t>Cameroon_1992</t>
  </si>
  <si>
    <t>Cameroon_1993</t>
  </si>
  <si>
    <t>Cameroon_1994</t>
  </si>
  <si>
    <t>Cameroon_1995</t>
  </si>
  <si>
    <t>Cameroon_1996</t>
  </si>
  <si>
    <t>Cameroon_1997</t>
  </si>
  <si>
    <t>Cameroon_1998</t>
  </si>
  <si>
    <t>Cameroon_1999</t>
  </si>
  <si>
    <t>Cameroon_2000</t>
  </si>
  <si>
    <t>Cameroon_2001</t>
  </si>
  <si>
    <t>Cameroon_2002</t>
  </si>
  <si>
    <t>Cameroon_2004</t>
  </si>
  <si>
    <t>Cameroon_2005</t>
  </si>
  <si>
    <t>Cameroon_2006</t>
  </si>
  <si>
    <t>Cameroon_2007</t>
  </si>
  <si>
    <t>Cameroon_2008</t>
  </si>
  <si>
    <t>Cameroon_2009</t>
  </si>
  <si>
    <t>Cameroon_2010</t>
  </si>
  <si>
    <t>Cameroon_2011</t>
  </si>
  <si>
    <t>Cameroon_2012</t>
  </si>
  <si>
    <t>Cameroon_2013</t>
  </si>
  <si>
    <t>Cameroon_2014</t>
  </si>
  <si>
    <t>Cameroon_2015</t>
  </si>
  <si>
    <t>Cameroon_2016</t>
  </si>
  <si>
    <t>Central African Republic_1985</t>
  </si>
  <si>
    <t>Central African Republic</t>
  </si>
  <si>
    <t>Central African Republic_1986</t>
  </si>
  <si>
    <t>Central African Republic_1987</t>
  </si>
  <si>
    <t>Central African Republic_1989</t>
  </si>
  <si>
    <t>Central African Republic_1990</t>
  </si>
  <si>
    <t>Central African Republic_1991</t>
  </si>
  <si>
    <t>Central African Republic_1992</t>
  </si>
  <si>
    <t>Central African Republic_1993</t>
  </si>
  <si>
    <t>Central African Republic_1994</t>
  </si>
  <si>
    <t>Central African Republic_1995</t>
  </si>
  <si>
    <t>Central African Republic_1996</t>
  </si>
  <si>
    <t>Central African Republic_1997</t>
  </si>
  <si>
    <t>Central African Republic_1998</t>
  </si>
  <si>
    <t>Central African Republic_1999</t>
  </si>
  <si>
    <t>Central African Republic_2000</t>
  </si>
  <si>
    <t>Central African Republic_2001</t>
  </si>
  <si>
    <t>Central African Republic_2002</t>
  </si>
  <si>
    <t>Central African Republic_2004</t>
  </si>
  <si>
    <t>Central African Republic_2005</t>
  </si>
  <si>
    <t>Central African Republic_2006</t>
  </si>
  <si>
    <t>Central African Republic_2007</t>
  </si>
  <si>
    <t>Central African Republic_2008</t>
  </si>
  <si>
    <t>Central African Republic_2009</t>
  </si>
  <si>
    <t>Central African Republic_2010</t>
  </si>
  <si>
    <t>Central African Republic_2011</t>
  </si>
  <si>
    <t>Central African Republic_2012</t>
  </si>
  <si>
    <t>Central African Republic_2013</t>
  </si>
  <si>
    <t>Central African Republic_2014</t>
  </si>
  <si>
    <t>Central African Republic_2015</t>
  </si>
  <si>
    <t>Central African Republic_2016</t>
  </si>
  <si>
    <t>Chad_1985</t>
  </si>
  <si>
    <t>Chad</t>
  </si>
  <si>
    <t>Chad_1986</t>
  </si>
  <si>
    <t>Chad_1987</t>
  </si>
  <si>
    <t>Chad_1989</t>
  </si>
  <si>
    <t>Chad_1990</t>
  </si>
  <si>
    <t>Chad_1991</t>
  </si>
  <si>
    <t>Chad_1992</t>
  </si>
  <si>
    <t>Chad_1993</t>
  </si>
  <si>
    <t>Chad_1994</t>
  </si>
  <si>
    <t>Chad_1995</t>
  </si>
  <si>
    <t>Chad_1996</t>
  </si>
  <si>
    <t>Chad_1997</t>
  </si>
  <si>
    <t>Chad_1998</t>
  </si>
  <si>
    <t>Chad_1999</t>
  </si>
  <si>
    <t>Chad_2000</t>
  </si>
  <si>
    <t>Chad_2001</t>
  </si>
  <si>
    <t>Chad_2002</t>
  </si>
  <si>
    <t>Chad_2004</t>
  </si>
  <si>
    <t>Chad_2005</t>
  </si>
  <si>
    <t>Chad_2006</t>
  </si>
  <si>
    <t>Chad_2007</t>
  </si>
  <si>
    <t>Chad_2008</t>
  </si>
  <si>
    <t>Chad_2009</t>
  </si>
  <si>
    <t>Chad_2010</t>
  </si>
  <si>
    <t>Chad_2011</t>
  </si>
  <si>
    <t>Chad_2012</t>
  </si>
  <si>
    <t>Chad_2013</t>
  </si>
  <si>
    <t>Chad_2014</t>
  </si>
  <si>
    <t>Chad_2015</t>
  </si>
  <si>
    <t>Chad_2016</t>
  </si>
  <si>
    <t>Chile_1985</t>
  </si>
  <si>
    <t>Chile</t>
  </si>
  <si>
    <t>Chile_1986</t>
  </si>
  <si>
    <t>Chile_1987</t>
  </si>
  <si>
    <t>Chile_1989</t>
  </si>
  <si>
    <t>Chile_1990</t>
  </si>
  <si>
    <t>Chile_1991</t>
  </si>
  <si>
    <t>Chile_1992</t>
  </si>
  <si>
    <t>Chile_1993</t>
  </si>
  <si>
    <t>Chile_1994</t>
  </si>
  <si>
    <t>Chile_1995</t>
  </si>
  <si>
    <t>Chile_1996</t>
  </si>
  <si>
    <t>Chile_1997</t>
  </si>
  <si>
    <t>Chile_1998</t>
  </si>
  <si>
    <t>Chile_1999</t>
  </si>
  <si>
    <t>Chile_2000</t>
  </si>
  <si>
    <t>Chile_2001</t>
  </si>
  <si>
    <t>Chile_2002</t>
  </si>
  <si>
    <t>Chile_2004</t>
  </si>
  <si>
    <t>Chile_2005</t>
  </si>
  <si>
    <t>Chile_2006</t>
  </si>
  <si>
    <t>Chile_2007</t>
  </si>
  <si>
    <t>Chile_2008</t>
  </si>
  <si>
    <t>Chile_2009</t>
  </si>
  <si>
    <t>Chile_2010</t>
  </si>
  <si>
    <t>Chile_2011</t>
  </si>
  <si>
    <t>Chile_2012</t>
  </si>
  <si>
    <t>Chile_2013</t>
  </si>
  <si>
    <t>Chile_2014</t>
  </si>
  <si>
    <t>Chile_2015</t>
  </si>
  <si>
    <t>Chile_2016</t>
  </si>
  <si>
    <t>China_1985</t>
  </si>
  <si>
    <t>China</t>
  </si>
  <si>
    <t>China_1986</t>
  </si>
  <si>
    <t>China_1987</t>
  </si>
  <si>
    <t>China_1989</t>
  </si>
  <si>
    <t>China_1990</t>
  </si>
  <si>
    <t>China_1991</t>
  </si>
  <si>
    <t>China_1992</t>
  </si>
  <si>
    <t>China_1993</t>
  </si>
  <si>
    <t>China_1994</t>
  </si>
  <si>
    <t>China_1995</t>
  </si>
  <si>
    <t>China_1996</t>
  </si>
  <si>
    <t>China_1997</t>
  </si>
  <si>
    <t>China_1998</t>
  </si>
  <si>
    <t>China_1999</t>
  </si>
  <si>
    <t>China_2000</t>
  </si>
  <si>
    <t>China_2001</t>
  </si>
  <si>
    <t>China_2002</t>
  </si>
  <si>
    <t>China_2004</t>
  </si>
  <si>
    <t>China_2005</t>
  </si>
  <si>
    <t>China_2006</t>
  </si>
  <si>
    <t>China_2007</t>
  </si>
  <si>
    <t>China_2008</t>
  </si>
  <si>
    <t>China_2009</t>
  </si>
  <si>
    <t>China_2010</t>
  </si>
  <si>
    <t>China_2011</t>
  </si>
  <si>
    <t>China_2012</t>
  </si>
  <si>
    <t>China_2013</t>
  </si>
  <si>
    <t>China_2014</t>
  </si>
  <si>
    <t>China_2015</t>
  </si>
  <si>
    <t>China_2016</t>
  </si>
  <si>
    <t>Colombia_1985</t>
  </si>
  <si>
    <t>Colombia</t>
  </si>
  <si>
    <t>Colombia_1986</t>
  </si>
  <si>
    <t>Colombia_1987</t>
  </si>
  <si>
    <t>Colombia_1989</t>
  </si>
  <si>
    <t>Colombia_1990</t>
  </si>
  <si>
    <t>Colombia_1991</t>
  </si>
  <si>
    <t>Colombia_1992</t>
  </si>
  <si>
    <t>Colombia_1993</t>
  </si>
  <si>
    <t>Colombia_1994</t>
  </si>
  <si>
    <t>Colombia_1995</t>
  </si>
  <si>
    <t>Colombia_1996</t>
  </si>
  <si>
    <t>Colombia_1997</t>
  </si>
  <si>
    <t>Colombia_1998</t>
  </si>
  <si>
    <t>Colombia_1999</t>
  </si>
  <si>
    <t>Colombia_2000</t>
  </si>
  <si>
    <t>Colombia_2001</t>
  </si>
  <si>
    <t>Colombia_2002</t>
  </si>
  <si>
    <t>Colombia_2004</t>
  </si>
  <si>
    <t>Colombia_2005</t>
  </si>
  <si>
    <t>Colombia_2006</t>
  </si>
  <si>
    <t>Colombia_2007</t>
  </si>
  <si>
    <t>Colombia_2008</t>
  </si>
  <si>
    <t>Colombia_2009</t>
  </si>
  <si>
    <t>Colombia_2010</t>
  </si>
  <si>
    <t>Colombia_2011</t>
  </si>
  <si>
    <t>Colombia_2012</t>
  </si>
  <si>
    <t>Colombia_2013</t>
  </si>
  <si>
    <t>Colombia_2014</t>
  </si>
  <si>
    <t>Colombia_2015</t>
  </si>
  <si>
    <t>Colombia_2016</t>
  </si>
  <si>
    <t>Comoros_1985</t>
  </si>
  <si>
    <t>Comoros</t>
  </si>
  <si>
    <t>Comoros_1986</t>
  </si>
  <si>
    <t>Comoros_1987</t>
  </si>
  <si>
    <t>Comoros_1989</t>
  </si>
  <si>
    <t>Comoros_1990</t>
  </si>
  <si>
    <t>Comoros_1991</t>
  </si>
  <si>
    <t>Comoros_1992</t>
  </si>
  <si>
    <t>Comoros_1993</t>
  </si>
  <si>
    <t>Comoros_1994</t>
  </si>
  <si>
    <t>Comoros_1995</t>
  </si>
  <si>
    <t>Comoros_1996</t>
  </si>
  <si>
    <t>Comoros_1997</t>
  </si>
  <si>
    <t>Comoros_1998</t>
  </si>
  <si>
    <t>Comoros_1999</t>
  </si>
  <si>
    <t>Comoros_2000</t>
  </si>
  <si>
    <t>Comoros_2001</t>
  </si>
  <si>
    <t>Comoros_2002</t>
  </si>
  <si>
    <t>Comoros_2004</t>
  </si>
  <si>
    <t>Comoros_2005</t>
  </si>
  <si>
    <t>Comoros_2006</t>
  </si>
  <si>
    <t>Comoros_2007</t>
  </si>
  <si>
    <t>Comoros_2008</t>
  </si>
  <si>
    <t>Comoros_2009</t>
  </si>
  <si>
    <t>Comoros_2010</t>
  </si>
  <si>
    <t>Comoros_2011</t>
  </si>
  <si>
    <t>Comoros_2012</t>
  </si>
  <si>
    <t>Comoros_2013</t>
  </si>
  <si>
    <t>Comoros_2014</t>
  </si>
  <si>
    <t>Comoros_2015</t>
  </si>
  <si>
    <t>Comoros_2016</t>
  </si>
  <si>
    <t>Costa Rica_1985</t>
  </si>
  <si>
    <t>Costa Rica</t>
  </si>
  <si>
    <t>Costa Rica_1986</t>
  </si>
  <si>
    <t>Costa Rica_1987</t>
  </si>
  <si>
    <t>Costa Rica_1989</t>
  </si>
  <si>
    <t>Costa Rica_1990</t>
  </si>
  <si>
    <t>Costa Rica_1991</t>
  </si>
  <si>
    <t>Costa Rica_1992</t>
  </si>
  <si>
    <t>Costa Rica_1993</t>
  </si>
  <si>
    <t>Costa Rica_1994</t>
  </si>
  <si>
    <t>Costa Rica_1995</t>
  </si>
  <si>
    <t>Costa Rica_1996</t>
  </si>
  <si>
    <t>Costa Rica_1997</t>
  </si>
  <si>
    <t>Costa Rica_1998</t>
  </si>
  <si>
    <t>Costa Rica_1999</t>
  </si>
  <si>
    <t>Costa Rica_2000</t>
  </si>
  <si>
    <t>Costa Rica_2001</t>
  </si>
  <si>
    <t>Costa Rica_2002</t>
  </si>
  <si>
    <t>Costa Rica_2004</t>
  </si>
  <si>
    <t>Costa Rica_2005</t>
  </si>
  <si>
    <t>Costa Rica_2006</t>
  </si>
  <si>
    <t>Costa Rica_2007</t>
  </si>
  <si>
    <t>Costa Rica_2008</t>
  </si>
  <si>
    <t>Costa Rica_2009</t>
  </si>
  <si>
    <t>Costa Rica_2010</t>
  </si>
  <si>
    <t>Costa Rica_2011</t>
  </si>
  <si>
    <t>Costa Rica_2012</t>
  </si>
  <si>
    <t>Costa Rica_2013</t>
  </si>
  <si>
    <t>Costa Rica_2014</t>
  </si>
  <si>
    <t>Costa Rica_2015</t>
  </si>
  <si>
    <t>Costa Rica_2016</t>
  </si>
  <si>
    <t>Cuba_1985</t>
  </si>
  <si>
    <t>Cuba</t>
  </si>
  <si>
    <t>Cuba_1986</t>
  </si>
  <si>
    <t>Cuba_1987</t>
  </si>
  <si>
    <t>Cuba_1989</t>
  </si>
  <si>
    <t>Cuba_1990</t>
  </si>
  <si>
    <t>Cuba_1991</t>
  </si>
  <si>
    <t>Cuba_1992</t>
  </si>
  <si>
    <t>Cuba_1993</t>
  </si>
  <si>
    <t>Cuba_1994</t>
  </si>
  <si>
    <t>Cuba_1995</t>
  </si>
  <si>
    <t>Cuba_1996</t>
  </si>
  <si>
    <t>Cuba_1997</t>
  </si>
  <si>
    <t>Cuba_1998</t>
  </si>
  <si>
    <t>Cuba_1999</t>
  </si>
  <si>
    <t>Cuba_2000</t>
  </si>
  <si>
    <t>Cuba_2001</t>
  </si>
  <si>
    <t>Cuba_2002</t>
  </si>
  <si>
    <t>Cuba_2004</t>
  </si>
  <si>
    <t>Cuba_2005</t>
  </si>
  <si>
    <t>Cuba_2006</t>
  </si>
  <si>
    <t>Cuba_2007</t>
  </si>
  <si>
    <t>Cuba_2008</t>
  </si>
  <si>
    <t>Cuba_2009</t>
  </si>
  <si>
    <t>Cuba_2010</t>
  </si>
  <si>
    <t>Cuba_2011</t>
  </si>
  <si>
    <t>Cuba_2012</t>
  </si>
  <si>
    <t>Cuba_2013</t>
  </si>
  <si>
    <t>Cuba_2014</t>
  </si>
  <si>
    <t>Cuba_2015</t>
  </si>
  <si>
    <t>Cuba_2016</t>
  </si>
  <si>
    <t>Dominican Republic_1985</t>
  </si>
  <si>
    <t>Dominican Republic</t>
  </si>
  <si>
    <t>Dominican Republic_1986</t>
  </si>
  <si>
    <t>Dominican Republic_1987</t>
  </si>
  <si>
    <t>Dominican Republic_1989</t>
  </si>
  <si>
    <t>Dominican Republic_1990</t>
  </si>
  <si>
    <t>Dominican Republic_1991</t>
  </si>
  <si>
    <t>Dominican Republic_1992</t>
  </si>
  <si>
    <t>Dominican Republic_1993</t>
  </si>
  <si>
    <t>Dominican Republic_1994</t>
  </si>
  <si>
    <t>Dominican Republic_1995</t>
  </si>
  <si>
    <t>Dominican Republic_1996</t>
  </si>
  <si>
    <t>Dominican Republic_1997</t>
  </si>
  <si>
    <t>Dominican Republic_1998</t>
  </si>
  <si>
    <t>Dominican Republic_1999</t>
  </si>
  <si>
    <t>Dominican Republic_2000</t>
  </si>
  <si>
    <t>Dominican Republic_2001</t>
  </si>
  <si>
    <t>Dominican Republic_2002</t>
  </si>
  <si>
    <t>Dominican Republic_2004</t>
  </si>
  <si>
    <t>Dominican Republic_2005</t>
  </si>
  <si>
    <t>Dominican Republic_2006</t>
  </si>
  <si>
    <t>Dominican Republic_2007</t>
  </si>
  <si>
    <t>Dominican Republic_2008</t>
  </si>
  <si>
    <t>Dominican Republic_2009</t>
  </si>
  <si>
    <t>Dominican Republic_2010</t>
  </si>
  <si>
    <t>Dominican Republic_2011</t>
  </si>
  <si>
    <t>Dominican Republic_2012</t>
  </si>
  <si>
    <t>Dominican Republic_2013</t>
  </si>
  <si>
    <t>Dominican Republic_2014</t>
  </si>
  <si>
    <t>Dominican Republic_2015</t>
  </si>
  <si>
    <t>Dominican Republic_2016</t>
  </si>
  <si>
    <t>Ecuador_1985</t>
  </si>
  <si>
    <t>Ecuador</t>
  </si>
  <si>
    <t>Ecuador_1986</t>
  </si>
  <si>
    <t>Ecuador_1987</t>
  </si>
  <si>
    <t>Ecuador_1989</t>
  </si>
  <si>
    <t>Ecuador_1990</t>
  </si>
  <si>
    <t>Ecuador_1991</t>
  </si>
  <si>
    <t>Ecuador_1992</t>
  </si>
  <si>
    <t>Ecuador_1993</t>
  </si>
  <si>
    <t>Ecuador_1994</t>
  </si>
  <si>
    <t>Ecuador_1995</t>
  </si>
  <si>
    <t>Ecuador_1996</t>
  </si>
  <si>
    <t>Ecuador_1997</t>
  </si>
  <si>
    <t>Ecuador_1998</t>
  </si>
  <si>
    <t>Ecuador_1999</t>
  </si>
  <si>
    <t>Ecuador_2000</t>
  </si>
  <si>
    <t>Ecuador_2001</t>
  </si>
  <si>
    <t>Ecuador_2002</t>
  </si>
  <si>
    <t>Ecuador_2004</t>
  </si>
  <si>
    <t>Ecuador_2005</t>
  </si>
  <si>
    <t>Ecuador_2006</t>
  </si>
  <si>
    <t>Ecuador_2007</t>
  </si>
  <si>
    <t>Ecuador_2008</t>
  </si>
  <si>
    <t>Ecuador_2009</t>
  </si>
  <si>
    <t>Ecuador_2010</t>
  </si>
  <si>
    <t>Ecuador_2011</t>
  </si>
  <si>
    <t>Ecuador_2012</t>
  </si>
  <si>
    <t>Ecuador_2013</t>
  </si>
  <si>
    <t>Ecuador_2014</t>
  </si>
  <si>
    <t>Ecuador_2015</t>
  </si>
  <si>
    <t>Ecuador_2016</t>
  </si>
  <si>
    <t>Egypt_1985</t>
  </si>
  <si>
    <t>Egypt</t>
  </si>
  <si>
    <t>Egypt_1986</t>
  </si>
  <si>
    <t>Egypt_1987</t>
  </si>
  <si>
    <t>Egypt_1989</t>
  </si>
  <si>
    <t>Egypt_1990</t>
  </si>
  <si>
    <t>Egypt_1991</t>
  </si>
  <si>
    <t>Egypt_1992</t>
  </si>
  <si>
    <t>Egypt_1993</t>
  </si>
  <si>
    <t>Egypt_1994</t>
  </si>
  <si>
    <t>Egypt_1995</t>
  </si>
  <si>
    <t>Egypt_1996</t>
  </si>
  <si>
    <t>Egypt_1997</t>
  </si>
  <si>
    <t>Egypt_1998</t>
  </si>
  <si>
    <t>Egypt_1999</t>
  </si>
  <si>
    <t>Egypt_2000</t>
  </si>
  <si>
    <t>Egypt_2001</t>
  </si>
  <si>
    <t>Egypt_2002</t>
  </si>
  <si>
    <t>Egypt_2004</t>
  </si>
  <si>
    <t>Egypt_2005</t>
  </si>
  <si>
    <t>Egypt_2006</t>
  </si>
  <si>
    <t>Egypt_2007</t>
  </si>
  <si>
    <t>Egypt_2008</t>
  </si>
  <si>
    <t>Egypt_2009</t>
  </si>
  <si>
    <t>Egypt_2010</t>
  </si>
  <si>
    <t>Egypt_2011</t>
  </si>
  <si>
    <t>Egypt_2012</t>
  </si>
  <si>
    <t>Egypt_2013</t>
  </si>
  <si>
    <t>Egypt_2014</t>
  </si>
  <si>
    <t>Egypt_2015</t>
  </si>
  <si>
    <t>Egypt_2016</t>
  </si>
  <si>
    <t>El Salvador_1985</t>
  </si>
  <si>
    <t>El Salvador</t>
  </si>
  <si>
    <t>El Salvador_1986</t>
  </si>
  <si>
    <t>El Salvador_1987</t>
  </si>
  <si>
    <t>El Salvador_1989</t>
  </si>
  <si>
    <t>El Salvador_1990</t>
  </si>
  <si>
    <t>El Salvador_1991</t>
  </si>
  <si>
    <t>El Salvador_1992</t>
  </si>
  <si>
    <t>El Salvador_1993</t>
  </si>
  <si>
    <t>El Salvador_1994</t>
  </si>
  <si>
    <t>El Salvador_1995</t>
  </si>
  <si>
    <t>El Salvador_1996</t>
  </si>
  <si>
    <t>El Salvador_1997</t>
  </si>
  <si>
    <t>El Salvador_1998</t>
  </si>
  <si>
    <t>El Salvador_1999</t>
  </si>
  <si>
    <t>El Salvador_2000</t>
  </si>
  <si>
    <t>El Salvador_2001</t>
  </si>
  <si>
    <t>El Salvador_2002</t>
  </si>
  <si>
    <t>El Salvador_2004</t>
  </si>
  <si>
    <t>El Salvador_2005</t>
  </si>
  <si>
    <t>El Salvador_2006</t>
  </si>
  <si>
    <t>El Salvador_2007</t>
  </si>
  <si>
    <t>El Salvador_2008</t>
  </si>
  <si>
    <t>El Salvador_2009</t>
  </si>
  <si>
    <t>El Salvador_2010</t>
  </si>
  <si>
    <t>El Salvador_2011</t>
  </si>
  <si>
    <t>El Salvador_2012</t>
  </si>
  <si>
    <t>El Salvador_2013</t>
  </si>
  <si>
    <t>El Salvador_2014</t>
  </si>
  <si>
    <t>El Salvador_2015</t>
  </si>
  <si>
    <t>El Salvador_2016</t>
  </si>
  <si>
    <t>Ethiopia_1993</t>
  </si>
  <si>
    <t>Ethiopia</t>
  </si>
  <si>
    <t>Ethiopia_1994</t>
  </si>
  <si>
    <t>Ethiopia_1995</t>
  </si>
  <si>
    <t>Ethiopia_1996</t>
  </si>
  <si>
    <t>Ethiopia_1997</t>
  </si>
  <si>
    <t>Ethiopia_1998</t>
  </si>
  <si>
    <t>Ethiopia_1999</t>
  </si>
  <si>
    <t>Ethiopia_2000</t>
  </si>
  <si>
    <t>Ethiopia_2001</t>
  </si>
  <si>
    <t>Ethiopia_2002</t>
  </si>
  <si>
    <t>Ethiopia_2004</t>
  </si>
  <si>
    <t>Ethiopia_2005</t>
  </si>
  <si>
    <t>Ethiopia_2006</t>
  </si>
  <si>
    <t>Ethiopia_2007</t>
  </si>
  <si>
    <t>Ethiopia_2008</t>
  </si>
  <si>
    <t>Ethiopia_2009</t>
  </si>
  <si>
    <t>Ethiopia_2010</t>
  </si>
  <si>
    <t>Ethiopia_2011</t>
  </si>
  <si>
    <t>Ethiopia_2012</t>
  </si>
  <si>
    <t>Ethiopia_2013</t>
  </si>
  <si>
    <t>Ethiopia_2014</t>
  </si>
  <si>
    <t>Ethiopia_2015</t>
  </si>
  <si>
    <t>Ethiopia_2016</t>
  </si>
  <si>
    <t>Fiji_1985</t>
  </si>
  <si>
    <t>Fiji</t>
  </si>
  <si>
    <t>Fiji_1986</t>
  </si>
  <si>
    <t>Fiji_1987</t>
  </si>
  <si>
    <t>Fiji_1989</t>
  </si>
  <si>
    <t>Fiji_1990</t>
  </si>
  <si>
    <t>Fiji_1991</t>
  </si>
  <si>
    <t>Fiji_1992</t>
  </si>
  <si>
    <t>Fiji_1993</t>
  </si>
  <si>
    <t>Fiji_1994</t>
  </si>
  <si>
    <t>Fiji_1995</t>
  </si>
  <si>
    <t>Fiji_1996</t>
  </si>
  <si>
    <t>Fiji_1997</t>
  </si>
  <si>
    <t>Fiji_1998</t>
  </si>
  <si>
    <t>Fiji_1999</t>
  </si>
  <si>
    <t>Fiji_2000</t>
  </si>
  <si>
    <t>Fiji_2001</t>
  </si>
  <si>
    <t>Fiji_2002</t>
  </si>
  <si>
    <t>Fiji_2004</t>
  </si>
  <si>
    <t>Fiji_2005</t>
  </si>
  <si>
    <t>Fiji_2006</t>
  </si>
  <si>
    <t>Fiji_2007</t>
  </si>
  <si>
    <t>Fiji_2008</t>
  </si>
  <si>
    <t>Fiji_2009</t>
  </si>
  <si>
    <t>Fiji_2010</t>
  </si>
  <si>
    <t>Fiji_2011</t>
  </si>
  <si>
    <t>Fiji_2012</t>
  </si>
  <si>
    <t>Fiji_2013</t>
  </si>
  <si>
    <t>Fiji_2014</t>
  </si>
  <si>
    <t>Fiji_2015</t>
  </si>
  <si>
    <t>Fiji_2016</t>
  </si>
  <si>
    <t>France_1985</t>
  </si>
  <si>
    <t>France</t>
  </si>
  <si>
    <t>France_1986</t>
  </si>
  <si>
    <t>France_1987</t>
  </si>
  <si>
    <t>France_1989</t>
  </si>
  <si>
    <t>France_1990</t>
  </si>
  <si>
    <t>France_1991</t>
  </si>
  <si>
    <t>France_1992</t>
  </si>
  <si>
    <t>France_1993</t>
  </si>
  <si>
    <t>France_1994</t>
  </si>
  <si>
    <t>France_1995</t>
  </si>
  <si>
    <t>France_1996</t>
  </si>
  <si>
    <t>France_1997</t>
  </si>
  <si>
    <t>France_1998</t>
  </si>
  <si>
    <t>France_1999</t>
  </si>
  <si>
    <t>France_2000</t>
  </si>
  <si>
    <t>France_2001</t>
  </si>
  <si>
    <t>France_2002</t>
  </si>
  <si>
    <t>France_2004</t>
  </si>
  <si>
    <t>France_2005</t>
  </si>
  <si>
    <t>France_2006</t>
  </si>
  <si>
    <t>France_2007</t>
  </si>
  <si>
    <t>France_2008</t>
  </si>
  <si>
    <t>France_2009</t>
  </si>
  <si>
    <t>France_2010</t>
  </si>
  <si>
    <t>France_2011</t>
  </si>
  <si>
    <t>France_2012</t>
  </si>
  <si>
    <t>France_2013</t>
  </si>
  <si>
    <t>France_2014</t>
  </si>
  <si>
    <t>France_2015</t>
  </si>
  <si>
    <t>France_2016</t>
  </si>
  <si>
    <t>Gabon_1985</t>
  </si>
  <si>
    <t>Gabon</t>
  </si>
  <si>
    <t>Gabon_1986</t>
  </si>
  <si>
    <t>Gabon_1987</t>
  </si>
  <si>
    <t>Gabon_1989</t>
  </si>
  <si>
    <t>Gabon_1990</t>
  </si>
  <si>
    <t>Gabon_1991</t>
  </si>
  <si>
    <t>Gabon_1992</t>
  </si>
  <si>
    <t>Gabon_1993</t>
  </si>
  <si>
    <t>Gabon_1994</t>
  </si>
  <si>
    <t>Gabon_1995</t>
  </si>
  <si>
    <t>Gabon_1996</t>
  </si>
  <si>
    <t>Gabon_1997</t>
  </si>
  <si>
    <t>Gabon_1998</t>
  </si>
  <si>
    <t>Gabon_1999</t>
  </si>
  <si>
    <t>Gabon_2000</t>
  </si>
  <si>
    <t>Gabon_2001</t>
  </si>
  <si>
    <t>Gabon_2002</t>
  </si>
  <si>
    <t>Gabon_2004</t>
  </si>
  <si>
    <t>Gabon_2005</t>
  </si>
  <si>
    <t>Gabon_2006</t>
  </si>
  <si>
    <t>Gabon_2007</t>
  </si>
  <si>
    <t>Gabon_2008</t>
  </si>
  <si>
    <t>Gabon_2009</t>
  </si>
  <si>
    <t>Gabon_2010</t>
  </si>
  <si>
    <t>Gabon_2011</t>
  </si>
  <si>
    <t>Gabon_2012</t>
  </si>
  <si>
    <t>Gabon_2013</t>
  </si>
  <si>
    <t>Gabon_2014</t>
  </si>
  <si>
    <t>Gabon_2015</t>
  </si>
  <si>
    <t>Gabon_2016</t>
  </si>
  <si>
    <t>Gambia_1985</t>
  </si>
  <si>
    <t>Gambia</t>
  </si>
  <si>
    <t>Gambia_1986</t>
  </si>
  <si>
    <t>Gambia_1987</t>
  </si>
  <si>
    <t>Gambia_1989</t>
  </si>
  <si>
    <t>Gambia_1990</t>
  </si>
  <si>
    <t>Gambia_1991</t>
  </si>
  <si>
    <t>Gambia_1992</t>
  </si>
  <si>
    <t>Gambia_1993</t>
  </si>
  <si>
    <t>Gambia_1994</t>
  </si>
  <si>
    <t>Gambia_1995</t>
  </si>
  <si>
    <t>Gambia_1996</t>
  </si>
  <si>
    <t>Gambia_1997</t>
  </si>
  <si>
    <t>Gambia_1998</t>
  </si>
  <si>
    <t>Gambia_1999</t>
  </si>
  <si>
    <t>Gambia_2000</t>
  </si>
  <si>
    <t>Gambia_2001</t>
  </si>
  <si>
    <t>Gambia_2002</t>
  </si>
  <si>
    <t>Gambia_2004</t>
  </si>
  <si>
    <t>Gambia_2005</t>
  </si>
  <si>
    <t>Gambia_2006</t>
  </si>
  <si>
    <t>Gambia_2007</t>
  </si>
  <si>
    <t>Gambia_2008</t>
  </si>
  <si>
    <t>Gambia_2009</t>
  </si>
  <si>
    <t>Gambia_2010</t>
  </si>
  <si>
    <t>Gambia_2011</t>
  </si>
  <si>
    <t>Gambia_2012</t>
  </si>
  <si>
    <t>Gambia_2013</t>
  </si>
  <si>
    <t>Gambia_2014</t>
  </si>
  <si>
    <t>Gambia_2015</t>
  </si>
  <si>
    <t>Gambia_2016</t>
  </si>
  <si>
    <t>Ghana_1985</t>
  </si>
  <si>
    <t>Ghana</t>
  </si>
  <si>
    <t>Ghana_1986</t>
  </si>
  <si>
    <t>Ghana_1987</t>
  </si>
  <si>
    <t>Ghana_1989</t>
  </si>
  <si>
    <t>Ghana_1990</t>
  </si>
  <si>
    <t>Ghana_1991</t>
  </si>
  <si>
    <t>Ghana_1992</t>
  </si>
  <si>
    <t>Ghana_1993</t>
  </si>
  <si>
    <t>Ghana_1994</t>
  </si>
  <si>
    <t>Ghana_1995</t>
  </si>
  <si>
    <t>Ghana_1996</t>
  </si>
  <si>
    <t>Ghana_1997</t>
  </si>
  <si>
    <t>Ghana_1998</t>
  </si>
  <si>
    <t>Ghana_1999</t>
  </si>
  <si>
    <t>Ghana_2000</t>
  </si>
  <si>
    <t>Ghana_2001</t>
  </si>
  <si>
    <t>Ghana_2002</t>
  </si>
  <si>
    <t>Ghana_2004</t>
  </si>
  <si>
    <t>Ghana_2005</t>
  </si>
  <si>
    <t>Ghana_2006</t>
  </si>
  <si>
    <t>Ghana_2007</t>
  </si>
  <si>
    <t>Ghana_2008</t>
  </si>
  <si>
    <t>Ghana_2009</t>
  </si>
  <si>
    <t>Ghana_2010</t>
  </si>
  <si>
    <t>Ghana_2011</t>
  </si>
  <si>
    <t>Ghana_2012</t>
  </si>
  <si>
    <t>Ghana_2013</t>
  </si>
  <si>
    <t>Ghana_2014</t>
  </si>
  <si>
    <t>Ghana_2015</t>
  </si>
  <si>
    <t>Ghana_2016</t>
  </si>
  <si>
    <t>Greece_1985</t>
  </si>
  <si>
    <t>Greece</t>
  </si>
  <si>
    <t>Greece_1986</t>
  </si>
  <si>
    <t>Greece_1987</t>
  </si>
  <si>
    <t>Greece_1989</t>
  </si>
  <si>
    <t>Greece_1990</t>
  </si>
  <si>
    <t>Greece_1991</t>
  </si>
  <si>
    <t>Greece_1992</t>
  </si>
  <si>
    <t>Greece_1993</t>
  </si>
  <si>
    <t>Greece_1994</t>
  </si>
  <si>
    <t>Greece_1995</t>
  </si>
  <si>
    <t>Greece_1996</t>
  </si>
  <si>
    <t>Greece_1997</t>
  </si>
  <si>
    <t>Greece_1998</t>
  </si>
  <si>
    <t>Greece_1999</t>
  </si>
  <si>
    <t>Greece_2000</t>
  </si>
  <si>
    <t>Greece_2001</t>
  </si>
  <si>
    <t>Greece_2002</t>
  </si>
  <si>
    <t>Greece_2004</t>
  </si>
  <si>
    <t>Greece_2005</t>
  </si>
  <si>
    <t>Greece_2006</t>
  </si>
  <si>
    <t>Greece_2007</t>
  </si>
  <si>
    <t>Greece_2008</t>
  </si>
  <si>
    <t>Greece_2009</t>
  </si>
  <si>
    <t>Greece_2010</t>
  </si>
  <si>
    <t>Greece_2011</t>
  </si>
  <si>
    <t>Greece_2012</t>
  </si>
  <si>
    <t>Greece_2013</t>
  </si>
  <si>
    <t>Greece_2014</t>
  </si>
  <si>
    <t>Greece_2015</t>
  </si>
  <si>
    <t>Greece_2016</t>
  </si>
  <si>
    <t>Guatemala_1985</t>
  </si>
  <si>
    <t>Guatemala</t>
  </si>
  <si>
    <t>Guatemala_1986</t>
  </si>
  <si>
    <t>Guatemala_1987</t>
  </si>
  <si>
    <t>Guatemala_1989</t>
  </si>
  <si>
    <t>Guatemala_1990</t>
  </si>
  <si>
    <t>Guatemala_1991</t>
  </si>
  <si>
    <t>Guatemala_1992</t>
  </si>
  <si>
    <t>Guatemala_1993</t>
  </si>
  <si>
    <t>Guatemala_1994</t>
  </si>
  <si>
    <t>Guatemala_1995</t>
  </si>
  <si>
    <t>Guatemala_1996</t>
  </si>
  <si>
    <t>Guatemala_1997</t>
  </si>
  <si>
    <t>Guatemala_1998</t>
  </si>
  <si>
    <t>Guatemala_1999</t>
  </si>
  <si>
    <t>Guatemala_2000</t>
  </si>
  <si>
    <t>Guatemala_2001</t>
  </si>
  <si>
    <t>Guatemala_2002</t>
  </si>
  <si>
    <t>Guatemala_2004</t>
  </si>
  <si>
    <t>Guatemala_2005</t>
  </si>
  <si>
    <t>Guatemala_2006</t>
  </si>
  <si>
    <t>Guatemala_2007</t>
  </si>
  <si>
    <t>Guatemala_2008</t>
  </si>
  <si>
    <t>Guatemala_2009</t>
  </si>
  <si>
    <t>Guatemala_2010</t>
  </si>
  <si>
    <t>Guatemala_2011</t>
  </si>
  <si>
    <t>Guatemala_2012</t>
  </si>
  <si>
    <t>Guatemala_2013</t>
  </si>
  <si>
    <t>Guatemala_2014</t>
  </si>
  <si>
    <t>Guatemala_2015</t>
  </si>
  <si>
    <t>Guatemala_2016</t>
  </si>
  <si>
    <t>Guinea_1985</t>
  </si>
  <si>
    <t>Guinea</t>
  </si>
  <si>
    <t>Guinea_1986</t>
  </si>
  <si>
    <t>Guinea_1987</t>
  </si>
  <si>
    <t>Guinea_1989</t>
  </si>
  <si>
    <t>Guinea_1990</t>
  </si>
  <si>
    <t>Guinea_1991</t>
  </si>
  <si>
    <t>Guinea_1992</t>
  </si>
  <si>
    <t>Guinea_1993</t>
  </si>
  <si>
    <t>Guinea_1994</t>
  </si>
  <si>
    <t>Guinea_1995</t>
  </si>
  <si>
    <t>Guinea_1996</t>
  </si>
  <si>
    <t>Guinea_1997</t>
  </si>
  <si>
    <t>Guinea_1998</t>
  </si>
  <si>
    <t>Guinea_1999</t>
  </si>
  <si>
    <t>Guinea_2000</t>
  </si>
  <si>
    <t>Guinea_2001</t>
  </si>
  <si>
    <t>Guinea_2002</t>
  </si>
  <si>
    <t>Guinea_2004</t>
  </si>
  <si>
    <t>Guinea_2005</t>
  </si>
  <si>
    <t>Guinea_2006</t>
  </si>
  <si>
    <t>Guinea_2007</t>
  </si>
  <si>
    <t>Guinea_2008</t>
  </si>
  <si>
    <t>Guinea_2009</t>
  </si>
  <si>
    <t>Guinea_2010</t>
  </si>
  <si>
    <t>Guinea_2011</t>
  </si>
  <si>
    <t>Guinea_2012</t>
  </si>
  <si>
    <t>Guinea_2013</t>
  </si>
  <si>
    <t>Guinea_2014</t>
  </si>
  <si>
    <t>Guinea_2015</t>
  </si>
  <si>
    <t>Guinea_2016</t>
  </si>
  <si>
    <t>Guinea-Bissau_1985</t>
  </si>
  <si>
    <t>Guinea-Bissau</t>
  </si>
  <si>
    <t>Guinea-Bissau_1986</t>
  </si>
  <si>
    <t>Guinea-Bissau_1987</t>
  </si>
  <si>
    <t>Guinea-Bissau_1989</t>
  </si>
  <si>
    <t>Guinea-Bissau_1990</t>
  </si>
  <si>
    <t>Guinea-Bissau_1991</t>
  </si>
  <si>
    <t>Guinea-Bissau_1992</t>
  </si>
  <si>
    <t>Guinea-Bissau_1993</t>
  </si>
  <si>
    <t>Guinea-Bissau_1994</t>
  </si>
  <si>
    <t>Guinea-Bissau_1995</t>
  </si>
  <si>
    <t>Guinea-Bissau_1996</t>
  </si>
  <si>
    <t>Guinea-Bissau_1997</t>
  </si>
  <si>
    <t>Guinea-Bissau_1998</t>
  </si>
  <si>
    <t>Guinea-Bissau_1999</t>
  </si>
  <si>
    <t>Guinea-Bissau_2000</t>
  </si>
  <si>
    <t>Guinea-Bissau_2001</t>
  </si>
  <si>
    <t>Guinea-Bissau_2002</t>
  </si>
  <si>
    <t>Guinea-Bissau_2004</t>
  </si>
  <si>
    <t>Guinea-Bissau_2005</t>
  </si>
  <si>
    <t>Guinea-Bissau_2006</t>
  </si>
  <si>
    <t>Guinea-Bissau_2007</t>
  </si>
  <si>
    <t>Guinea-Bissau_2008</t>
  </si>
  <si>
    <t>Guinea-Bissau_2009</t>
  </si>
  <si>
    <t>Guinea-Bissau_2010</t>
  </si>
  <si>
    <t>Guinea-Bissau_2011</t>
  </si>
  <si>
    <t>Guinea-Bissau_2012</t>
  </si>
  <si>
    <t>Guinea-Bissau_2013</t>
  </si>
  <si>
    <t>Guinea-Bissau_2014</t>
  </si>
  <si>
    <t>Guinea-Bissau_2015</t>
  </si>
  <si>
    <t>Guinea-Bissau_2016</t>
  </si>
  <si>
    <t>Guyana_1985</t>
  </si>
  <si>
    <t>Guyana</t>
  </si>
  <si>
    <t>Guyana_1986</t>
  </si>
  <si>
    <t>Guyana_1987</t>
  </si>
  <si>
    <t>Guyana_1989</t>
  </si>
  <si>
    <t>Guyana_1990</t>
  </si>
  <si>
    <t>Guyana_1991</t>
  </si>
  <si>
    <t>Guyana_1992</t>
  </si>
  <si>
    <t>Guyana_1993</t>
  </si>
  <si>
    <t>Guyana_1994</t>
  </si>
  <si>
    <t>Guyana_1995</t>
  </si>
  <si>
    <t>Guyana_1996</t>
  </si>
  <si>
    <t>Guyana_1997</t>
  </si>
  <si>
    <t>Guyana_1998</t>
  </si>
  <si>
    <t>Guyana_1999</t>
  </si>
  <si>
    <t>Guyana_2000</t>
  </si>
  <si>
    <t>Guyana_2001</t>
  </si>
  <si>
    <t>Guyana_2002</t>
  </si>
  <si>
    <t>Guyana_2004</t>
  </si>
  <si>
    <t>Guyana_2005</t>
  </si>
  <si>
    <t>Guyana_2006</t>
  </si>
  <si>
    <t>Guyana_2007</t>
  </si>
  <si>
    <t>Guyana_2008</t>
  </si>
  <si>
    <t>Guyana_2009</t>
  </si>
  <si>
    <t>Guyana_2010</t>
  </si>
  <si>
    <t>Guyana_2011</t>
  </si>
  <si>
    <t>Guyana_2012</t>
  </si>
  <si>
    <t>Guyana_2013</t>
  </si>
  <si>
    <t>Guyana_2014</t>
  </si>
  <si>
    <t>Guyana_2015</t>
  </si>
  <si>
    <t>Guyana_2016</t>
  </si>
  <si>
    <t>Haiti_1985</t>
  </si>
  <si>
    <t>Haiti</t>
  </si>
  <si>
    <t>Haiti_1986</t>
  </si>
  <si>
    <t>Haiti_1987</t>
  </si>
  <si>
    <t>Haiti_1989</t>
  </si>
  <si>
    <t>Haiti_1990</t>
  </si>
  <si>
    <t>Haiti_1991</t>
  </si>
  <si>
    <t>Haiti_1992</t>
  </si>
  <si>
    <t>Haiti_1993</t>
  </si>
  <si>
    <t>Haiti_1994</t>
  </si>
  <si>
    <t>Haiti_1995</t>
  </si>
  <si>
    <t>Haiti_1996</t>
  </si>
  <si>
    <t>Haiti_1997</t>
  </si>
  <si>
    <t>Haiti_1998</t>
  </si>
  <si>
    <t>Haiti_1999</t>
  </si>
  <si>
    <t>Haiti_2000</t>
  </si>
  <si>
    <t>Haiti_2001</t>
  </si>
  <si>
    <t>Haiti_2002</t>
  </si>
  <si>
    <t>Haiti_2004</t>
  </si>
  <si>
    <t>Haiti_2005</t>
  </si>
  <si>
    <t>Haiti_2006</t>
  </si>
  <si>
    <t>Haiti_2007</t>
  </si>
  <si>
    <t>Haiti_2008</t>
  </si>
  <si>
    <t>Haiti_2009</t>
  </si>
  <si>
    <t>Haiti_2010</t>
  </si>
  <si>
    <t>Haiti_2011</t>
  </si>
  <si>
    <t>Haiti_2012</t>
  </si>
  <si>
    <t>Haiti_2013</t>
  </si>
  <si>
    <t>Haiti_2014</t>
  </si>
  <si>
    <t>Haiti_2015</t>
  </si>
  <si>
    <t>Haiti_2016</t>
  </si>
  <si>
    <t>Honduras_1985</t>
  </si>
  <si>
    <t>Honduras</t>
  </si>
  <si>
    <t>Honduras_1986</t>
  </si>
  <si>
    <t>Honduras_1987</t>
  </si>
  <si>
    <t>Honduras_1989</t>
  </si>
  <si>
    <t>Honduras_1990</t>
  </si>
  <si>
    <t>Honduras_1991</t>
  </si>
  <si>
    <t>Honduras_1992</t>
  </si>
  <si>
    <t>Honduras_1993</t>
  </si>
  <si>
    <t>Honduras_1994</t>
  </si>
  <si>
    <t>Honduras_1995</t>
  </si>
  <si>
    <t>Honduras_1996</t>
  </si>
  <si>
    <t>Honduras_1997</t>
  </si>
  <si>
    <t>Honduras_1998</t>
  </si>
  <si>
    <t>Honduras_1999</t>
  </si>
  <si>
    <t>Honduras_2000</t>
  </si>
  <si>
    <t>Honduras_2001</t>
  </si>
  <si>
    <t>Honduras_2002</t>
  </si>
  <si>
    <t>Honduras_2004</t>
  </si>
  <si>
    <t>Honduras_2005</t>
  </si>
  <si>
    <t>Honduras_2006</t>
  </si>
  <si>
    <t>Honduras_2007</t>
  </si>
  <si>
    <t>Honduras_2008</t>
  </si>
  <si>
    <t>Honduras_2009</t>
  </si>
  <si>
    <t>Honduras_2010</t>
  </si>
  <si>
    <t>Honduras_2011</t>
  </si>
  <si>
    <t>Honduras_2012</t>
  </si>
  <si>
    <t>Honduras_2013</t>
  </si>
  <si>
    <t>Honduras_2014</t>
  </si>
  <si>
    <t>Honduras_2015</t>
  </si>
  <si>
    <t>Honduras_2016</t>
  </si>
  <si>
    <t>Hungary_1985</t>
  </si>
  <si>
    <t>Hungary</t>
  </si>
  <si>
    <t>Hungary_1986</t>
  </si>
  <si>
    <t>Hungary_1987</t>
  </si>
  <si>
    <t>Hungary_1989</t>
  </si>
  <si>
    <t>Hungary_1990</t>
  </si>
  <si>
    <t>Hungary_1991</t>
  </si>
  <si>
    <t>Hungary_1992</t>
  </si>
  <si>
    <t>Hungary_1993</t>
  </si>
  <si>
    <t>Hungary_1994</t>
  </si>
  <si>
    <t>Hungary_1995</t>
  </si>
  <si>
    <t>Hungary_1996</t>
  </si>
  <si>
    <t>Hungary_1997</t>
  </si>
  <si>
    <t>Hungary_1998</t>
  </si>
  <si>
    <t>Hungary_1999</t>
  </si>
  <si>
    <t>Hungary_2000</t>
  </si>
  <si>
    <t>Hungary_2001</t>
  </si>
  <si>
    <t>Hungary_2002</t>
  </si>
  <si>
    <t>Hungary_2004</t>
  </si>
  <si>
    <t>Hungary_2005</t>
  </si>
  <si>
    <t>Hungary_2006</t>
  </si>
  <si>
    <t>Hungary_2007</t>
  </si>
  <si>
    <t>Hungary_2008</t>
  </si>
  <si>
    <t>Hungary_2009</t>
  </si>
  <si>
    <t>Hungary_2010</t>
  </si>
  <si>
    <t>Hungary_2011</t>
  </si>
  <si>
    <t>Hungary_2012</t>
  </si>
  <si>
    <t>Hungary_2013</t>
  </si>
  <si>
    <t>Hungary_2014</t>
  </si>
  <si>
    <t>Hungary_2015</t>
  </si>
  <si>
    <t>Hungary_2016</t>
  </si>
  <si>
    <t>India_1985</t>
  </si>
  <si>
    <t>India</t>
  </si>
  <si>
    <t>India_1986</t>
  </si>
  <si>
    <t>India_1987</t>
  </si>
  <si>
    <t>India_1989</t>
  </si>
  <si>
    <t>India_1990</t>
  </si>
  <si>
    <t>India_1991</t>
  </si>
  <si>
    <t>India_1992</t>
  </si>
  <si>
    <t>India_1993</t>
  </si>
  <si>
    <t>India_1994</t>
  </si>
  <si>
    <t>India_1995</t>
  </si>
  <si>
    <t>India_1996</t>
  </si>
  <si>
    <t>India_1997</t>
  </si>
  <si>
    <t>India_1998</t>
  </si>
  <si>
    <t>India_1999</t>
  </si>
  <si>
    <t>India_2000</t>
  </si>
  <si>
    <t>India_2001</t>
  </si>
  <si>
    <t>India_2002</t>
  </si>
  <si>
    <t>India_2004</t>
  </si>
  <si>
    <t>India_2005</t>
  </si>
  <si>
    <t>India_2006</t>
  </si>
  <si>
    <t>India_2007</t>
  </si>
  <si>
    <t>India_2008</t>
  </si>
  <si>
    <t>India_2009</t>
  </si>
  <si>
    <t>India_2010</t>
  </si>
  <si>
    <t>India_2011</t>
  </si>
  <si>
    <t>India_2012</t>
  </si>
  <si>
    <t>India_2013</t>
  </si>
  <si>
    <t>India_2014</t>
  </si>
  <si>
    <t>India_2015</t>
  </si>
  <si>
    <t>India_2016</t>
  </si>
  <si>
    <t>Indonesia_1985</t>
  </si>
  <si>
    <t>Indonesia</t>
  </si>
  <si>
    <t>Indonesia_1986</t>
  </si>
  <si>
    <t>Indonesia_1987</t>
  </si>
  <si>
    <t>Indonesia_1989</t>
  </si>
  <si>
    <t>Indonesia_1990</t>
  </si>
  <si>
    <t>Indonesia_1991</t>
  </si>
  <si>
    <t>Indonesia_1992</t>
  </si>
  <si>
    <t>Indonesia_1993</t>
  </si>
  <si>
    <t>Indonesia_1994</t>
  </si>
  <si>
    <t>Indonesia_1995</t>
  </si>
  <si>
    <t>Indonesia_1996</t>
  </si>
  <si>
    <t>Indonesia_1997</t>
  </si>
  <si>
    <t>Indonesia_1998</t>
  </si>
  <si>
    <t>Indonesia_1999</t>
  </si>
  <si>
    <t>Indonesia_2000</t>
  </si>
  <si>
    <t>Indonesia_2001</t>
  </si>
  <si>
    <t>Indonesia_2002</t>
  </si>
  <si>
    <t>Indonesia_2004</t>
  </si>
  <si>
    <t>Indonesia_2005</t>
  </si>
  <si>
    <t>Indonesia_2006</t>
  </si>
  <si>
    <t>Indonesia_2007</t>
  </si>
  <si>
    <t>Indonesia_2008</t>
  </si>
  <si>
    <t>Indonesia_2009</t>
  </si>
  <si>
    <t>Indonesia_2010</t>
  </si>
  <si>
    <t>Indonesia_2011</t>
  </si>
  <si>
    <t>Indonesia_2012</t>
  </si>
  <si>
    <t>Indonesia_2013</t>
  </si>
  <si>
    <t>Indonesia_2014</t>
  </si>
  <si>
    <t>Indonesia_2015</t>
  </si>
  <si>
    <t>Indonesia_2016</t>
  </si>
  <si>
    <t>Iraq_1985</t>
  </si>
  <si>
    <t>Iraq</t>
  </si>
  <si>
    <t>Iraq_1986</t>
  </si>
  <si>
    <t>Iraq_1987</t>
  </si>
  <si>
    <t>Iraq_1989</t>
  </si>
  <si>
    <t>Iraq_1990</t>
  </si>
  <si>
    <t>Iraq_1991</t>
  </si>
  <si>
    <t>Iraq_1992</t>
  </si>
  <si>
    <t>Iraq_1993</t>
  </si>
  <si>
    <t>Iraq_1994</t>
  </si>
  <si>
    <t>Iraq_1995</t>
  </si>
  <si>
    <t>Iraq_1996</t>
  </si>
  <si>
    <t>Iraq_1997</t>
  </si>
  <si>
    <t>Iraq_1998</t>
  </si>
  <si>
    <t>Iraq_1999</t>
  </si>
  <si>
    <t>Iraq_2000</t>
  </si>
  <si>
    <t>Iraq_2001</t>
  </si>
  <si>
    <t>Iraq_2002</t>
  </si>
  <si>
    <t>Iraq_2004</t>
  </si>
  <si>
    <t>Iraq_2005</t>
  </si>
  <si>
    <t>Iraq_2006</t>
  </si>
  <si>
    <t>Iraq_2007</t>
  </si>
  <si>
    <t>Iraq_2008</t>
  </si>
  <si>
    <t>Iraq_2009</t>
  </si>
  <si>
    <t>Iraq_2010</t>
  </si>
  <si>
    <t>Iraq_2011</t>
  </si>
  <si>
    <t>Iraq_2012</t>
  </si>
  <si>
    <t>Iraq_2013</t>
  </si>
  <si>
    <t>Iraq_2014</t>
  </si>
  <si>
    <t>Iraq_2015</t>
  </si>
  <si>
    <t>Iraq_2016</t>
  </si>
  <si>
    <t>Italy_1985</t>
  </si>
  <si>
    <t>Italy</t>
  </si>
  <si>
    <t>Italy_1986</t>
  </si>
  <si>
    <t>Italy_1987</t>
  </si>
  <si>
    <t>Italy_1989</t>
  </si>
  <si>
    <t>Italy_1990</t>
  </si>
  <si>
    <t>Italy_1991</t>
  </si>
  <si>
    <t>Italy_1992</t>
  </si>
  <si>
    <t>Italy_1993</t>
  </si>
  <si>
    <t>Italy_1994</t>
  </si>
  <si>
    <t>Italy_1995</t>
  </si>
  <si>
    <t>Italy_1996</t>
  </si>
  <si>
    <t>Italy_1997</t>
  </si>
  <si>
    <t>Italy_1998</t>
  </si>
  <si>
    <t>Italy_1999</t>
  </si>
  <si>
    <t>Italy_2000</t>
  </si>
  <si>
    <t>Italy_2001</t>
  </si>
  <si>
    <t>Italy_2002</t>
  </si>
  <si>
    <t>Italy_2004</t>
  </si>
  <si>
    <t>Italy_2005</t>
  </si>
  <si>
    <t>Italy_2006</t>
  </si>
  <si>
    <t>Italy_2007</t>
  </si>
  <si>
    <t>Italy_2008</t>
  </si>
  <si>
    <t>Italy_2009</t>
  </si>
  <si>
    <t>Italy_2010</t>
  </si>
  <si>
    <t>Italy_2011</t>
  </si>
  <si>
    <t>Italy_2012</t>
  </si>
  <si>
    <t>Italy_2013</t>
  </si>
  <si>
    <t>Italy_2014</t>
  </si>
  <si>
    <t>Italy_2015</t>
  </si>
  <si>
    <t>Italy_2016</t>
  </si>
  <si>
    <t>Jamaica_1985</t>
  </si>
  <si>
    <t>Jamaica</t>
  </si>
  <si>
    <t>Jamaica_1986</t>
  </si>
  <si>
    <t>Jamaica_1987</t>
  </si>
  <si>
    <t>Jamaica_1989</t>
  </si>
  <si>
    <t>Jamaica_1990</t>
  </si>
  <si>
    <t>Jamaica_1991</t>
  </si>
  <si>
    <t>Jamaica_1992</t>
  </si>
  <si>
    <t>Jamaica_1993</t>
  </si>
  <si>
    <t>Jamaica_1994</t>
  </si>
  <si>
    <t>Jamaica_1995</t>
  </si>
  <si>
    <t>Jamaica_1996</t>
  </si>
  <si>
    <t>Jamaica_1997</t>
  </si>
  <si>
    <t>Jamaica_1998</t>
  </si>
  <si>
    <t>Jamaica_1999</t>
  </si>
  <si>
    <t>Jamaica_2000</t>
  </si>
  <si>
    <t>Jamaica_2001</t>
  </si>
  <si>
    <t>Jamaica_2002</t>
  </si>
  <si>
    <t>Jamaica_2004</t>
  </si>
  <si>
    <t>Jamaica_2005</t>
  </si>
  <si>
    <t>Jamaica_2006</t>
  </si>
  <si>
    <t>Jamaica_2007</t>
  </si>
  <si>
    <t>Jamaica_2008</t>
  </si>
  <si>
    <t>Jamaica_2009</t>
  </si>
  <si>
    <t>Jamaica_2010</t>
  </si>
  <si>
    <t>Jamaica_2011</t>
  </si>
  <si>
    <t>Jamaica_2012</t>
  </si>
  <si>
    <t>Jamaica_2013</t>
  </si>
  <si>
    <t>Jamaica_2014</t>
  </si>
  <si>
    <t>Jamaica_2015</t>
  </si>
  <si>
    <t>Jamaica_2016</t>
  </si>
  <si>
    <t>Japan_1985</t>
  </si>
  <si>
    <t>Japan</t>
  </si>
  <si>
    <t>Japan_1986</t>
  </si>
  <si>
    <t>Japan_1987</t>
  </si>
  <si>
    <t>Japan_1989</t>
  </si>
  <si>
    <t>Japan_1990</t>
  </si>
  <si>
    <t>Japan_1991</t>
  </si>
  <si>
    <t>Japan_1992</t>
  </si>
  <si>
    <t>Japan_1993</t>
  </si>
  <si>
    <t>Japan_1994</t>
  </si>
  <si>
    <t>Japan_1995</t>
  </si>
  <si>
    <t>Japan_1996</t>
  </si>
  <si>
    <t>Japan_1997</t>
  </si>
  <si>
    <t>Japan_1998</t>
  </si>
  <si>
    <t>Japan_1999</t>
  </si>
  <si>
    <t>Japan_2000</t>
  </si>
  <si>
    <t>Japan_2001</t>
  </si>
  <si>
    <t>Japan_2002</t>
  </si>
  <si>
    <t>Japan_2004</t>
  </si>
  <si>
    <t>Japan_2005</t>
  </si>
  <si>
    <t>Japan_2006</t>
  </si>
  <si>
    <t>Japan_2007</t>
  </si>
  <si>
    <t>Japan_2008</t>
  </si>
  <si>
    <t>Japan_2009</t>
  </si>
  <si>
    <t>Japan_2010</t>
  </si>
  <si>
    <t>Japan_2011</t>
  </si>
  <si>
    <t>Japan_2012</t>
  </si>
  <si>
    <t>Japan_2013</t>
  </si>
  <si>
    <t>Japan_2014</t>
  </si>
  <si>
    <t>Japan_2015</t>
  </si>
  <si>
    <t>Japan_2016</t>
  </si>
  <si>
    <t>Kazakhstan_1992</t>
  </si>
  <si>
    <t>Kazakhstan</t>
  </si>
  <si>
    <t>Kazakhstan_1993</t>
  </si>
  <si>
    <t>Kazakhstan_1994</t>
  </si>
  <si>
    <t>Kazakhstan_1995</t>
  </si>
  <si>
    <t>Kazakhstan_1996</t>
  </si>
  <si>
    <t>Kazakhstan_1997</t>
  </si>
  <si>
    <t>Kazakhstan_1998</t>
  </si>
  <si>
    <t>Kazakhstan_1999</t>
  </si>
  <si>
    <t>Kazakhstan_2000</t>
  </si>
  <si>
    <t>Kazakhstan_2001</t>
  </si>
  <si>
    <t>Kazakhstan_2002</t>
  </si>
  <si>
    <t>Kazakhstan_2004</t>
  </si>
  <si>
    <t>Kazakhstan_2005</t>
  </si>
  <si>
    <t>Kazakhstan_2006</t>
  </si>
  <si>
    <t>Kazakhstan_2007</t>
  </si>
  <si>
    <t>Kazakhstan_2008</t>
  </si>
  <si>
    <t>Kazakhstan_2009</t>
  </si>
  <si>
    <t>Kazakhstan_2010</t>
  </si>
  <si>
    <t>Kazakhstan_2011</t>
  </si>
  <si>
    <t>Kazakhstan_2012</t>
  </si>
  <si>
    <t>Kazakhstan_2013</t>
  </si>
  <si>
    <t>Kazakhstan_2014</t>
  </si>
  <si>
    <t>Kazakhstan_2015</t>
  </si>
  <si>
    <t>Kazakhstan_2016</t>
  </si>
  <si>
    <t>Kenya_1985</t>
  </si>
  <si>
    <t>Kenya</t>
  </si>
  <si>
    <t>Kenya_1986</t>
  </si>
  <si>
    <t>Kenya_1987</t>
  </si>
  <si>
    <t>Kenya_1989</t>
  </si>
  <si>
    <t>Kenya_1990</t>
  </si>
  <si>
    <t>Kenya_1991</t>
  </si>
  <si>
    <t>Kenya_1992</t>
  </si>
  <si>
    <t>Kenya_1993</t>
  </si>
  <si>
    <t>Kenya_1994</t>
  </si>
  <si>
    <t>Kenya_1995</t>
  </si>
  <si>
    <t>Kenya_1996</t>
  </si>
  <si>
    <t>Kenya_1997</t>
  </si>
  <si>
    <t>Kenya_1998</t>
  </si>
  <si>
    <t>Kenya_1999</t>
  </si>
  <si>
    <t>Kenya_2000</t>
  </si>
  <si>
    <t>Kenya_2001</t>
  </si>
  <si>
    <t>Kenya_2002</t>
  </si>
  <si>
    <t>Kenya_2004</t>
  </si>
  <si>
    <t>Kenya_2005</t>
  </si>
  <si>
    <t>Kenya_2006</t>
  </si>
  <si>
    <t>Kenya_2007</t>
  </si>
  <si>
    <t>Kenya_2008</t>
  </si>
  <si>
    <t>Kenya_2009</t>
  </si>
  <si>
    <t>Kenya_2010</t>
  </si>
  <si>
    <t>Kenya_2011</t>
  </si>
  <si>
    <t>Kenya_2012</t>
  </si>
  <si>
    <t>Kenya_2013</t>
  </si>
  <si>
    <t>Kenya_2014</t>
  </si>
  <si>
    <t>Kenya_2015</t>
  </si>
  <si>
    <t>Kenya_2016</t>
  </si>
  <si>
    <t>Liberia_1985</t>
  </si>
  <si>
    <t>Liberia</t>
  </si>
  <si>
    <t>Liberia_1986</t>
  </si>
  <si>
    <t>Liberia_1987</t>
  </si>
  <si>
    <t>Liberia_1989</t>
  </si>
  <si>
    <t>Liberia_1990</t>
  </si>
  <si>
    <t>Liberia_1991</t>
  </si>
  <si>
    <t>Liberia_1992</t>
  </si>
  <si>
    <t>Liberia_1993</t>
  </si>
  <si>
    <t>Liberia_1994</t>
  </si>
  <si>
    <t>Liberia_1995</t>
  </si>
  <si>
    <t>Liberia_1996</t>
  </si>
  <si>
    <t>Liberia_1997</t>
  </si>
  <si>
    <t>Liberia_1998</t>
  </si>
  <si>
    <t>Liberia_1999</t>
  </si>
  <si>
    <t>Liberia_2000</t>
  </si>
  <si>
    <t>Liberia_2001</t>
  </si>
  <si>
    <t>Liberia_2002</t>
  </si>
  <si>
    <t>Liberia_2004</t>
  </si>
  <si>
    <t>Liberia_2005</t>
  </si>
  <si>
    <t>Liberia_2006</t>
  </si>
  <si>
    <t>Liberia_2007</t>
  </si>
  <si>
    <t>Liberia_2008</t>
  </si>
  <si>
    <t>Liberia_2009</t>
  </si>
  <si>
    <t>Liberia_2010</t>
  </si>
  <si>
    <t>Liberia_2011</t>
  </si>
  <si>
    <t>Liberia_2012</t>
  </si>
  <si>
    <t>Liberia_2013</t>
  </si>
  <si>
    <t>Liberia_2014</t>
  </si>
  <si>
    <t>Liberia_2015</t>
  </si>
  <si>
    <t>Liberia_2016</t>
  </si>
  <si>
    <t>Madagascar_1985</t>
  </si>
  <si>
    <t>Madagascar</t>
  </si>
  <si>
    <t>Madagascar_1986</t>
  </si>
  <si>
    <t>Madagascar_1987</t>
  </si>
  <si>
    <t>Madagascar_1989</t>
  </si>
  <si>
    <t>Madagascar_1990</t>
  </si>
  <si>
    <t>Madagascar_1991</t>
  </si>
  <si>
    <t>Madagascar_1992</t>
  </si>
  <si>
    <t>Madagascar_1993</t>
  </si>
  <si>
    <t>Madagascar_1994</t>
  </si>
  <si>
    <t>Madagascar_1995</t>
  </si>
  <si>
    <t>Madagascar_1996</t>
  </si>
  <si>
    <t>Madagascar_1997</t>
  </si>
  <si>
    <t>Madagascar_1998</t>
  </si>
  <si>
    <t>Madagascar_1999</t>
  </si>
  <si>
    <t>Madagascar_2000</t>
  </si>
  <si>
    <t>Madagascar_2001</t>
  </si>
  <si>
    <t>Madagascar_2002</t>
  </si>
  <si>
    <t>Madagascar_2004</t>
  </si>
  <si>
    <t>Madagascar_2005</t>
  </si>
  <si>
    <t>Madagascar_2006</t>
  </si>
  <si>
    <t>Madagascar_2007</t>
  </si>
  <si>
    <t>Madagascar_2008</t>
  </si>
  <si>
    <t>Madagascar_2009</t>
  </si>
  <si>
    <t>Madagascar_2010</t>
  </si>
  <si>
    <t>Madagascar_2011</t>
  </si>
  <si>
    <t>Madagascar_2012</t>
  </si>
  <si>
    <t>Madagascar_2013</t>
  </si>
  <si>
    <t>Madagascar_2014</t>
  </si>
  <si>
    <t>Madagascar_2015</t>
  </si>
  <si>
    <t>Madagascar_2016</t>
  </si>
  <si>
    <t>Malawi_1985</t>
  </si>
  <si>
    <t>Malawi</t>
  </si>
  <si>
    <t>Malawi_1986</t>
  </si>
  <si>
    <t>Malawi_1987</t>
  </si>
  <si>
    <t>Malawi_1989</t>
  </si>
  <si>
    <t>Malawi_1990</t>
  </si>
  <si>
    <t>Malawi_1991</t>
  </si>
  <si>
    <t>Malawi_1992</t>
  </si>
  <si>
    <t>Malawi_1993</t>
  </si>
  <si>
    <t>Malawi_1994</t>
  </si>
  <si>
    <t>Malawi_1995</t>
  </si>
  <si>
    <t>Malawi_1996</t>
  </si>
  <si>
    <t>Malawi_1997</t>
  </si>
  <si>
    <t>Malawi_1998</t>
  </si>
  <si>
    <t>Malawi_1999</t>
  </si>
  <si>
    <t>Malawi_2000</t>
  </si>
  <si>
    <t>Malawi_2001</t>
  </si>
  <si>
    <t>Malawi_2002</t>
  </si>
  <si>
    <t>Malawi_2004</t>
  </si>
  <si>
    <t>Malawi_2005</t>
  </si>
  <si>
    <t>Malawi_2006</t>
  </si>
  <si>
    <t>Malawi_2007</t>
  </si>
  <si>
    <t>Malawi_2008</t>
  </si>
  <si>
    <t>Malawi_2009</t>
  </si>
  <si>
    <t>Malawi_2010</t>
  </si>
  <si>
    <t>Malawi_2011</t>
  </si>
  <si>
    <t>Malawi_2012</t>
  </si>
  <si>
    <t>Malawi_2013</t>
  </si>
  <si>
    <t>Malawi_2014</t>
  </si>
  <si>
    <t>Malawi_2015</t>
  </si>
  <si>
    <t>Malawi_2016</t>
  </si>
  <si>
    <t>Malaysia_1985</t>
  </si>
  <si>
    <t>Malaysia</t>
  </si>
  <si>
    <t>Malaysia_1986</t>
  </si>
  <si>
    <t>Malaysia_1987</t>
  </si>
  <si>
    <t>Malaysia_1989</t>
  </si>
  <si>
    <t>Malaysia_1990</t>
  </si>
  <si>
    <t>Malaysia_1991</t>
  </si>
  <si>
    <t>Malaysia_1992</t>
  </si>
  <si>
    <t>Malaysia_1993</t>
  </si>
  <si>
    <t>Malaysia_1994</t>
  </si>
  <si>
    <t>Malaysia_1995</t>
  </si>
  <si>
    <t>Malaysia_1996</t>
  </si>
  <si>
    <t>Malaysia_1997</t>
  </si>
  <si>
    <t>Malaysia_1998</t>
  </si>
  <si>
    <t>Malaysia_1999</t>
  </si>
  <si>
    <t>Malaysia_2000</t>
  </si>
  <si>
    <t>Malaysia_2001</t>
  </si>
  <si>
    <t>Malaysia_2002</t>
  </si>
  <si>
    <t>Malaysia_2004</t>
  </si>
  <si>
    <t>Malaysia_2005</t>
  </si>
  <si>
    <t>Malaysia_2006</t>
  </si>
  <si>
    <t>Malaysia_2007</t>
  </si>
  <si>
    <t>Malaysia_2008</t>
  </si>
  <si>
    <t>Malaysia_2009</t>
  </si>
  <si>
    <t>Malaysia_2010</t>
  </si>
  <si>
    <t>Malaysia_2011</t>
  </si>
  <si>
    <t>Malaysia_2012</t>
  </si>
  <si>
    <t>Malaysia_2013</t>
  </si>
  <si>
    <t>Malaysia_2014</t>
  </si>
  <si>
    <t>Malaysia_2015</t>
  </si>
  <si>
    <t>Malaysia_2016</t>
  </si>
  <si>
    <t>Mali_1985</t>
  </si>
  <si>
    <t>Mali</t>
  </si>
  <si>
    <t>Mali_1986</t>
  </si>
  <si>
    <t>Mali_1987</t>
  </si>
  <si>
    <t>Mali_1989</t>
  </si>
  <si>
    <t>Mali_1990</t>
  </si>
  <si>
    <t>Mali_1991</t>
  </si>
  <si>
    <t>Mali_1992</t>
  </si>
  <si>
    <t>Mali_1993</t>
  </si>
  <si>
    <t>Mali_1994</t>
  </si>
  <si>
    <t>Mali_1995</t>
  </si>
  <si>
    <t>Mali_1996</t>
  </si>
  <si>
    <t>Mali_1997</t>
  </si>
  <si>
    <t>Mali_1998</t>
  </si>
  <si>
    <t>Mali_1999</t>
  </si>
  <si>
    <t>Mali_2000</t>
  </si>
  <si>
    <t>Mali_2001</t>
  </si>
  <si>
    <t>Mali_2002</t>
  </si>
  <si>
    <t>Mali_2004</t>
  </si>
  <si>
    <t>Mali_2005</t>
  </si>
  <si>
    <t>Mali_2006</t>
  </si>
  <si>
    <t>Mali_2007</t>
  </si>
  <si>
    <t>Mali_2008</t>
  </si>
  <si>
    <t>Mali_2009</t>
  </si>
  <si>
    <t>Mali_2010</t>
  </si>
  <si>
    <t>Mali_2011</t>
  </si>
  <si>
    <t>Mali_2012</t>
  </si>
  <si>
    <t>Mali_2013</t>
  </si>
  <si>
    <t>Mali_2014</t>
  </si>
  <si>
    <t>Mali_2015</t>
  </si>
  <si>
    <t>Mali_2016</t>
  </si>
  <si>
    <t>Mauritania_1985</t>
  </si>
  <si>
    <t>Mauritania</t>
  </si>
  <si>
    <t>Mauritania_1986</t>
  </si>
  <si>
    <t>Mauritania_1987</t>
  </si>
  <si>
    <t>Mauritania_1989</t>
  </si>
  <si>
    <t>Mauritania_1990</t>
  </si>
  <si>
    <t>Mauritania_1991</t>
  </si>
  <si>
    <t>Mauritania_1992</t>
  </si>
  <si>
    <t>Mauritania_1993</t>
  </si>
  <si>
    <t>Mauritania_1994</t>
  </si>
  <si>
    <t>Mauritania_1995</t>
  </si>
  <si>
    <t>Mauritania_1996</t>
  </si>
  <si>
    <t>Mauritania_1997</t>
  </si>
  <si>
    <t>Mauritania_1998</t>
  </si>
  <si>
    <t>Mauritania_1999</t>
  </si>
  <si>
    <t>Mauritania_2000</t>
  </si>
  <si>
    <t>Mauritania_2001</t>
  </si>
  <si>
    <t>Mauritania_2002</t>
  </si>
  <si>
    <t>Mauritania_2004</t>
  </si>
  <si>
    <t>Mauritania_2005</t>
  </si>
  <si>
    <t>Mauritania_2006</t>
  </si>
  <si>
    <t>Mauritania_2007</t>
  </si>
  <si>
    <t>Mauritania_2008</t>
  </si>
  <si>
    <t>Mauritania_2009</t>
  </si>
  <si>
    <t>Mauritania_2010</t>
  </si>
  <si>
    <t>Mauritania_2011</t>
  </si>
  <si>
    <t>Mauritania_2012</t>
  </si>
  <si>
    <t>Mauritania_2013</t>
  </si>
  <si>
    <t>Mauritania_2014</t>
  </si>
  <si>
    <t>Mauritania_2015</t>
  </si>
  <si>
    <t>Mauritania_2016</t>
  </si>
  <si>
    <t>Mauritius_1985</t>
  </si>
  <si>
    <t>Mauritius</t>
  </si>
  <si>
    <t>Mauritius_1986</t>
  </si>
  <si>
    <t>Mauritius_1987</t>
  </si>
  <si>
    <t>Mauritius_1989</t>
  </si>
  <si>
    <t>Mauritius_1990</t>
  </si>
  <si>
    <t>Mauritius_1991</t>
  </si>
  <si>
    <t>Mauritius_1992</t>
  </si>
  <si>
    <t>Mauritius_2008</t>
  </si>
  <si>
    <t>Mauritius_2009</t>
  </si>
  <si>
    <t>Mauritius_2010</t>
  </si>
  <si>
    <t>Mauritius_2011</t>
  </si>
  <si>
    <t>Mauritius_2012</t>
  </si>
  <si>
    <t>Mauritius_2013</t>
  </si>
  <si>
    <t>Mauritius_2014</t>
  </si>
  <si>
    <t>Mauritius_2015</t>
  </si>
  <si>
    <t>Mauritius_2016</t>
  </si>
  <si>
    <t>Mexico_1985</t>
  </si>
  <si>
    <t>Mexico</t>
  </si>
  <si>
    <t>Mexico_1986</t>
  </si>
  <si>
    <t>Mexico_1987</t>
  </si>
  <si>
    <t>Mexico_1989</t>
  </si>
  <si>
    <t>Mexico_1990</t>
  </si>
  <si>
    <t>Mexico_1991</t>
  </si>
  <si>
    <t>Mexico_1992</t>
  </si>
  <si>
    <t>Mexico_1993</t>
  </si>
  <si>
    <t>Mexico_1994</t>
  </si>
  <si>
    <t>Mexico_1995</t>
  </si>
  <si>
    <t>Mexico_1996</t>
  </si>
  <si>
    <t>Mexico_1997</t>
  </si>
  <si>
    <t>Mexico_1998</t>
  </si>
  <si>
    <t>Mexico_1999</t>
  </si>
  <si>
    <t>Mexico_2000</t>
  </si>
  <si>
    <t>Mexico_2001</t>
  </si>
  <si>
    <t>Mexico_2002</t>
  </si>
  <si>
    <t>Mexico_2004</t>
  </si>
  <si>
    <t>Mexico_2005</t>
  </si>
  <si>
    <t>Mexico_2006</t>
  </si>
  <si>
    <t>Mexico_2007</t>
  </si>
  <si>
    <t>Mexico_2008</t>
  </si>
  <si>
    <t>Mexico_2009</t>
  </si>
  <si>
    <t>Mexico_2010</t>
  </si>
  <si>
    <t>Mexico_2011</t>
  </si>
  <si>
    <t>Mexico_2012</t>
  </si>
  <si>
    <t>Mexico_2013</t>
  </si>
  <si>
    <t>Mexico_2014</t>
  </si>
  <si>
    <t>Mexico_2015</t>
  </si>
  <si>
    <t>Mexico_2016</t>
  </si>
  <si>
    <t>Morocco_1985</t>
  </si>
  <si>
    <t>Morocco</t>
  </si>
  <si>
    <t>Morocco_1986</t>
  </si>
  <si>
    <t>Morocco_1987</t>
  </si>
  <si>
    <t>Morocco_1989</t>
  </si>
  <si>
    <t>Morocco_1990</t>
  </si>
  <si>
    <t>Morocco_1991</t>
  </si>
  <si>
    <t>Morocco_1992</t>
  </si>
  <si>
    <t>Morocco_1993</t>
  </si>
  <si>
    <t>Morocco_1994</t>
  </si>
  <si>
    <t>Morocco_1995</t>
  </si>
  <si>
    <t>Morocco_1996</t>
  </si>
  <si>
    <t>Morocco_1997</t>
  </si>
  <si>
    <t>Morocco_1998</t>
  </si>
  <si>
    <t>Morocco_1999</t>
  </si>
  <si>
    <t>Morocco_2000</t>
  </si>
  <si>
    <t>Morocco_2001</t>
  </si>
  <si>
    <t>Morocco_2002</t>
  </si>
  <si>
    <t>Morocco_2004</t>
  </si>
  <si>
    <t>Morocco_2005</t>
  </si>
  <si>
    <t>Morocco_2006</t>
  </si>
  <si>
    <t>Morocco_2007</t>
  </si>
  <si>
    <t>Morocco_2008</t>
  </si>
  <si>
    <t>Morocco_2009</t>
  </si>
  <si>
    <t>Morocco_2010</t>
  </si>
  <si>
    <t>Morocco_2011</t>
  </si>
  <si>
    <t>Morocco_2012</t>
  </si>
  <si>
    <t>Morocco_2013</t>
  </si>
  <si>
    <t>Morocco_2014</t>
  </si>
  <si>
    <t>Morocco_2015</t>
  </si>
  <si>
    <t>Morocco_2016</t>
  </si>
  <si>
    <t>Mozambique_1985</t>
  </si>
  <si>
    <t>Mozambique</t>
  </si>
  <si>
    <t>Mozambique_1986</t>
  </si>
  <si>
    <t>Mozambique_1987</t>
  </si>
  <si>
    <t>Mozambique_1989</t>
  </si>
  <si>
    <t>Mozambique_1990</t>
  </si>
  <si>
    <t>Mozambique_1991</t>
  </si>
  <si>
    <t>Mozambique_1992</t>
  </si>
  <si>
    <t>Mozambique_1993</t>
  </si>
  <si>
    <t>Mozambique_1994</t>
  </si>
  <si>
    <t>Mozambique_1995</t>
  </si>
  <si>
    <t>Mozambique_1996</t>
  </si>
  <si>
    <t>Mozambique_1997</t>
  </si>
  <si>
    <t>Mozambique_1998</t>
  </si>
  <si>
    <t>Mozambique_1999</t>
  </si>
  <si>
    <t>Mozambique_2000</t>
  </si>
  <si>
    <t>Mozambique_2001</t>
  </si>
  <si>
    <t>Mozambique_2002</t>
  </si>
  <si>
    <t>Mozambique_2004</t>
  </si>
  <si>
    <t>Mozambique_2005</t>
  </si>
  <si>
    <t>Mozambique_2006</t>
  </si>
  <si>
    <t>Mozambique_2007</t>
  </si>
  <si>
    <t>Mozambique_2008</t>
  </si>
  <si>
    <t>Mozambique_2009</t>
  </si>
  <si>
    <t>Mozambique_2010</t>
  </si>
  <si>
    <t>Mozambique_2011</t>
  </si>
  <si>
    <t>Mozambique_2012</t>
  </si>
  <si>
    <t>Mozambique_2013</t>
  </si>
  <si>
    <t>Mozambique_2014</t>
  </si>
  <si>
    <t>Mozambique_2015</t>
  </si>
  <si>
    <t>Mozambique_2016</t>
  </si>
  <si>
    <t>Myanmar_1985</t>
  </si>
  <si>
    <t>Myanmar</t>
  </si>
  <si>
    <t>Myanmar_1986</t>
  </si>
  <si>
    <t>Myanmar_1987</t>
  </si>
  <si>
    <t>Myanmar_1989</t>
  </si>
  <si>
    <t>Myanmar_1990</t>
  </si>
  <si>
    <t>Myanmar_1991</t>
  </si>
  <si>
    <t>Myanmar_1992</t>
  </si>
  <si>
    <t>Myanmar_1993</t>
  </si>
  <si>
    <t>Myanmar_1994</t>
  </si>
  <si>
    <t>Myanmar_1995</t>
  </si>
  <si>
    <t>Myanmar_1996</t>
  </si>
  <si>
    <t>Myanmar_1997</t>
  </si>
  <si>
    <t>Myanmar_1998</t>
  </si>
  <si>
    <t>Myanmar_1999</t>
  </si>
  <si>
    <t>Myanmar_2000</t>
  </si>
  <si>
    <t>Myanmar_2001</t>
  </si>
  <si>
    <t>Myanmar_2002</t>
  </si>
  <si>
    <t>Myanmar_2004</t>
  </si>
  <si>
    <t>Myanmar_2005</t>
  </si>
  <si>
    <t>Myanmar_2006</t>
  </si>
  <si>
    <t>Myanmar_2007</t>
  </si>
  <si>
    <t>Myanmar_2008</t>
  </si>
  <si>
    <t>Myanmar_2009</t>
  </si>
  <si>
    <t>Myanmar_2010</t>
  </si>
  <si>
    <t>Myanmar_2011</t>
  </si>
  <si>
    <t>Myanmar_2012</t>
  </si>
  <si>
    <t>Myanmar_2013</t>
  </si>
  <si>
    <t>Myanmar_2014</t>
  </si>
  <si>
    <t>Myanmar_2015</t>
  </si>
  <si>
    <t>Myanmar_2016</t>
  </si>
  <si>
    <t>Nepal_1985</t>
  </si>
  <si>
    <t>Nepal</t>
  </si>
  <si>
    <t>Nepal_1986</t>
  </si>
  <si>
    <t>Nepal_1987</t>
  </si>
  <si>
    <t>Nepal_1989</t>
  </si>
  <si>
    <t>Nepal_1990</t>
  </si>
  <si>
    <t>Nepal_1991</t>
  </si>
  <si>
    <t>Nepal_1992</t>
  </si>
  <si>
    <t>Nepal_1993</t>
  </si>
  <si>
    <t>Nepal_1994</t>
  </si>
  <si>
    <t>Nepal_1995</t>
  </si>
  <si>
    <t>Nepal_1996</t>
  </si>
  <si>
    <t>Nepal_1997</t>
  </si>
  <si>
    <t>Nepal_1998</t>
  </si>
  <si>
    <t>Nepal_1999</t>
  </si>
  <si>
    <t>Nepal_2000</t>
  </si>
  <si>
    <t>Nepal_2001</t>
  </si>
  <si>
    <t>Nepal_2002</t>
  </si>
  <si>
    <t>Nepal_2004</t>
  </si>
  <si>
    <t>Nepal_2005</t>
  </si>
  <si>
    <t>Nepal_2006</t>
  </si>
  <si>
    <t>Nepal_2007</t>
  </si>
  <si>
    <t>Nepal_2008</t>
  </si>
  <si>
    <t>Nepal_2009</t>
  </si>
  <si>
    <t>Nepal_2010</t>
  </si>
  <si>
    <t>Nepal_2011</t>
  </si>
  <si>
    <t>Nepal_2012</t>
  </si>
  <si>
    <t>Nepal_2013</t>
  </si>
  <si>
    <t>Nepal_2014</t>
  </si>
  <si>
    <t>Nepal_2015</t>
  </si>
  <si>
    <t>Nepal_2016</t>
  </si>
  <si>
    <t>Nicaragua_1985</t>
  </si>
  <si>
    <t>Nicaragua</t>
  </si>
  <si>
    <t>Nicaragua_1986</t>
  </si>
  <si>
    <t>Nicaragua_1987</t>
  </si>
  <si>
    <t>Nicaragua_1989</t>
  </si>
  <si>
    <t>Nicaragua_1990</t>
  </si>
  <si>
    <t>Nicaragua_1991</t>
  </si>
  <si>
    <t>Nicaragua_1992</t>
  </si>
  <si>
    <t>Nicaragua_1993</t>
  </si>
  <si>
    <t>Nicaragua_1994</t>
  </si>
  <si>
    <t>Nicaragua_1995</t>
  </si>
  <si>
    <t>Nicaragua_1996</t>
  </si>
  <si>
    <t>Nicaragua_1997</t>
  </si>
  <si>
    <t>Nicaragua_1998</t>
  </si>
  <si>
    <t>Nicaragua_1999</t>
  </si>
  <si>
    <t>Nicaragua_2000</t>
  </si>
  <si>
    <t>Nicaragua_2001</t>
  </si>
  <si>
    <t>Nicaragua_2002</t>
  </si>
  <si>
    <t>Nicaragua_2004</t>
  </si>
  <si>
    <t>Nicaragua_2005</t>
  </si>
  <si>
    <t>Nicaragua_2006</t>
  </si>
  <si>
    <t>Nicaragua_2007</t>
  </si>
  <si>
    <t>Nicaragua_2008</t>
  </si>
  <si>
    <t>Nicaragua_2009</t>
  </si>
  <si>
    <t>Nicaragua_2010</t>
  </si>
  <si>
    <t>Nicaragua_2011</t>
  </si>
  <si>
    <t>Nicaragua_2012</t>
  </si>
  <si>
    <t>Nicaragua_2013</t>
  </si>
  <si>
    <t>Nicaragua_2014</t>
  </si>
  <si>
    <t>Nicaragua_2015</t>
  </si>
  <si>
    <t>Nicaragua_2016</t>
  </si>
  <si>
    <t>Niger_1985</t>
  </si>
  <si>
    <t>Niger</t>
  </si>
  <si>
    <t>Niger_1986</t>
  </si>
  <si>
    <t>Niger_1987</t>
  </si>
  <si>
    <t>Niger_1989</t>
  </si>
  <si>
    <t>Niger_1990</t>
  </si>
  <si>
    <t>Niger_1991</t>
  </si>
  <si>
    <t>Niger_1992</t>
  </si>
  <si>
    <t>Niger_1993</t>
  </si>
  <si>
    <t>Niger_1994</t>
  </si>
  <si>
    <t>Niger_1995</t>
  </si>
  <si>
    <t>Niger_1996</t>
  </si>
  <si>
    <t>Niger_1997</t>
  </si>
  <si>
    <t>Niger_1998</t>
  </si>
  <si>
    <t>Niger_1999</t>
  </si>
  <si>
    <t>Niger_2000</t>
  </si>
  <si>
    <t>Niger_2001</t>
  </si>
  <si>
    <t>Niger_2002</t>
  </si>
  <si>
    <t>Niger_2004</t>
  </si>
  <si>
    <t>Niger_2005</t>
  </si>
  <si>
    <t>Niger_2006</t>
  </si>
  <si>
    <t>Niger_2007</t>
  </si>
  <si>
    <t>Niger_2008</t>
  </si>
  <si>
    <t>Niger_2009</t>
  </si>
  <si>
    <t>Niger_2010</t>
  </si>
  <si>
    <t>Niger_2011</t>
  </si>
  <si>
    <t>Niger_2012</t>
  </si>
  <si>
    <t>Niger_2013</t>
  </si>
  <si>
    <t>Niger_2014</t>
  </si>
  <si>
    <t>Niger_2015</t>
  </si>
  <si>
    <t>Niger_2016</t>
  </si>
  <si>
    <t>Nigeria_1985</t>
  </si>
  <si>
    <t>Nigeria</t>
  </si>
  <si>
    <t>Nigeria_1986</t>
  </si>
  <si>
    <t>Nigeria_1987</t>
  </si>
  <si>
    <t>Nigeria_1989</t>
  </si>
  <si>
    <t>Nigeria_1990</t>
  </si>
  <si>
    <t>Nigeria_1991</t>
  </si>
  <si>
    <t>Nigeria_1992</t>
  </si>
  <si>
    <t>Nigeria_1993</t>
  </si>
  <si>
    <t>Nigeria_1994</t>
  </si>
  <si>
    <t>Nigeria_1995</t>
  </si>
  <si>
    <t>Nigeria_1996</t>
  </si>
  <si>
    <t>Nigeria_1997</t>
  </si>
  <si>
    <t>Nigeria_1998</t>
  </si>
  <si>
    <t>Nigeria_1999</t>
  </si>
  <si>
    <t>Nigeria_2000</t>
  </si>
  <si>
    <t>Nigeria_2001</t>
  </si>
  <si>
    <t>Nigeria_2002</t>
  </si>
  <si>
    <t>Nigeria_2004</t>
  </si>
  <si>
    <t>Nigeria_2005</t>
  </si>
  <si>
    <t>Nigeria_2006</t>
  </si>
  <si>
    <t>Nigeria_2007</t>
  </si>
  <si>
    <t>Nigeria_2008</t>
  </si>
  <si>
    <t>Nigeria_2009</t>
  </si>
  <si>
    <t>Nigeria_2010</t>
  </si>
  <si>
    <t>Nigeria_2011</t>
  </si>
  <si>
    <t>Nigeria_2012</t>
  </si>
  <si>
    <t>Nigeria_2013</t>
  </si>
  <si>
    <t>Nigeria_2014</t>
  </si>
  <si>
    <t>Nigeria_2015</t>
  </si>
  <si>
    <t>Nigeria_2016</t>
  </si>
  <si>
    <t>Pakistan_1985</t>
  </si>
  <si>
    <t>Pakistan</t>
  </si>
  <si>
    <t>Pakistan_1986</t>
  </si>
  <si>
    <t>Pakistan_1987</t>
  </si>
  <si>
    <t>Pakistan_1989</t>
  </si>
  <si>
    <t>Pakistan_1990</t>
  </si>
  <si>
    <t>Pakistan_1991</t>
  </si>
  <si>
    <t>Pakistan_1992</t>
  </si>
  <si>
    <t>Pakistan_1993</t>
  </si>
  <si>
    <t>Pakistan_1994</t>
  </si>
  <si>
    <t>Pakistan_1995</t>
  </si>
  <si>
    <t>Pakistan_1996</t>
  </si>
  <si>
    <t>Pakistan_1997</t>
  </si>
  <si>
    <t>Pakistan_1998</t>
  </si>
  <si>
    <t>Pakistan_1999</t>
  </si>
  <si>
    <t>Pakistan_2000</t>
  </si>
  <si>
    <t>Pakistan_2001</t>
  </si>
  <si>
    <t>Pakistan_2002</t>
  </si>
  <si>
    <t>Pakistan_2004</t>
  </si>
  <si>
    <t>Pakistan_2005</t>
  </si>
  <si>
    <t>Pakistan_2006</t>
  </si>
  <si>
    <t>Pakistan_2007</t>
  </si>
  <si>
    <t>Pakistan_2008</t>
  </si>
  <si>
    <t>Pakistan_2009</t>
  </si>
  <si>
    <t>Pakistan_2010</t>
  </si>
  <si>
    <t>Pakistan_2011</t>
  </si>
  <si>
    <t>Pakistan_2012</t>
  </si>
  <si>
    <t>Pakistan_2013</t>
  </si>
  <si>
    <t>Pakistan_2014</t>
  </si>
  <si>
    <t>Pakistan_2015</t>
  </si>
  <si>
    <t>Pakistan_2016</t>
  </si>
  <si>
    <t>Panama_1985</t>
  </si>
  <si>
    <t>Panama</t>
  </si>
  <si>
    <t>Panama_1986</t>
  </si>
  <si>
    <t>Panama_1987</t>
  </si>
  <si>
    <t>Panama_1989</t>
  </si>
  <si>
    <t>Panama_1990</t>
  </si>
  <si>
    <t>Panama_1991</t>
  </si>
  <si>
    <t>Panama_1992</t>
  </si>
  <si>
    <t>Panama_1993</t>
  </si>
  <si>
    <t>Panama_1994</t>
  </si>
  <si>
    <t>Panama_1995</t>
  </si>
  <si>
    <t>Panama_1996</t>
  </si>
  <si>
    <t>Panama_1997</t>
  </si>
  <si>
    <t>Panama_1998</t>
  </si>
  <si>
    <t>Panama_1999</t>
  </si>
  <si>
    <t>Panama_2000</t>
  </si>
  <si>
    <t>Panama_2001</t>
  </si>
  <si>
    <t>Panama_2002</t>
  </si>
  <si>
    <t>Panama_2004</t>
  </si>
  <si>
    <t>Panama_2005</t>
  </si>
  <si>
    <t>Panama_2006</t>
  </si>
  <si>
    <t>Panama_2007</t>
  </si>
  <si>
    <t>Panama_2008</t>
  </si>
  <si>
    <t>Panama_2009</t>
  </si>
  <si>
    <t>Panama_2010</t>
  </si>
  <si>
    <t>Panama_2011</t>
  </si>
  <si>
    <t>Panama_2012</t>
  </si>
  <si>
    <t>Panama_2013</t>
  </si>
  <si>
    <t>Panama_2014</t>
  </si>
  <si>
    <t>Panama_2015</t>
  </si>
  <si>
    <t>Panama_2016</t>
  </si>
  <si>
    <t>Papua New Guinea_1985</t>
  </si>
  <si>
    <t>Papua New Guinea</t>
  </si>
  <si>
    <t>Papua New Guinea_1986</t>
  </si>
  <si>
    <t>Papua New Guinea_1987</t>
  </si>
  <si>
    <t>Papua New Guinea_1989</t>
  </si>
  <si>
    <t>Papua New Guinea_1990</t>
  </si>
  <si>
    <t>Papua New Guinea_1991</t>
  </si>
  <si>
    <t>Papua New Guinea_1992</t>
  </si>
  <si>
    <t>Papua New Guinea_1993</t>
  </si>
  <si>
    <t>Papua New Guinea_1994</t>
  </si>
  <si>
    <t>Papua New Guinea_1995</t>
  </si>
  <si>
    <t>Papua New Guinea_1996</t>
  </si>
  <si>
    <t>Papua New Guinea_1997</t>
  </si>
  <si>
    <t>Papua New Guinea_1998</t>
  </si>
  <si>
    <t>Papua New Guinea_1999</t>
  </si>
  <si>
    <t>Papua New Guinea_2000</t>
  </si>
  <si>
    <t>Papua New Guinea_2001</t>
  </si>
  <si>
    <t>Papua New Guinea_2002</t>
  </si>
  <si>
    <t>Papua New Guinea_2004</t>
  </si>
  <si>
    <t>Papua New Guinea_2005</t>
  </si>
  <si>
    <t>Papua New Guinea_2006</t>
  </si>
  <si>
    <t>Papua New Guinea_2007</t>
  </si>
  <si>
    <t>Papua New Guinea_2008</t>
  </si>
  <si>
    <t>Papua New Guinea_2009</t>
  </si>
  <si>
    <t>Papua New Guinea_2010</t>
  </si>
  <si>
    <t>Papua New Guinea_2011</t>
  </si>
  <si>
    <t>Papua New Guinea_2012</t>
  </si>
  <si>
    <t>Papua New Guinea_2013</t>
  </si>
  <si>
    <t>Papua New Guinea_2014</t>
  </si>
  <si>
    <t>Papua New Guinea_2015</t>
  </si>
  <si>
    <t>Papua New Guinea_2016</t>
  </si>
  <si>
    <t>Paraguay_1985</t>
  </si>
  <si>
    <t>Paraguay</t>
  </si>
  <si>
    <t>Paraguay_1986</t>
  </si>
  <si>
    <t>Paraguay_1987</t>
  </si>
  <si>
    <t>Paraguay_1989</t>
  </si>
  <si>
    <t>Paraguay_1990</t>
  </si>
  <si>
    <t>Paraguay_1991</t>
  </si>
  <si>
    <t>Paraguay_1992</t>
  </si>
  <si>
    <t>Paraguay_1993</t>
  </si>
  <si>
    <t>Paraguay_1994</t>
  </si>
  <si>
    <t>Paraguay_1995</t>
  </si>
  <si>
    <t>Paraguay_1996</t>
  </si>
  <si>
    <t>Paraguay_1997</t>
  </si>
  <si>
    <t>Paraguay_1998</t>
  </si>
  <si>
    <t>Paraguay_1999</t>
  </si>
  <si>
    <t>Paraguay_2000</t>
  </si>
  <si>
    <t>Paraguay_2001</t>
  </si>
  <si>
    <t>Paraguay_2002</t>
  </si>
  <si>
    <t>Paraguay_2004</t>
  </si>
  <si>
    <t>Paraguay_2005</t>
  </si>
  <si>
    <t>Paraguay_2006</t>
  </si>
  <si>
    <t>Paraguay_2007</t>
  </si>
  <si>
    <t>Paraguay_2008</t>
  </si>
  <si>
    <t>Paraguay_2009</t>
  </si>
  <si>
    <t>Paraguay_2010</t>
  </si>
  <si>
    <t>Paraguay_2011</t>
  </si>
  <si>
    <t>Paraguay_2012</t>
  </si>
  <si>
    <t>Paraguay_2013</t>
  </si>
  <si>
    <t>Paraguay_2014</t>
  </si>
  <si>
    <t>Paraguay_2015</t>
  </si>
  <si>
    <t>Paraguay_2016</t>
  </si>
  <si>
    <t>Peru_1985</t>
  </si>
  <si>
    <t>Peru</t>
  </si>
  <si>
    <t>Peru_1986</t>
  </si>
  <si>
    <t>Peru_1987</t>
  </si>
  <si>
    <t>Peru_1989</t>
  </si>
  <si>
    <t>Peru_1990</t>
  </si>
  <si>
    <t>Peru_1991</t>
  </si>
  <si>
    <t>Peru_1992</t>
  </si>
  <si>
    <t>Peru_1993</t>
  </si>
  <si>
    <t>Peru_1994</t>
  </si>
  <si>
    <t>Peru_1995</t>
  </si>
  <si>
    <t>Peru_1996</t>
  </si>
  <si>
    <t>Peru_1997</t>
  </si>
  <si>
    <t>Peru_1998</t>
  </si>
  <si>
    <t>Peru_1999</t>
  </si>
  <si>
    <t>Peru_2000</t>
  </si>
  <si>
    <t>Peru_2001</t>
  </si>
  <si>
    <t>Peru_2002</t>
  </si>
  <si>
    <t>Peru_2004</t>
  </si>
  <si>
    <t>Peru_2005</t>
  </si>
  <si>
    <t>Peru_2006</t>
  </si>
  <si>
    <t>Peru_2007</t>
  </si>
  <si>
    <t>Peru_2008</t>
  </si>
  <si>
    <t>Peru_2009</t>
  </si>
  <si>
    <t>Peru_2010</t>
  </si>
  <si>
    <t>Peru_2011</t>
  </si>
  <si>
    <t>Peru_2012</t>
  </si>
  <si>
    <t>Peru_2013</t>
  </si>
  <si>
    <t>Peru_2014</t>
  </si>
  <si>
    <t>Peru_2015</t>
  </si>
  <si>
    <t>Peru_2016</t>
  </si>
  <si>
    <t>Philippines_1985</t>
  </si>
  <si>
    <t>Philippines</t>
  </si>
  <si>
    <t>Philippines_1986</t>
  </si>
  <si>
    <t>Philippines_1987</t>
  </si>
  <si>
    <t>Philippines_1989</t>
  </si>
  <si>
    <t>Philippines_1990</t>
  </si>
  <si>
    <t>Philippines_1991</t>
  </si>
  <si>
    <t>Philippines_1992</t>
  </si>
  <si>
    <t>Philippines_1993</t>
  </si>
  <si>
    <t>Philippines_1994</t>
  </si>
  <si>
    <t>Philippines_1995</t>
  </si>
  <si>
    <t>Philippines_1996</t>
  </si>
  <si>
    <t>Philippines_1997</t>
  </si>
  <si>
    <t>Philippines_1998</t>
  </si>
  <si>
    <t>Philippines_1999</t>
  </si>
  <si>
    <t>Philippines_2000</t>
  </si>
  <si>
    <t>Philippines_2001</t>
  </si>
  <si>
    <t>Philippines_2002</t>
  </si>
  <si>
    <t>Philippines_2004</t>
  </si>
  <si>
    <t>Philippines_2005</t>
  </si>
  <si>
    <t>Philippines_2006</t>
  </si>
  <si>
    <t>Philippines_2007</t>
  </si>
  <si>
    <t>Philippines_2008</t>
  </si>
  <si>
    <t>Philippines_2009</t>
  </si>
  <si>
    <t>Philippines_2010</t>
  </si>
  <si>
    <t>Philippines_2011</t>
  </si>
  <si>
    <t>Philippines_2012</t>
  </si>
  <si>
    <t>Philippines_2013</t>
  </si>
  <si>
    <t>Philippines_2014</t>
  </si>
  <si>
    <t>Philippines_2015</t>
  </si>
  <si>
    <t>Philippines_2016</t>
  </si>
  <si>
    <t>Portugal_1985</t>
  </si>
  <si>
    <t>Portugal</t>
  </si>
  <si>
    <t>Portugal_1986</t>
  </si>
  <si>
    <t>Portugal_1987</t>
  </si>
  <si>
    <t>Portugal_1989</t>
  </si>
  <si>
    <t>Portugal_1990</t>
  </si>
  <si>
    <t>Portugal_1991</t>
  </si>
  <si>
    <t>Portugal_1992</t>
  </si>
  <si>
    <t>Portugal_1993</t>
  </si>
  <si>
    <t>Portugal_1994</t>
  </si>
  <si>
    <t>Portugal_1995</t>
  </si>
  <si>
    <t>Portugal_1996</t>
  </si>
  <si>
    <t>Portugal_1997</t>
  </si>
  <si>
    <t>Portugal_1998</t>
  </si>
  <si>
    <t>Portugal_1999</t>
  </si>
  <si>
    <t>Portugal_2000</t>
  </si>
  <si>
    <t>Portugal_2001</t>
  </si>
  <si>
    <t>Portugal_2002</t>
  </si>
  <si>
    <t>Portugal_2004</t>
  </si>
  <si>
    <t>Portugal_2005</t>
  </si>
  <si>
    <t>Portugal_2006</t>
  </si>
  <si>
    <t>Portugal_2007</t>
  </si>
  <si>
    <t>Portugal_2008</t>
  </si>
  <si>
    <t>Portugal_2009</t>
  </si>
  <si>
    <t>Portugal_2010</t>
  </si>
  <si>
    <t>Portugal_2011</t>
  </si>
  <si>
    <t>Portugal_2012</t>
  </si>
  <si>
    <t>Portugal_2013</t>
  </si>
  <si>
    <t>Portugal_2014</t>
  </si>
  <si>
    <t>Portugal_2015</t>
  </si>
  <si>
    <t>Portugal_2016</t>
  </si>
  <si>
    <t>Puerto Rico_1985</t>
  </si>
  <si>
    <t>Puerto Rico</t>
  </si>
  <si>
    <t>Puerto Rico_1986</t>
  </si>
  <si>
    <t>Puerto Rico_1987</t>
  </si>
  <si>
    <t>Puerto Rico_1989</t>
  </si>
  <si>
    <t>Puerto Rico_1998</t>
  </si>
  <si>
    <t>Puerto Rico_1999</t>
  </si>
  <si>
    <t>Puerto Rico_2000</t>
  </si>
  <si>
    <t>Puerto Rico_2001</t>
  </si>
  <si>
    <t>Puerto Rico_2002</t>
  </si>
  <si>
    <t>Puerto Rico_2004</t>
  </si>
  <si>
    <t>Puerto Rico_2008</t>
  </si>
  <si>
    <t>Puerto Rico_2009</t>
  </si>
  <si>
    <t>Puerto Rico_2010</t>
  </si>
  <si>
    <t>Puerto Rico_2011</t>
  </si>
  <si>
    <t>Puerto Rico_2012</t>
  </si>
  <si>
    <t>Puerto Rico_2013</t>
  </si>
  <si>
    <t>Puerto Rico_2014</t>
  </si>
  <si>
    <t>Puerto Rico_2015</t>
  </si>
  <si>
    <t>Puerto Rico_2016</t>
  </si>
  <si>
    <t>Romania_1985</t>
  </si>
  <si>
    <t>Romania</t>
  </si>
  <si>
    <t>Romania_1986</t>
  </si>
  <si>
    <t>Romania_1987</t>
  </si>
  <si>
    <t>Romania_1989</t>
  </si>
  <si>
    <t>Romania_1990</t>
  </si>
  <si>
    <t>Romania_1991</t>
  </si>
  <si>
    <t>Romania_1992</t>
  </si>
  <si>
    <t>Romania_1993</t>
  </si>
  <si>
    <t>Romania_1994</t>
  </si>
  <si>
    <t>Romania_1995</t>
  </si>
  <si>
    <t>Romania_1996</t>
  </si>
  <si>
    <t>Romania_1997</t>
  </si>
  <si>
    <t>Romania_1998</t>
  </si>
  <si>
    <t>Romania_1999</t>
  </si>
  <si>
    <t>Romania_2000</t>
  </si>
  <si>
    <t>Romania_2001</t>
  </si>
  <si>
    <t>Romania_2002</t>
  </si>
  <si>
    <t>Romania_2004</t>
  </si>
  <si>
    <t>Romania_2005</t>
  </si>
  <si>
    <t>Romania_2006</t>
  </si>
  <si>
    <t>Romania_2007</t>
  </si>
  <si>
    <t>Romania_2008</t>
  </si>
  <si>
    <t>Romania_2009</t>
  </si>
  <si>
    <t>Romania_2010</t>
  </si>
  <si>
    <t>Romania_2011</t>
  </si>
  <si>
    <t>Romania_2012</t>
  </si>
  <si>
    <t>Romania_2013</t>
  </si>
  <si>
    <t>Romania_2014</t>
  </si>
  <si>
    <t>Romania_2015</t>
  </si>
  <si>
    <t>Romania_2016</t>
  </si>
  <si>
    <t>Rwanda_1985</t>
  </si>
  <si>
    <t>Rwanda</t>
  </si>
  <si>
    <t>Rwanda_1986</t>
  </si>
  <si>
    <t>Rwanda_1987</t>
  </si>
  <si>
    <t>Rwanda_1989</t>
  </si>
  <si>
    <t>Rwanda_1990</t>
  </si>
  <si>
    <t>Rwanda_1991</t>
  </si>
  <si>
    <t>Rwanda_1992</t>
  </si>
  <si>
    <t>Rwanda_1993</t>
  </si>
  <si>
    <t>Rwanda_1994</t>
  </si>
  <si>
    <t>Rwanda_1995</t>
  </si>
  <si>
    <t>Rwanda_1996</t>
  </si>
  <si>
    <t>Rwanda_1997</t>
  </si>
  <si>
    <t>Rwanda_1998</t>
  </si>
  <si>
    <t>Rwanda_1999</t>
  </si>
  <si>
    <t>Rwanda_2000</t>
  </si>
  <si>
    <t>Rwanda_2001</t>
  </si>
  <si>
    <t>Rwanda_2002</t>
  </si>
  <si>
    <t>Rwanda_2004</t>
  </si>
  <si>
    <t>Rwanda_2005</t>
  </si>
  <si>
    <t>Rwanda_2006</t>
  </si>
  <si>
    <t>Rwanda_2007</t>
  </si>
  <si>
    <t>Rwanda_2008</t>
  </si>
  <si>
    <t>Rwanda_2009</t>
  </si>
  <si>
    <t>Rwanda_2010</t>
  </si>
  <si>
    <t>Rwanda_2011</t>
  </si>
  <si>
    <t>Rwanda_2012</t>
  </si>
  <si>
    <t>Rwanda_2013</t>
  </si>
  <si>
    <t>Rwanda_2014</t>
  </si>
  <si>
    <t>Rwanda_2015</t>
  </si>
  <si>
    <t>Rwanda_2016</t>
  </si>
  <si>
    <t>Senegal_1985</t>
  </si>
  <si>
    <t>Senegal</t>
  </si>
  <si>
    <t>Senegal_1986</t>
  </si>
  <si>
    <t>Senegal_1987</t>
  </si>
  <si>
    <t>Senegal_1989</t>
  </si>
  <si>
    <t>Senegal_1990</t>
  </si>
  <si>
    <t>Senegal_1991</t>
  </si>
  <si>
    <t>Senegal_1992</t>
  </si>
  <si>
    <t>Senegal_1993</t>
  </si>
  <si>
    <t>Senegal_1994</t>
  </si>
  <si>
    <t>Senegal_1995</t>
  </si>
  <si>
    <t>Senegal_1996</t>
  </si>
  <si>
    <t>Senegal_1997</t>
  </si>
  <si>
    <t>Senegal_1998</t>
  </si>
  <si>
    <t>Senegal_1999</t>
  </si>
  <si>
    <t>Senegal_2000</t>
  </si>
  <si>
    <t>Senegal_2001</t>
  </si>
  <si>
    <t>Senegal_2002</t>
  </si>
  <si>
    <t>Senegal_2004</t>
  </si>
  <si>
    <t>Senegal_2005</t>
  </si>
  <si>
    <t>Senegal_2006</t>
  </si>
  <si>
    <t>Senegal_2007</t>
  </si>
  <si>
    <t>Senegal_2008</t>
  </si>
  <si>
    <t>Senegal_2009</t>
  </si>
  <si>
    <t>Senegal_2010</t>
  </si>
  <si>
    <t>Senegal_2011</t>
  </si>
  <si>
    <t>Senegal_2012</t>
  </si>
  <si>
    <t>Senegal_2013</t>
  </si>
  <si>
    <t>Senegal_2014</t>
  </si>
  <si>
    <t>Senegal_2015</t>
  </si>
  <si>
    <t>Senegal_2016</t>
  </si>
  <si>
    <t>Sierra Leone_1985</t>
  </si>
  <si>
    <t>Sierra Leone</t>
  </si>
  <si>
    <t>Sierra Leone_1986</t>
  </si>
  <si>
    <t>Sierra Leone_1987</t>
  </si>
  <si>
    <t>Sierra Leone_1989</t>
  </si>
  <si>
    <t>Sierra Leone_1990</t>
  </si>
  <si>
    <t>Sierra Leone_1991</t>
  </si>
  <si>
    <t>Sierra Leone_1992</t>
  </si>
  <si>
    <t>Sierra Leone_1993</t>
  </si>
  <si>
    <t>Sierra Leone_1994</t>
  </si>
  <si>
    <t>Sierra Leone_1995</t>
  </si>
  <si>
    <t>Sierra Leone_1996</t>
  </si>
  <si>
    <t>Sierra Leone_1997</t>
  </si>
  <si>
    <t>Sierra Leone_1998</t>
  </si>
  <si>
    <t>Sierra Leone_1999</t>
  </si>
  <si>
    <t>Sierra Leone_2000</t>
  </si>
  <si>
    <t>Sierra Leone_2001</t>
  </si>
  <si>
    <t>Sierra Leone_2002</t>
  </si>
  <si>
    <t>Sierra Leone_2004</t>
  </si>
  <si>
    <t>Sierra Leone_2005</t>
  </si>
  <si>
    <t>Sierra Leone_2006</t>
  </si>
  <si>
    <t>Sierra Leone_2007</t>
  </si>
  <si>
    <t>Sierra Leone_2008</t>
  </si>
  <si>
    <t>Sierra Leone_2009</t>
  </si>
  <si>
    <t>Sierra Leone_2010</t>
  </si>
  <si>
    <t>Sierra Leone_2011</t>
  </si>
  <si>
    <t>Sierra Leone_2012</t>
  </si>
  <si>
    <t>Sierra Leone_2013</t>
  </si>
  <si>
    <t>Sierra Leone_2014</t>
  </si>
  <si>
    <t>Sierra Leone_2015</t>
  </si>
  <si>
    <t>Sierra Leone_2016</t>
  </si>
  <si>
    <t>Solomon Islands_1985</t>
  </si>
  <si>
    <t>Solomon Islands</t>
  </si>
  <si>
    <t>Solomon Islands_1986</t>
  </si>
  <si>
    <t>Solomon Islands_1990</t>
  </si>
  <si>
    <t>Solomon Islands_1991</t>
  </si>
  <si>
    <t>Solomon Islands_1992</t>
  </si>
  <si>
    <t>Solomon Islands_1993</t>
  </si>
  <si>
    <t>Solomon Islands_1994</t>
  </si>
  <si>
    <t>Solomon Islands_1995</t>
  </si>
  <si>
    <t>Solomon Islands_1996</t>
  </si>
  <si>
    <t>Solomon Islands_1997</t>
  </si>
  <si>
    <t>Solomon Islands_1998</t>
  </si>
  <si>
    <t>Solomon Islands_1999</t>
  </si>
  <si>
    <t>Solomon Islands_2000</t>
  </si>
  <si>
    <t>Solomon Islands_2001</t>
  </si>
  <si>
    <t>Solomon Islands_2002</t>
  </si>
  <si>
    <t>Solomon Islands_2004</t>
  </si>
  <si>
    <t>Solomon Islands_2005</t>
  </si>
  <si>
    <t>Solomon Islands_2006</t>
  </si>
  <si>
    <t>Solomon Islands_2007</t>
  </si>
  <si>
    <t>Solomon Islands_2008</t>
  </si>
  <si>
    <t>Solomon Islands_2009</t>
  </si>
  <si>
    <t>Solomon Islands_2010</t>
  </si>
  <si>
    <t>Solomon Islands_2011</t>
  </si>
  <si>
    <t>Solomon Islands_2012</t>
  </si>
  <si>
    <t>Solomon Islands_2013</t>
  </si>
  <si>
    <t>Solomon Islands_2014</t>
  </si>
  <si>
    <t>Solomon Islands_2015</t>
  </si>
  <si>
    <t>Solomon Islands_2016</t>
  </si>
  <si>
    <t>Somalia_1985</t>
  </si>
  <si>
    <t>Somalia</t>
  </si>
  <si>
    <t>Somalia_1986</t>
  </si>
  <si>
    <t>Somalia_1987</t>
  </si>
  <si>
    <t>Somalia_1989</t>
  </si>
  <si>
    <t>Somalia_1990</t>
  </si>
  <si>
    <t>Somalia_1991</t>
  </si>
  <si>
    <t>Somalia_1992</t>
  </si>
  <si>
    <t>Somalia_1993</t>
  </si>
  <si>
    <t>Somalia_1994</t>
  </si>
  <si>
    <t>Somalia_1995</t>
  </si>
  <si>
    <t>Somalia_1996</t>
  </si>
  <si>
    <t>Somalia_1997</t>
  </si>
  <si>
    <t>Somalia_1998</t>
  </si>
  <si>
    <t>Somalia_1999</t>
  </si>
  <si>
    <t>Somalia_2000</t>
  </si>
  <si>
    <t>Somalia_2001</t>
  </si>
  <si>
    <t>Somalia_2002</t>
  </si>
  <si>
    <t>Somalia_2004</t>
  </si>
  <si>
    <t>Somalia_2005</t>
  </si>
  <si>
    <t>Somalia_2006</t>
  </si>
  <si>
    <t>Somalia_2007</t>
  </si>
  <si>
    <t>Somalia_2008</t>
  </si>
  <si>
    <t>Somalia_2009</t>
  </si>
  <si>
    <t>Somalia_2010</t>
  </si>
  <si>
    <t>Somalia_2011</t>
  </si>
  <si>
    <t>Somalia_2012</t>
  </si>
  <si>
    <t>Somalia_2013</t>
  </si>
  <si>
    <t>Somalia_2014</t>
  </si>
  <si>
    <t>Somalia_2015</t>
  </si>
  <si>
    <t>Somalia_2016</t>
  </si>
  <si>
    <t>South Africa_1985</t>
  </si>
  <si>
    <t>South Africa</t>
  </si>
  <si>
    <t>South Africa_1986</t>
  </si>
  <si>
    <t>South Africa_1987</t>
  </si>
  <si>
    <t>South Africa_1989</t>
  </si>
  <si>
    <t>South Africa_1990</t>
  </si>
  <si>
    <t>South Africa_1991</t>
  </si>
  <si>
    <t>South Africa_1992</t>
  </si>
  <si>
    <t>South Africa_1993</t>
  </si>
  <si>
    <t>South Africa_1994</t>
  </si>
  <si>
    <t>South Africa_1995</t>
  </si>
  <si>
    <t>South Africa_1996</t>
  </si>
  <si>
    <t>South Africa_1997</t>
  </si>
  <si>
    <t>South Africa_1998</t>
  </si>
  <si>
    <t>South Africa_1999</t>
  </si>
  <si>
    <t>South Africa_2000</t>
  </si>
  <si>
    <t>South Africa_2001</t>
  </si>
  <si>
    <t>South Africa_2002</t>
  </si>
  <si>
    <t>South Africa_2004</t>
  </si>
  <si>
    <t>South Africa_2005</t>
  </si>
  <si>
    <t>South Africa_2006</t>
  </si>
  <si>
    <t>South Africa_2007</t>
  </si>
  <si>
    <t>South Africa_2008</t>
  </si>
  <si>
    <t>South Africa_2009</t>
  </si>
  <si>
    <t>South Africa_2010</t>
  </si>
  <si>
    <t>South Africa_2011</t>
  </si>
  <si>
    <t>South Africa_2012</t>
  </si>
  <si>
    <t>South Africa_2013</t>
  </si>
  <si>
    <t>South Africa_2014</t>
  </si>
  <si>
    <t>South Africa_2015</t>
  </si>
  <si>
    <t>South Africa_2016</t>
  </si>
  <si>
    <t>Spain_1985</t>
  </si>
  <si>
    <t>Spain</t>
  </si>
  <si>
    <t>Spain_1986</t>
  </si>
  <si>
    <t>Spain_1987</t>
  </si>
  <si>
    <t>Spain_1989</t>
  </si>
  <si>
    <t>Spain_1990</t>
  </si>
  <si>
    <t>Spain_1991</t>
  </si>
  <si>
    <t>Spain_1992</t>
  </si>
  <si>
    <t>Spain_1993</t>
  </si>
  <si>
    <t>Spain_1994</t>
  </si>
  <si>
    <t>Spain_1995</t>
  </si>
  <si>
    <t>Spain_1996</t>
  </si>
  <si>
    <t>Spain_1997</t>
  </si>
  <si>
    <t>Spain_1998</t>
  </si>
  <si>
    <t>Spain_1999</t>
  </si>
  <si>
    <t>Spain_2000</t>
  </si>
  <si>
    <t>Spain_2001</t>
  </si>
  <si>
    <t>Spain_2002</t>
  </si>
  <si>
    <t>Spain_2004</t>
  </si>
  <si>
    <t>Spain_2005</t>
  </si>
  <si>
    <t>Spain_2006</t>
  </si>
  <si>
    <t>Spain_2007</t>
  </si>
  <si>
    <t>Spain_2008</t>
  </si>
  <si>
    <t>Spain_2009</t>
  </si>
  <si>
    <t>Spain_2010</t>
  </si>
  <si>
    <t>Spain_2011</t>
  </si>
  <si>
    <t>Spain_2012</t>
  </si>
  <si>
    <t>Spain_2013</t>
  </si>
  <si>
    <t>Spain_2014</t>
  </si>
  <si>
    <t>Spain_2015</t>
  </si>
  <si>
    <t>Spain_2016</t>
  </si>
  <si>
    <t>Sri Lanka_1985</t>
  </si>
  <si>
    <t>Sri Lanka</t>
  </si>
  <si>
    <t>Sri Lanka_1986</t>
  </si>
  <si>
    <t>Sri Lanka_1987</t>
  </si>
  <si>
    <t>Sri Lanka_1989</t>
  </si>
  <si>
    <t>Sri Lanka_1990</t>
  </si>
  <si>
    <t>Sri Lanka_1991</t>
  </si>
  <si>
    <t>Sri Lanka_1992</t>
  </si>
  <si>
    <t>Sri Lanka_1993</t>
  </si>
  <si>
    <t>Sri Lanka_1994</t>
  </si>
  <si>
    <t>Sri Lanka_1995</t>
  </si>
  <si>
    <t>Sri Lanka_1996</t>
  </si>
  <si>
    <t>Sri Lanka_1997</t>
  </si>
  <si>
    <t>Sri Lanka_1998</t>
  </si>
  <si>
    <t>Sri Lanka_1999</t>
  </si>
  <si>
    <t>Sri Lanka_2000</t>
  </si>
  <si>
    <t>Sri Lanka_2001</t>
  </si>
  <si>
    <t>Sri Lanka_2002</t>
  </si>
  <si>
    <t>Sri Lanka_2004</t>
  </si>
  <si>
    <t>Sri Lanka_2005</t>
  </si>
  <si>
    <t>Sri Lanka_2006</t>
  </si>
  <si>
    <t>Sri Lanka_2007</t>
  </si>
  <si>
    <t>Sri Lanka_2008</t>
  </si>
  <si>
    <t>Sri Lanka_2009</t>
  </si>
  <si>
    <t>Sri Lanka_2010</t>
  </si>
  <si>
    <t>Sri Lanka_2011</t>
  </si>
  <si>
    <t>Sri Lanka_2012</t>
  </si>
  <si>
    <t>Sri Lanka_2013</t>
  </si>
  <si>
    <t>Sri Lanka_2014</t>
  </si>
  <si>
    <t>Sri Lanka_2015</t>
  </si>
  <si>
    <t>Sri Lanka_2016</t>
  </si>
  <si>
    <t>Sudan_2012</t>
  </si>
  <si>
    <t>Sudan</t>
  </si>
  <si>
    <t>Sudan_2013</t>
  </si>
  <si>
    <t>Sudan_2014</t>
  </si>
  <si>
    <t>Sudan_2015</t>
  </si>
  <si>
    <t>Sudan_2016</t>
  </si>
  <si>
    <t>Suriname_1985</t>
  </si>
  <si>
    <t>Suriname</t>
  </si>
  <si>
    <t>Suriname_1986</t>
  </si>
  <si>
    <t>Suriname_1987</t>
  </si>
  <si>
    <t>Suriname_1989</t>
  </si>
  <si>
    <t>Suriname_1990</t>
  </si>
  <si>
    <t>Suriname_1991</t>
  </si>
  <si>
    <t>Suriname_1992</t>
  </si>
  <si>
    <t>Suriname_1993</t>
  </si>
  <si>
    <t>Suriname_1994</t>
  </si>
  <si>
    <t>Suriname_1995</t>
  </si>
  <si>
    <t>Suriname_1996</t>
  </si>
  <si>
    <t>Suriname_1997</t>
  </si>
  <si>
    <t>Suriname_1998</t>
  </si>
  <si>
    <t>Suriname_1999</t>
  </si>
  <si>
    <t>Suriname_2000</t>
  </si>
  <si>
    <t>Suriname_2001</t>
  </si>
  <si>
    <t>Suriname_2002</t>
  </si>
  <si>
    <t>Suriname_2004</t>
  </si>
  <si>
    <t>Suriname_2005</t>
  </si>
  <si>
    <t>Suriname_2006</t>
  </si>
  <si>
    <t>Suriname_2007</t>
  </si>
  <si>
    <t>Suriname_2008</t>
  </si>
  <si>
    <t>Suriname_2009</t>
  </si>
  <si>
    <t>Suriname_2010</t>
  </si>
  <si>
    <t>Suriname_2011</t>
  </si>
  <si>
    <t>Suriname_2012</t>
  </si>
  <si>
    <t>Suriname_2013</t>
  </si>
  <si>
    <t>Suriname_2014</t>
  </si>
  <si>
    <t>Suriname_2015</t>
  </si>
  <si>
    <t>Suriname_2016</t>
  </si>
  <si>
    <t>Eswatini_1985</t>
  </si>
  <si>
    <t>Eswatini</t>
  </si>
  <si>
    <t>Eswatini_1986</t>
  </si>
  <si>
    <t>Eswatini_1987</t>
  </si>
  <si>
    <t>Eswatini_1989</t>
  </si>
  <si>
    <t>Eswatini_1990</t>
  </si>
  <si>
    <t>Eswatini_1991</t>
  </si>
  <si>
    <t>Eswatini_1992</t>
  </si>
  <si>
    <t>Eswatini_1993</t>
  </si>
  <si>
    <t>Eswatini_1994</t>
  </si>
  <si>
    <t>Eswatini_1995</t>
  </si>
  <si>
    <t>Eswatini_1996</t>
  </si>
  <si>
    <t>Eswatini_1997</t>
  </si>
  <si>
    <t>Eswatini_1998</t>
  </si>
  <si>
    <t>Eswatini_1999</t>
  </si>
  <si>
    <t>Eswatini_2000</t>
  </si>
  <si>
    <t>Eswatini_2001</t>
  </si>
  <si>
    <t>Eswatini_2002</t>
  </si>
  <si>
    <t>Eswatini_2004</t>
  </si>
  <si>
    <t>Eswatini_2005</t>
  </si>
  <si>
    <t>Eswatini_2006</t>
  </si>
  <si>
    <t>Eswatini_2007</t>
  </si>
  <si>
    <t>Eswatini_2008</t>
  </si>
  <si>
    <t>Eswatini_2009</t>
  </si>
  <si>
    <t>Eswatini_2010</t>
  </si>
  <si>
    <t>Eswatini_2011</t>
  </si>
  <si>
    <t>Eswatini_2012</t>
  </si>
  <si>
    <t>Eswatini_2013</t>
  </si>
  <si>
    <t>Eswatini_2014</t>
  </si>
  <si>
    <t>Eswatini_2015</t>
  </si>
  <si>
    <t>Eswatini_2016</t>
  </si>
  <si>
    <t>Tajikistan_1992</t>
  </si>
  <si>
    <t>Tajikistan</t>
  </si>
  <si>
    <t>Tajikistan_1993</t>
  </si>
  <si>
    <t>Tajikistan_1994</t>
  </si>
  <si>
    <t>Tajikistan_1995</t>
  </si>
  <si>
    <t>Tajikistan_1996</t>
  </si>
  <si>
    <t>Tajikistan_1997</t>
  </si>
  <si>
    <t>Tajikistan_1998</t>
  </si>
  <si>
    <t>Tajikistan_1999</t>
  </si>
  <si>
    <t>Tajikistan_2000</t>
  </si>
  <si>
    <t>Tajikistan_2001</t>
  </si>
  <si>
    <t>Tajikistan_2002</t>
  </si>
  <si>
    <t>Tajikistan_2004</t>
  </si>
  <si>
    <t>Tajikistan_2005</t>
  </si>
  <si>
    <t>Tajikistan_2006</t>
  </si>
  <si>
    <t>Tajikistan_2007</t>
  </si>
  <si>
    <t>Tajikistan_2008</t>
  </si>
  <si>
    <t>Tajikistan_2009</t>
  </si>
  <si>
    <t>Tajikistan_2010</t>
  </si>
  <si>
    <t>Tajikistan_2011</t>
  </si>
  <si>
    <t>Tajikistan_2012</t>
  </si>
  <si>
    <t>Tajikistan_2013</t>
  </si>
  <si>
    <t>Tajikistan_2014</t>
  </si>
  <si>
    <t>Tajikistan_2015</t>
  </si>
  <si>
    <t>Tajikistan_2016</t>
  </si>
  <si>
    <t>Thailand_1985</t>
  </si>
  <si>
    <t>Thailand</t>
  </si>
  <si>
    <t>Thailand_1986</t>
  </si>
  <si>
    <t>Thailand_1987</t>
  </si>
  <si>
    <t>Thailand_1989</t>
  </si>
  <si>
    <t>Thailand_1990</t>
  </si>
  <si>
    <t>Thailand_1991</t>
  </si>
  <si>
    <t>Thailand_1992</t>
  </si>
  <si>
    <t>Thailand_1993</t>
  </si>
  <si>
    <t>Thailand_1994</t>
  </si>
  <si>
    <t>Thailand_1995</t>
  </si>
  <si>
    <t>Thailand_1996</t>
  </si>
  <si>
    <t>Thailand_1997</t>
  </si>
  <si>
    <t>Thailand_1998</t>
  </si>
  <si>
    <t>Thailand_1999</t>
  </si>
  <si>
    <t>Thailand_2000</t>
  </si>
  <si>
    <t>Thailand_2001</t>
  </si>
  <si>
    <t>Thailand_2002</t>
  </si>
  <si>
    <t>Thailand_2004</t>
  </si>
  <si>
    <t>Thailand_2005</t>
  </si>
  <si>
    <t>Thailand_2006</t>
  </si>
  <si>
    <t>Thailand_2007</t>
  </si>
  <si>
    <t>Thailand_2008</t>
  </si>
  <si>
    <t>Thailand_2009</t>
  </si>
  <si>
    <t>Thailand_2010</t>
  </si>
  <si>
    <t>Thailand_2011</t>
  </si>
  <si>
    <t>Thailand_2012</t>
  </si>
  <si>
    <t>Thailand_2013</t>
  </si>
  <si>
    <t>Thailand_2014</t>
  </si>
  <si>
    <t>Thailand_2015</t>
  </si>
  <si>
    <t>Thailand_2016</t>
  </si>
  <si>
    <t>Timor-Leste_1985</t>
  </si>
  <si>
    <t>Timor-Leste</t>
  </si>
  <si>
    <t>Timor-Leste_1986</t>
  </si>
  <si>
    <t>Timor-Leste_1987</t>
  </si>
  <si>
    <t>Timor-Leste_1989</t>
  </si>
  <si>
    <t>Timor-Leste_1990</t>
  </si>
  <si>
    <t>Timor-Leste_1991</t>
  </si>
  <si>
    <t>Timor-Leste_1992</t>
  </si>
  <si>
    <t>Timor-Leste_1993</t>
  </si>
  <si>
    <t>Timor-Leste_1994</t>
  </si>
  <si>
    <t>Timor-Leste_1995</t>
  </si>
  <si>
    <t>Timor-Leste_1996</t>
  </si>
  <si>
    <t>Timor-Leste_1997</t>
  </si>
  <si>
    <t>Timor-Leste_1998</t>
  </si>
  <si>
    <t>Timor-Leste_1999</t>
  </si>
  <si>
    <t>Timor-Leste_2000</t>
  </si>
  <si>
    <t>Timor-Leste_2001</t>
  </si>
  <si>
    <t>Timor-Leste_2002</t>
  </si>
  <si>
    <t>Timor-Leste_2004</t>
  </si>
  <si>
    <t>Timor-Leste_2005</t>
  </si>
  <si>
    <t>Timor-Leste_2006</t>
  </si>
  <si>
    <t>Timor-Leste_2007</t>
  </si>
  <si>
    <t>Timor-Leste_2008</t>
  </si>
  <si>
    <t>Timor-Leste_2009</t>
  </si>
  <si>
    <t>Timor-Leste_2010</t>
  </si>
  <si>
    <t>Timor-Leste_2011</t>
  </si>
  <si>
    <t>Timor-Leste_2012</t>
  </si>
  <si>
    <t>Timor-Leste_2013</t>
  </si>
  <si>
    <t>Timor-Leste_2014</t>
  </si>
  <si>
    <t>Timor-Leste_2015</t>
  </si>
  <si>
    <t>Timor-Leste_2016</t>
  </si>
  <si>
    <t>Togo_1985</t>
  </si>
  <si>
    <t>Togo</t>
  </si>
  <si>
    <t>Togo_1986</t>
  </si>
  <si>
    <t>Togo_1987</t>
  </si>
  <si>
    <t>Togo_1989</t>
  </si>
  <si>
    <t>Togo_1990</t>
  </si>
  <si>
    <t>Togo_1991</t>
  </si>
  <si>
    <t>Togo_1992</t>
  </si>
  <si>
    <t>Togo_1993</t>
  </si>
  <si>
    <t>Togo_1994</t>
  </si>
  <si>
    <t>Togo_1995</t>
  </si>
  <si>
    <t>Togo_1996</t>
  </si>
  <si>
    <t>Togo_1997</t>
  </si>
  <si>
    <t>Togo_1998</t>
  </si>
  <si>
    <t>Togo_1999</t>
  </si>
  <si>
    <t>Togo_2000</t>
  </si>
  <si>
    <t>Togo_2001</t>
  </si>
  <si>
    <t>Togo_2002</t>
  </si>
  <si>
    <t>Togo_2004</t>
  </si>
  <si>
    <t>Togo_2005</t>
  </si>
  <si>
    <t>Togo_2006</t>
  </si>
  <si>
    <t>Togo_2007</t>
  </si>
  <si>
    <t>Togo_2008</t>
  </si>
  <si>
    <t>Togo_2009</t>
  </si>
  <si>
    <t>Togo_2010</t>
  </si>
  <si>
    <t>Togo_2011</t>
  </si>
  <si>
    <t>Togo_2012</t>
  </si>
  <si>
    <t>Togo_2013</t>
  </si>
  <si>
    <t>Togo_2014</t>
  </si>
  <si>
    <t>Togo_2015</t>
  </si>
  <si>
    <t>Togo_2016</t>
  </si>
  <si>
    <t>Trinidad and Tobago_1985</t>
  </si>
  <si>
    <t>Trinidad and Tobago</t>
  </si>
  <si>
    <t>Trinidad and Tobago_1986</t>
  </si>
  <si>
    <t>Trinidad and Tobago_1987</t>
  </si>
  <si>
    <t>Trinidad and Tobago_1989</t>
  </si>
  <si>
    <t>Trinidad and Tobago_1990</t>
  </si>
  <si>
    <t>Trinidad and Tobago_1991</t>
  </si>
  <si>
    <t>Trinidad and Tobago_1992</t>
  </si>
  <si>
    <t>Trinidad and Tobago_1993</t>
  </si>
  <si>
    <t>Trinidad and Tobago_1994</t>
  </si>
  <si>
    <t>Trinidad and Tobago_1995</t>
  </si>
  <si>
    <t>Trinidad and Tobago_1996</t>
  </si>
  <si>
    <t>Trinidad and Tobago_1997</t>
  </si>
  <si>
    <t>Trinidad and Tobago_1998</t>
  </si>
  <si>
    <t>Trinidad and Tobago_1999</t>
  </si>
  <si>
    <t>Trinidad and Tobago_2000</t>
  </si>
  <si>
    <t>Trinidad and Tobago_2001</t>
  </si>
  <si>
    <t>Trinidad and Tobago_2002</t>
  </si>
  <si>
    <t>Trinidad and Tobago_2004</t>
  </si>
  <si>
    <t>Trinidad and Tobago_2005</t>
  </si>
  <si>
    <t>Trinidad and Tobago_2006</t>
  </si>
  <si>
    <t>Trinidad and Tobago_2007</t>
  </si>
  <si>
    <t>Trinidad and Tobago_2008</t>
  </si>
  <si>
    <t>Trinidad and Tobago_2009</t>
  </si>
  <si>
    <t>Trinidad and Tobago_2010</t>
  </si>
  <si>
    <t>Trinidad and Tobago_2011</t>
  </si>
  <si>
    <t>Trinidad and Tobago_2012</t>
  </si>
  <si>
    <t>Trinidad and Tobago_2013</t>
  </si>
  <si>
    <t>Trinidad and Tobago_2014</t>
  </si>
  <si>
    <t>Trinidad and Tobago_2015</t>
  </si>
  <si>
    <t>Trinidad and Tobago_2016</t>
  </si>
  <si>
    <t>Turkey_1985</t>
  </si>
  <si>
    <t>Turkey</t>
  </si>
  <si>
    <t>Turkey_1986</t>
  </si>
  <si>
    <t>Turkey_1987</t>
  </si>
  <si>
    <t>Turkey_1989</t>
  </si>
  <si>
    <t>Turkey_1990</t>
  </si>
  <si>
    <t>Turkey_1991</t>
  </si>
  <si>
    <t>Turkey_1992</t>
  </si>
  <si>
    <t>Turkey_1993</t>
  </si>
  <si>
    <t>Turkey_1994</t>
  </si>
  <si>
    <t>Turkey_1995</t>
  </si>
  <si>
    <t>Turkey_1996</t>
  </si>
  <si>
    <t>Turkey_1997</t>
  </si>
  <si>
    <t>Turkey_1998</t>
  </si>
  <si>
    <t>Turkey_1999</t>
  </si>
  <si>
    <t>Turkey_2000</t>
  </si>
  <si>
    <t>Turkey_2001</t>
  </si>
  <si>
    <t>Turkey_2002</t>
  </si>
  <si>
    <t>Turkey_2004</t>
  </si>
  <si>
    <t>Turkey_2005</t>
  </si>
  <si>
    <t>Turkey_2006</t>
  </si>
  <si>
    <t>Turkey_2007</t>
  </si>
  <si>
    <t>Turkey_2008</t>
  </si>
  <si>
    <t>Turkey_2009</t>
  </si>
  <si>
    <t>Turkey_2010</t>
  </si>
  <si>
    <t>Turkey_2011</t>
  </si>
  <si>
    <t>Turkey_2012</t>
  </si>
  <si>
    <t>Turkey_2013</t>
  </si>
  <si>
    <t>Turkey_2014</t>
  </si>
  <si>
    <t>Turkey_2015</t>
  </si>
  <si>
    <t>Turkey_2016</t>
  </si>
  <si>
    <t>Turkmenistan_1992</t>
  </si>
  <si>
    <t>Turkmenistan</t>
  </si>
  <si>
    <t>Turkmenistan_1993</t>
  </si>
  <si>
    <t>Turkmenistan_1994</t>
  </si>
  <si>
    <t>Turkmenistan_1995</t>
  </si>
  <si>
    <t>Turkmenistan_1996</t>
  </si>
  <si>
    <t>Turkmenistan_1997</t>
  </si>
  <si>
    <t>Turkmenistan_1998</t>
  </si>
  <si>
    <t>Turkmenistan_1999</t>
  </si>
  <si>
    <t>Turkmenistan_2000</t>
  </si>
  <si>
    <t>Turkmenistan_2001</t>
  </si>
  <si>
    <t>Turkmenistan_2002</t>
  </si>
  <si>
    <t>Turkmenistan_2004</t>
  </si>
  <si>
    <t>Turkmenistan_2005</t>
  </si>
  <si>
    <t>Turkmenistan_2006</t>
  </si>
  <si>
    <t>Turkmenistan_2007</t>
  </si>
  <si>
    <t>Turkmenistan_2008</t>
  </si>
  <si>
    <t>Turkmenistan_2009</t>
  </si>
  <si>
    <t>Turkmenistan_2010</t>
  </si>
  <si>
    <t>Turkmenistan_2011</t>
  </si>
  <si>
    <t>Turkmenistan_2012</t>
  </si>
  <si>
    <t>Turkmenistan_2013</t>
  </si>
  <si>
    <t>Turkmenistan_2014</t>
  </si>
  <si>
    <t>Turkmenistan_2015</t>
  </si>
  <si>
    <t>Turkmenistan_2016</t>
  </si>
  <si>
    <t>Uganda_1985</t>
  </si>
  <si>
    <t>Uganda</t>
  </si>
  <si>
    <t>Uganda_1986</t>
  </si>
  <si>
    <t>Uganda_1987</t>
  </si>
  <si>
    <t>Uganda_1989</t>
  </si>
  <si>
    <t>Uganda_1990</t>
  </si>
  <si>
    <t>Uganda_1991</t>
  </si>
  <si>
    <t>Uganda_1992</t>
  </si>
  <si>
    <t>Uganda_1993</t>
  </si>
  <si>
    <t>Uganda_1994</t>
  </si>
  <si>
    <t>Uganda_1995</t>
  </si>
  <si>
    <t>Uganda_1996</t>
  </si>
  <si>
    <t>Uganda_1997</t>
  </si>
  <si>
    <t>Uganda_1998</t>
  </si>
  <si>
    <t>Uganda_1999</t>
  </si>
  <si>
    <t>Uganda_2000</t>
  </si>
  <si>
    <t>Uganda_2001</t>
  </si>
  <si>
    <t>Uganda_2002</t>
  </si>
  <si>
    <t>Uganda_2004</t>
  </si>
  <si>
    <t>Uganda_2005</t>
  </si>
  <si>
    <t>Uganda_2006</t>
  </si>
  <si>
    <t>Uganda_2007</t>
  </si>
  <si>
    <t>Uganda_2008</t>
  </si>
  <si>
    <t>Uganda_2009</t>
  </si>
  <si>
    <t>Uganda_2010</t>
  </si>
  <si>
    <t>Uganda_2011</t>
  </si>
  <si>
    <t>Uganda_2012</t>
  </si>
  <si>
    <t>Uganda_2013</t>
  </si>
  <si>
    <t>Uganda_2014</t>
  </si>
  <si>
    <t>Uganda_2015</t>
  </si>
  <si>
    <t>Uganda_2016</t>
  </si>
  <si>
    <t>Ukraine_1992</t>
  </si>
  <si>
    <t>Ukraine</t>
  </si>
  <si>
    <t>Ukraine_1993</t>
  </si>
  <si>
    <t>Ukraine_1994</t>
  </si>
  <si>
    <t>Ukraine_1995</t>
  </si>
  <si>
    <t>Ukraine_1996</t>
  </si>
  <si>
    <t>Ukraine_1997</t>
  </si>
  <si>
    <t>Ukraine_1998</t>
  </si>
  <si>
    <t>Ukraine_1999</t>
  </si>
  <si>
    <t>Ukraine_2000</t>
  </si>
  <si>
    <t>Ukraine_2001</t>
  </si>
  <si>
    <t>Ukraine_2002</t>
  </si>
  <si>
    <t>Ukraine_2004</t>
  </si>
  <si>
    <t>Ukraine_2005</t>
  </si>
  <si>
    <t>Ukraine_2006</t>
  </si>
  <si>
    <t>Ukraine_2007</t>
  </si>
  <si>
    <t>Ukraine_2008</t>
  </si>
  <si>
    <t>Ukraine_2009</t>
  </si>
  <si>
    <t>Ukraine_2010</t>
  </si>
  <si>
    <t>Ukraine_2011</t>
  </si>
  <si>
    <t>Ukraine_2012</t>
  </si>
  <si>
    <t>Ukraine_2013</t>
  </si>
  <si>
    <t>Ukraine_2014</t>
  </si>
  <si>
    <t>Ukraine_2015</t>
  </si>
  <si>
    <t>Ukraine_2016</t>
  </si>
  <si>
    <t>Uruguay_1985</t>
  </si>
  <si>
    <t>Uruguay</t>
  </si>
  <si>
    <t>Uruguay_1986</t>
  </si>
  <si>
    <t>Uruguay_1987</t>
  </si>
  <si>
    <t>Uruguay_1989</t>
  </si>
  <si>
    <t>Uruguay_1990</t>
  </si>
  <si>
    <t>Uruguay_1991</t>
  </si>
  <si>
    <t>Uruguay_1992</t>
  </si>
  <si>
    <t>Uruguay_1993</t>
  </si>
  <si>
    <t>Uruguay_1994</t>
  </si>
  <si>
    <t>Uruguay_1995</t>
  </si>
  <si>
    <t>Uruguay_1996</t>
  </si>
  <si>
    <t>Uruguay_1997</t>
  </si>
  <si>
    <t>Uruguay_1998</t>
  </si>
  <si>
    <t>Uruguay_1999</t>
  </si>
  <si>
    <t>Uruguay_2000</t>
  </si>
  <si>
    <t>Uruguay_2001</t>
  </si>
  <si>
    <t>Uruguay_2002</t>
  </si>
  <si>
    <t>Uruguay_2004</t>
  </si>
  <si>
    <t>Uruguay_2005</t>
  </si>
  <si>
    <t>Uruguay_2006</t>
  </si>
  <si>
    <t>Uruguay_2007</t>
  </si>
  <si>
    <t>Uruguay_2008</t>
  </si>
  <si>
    <t>Uruguay_2009</t>
  </si>
  <si>
    <t>Uruguay_2010</t>
  </si>
  <si>
    <t>Uruguay_2011</t>
  </si>
  <si>
    <t>Uruguay_2012</t>
  </si>
  <si>
    <t>Uruguay_2013</t>
  </si>
  <si>
    <t>Uruguay_2014</t>
  </si>
  <si>
    <t>Uruguay_2015</t>
  </si>
  <si>
    <t>Uruguay_2016</t>
  </si>
  <si>
    <t>Uzbekistan_1992</t>
  </si>
  <si>
    <t>Uzbekistan</t>
  </si>
  <si>
    <t>Uzbekistan_1993</t>
  </si>
  <si>
    <t>Uzbekistan_1994</t>
  </si>
  <si>
    <t>Uzbekistan_1995</t>
  </si>
  <si>
    <t>Uzbekistan_1996</t>
  </si>
  <si>
    <t>Uzbekistan_1997</t>
  </si>
  <si>
    <t>Uzbekistan_1998</t>
  </si>
  <si>
    <t>Uzbekistan_1999</t>
  </si>
  <si>
    <t>Uzbekistan_2000</t>
  </si>
  <si>
    <t>Uzbekistan_2001</t>
  </si>
  <si>
    <t>Uzbekistan_2002</t>
  </si>
  <si>
    <t>Uzbekistan_2004</t>
  </si>
  <si>
    <t>Uzbekistan_2005</t>
  </si>
  <si>
    <t>Uzbekistan_2006</t>
  </si>
  <si>
    <t>Uzbekistan_2007</t>
  </si>
  <si>
    <t>Uzbekistan_2008</t>
  </si>
  <si>
    <t>Uzbekistan_2009</t>
  </si>
  <si>
    <t>Uzbekistan_2010</t>
  </si>
  <si>
    <t>Uzbekistan_2011</t>
  </si>
  <si>
    <t>Uzbekistan_2012</t>
  </si>
  <si>
    <t>Uzbekistan_2013</t>
  </si>
  <si>
    <t>Uzbekistan_2014</t>
  </si>
  <si>
    <t>Uzbekistan_2015</t>
  </si>
  <si>
    <t>Uzbekistan_2016</t>
  </si>
  <si>
    <t>Zambia_1985</t>
  </si>
  <si>
    <t>Zambia</t>
  </si>
  <si>
    <t>Zambia_1986</t>
  </si>
  <si>
    <t>Zambia_1987</t>
  </si>
  <si>
    <t>Zambia_1989</t>
  </si>
  <si>
    <t>Zambia_1990</t>
  </si>
  <si>
    <t>Zambia_1991</t>
  </si>
  <si>
    <t>Zambia_1992</t>
  </si>
  <si>
    <t>Zambia_1993</t>
  </si>
  <si>
    <t>Zambia_1994</t>
  </si>
  <si>
    <t>Zambia_1995</t>
  </si>
  <si>
    <t>Zambia_1996</t>
  </si>
  <si>
    <t>Zambia_1997</t>
  </si>
  <si>
    <t>Zambia_1998</t>
  </si>
  <si>
    <t>Zambia_1999</t>
  </si>
  <si>
    <t>Zambia_2000</t>
  </si>
  <si>
    <t>Zambia_2001</t>
  </si>
  <si>
    <t>Zambia_2002</t>
  </si>
  <si>
    <t>Zambia_2004</t>
  </si>
  <si>
    <t>Zambia_2005</t>
  </si>
  <si>
    <t>Zambia_2006</t>
  </si>
  <si>
    <t>Zambia_2007</t>
  </si>
  <si>
    <t>Zambia_2008</t>
  </si>
  <si>
    <t>Zambia_2009</t>
  </si>
  <si>
    <t>Zambia_2010</t>
  </si>
  <si>
    <t>Zambia_2011</t>
  </si>
  <si>
    <t>Zambia_2012</t>
  </si>
  <si>
    <t>Zambia_2013</t>
  </si>
  <si>
    <t>Zambia_2014</t>
  </si>
  <si>
    <t>Zambia_2015</t>
  </si>
  <si>
    <t>Zambia_2016</t>
  </si>
  <si>
    <t>Zimbabwe_1985</t>
  </si>
  <si>
    <t>Zimbabwe</t>
  </si>
  <si>
    <t>Zimbabwe_1986</t>
  </si>
  <si>
    <t>Zimbabwe_1987</t>
  </si>
  <si>
    <t>Zimbabwe_1989</t>
  </si>
  <si>
    <t>Zimbabwe_1990</t>
  </si>
  <si>
    <t>Zimbabwe_1991</t>
  </si>
  <si>
    <t>Zimbabwe_1992</t>
  </si>
  <si>
    <t>Zimbabwe_1993</t>
  </si>
  <si>
    <t>Zimbabwe_1994</t>
  </si>
  <si>
    <t>Zimbabwe_1995</t>
  </si>
  <si>
    <t>Zimbabwe_1996</t>
  </si>
  <si>
    <t>Zimbabwe_1997</t>
  </si>
  <si>
    <t>Zimbabwe_1998</t>
  </si>
  <si>
    <t>Zimbabwe_1999</t>
  </si>
  <si>
    <t>Zimbabwe_2000</t>
  </si>
  <si>
    <t>Zimbabwe_2001</t>
  </si>
  <si>
    <t>Zimbabwe_2002</t>
  </si>
  <si>
    <t>Zimbabwe_2004</t>
  </si>
  <si>
    <t>Zimbabwe_2005</t>
  </si>
  <si>
    <t>Zimbabwe_2006</t>
  </si>
  <si>
    <t>Zimbabwe_2007</t>
  </si>
  <si>
    <t>Zimbabwe_2008</t>
  </si>
  <si>
    <t>Zimbabwe_2009</t>
  </si>
  <si>
    <t>Zimbabwe_2010</t>
  </si>
  <si>
    <t>Zimbabwe_2011</t>
  </si>
  <si>
    <t>Zimbabwe_2012</t>
  </si>
  <si>
    <t>Zimbabwe_2013</t>
  </si>
  <si>
    <t>Zimbabwe_2014</t>
  </si>
  <si>
    <t>Zimbabwe_2015</t>
  </si>
  <si>
    <t>Zimbabwe_2016</t>
  </si>
  <si>
    <t>Value (y)</t>
  </si>
  <si>
    <t>rainfall (x)</t>
  </si>
  <si>
    <t>(x-x̅)^2</t>
  </si>
  <si>
    <t>(y-y̅)^2</t>
  </si>
  <si>
    <t>y-y̅</t>
  </si>
  <si>
    <t>x̅</t>
  </si>
  <si>
    <t>y̅</t>
  </si>
  <si>
    <t>median x</t>
  </si>
  <si>
    <t>median y</t>
  </si>
  <si>
    <t>sum(x-x̅)^2</t>
  </si>
  <si>
    <t>sum(y-y̅)^2</t>
  </si>
  <si>
    <t>std dev x</t>
  </si>
  <si>
    <t>std dev y</t>
  </si>
  <si>
    <t>15 data</t>
  </si>
  <si>
    <t>value (ton/ha)</t>
  </si>
  <si>
    <t>x^2</t>
  </si>
  <si>
    <t>x^3</t>
  </si>
  <si>
    <t>x^4</t>
  </si>
  <si>
    <t>x*y</t>
  </si>
  <si>
    <t>x^2*y</t>
  </si>
  <si>
    <t>Σy</t>
  </si>
  <si>
    <t>Σx</t>
  </si>
  <si>
    <t>Σx^2</t>
  </si>
  <si>
    <t>Σx^3</t>
  </si>
  <si>
    <t>Σx^4</t>
  </si>
  <si>
    <t>Σxy</t>
  </si>
  <si>
    <t>Σx^2y</t>
  </si>
  <si>
    <t>x bar</t>
  </si>
  <si>
    <t>y bar</t>
  </si>
  <si>
    <t>a</t>
  </si>
  <si>
    <t>linear</t>
  </si>
  <si>
    <t>b</t>
  </si>
  <si>
    <t>sample 15 data</t>
  </si>
  <si>
    <t>total kolom</t>
  </si>
  <si>
    <r>
      <t>x-x</t>
    </r>
    <r>
      <rPr>
        <b/>
        <sz val="11"/>
        <color theme="1"/>
        <rFont val="Calibri"/>
        <family val="2"/>
      </rPr>
      <t>̅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</si>
</sst>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0" fontId="18" fillId="0" borderId="0" xfId="0" applyFont="1"/>
    <xf numFmtId="0" fontId="0" fillId="0" borderId="10" xfId="0" applyBorder="1"/>
    <xf numFmtId="0" fontId="16" fillId="33" borderId="10" xfId="0" applyFont="1" applyFill="1" applyBorder="1" applyAlignment="1">
      <alignment horizontal="center"/>
    </xf>
    <xf numFmtId="0" fontId="19" fillId="33" borderId="10" xfId="0" applyFont="1" applyFill="1" applyBorder="1" applyAlignment="1">
      <alignment horizontal="center"/>
    </xf>
    <xf numFmtId="0" fontId="18" fillId="0" borderId="10" xfId="0" applyFont="1" applyBorder="1"/>
    <xf numFmtId="0" fontId="0" fillId="33" borderId="10" xfId="0" applyFill="1" applyBorder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DC4CEA-620C-4C21-BB99-62C44ACFE1C8}">
  <dimension ref="A1:N2884"/>
  <sheetViews>
    <sheetView workbookViewId="0">
      <selection activeCell="K10" sqref="K10"/>
    </sheetView>
  </sheetViews>
  <sheetFormatPr defaultRowHeight="14.5" x14ac:dyDescent="0.35"/>
  <sheetData>
    <row r="1" spans="1:14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5">
      <c r="A2" t="s">
        <v>14</v>
      </c>
      <c r="B2" t="s">
        <v>15</v>
      </c>
      <c r="C2" t="s">
        <v>16</v>
      </c>
      <c r="D2">
        <v>2</v>
      </c>
      <c r="E2" t="s">
        <v>17</v>
      </c>
      <c r="F2">
        <v>5419</v>
      </c>
      <c r="G2" t="s">
        <v>18</v>
      </c>
      <c r="H2">
        <v>27</v>
      </c>
      <c r="I2" t="s">
        <v>19</v>
      </c>
      <c r="J2">
        <v>1985</v>
      </c>
      <c r="K2">
        <v>1985</v>
      </c>
      <c r="L2" t="s">
        <v>20</v>
      </c>
      <c r="M2">
        <v>22482</v>
      </c>
      <c r="N2">
        <v>327</v>
      </c>
    </row>
    <row r="3" spans="1:14" x14ac:dyDescent="0.35">
      <c r="A3" t="s">
        <v>21</v>
      </c>
      <c r="B3" t="s">
        <v>15</v>
      </c>
      <c r="C3" t="s">
        <v>16</v>
      </c>
      <c r="D3">
        <v>2</v>
      </c>
      <c r="E3" t="s">
        <v>17</v>
      </c>
      <c r="F3">
        <v>5419</v>
      </c>
      <c r="G3" t="s">
        <v>18</v>
      </c>
      <c r="H3">
        <v>27</v>
      </c>
      <c r="I3" t="s">
        <v>19</v>
      </c>
      <c r="J3">
        <v>1986</v>
      </c>
      <c r="K3">
        <v>1986</v>
      </c>
      <c r="L3" t="s">
        <v>20</v>
      </c>
      <c r="M3">
        <v>22400</v>
      </c>
      <c r="N3">
        <v>327</v>
      </c>
    </row>
    <row r="4" spans="1:14" x14ac:dyDescent="0.35">
      <c r="A4" t="s">
        <v>22</v>
      </c>
      <c r="B4" t="s">
        <v>15</v>
      </c>
      <c r="C4" t="s">
        <v>16</v>
      </c>
      <c r="D4">
        <v>2</v>
      </c>
      <c r="E4" t="s">
        <v>17</v>
      </c>
      <c r="F4">
        <v>5419</v>
      </c>
      <c r="G4" t="s">
        <v>18</v>
      </c>
      <c r="H4">
        <v>27</v>
      </c>
      <c r="I4" t="s">
        <v>19</v>
      </c>
      <c r="J4">
        <v>1987</v>
      </c>
      <c r="K4">
        <v>1987</v>
      </c>
      <c r="L4" t="s">
        <v>20</v>
      </c>
      <c r="M4">
        <v>20000</v>
      </c>
      <c r="N4">
        <v>327</v>
      </c>
    </row>
    <row r="5" spans="1:14" x14ac:dyDescent="0.35">
      <c r="A5" t="s">
        <v>23</v>
      </c>
      <c r="B5" t="s">
        <v>15</v>
      </c>
      <c r="C5" t="s">
        <v>16</v>
      </c>
      <c r="D5">
        <v>2</v>
      </c>
      <c r="E5" t="s">
        <v>17</v>
      </c>
      <c r="F5">
        <v>5419</v>
      </c>
      <c r="G5" t="s">
        <v>18</v>
      </c>
      <c r="H5">
        <v>27</v>
      </c>
      <c r="I5" t="s">
        <v>19</v>
      </c>
      <c r="J5">
        <v>1989</v>
      </c>
      <c r="K5">
        <v>1989</v>
      </c>
      <c r="L5" t="s">
        <v>20</v>
      </c>
      <c r="M5">
        <v>18824</v>
      </c>
      <c r="N5">
        <v>327</v>
      </c>
    </row>
    <row r="6" spans="1:14" x14ac:dyDescent="0.35">
      <c r="A6" t="s">
        <v>24</v>
      </c>
      <c r="B6" t="s">
        <v>15</v>
      </c>
      <c r="C6" t="s">
        <v>16</v>
      </c>
      <c r="D6">
        <v>2</v>
      </c>
      <c r="E6" t="s">
        <v>17</v>
      </c>
      <c r="F6">
        <v>5419</v>
      </c>
      <c r="G6" t="s">
        <v>18</v>
      </c>
      <c r="H6">
        <v>27</v>
      </c>
      <c r="I6" t="s">
        <v>19</v>
      </c>
      <c r="J6">
        <v>1990</v>
      </c>
      <c r="K6">
        <v>1990</v>
      </c>
      <c r="L6" t="s">
        <v>20</v>
      </c>
      <c r="M6">
        <v>19029</v>
      </c>
      <c r="N6">
        <v>327</v>
      </c>
    </row>
    <row r="7" spans="1:14" x14ac:dyDescent="0.35">
      <c r="A7" t="s">
        <v>25</v>
      </c>
      <c r="B7" t="s">
        <v>15</v>
      </c>
      <c r="C7" t="s">
        <v>16</v>
      </c>
      <c r="D7">
        <v>2</v>
      </c>
      <c r="E7" t="s">
        <v>17</v>
      </c>
      <c r="F7">
        <v>5419</v>
      </c>
      <c r="G7" t="s">
        <v>18</v>
      </c>
      <c r="H7">
        <v>27</v>
      </c>
      <c r="I7" t="s">
        <v>19</v>
      </c>
      <c r="J7">
        <v>1991</v>
      </c>
      <c r="K7">
        <v>1991</v>
      </c>
      <c r="L7" t="s">
        <v>20</v>
      </c>
      <c r="M7">
        <v>19364</v>
      </c>
      <c r="N7">
        <v>327</v>
      </c>
    </row>
    <row r="8" spans="1:14" x14ac:dyDescent="0.35">
      <c r="A8" t="s">
        <v>26</v>
      </c>
      <c r="B8" t="s">
        <v>15</v>
      </c>
      <c r="C8" t="s">
        <v>16</v>
      </c>
      <c r="D8">
        <v>2</v>
      </c>
      <c r="E8" t="s">
        <v>17</v>
      </c>
      <c r="F8">
        <v>5419</v>
      </c>
      <c r="G8" t="s">
        <v>18</v>
      </c>
      <c r="H8">
        <v>27</v>
      </c>
      <c r="I8" t="s">
        <v>19</v>
      </c>
      <c r="J8">
        <v>1992</v>
      </c>
      <c r="K8">
        <v>1992</v>
      </c>
      <c r="L8" t="s">
        <v>20</v>
      </c>
      <c r="M8">
        <v>17143</v>
      </c>
      <c r="N8">
        <v>327</v>
      </c>
    </row>
    <row r="9" spans="1:14" x14ac:dyDescent="0.35">
      <c r="A9" t="s">
        <v>27</v>
      </c>
      <c r="B9" t="s">
        <v>15</v>
      </c>
      <c r="C9" t="s">
        <v>16</v>
      </c>
      <c r="D9">
        <v>2</v>
      </c>
      <c r="E9" t="s">
        <v>17</v>
      </c>
      <c r="F9">
        <v>5419</v>
      </c>
      <c r="G9" t="s">
        <v>18</v>
      </c>
      <c r="H9">
        <v>27</v>
      </c>
      <c r="I9" t="s">
        <v>19</v>
      </c>
      <c r="J9">
        <v>1993</v>
      </c>
      <c r="K9">
        <v>1993</v>
      </c>
      <c r="L9" t="s">
        <v>20</v>
      </c>
      <c r="M9">
        <v>17143</v>
      </c>
      <c r="N9">
        <v>327</v>
      </c>
    </row>
    <row r="10" spans="1:14" x14ac:dyDescent="0.35">
      <c r="A10" t="s">
        <v>28</v>
      </c>
      <c r="B10" t="s">
        <v>15</v>
      </c>
      <c r="C10" t="s">
        <v>16</v>
      </c>
      <c r="D10">
        <v>2</v>
      </c>
      <c r="E10" t="s">
        <v>17</v>
      </c>
      <c r="F10">
        <v>5419</v>
      </c>
      <c r="G10" t="s">
        <v>18</v>
      </c>
      <c r="H10">
        <v>27</v>
      </c>
      <c r="I10" t="s">
        <v>19</v>
      </c>
      <c r="J10">
        <v>1994</v>
      </c>
      <c r="K10">
        <v>1994</v>
      </c>
      <c r="L10" t="s">
        <v>20</v>
      </c>
      <c r="M10">
        <v>19000</v>
      </c>
      <c r="N10">
        <v>327</v>
      </c>
    </row>
    <row r="11" spans="1:14" x14ac:dyDescent="0.35">
      <c r="A11" t="s">
        <v>29</v>
      </c>
      <c r="B11" t="s">
        <v>15</v>
      </c>
      <c r="C11" t="s">
        <v>16</v>
      </c>
      <c r="D11">
        <v>2</v>
      </c>
      <c r="E11" t="s">
        <v>17</v>
      </c>
      <c r="F11">
        <v>5419</v>
      </c>
      <c r="G11" t="s">
        <v>18</v>
      </c>
      <c r="H11">
        <v>27</v>
      </c>
      <c r="I11" t="s">
        <v>19</v>
      </c>
      <c r="J11">
        <v>1995</v>
      </c>
      <c r="K11">
        <v>1995</v>
      </c>
      <c r="L11" t="s">
        <v>20</v>
      </c>
      <c r="M11">
        <v>22941</v>
      </c>
      <c r="N11">
        <v>327</v>
      </c>
    </row>
    <row r="12" spans="1:14" x14ac:dyDescent="0.35">
      <c r="A12" t="s">
        <v>30</v>
      </c>
      <c r="B12" t="s">
        <v>15</v>
      </c>
      <c r="C12" t="s">
        <v>16</v>
      </c>
      <c r="D12">
        <v>2</v>
      </c>
      <c r="E12" t="s">
        <v>17</v>
      </c>
      <c r="F12">
        <v>5419</v>
      </c>
      <c r="G12" t="s">
        <v>18</v>
      </c>
      <c r="H12">
        <v>27</v>
      </c>
      <c r="I12" t="s">
        <v>19</v>
      </c>
      <c r="J12">
        <v>1996</v>
      </c>
      <c r="K12">
        <v>1996</v>
      </c>
      <c r="L12" t="s">
        <v>20</v>
      </c>
      <c r="M12">
        <v>19429</v>
      </c>
      <c r="N12">
        <v>327</v>
      </c>
    </row>
    <row r="13" spans="1:14" x14ac:dyDescent="0.35">
      <c r="A13" t="s">
        <v>31</v>
      </c>
      <c r="B13" t="s">
        <v>15</v>
      </c>
      <c r="C13" t="s">
        <v>16</v>
      </c>
      <c r="D13">
        <v>2</v>
      </c>
      <c r="E13" t="s">
        <v>17</v>
      </c>
      <c r="F13">
        <v>5419</v>
      </c>
      <c r="G13" t="s">
        <v>18</v>
      </c>
      <c r="H13">
        <v>27</v>
      </c>
      <c r="I13" t="s">
        <v>19</v>
      </c>
      <c r="J13">
        <v>1997</v>
      </c>
      <c r="K13">
        <v>1997</v>
      </c>
      <c r="L13" t="s">
        <v>20</v>
      </c>
      <c r="M13">
        <v>22222</v>
      </c>
      <c r="N13">
        <v>327</v>
      </c>
    </row>
    <row r="14" spans="1:14" x14ac:dyDescent="0.35">
      <c r="A14" t="s">
        <v>32</v>
      </c>
      <c r="B14" t="s">
        <v>15</v>
      </c>
      <c r="C14" t="s">
        <v>16</v>
      </c>
      <c r="D14">
        <v>2</v>
      </c>
      <c r="E14" t="s">
        <v>17</v>
      </c>
      <c r="F14">
        <v>5419</v>
      </c>
      <c r="G14" t="s">
        <v>18</v>
      </c>
      <c r="H14">
        <v>27</v>
      </c>
      <c r="I14" t="s">
        <v>19</v>
      </c>
      <c r="J14">
        <v>1998</v>
      </c>
      <c r="K14">
        <v>1998</v>
      </c>
      <c r="L14" t="s">
        <v>20</v>
      </c>
      <c r="M14">
        <v>25000</v>
      </c>
      <c r="N14">
        <v>327</v>
      </c>
    </row>
    <row r="15" spans="1:14" x14ac:dyDescent="0.35">
      <c r="A15" t="s">
        <v>33</v>
      </c>
      <c r="B15" t="s">
        <v>15</v>
      </c>
      <c r="C15" t="s">
        <v>16</v>
      </c>
      <c r="D15">
        <v>2</v>
      </c>
      <c r="E15" t="s">
        <v>17</v>
      </c>
      <c r="F15">
        <v>5419</v>
      </c>
      <c r="G15" t="s">
        <v>18</v>
      </c>
      <c r="H15">
        <v>27</v>
      </c>
      <c r="I15" t="s">
        <v>19</v>
      </c>
      <c r="J15">
        <v>1999</v>
      </c>
      <c r="K15">
        <v>1999</v>
      </c>
      <c r="L15" t="s">
        <v>20</v>
      </c>
      <c r="M15">
        <v>20000</v>
      </c>
      <c r="N15">
        <v>327</v>
      </c>
    </row>
    <row r="16" spans="1:14" x14ac:dyDescent="0.35">
      <c r="A16" t="s">
        <v>34</v>
      </c>
      <c r="B16" t="s">
        <v>15</v>
      </c>
      <c r="C16" t="s">
        <v>16</v>
      </c>
      <c r="D16">
        <v>2</v>
      </c>
      <c r="E16" t="s">
        <v>17</v>
      </c>
      <c r="F16">
        <v>5419</v>
      </c>
      <c r="G16" t="s">
        <v>18</v>
      </c>
      <c r="H16">
        <v>27</v>
      </c>
      <c r="I16" t="s">
        <v>19</v>
      </c>
      <c r="J16">
        <v>2000</v>
      </c>
      <c r="K16">
        <v>2000</v>
      </c>
      <c r="L16" t="s">
        <v>20</v>
      </c>
      <c r="M16">
        <v>20000</v>
      </c>
      <c r="N16">
        <v>327</v>
      </c>
    </row>
    <row r="17" spans="1:14" x14ac:dyDescent="0.35">
      <c r="A17" t="s">
        <v>35</v>
      </c>
      <c r="B17" t="s">
        <v>15</v>
      </c>
      <c r="C17" t="s">
        <v>16</v>
      </c>
      <c r="D17">
        <v>2</v>
      </c>
      <c r="E17" t="s">
        <v>17</v>
      </c>
      <c r="F17">
        <v>5419</v>
      </c>
      <c r="G17" t="s">
        <v>18</v>
      </c>
      <c r="H17">
        <v>27</v>
      </c>
      <c r="I17" t="s">
        <v>19</v>
      </c>
      <c r="J17">
        <v>2001</v>
      </c>
      <c r="K17">
        <v>2001</v>
      </c>
      <c r="L17" t="s">
        <v>20</v>
      </c>
      <c r="M17">
        <v>20000</v>
      </c>
      <c r="N17">
        <v>327</v>
      </c>
    </row>
    <row r="18" spans="1:14" x14ac:dyDescent="0.35">
      <c r="A18" t="s">
        <v>36</v>
      </c>
      <c r="B18" t="s">
        <v>15</v>
      </c>
      <c r="C18" t="s">
        <v>16</v>
      </c>
      <c r="D18">
        <v>2</v>
      </c>
      <c r="E18" t="s">
        <v>17</v>
      </c>
      <c r="F18">
        <v>5419</v>
      </c>
      <c r="G18" t="s">
        <v>18</v>
      </c>
      <c r="H18">
        <v>27</v>
      </c>
      <c r="I18" t="s">
        <v>19</v>
      </c>
      <c r="J18">
        <v>2002</v>
      </c>
      <c r="K18">
        <v>2002</v>
      </c>
      <c r="L18" t="s">
        <v>20</v>
      </c>
      <c r="M18">
        <v>28741</v>
      </c>
      <c r="N18">
        <v>327</v>
      </c>
    </row>
    <row r="19" spans="1:14" x14ac:dyDescent="0.35">
      <c r="A19" t="s">
        <v>37</v>
      </c>
      <c r="B19" t="s">
        <v>15</v>
      </c>
      <c r="C19" t="s">
        <v>16</v>
      </c>
      <c r="D19">
        <v>2</v>
      </c>
      <c r="E19" t="s">
        <v>17</v>
      </c>
      <c r="F19">
        <v>5419</v>
      </c>
      <c r="G19" t="s">
        <v>18</v>
      </c>
      <c r="H19">
        <v>27</v>
      </c>
      <c r="I19" t="s">
        <v>19</v>
      </c>
      <c r="J19">
        <v>2004</v>
      </c>
      <c r="K19">
        <v>2004</v>
      </c>
      <c r="L19" t="s">
        <v>20</v>
      </c>
      <c r="M19">
        <v>23744</v>
      </c>
      <c r="N19">
        <v>327</v>
      </c>
    </row>
    <row r="20" spans="1:14" x14ac:dyDescent="0.35">
      <c r="A20" t="s">
        <v>38</v>
      </c>
      <c r="B20" t="s">
        <v>15</v>
      </c>
      <c r="C20" t="s">
        <v>16</v>
      </c>
      <c r="D20">
        <v>2</v>
      </c>
      <c r="E20" t="s">
        <v>17</v>
      </c>
      <c r="F20">
        <v>5419</v>
      </c>
      <c r="G20" t="s">
        <v>18</v>
      </c>
      <c r="H20">
        <v>27</v>
      </c>
      <c r="I20" t="s">
        <v>19</v>
      </c>
      <c r="J20">
        <v>2005</v>
      </c>
      <c r="K20">
        <v>2005</v>
      </c>
      <c r="L20" t="s">
        <v>20</v>
      </c>
      <c r="M20">
        <v>30313</v>
      </c>
      <c r="N20">
        <v>327</v>
      </c>
    </row>
    <row r="21" spans="1:14" x14ac:dyDescent="0.35">
      <c r="A21" t="s">
        <v>39</v>
      </c>
      <c r="B21" t="s">
        <v>15</v>
      </c>
      <c r="C21" t="s">
        <v>16</v>
      </c>
      <c r="D21">
        <v>2</v>
      </c>
      <c r="E21" t="s">
        <v>17</v>
      </c>
      <c r="F21">
        <v>5419</v>
      </c>
      <c r="G21" t="s">
        <v>18</v>
      </c>
      <c r="H21">
        <v>27</v>
      </c>
      <c r="I21" t="s">
        <v>19</v>
      </c>
      <c r="J21">
        <v>2006</v>
      </c>
      <c r="K21">
        <v>2006</v>
      </c>
      <c r="L21" t="s">
        <v>20</v>
      </c>
      <c r="M21">
        <v>33750</v>
      </c>
      <c r="N21">
        <v>327</v>
      </c>
    </row>
    <row r="22" spans="1:14" x14ac:dyDescent="0.35">
      <c r="A22" t="s">
        <v>40</v>
      </c>
      <c r="B22" t="s">
        <v>15</v>
      </c>
      <c r="C22" t="s">
        <v>16</v>
      </c>
      <c r="D22">
        <v>2</v>
      </c>
      <c r="E22" t="s">
        <v>17</v>
      </c>
      <c r="F22">
        <v>5419</v>
      </c>
      <c r="G22" t="s">
        <v>18</v>
      </c>
      <c r="H22">
        <v>27</v>
      </c>
      <c r="I22" t="s">
        <v>19</v>
      </c>
      <c r="J22">
        <v>2007</v>
      </c>
      <c r="K22">
        <v>2007</v>
      </c>
      <c r="L22" t="s">
        <v>20</v>
      </c>
      <c r="M22">
        <v>32471</v>
      </c>
      <c r="N22">
        <v>327</v>
      </c>
    </row>
    <row r="23" spans="1:14" x14ac:dyDescent="0.35">
      <c r="A23" t="s">
        <v>41</v>
      </c>
      <c r="B23" t="s">
        <v>15</v>
      </c>
      <c r="C23" t="s">
        <v>16</v>
      </c>
      <c r="D23">
        <v>2</v>
      </c>
      <c r="E23" t="s">
        <v>17</v>
      </c>
      <c r="F23">
        <v>5419</v>
      </c>
      <c r="G23" t="s">
        <v>18</v>
      </c>
      <c r="H23">
        <v>27</v>
      </c>
      <c r="I23" t="s">
        <v>19</v>
      </c>
      <c r="J23">
        <v>2008</v>
      </c>
      <c r="K23">
        <v>2008</v>
      </c>
      <c r="L23" t="s">
        <v>20</v>
      </c>
      <c r="M23">
        <v>32211</v>
      </c>
      <c r="N23">
        <v>327</v>
      </c>
    </row>
    <row r="24" spans="1:14" x14ac:dyDescent="0.35">
      <c r="A24" t="s">
        <v>42</v>
      </c>
      <c r="B24" t="s">
        <v>15</v>
      </c>
      <c r="C24" t="s">
        <v>16</v>
      </c>
      <c r="D24">
        <v>2</v>
      </c>
      <c r="E24" t="s">
        <v>17</v>
      </c>
      <c r="F24">
        <v>5419</v>
      </c>
      <c r="G24" t="s">
        <v>18</v>
      </c>
      <c r="H24">
        <v>27</v>
      </c>
      <c r="I24" t="s">
        <v>19</v>
      </c>
      <c r="J24">
        <v>2009</v>
      </c>
      <c r="K24">
        <v>2009</v>
      </c>
      <c r="L24" t="s">
        <v>20</v>
      </c>
      <c r="M24">
        <v>32250</v>
      </c>
      <c r="N24">
        <v>327</v>
      </c>
    </row>
    <row r="25" spans="1:14" x14ac:dyDescent="0.35">
      <c r="A25" t="s">
        <v>43</v>
      </c>
      <c r="B25" t="s">
        <v>15</v>
      </c>
      <c r="C25" t="s">
        <v>16</v>
      </c>
      <c r="D25">
        <v>2</v>
      </c>
      <c r="E25" t="s">
        <v>17</v>
      </c>
      <c r="F25">
        <v>5419</v>
      </c>
      <c r="G25" t="s">
        <v>18</v>
      </c>
      <c r="H25">
        <v>27</v>
      </c>
      <c r="I25" t="s">
        <v>19</v>
      </c>
      <c r="J25">
        <v>2010</v>
      </c>
      <c r="K25">
        <v>2010</v>
      </c>
      <c r="L25" t="s">
        <v>20</v>
      </c>
      <c r="M25">
        <v>32308</v>
      </c>
      <c r="N25">
        <v>327</v>
      </c>
    </row>
    <row r="26" spans="1:14" x14ac:dyDescent="0.35">
      <c r="A26" t="s">
        <v>44</v>
      </c>
      <c r="B26" t="s">
        <v>15</v>
      </c>
      <c r="C26" t="s">
        <v>16</v>
      </c>
      <c r="D26">
        <v>2</v>
      </c>
      <c r="E26" t="s">
        <v>17</v>
      </c>
      <c r="F26">
        <v>5419</v>
      </c>
      <c r="G26" t="s">
        <v>18</v>
      </c>
      <c r="H26">
        <v>27</v>
      </c>
      <c r="I26" t="s">
        <v>19</v>
      </c>
      <c r="J26">
        <v>2011</v>
      </c>
      <c r="K26">
        <v>2011</v>
      </c>
      <c r="L26" t="s">
        <v>20</v>
      </c>
      <c r="M26">
        <v>32000</v>
      </c>
      <c r="N26">
        <v>327</v>
      </c>
    </row>
    <row r="27" spans="1:14" x14ac:dyDescent="0.35">
      <c r="A27" t="s">
        <v>45</v>
      </c>
      <c r="B27" t="s">
        <v>15</v>
      </c>
      <c r="C27" t="s">
        <v>16</v>
      </c>
      <c r="D27">
        <v>2</v>
      </c>
      <c r="E27" t="s">
        <v>17</v>
      </c>
      <c r="F27">
        <v>5419</v>
      </c>
      <c r="G27" t="s">
        <v>18</v>
      </c>
      <c r="H27">
        <v>27</v>
      </c>
      <c r="I27" t="s">
        <v>19</v>
      </c>
      <c r="J27">
        <v>2012</v>
      </c>
      <c r="K27">
        <v>2012</v>
      </c>
      <c r="L27" t="s">
        <v>20</v>
      </c>
      <c r="M27">
        <v>24390</v>
      </c>
      <c r="N27">
        <v>327</v>
      </c>
    </row>
    <row r="28" spans="1:14" x14ac:dyDescent="0.35">
      <c r="A28" t="s">
        <v>46</v>
      </c>
      <c r="B28" t="s">
        <v>15</v>
      </c>
      <c r="C28" t="s">
        <v>16</v>
      </c>
      <c r="D28">
        <v>2</v>
      </c>
      <c r="E28" t="s">
        <v>17</v>
      </c>
      <c r="F28">
        <v>5419</v>
      </c>
      <c r="G28" t="s">
        <v>18</v>
      </c>
      <c r="H28">
        <v>27</v>
      </c>
      <c r="I28" t="s">
        <v>19</v>
      </c>
      <c r="J28">
        <v>2013</v>
      </c>
      <c r="K28">
        <v>2013</v>
      </c>
      <c r="L28" t="s">
        <v>20</v>
      </c>
      <c r="M28">
        <v>24980</v>
      </c>
      <c r="N28">
        <v>327</v>
      </c>
    </row>
    <row r="29" spans="1:14" x14ac:dyDescent="0.35">
      <c r="A29" t="s">
        <v>47</v>
      </c>
      <c r="B29" t="s">
        <v>15</v>
      </c>
      <c r="C29" t="s">
        <v>16</v>
      </c>
      <c r="D29">
        <v>2</v>
      </c>
      <c r="E29" t="s">
        <v>17</v>
      </c>
      <c r="F29">
        <v>5419</v>
      </c>
      <c r="G29" t="s">
        <v>18</v>
      </c>
      <c r="H29">
        <v>27</v>
      </c>
      <c r="I29" t="s">
        <v>19</v>
      </c>
      <c r="J29">
        <v>2014</v>
      </c>
      <c r="K29">
        <v>2014</v>
      </c>
      <c r="L29" t="s">
        <v>20</v>
      </c>
      <c r="M29">
        <v>24409</v>
      </c>
      <c r="N29">
        <v>327</v>
      </c>
    </row>
    <row r="30" spans="1:14" x14ac:dyDescent="0.35">
      <c r="A30" t="s">
        <v>48</v>
      </c>
      <c r="B30" t="s">
        <v>15</v>
      </c>
      <c r="C30" t="s">
        <v>16</v>
      </c>
      <c r="D30">
        <v>2</v>
      </c>
      <c r="E30" t="s">
        <v>17</v>
      </c>
      <c r="F30">
        <v>5419</v>
      </c>
      <c r="G30" t="s">
        <v>18</v>
      </c>
      <c r="H30">
        <v>27</v>
      </c>
      <c r="I30" t="s">
        <v>19</v>
      </c>
      <c r="J30">
        <v>2015</v>
      </c>
      <c r="K30">
        <v>2015</v>
      </c>
      <c r="L30" t="s">
        <v>20</v>
      </c>
      <c r="M30">
        <v>25000</v>
      </c>
      <c r="N30">
        <v>327</v>
      </c>
    </row>
    <row r="31" spans="1:14" x14ac:dyDescent="0.35">
      <c r="A31" t="s">
        <v>49</v>
      </c>
      <c r="B31" t="s">
        <v>15</v>
      </c>
      <c r="C31" t="s">
        <v>16</v>
      </c>
      <c r="D31">
        <v>2</v>
      </c>
      <c r="E31" t="s">
        <v>17</v>
      </c>
      <c r="F31">
        <v>5419</v>
      </c>
      <c r="G31" t="s">
        <v>18</v>
      </c>
      <c r="H31">
        <v>27</v>
      </c>
      <c r="I31" t="s">
        <v>19</v>
      </c>
      <c r="J31">
        <v>2016</v>
      </c>
      <c r="K31">
        <v>2016</v>
      </c>
      <c r="L31" t="s">
        <v>20</v>
      </c>
      <c r="M31">
        <v>29963</v>
      </c>
      <c r="N31">
        <v>327</v>
      </c>
    </row>
    <row r="32" spans="1:14" x14ac:dyDescent="0.35">
      <c r="A32" t="s">
        <v>50</v>
      </c>
      <c r="B32" t="s">
        <v>15</v>
      </c>
      <c r="C32" t="s">
        <v>16</v>
      </c>
      <c r="D32">
        <v>3</v>
      </c>
      <c r="E32" t="s">
        <v>51</v>
      </c>
      <c r="F32">
        <v>5419</v>
      </c>
      <c r="G32" t="s">
        <v>18</v>
      </c>
      <c r="H32">
        <v>27</v>
      </c>
      <c r="I32" t="s">
        <v>19</v>
      </c>
      <c r="J32">
        <v>1985</v>
      </c>
      <c r="K32">
        <v>1985</v>
      </c>
      <c r="L32" t="s">
        <v>20</v>
      </c>
      <c r="M32">
        <v>40000</v>
      </c>
      <c r="N32">
        <v>1485</v>
      </c>
    </row>
    <row r="33" spans="1:14" x14ac:dyDescent="0.35">
      <c r="A33" t="s">
        <v>52</v>
      </c>
      <c r="B33" t="s">
        <v>15</v>
      </c>
      <c r="C33" t="s">
        <v>16</v>
      </c>
      <c r="D33">
        <v>3</v>
      </c>
      <c r="E33" t="s">
        <v>51</v>
      </c>
      <c r="F33">
        <v>5419</v>
      </c>
      <c r="G33" t="s">
        <v>18</v>
      </c>
      <c r="H33">
        <v>27</v>
      </c>
      <c r="I33" t="s">
        <v>19</v>
      </c>
      <c r="J33">
        <v>1986</v>
      </c>
      <c r="K33">
        <v>1986</v>
      </c>
      <c r="L33" t="s">
        <v>20</v>
      </c>
      <c r="M33">
        <v>36667</v>
      </c>
      <c r="N33">
        <v>1485</v>
      </c>
    </row>
    <row r="34" spans="1:14" x14ac:dyDescent="0.35">
      <c r="A34" t="s">
        <v>53</v>
      </c>
      <c r="B34" t="s">
        <v>15</v>
      </c>
      <c r="C34" t="s">
        <v>16</v>
      </c>
      <c r="D34">
        <v>3</v>
      </c>
      <c r="E34" t="s">
        <v>51</v>
      </c>
      <c r="F34">
        <v>5419</v>
      </c>
      <c r="G34" t="s">
        <v>18</v>
      </c>
      <c r="H34">
        <v>27</v>
      </c>
      <c r="I34" t="s">
        <v>19</v>
      </c>
      <c r="J34">
        <v>1987</v>
      </c>
      <c r="K34">
        <v>1987</v>
      </c>
      <c r="L34" t="s">
        <v>20</v>
      </c>
      <c r="M34">
        <v>32121</v>
      </c>
      <c r="N34">
        <v>1485</v>
      </c>
    </row>
    <row r="35" spans="1:14" x14ac:dyDescent="0.35">
      <c r="A35" t="s">
        <v>54</v>
      </c>
      <c r="B35" t="s">
        <v>15</v>
      </c>
      <c r="C35" t="s">
        <v>16</v>
      </c>
      <c r="D35">
        <v>3</v>
      </c>
      <c r="E35" t="s">
        <v>51</v>
      </c>
      <c r="F35">
        <v>5419</v>
      </c>
      <c r="G35" t="s">
        <v>18</v>
      </c>
      <c r="H35">
        <v>27</v>
      </c>
      <c r="I35" t="s">
        <v>19</v>
      </c>
      <c r="J35">
        <v>1989</v>
      </c>
      <c r="K35">
        <v>1989</v>
      </c>
      <c r="L35" t="s">
        <v>20</v>
      </c>
      <c r="M35">
        <v>31296</v>
      </c>
      <c r="N35">
        <v>1485</v>
      </c>
    </row>
    <row r="36" spans="1:14" x14ac:dyDescent="0.35">
      <c r="A36" t="s">
        <v>55</v>
      </c>
      <c r="B36" t="s">
        <v>15</v>
      </c>
      <c r="C36" t="s">
        <v>16</v>
      </c>
      <c r="D36">
        <v>3</v>
      </c>
      <c r="E36" t="s">
        <v>51</v>
      </c>
      <c r="F36">
        <v>5419</v>
      </c>
      <c r="G36" t="s">
        <v>18</v>
      </c>
      <c r="H36">
        <v>27</v>
      </c>
      <c r="I36" t="s">
        <v>19</v>
      </c>
      <c r="J36">
        <v>1990</v>
      </c>
      <c r="K36">
        <v>1990</v>
      </c>
      <c r="L36" t="s">
        <v>20</v>
      </c>
      <c r="M36">
        <v>23333</v>
      </c>
      <c r="N36">
        <v>1485</v>
      </c>
    </row>
    <row r="37" spans="1:14" x14ac:dyDescent="0.35">
      <c r="A37" t="s">
        <v>56</v>
      </c>
      <c r="B37" t="s">
        <v>15</v>
      </c>
      <c r="C37" t="s">
        <v>16</v>
      </c>
      <c r="D37">
        <v>3</v>
      </c>
      <c r="E37" t="s">
        <v>51</v>
      </c>
      <c r="F37">
        <v>5419</v>
      </c>
      <c r="G37" t="s">
        <v>18</v>
      </c>
      <c r="H37">
        <v>27</v>
      </c>
      <c r="I37" t="s">
        <v>19</v>
      </c>
      <c r="J37">
        <v>1991</v>
      </c>
      <c r="K37">
        <v>1991</v>
      </c>
      <c r="L37" t="s">
        <v>20</v>
      </c>
      <c r="M37">
        <v>28538</v>
      </c>
      <c r="N37">
        <v>1485</v>
      </c>
    </row>
    <row r="38" spans="1:14" x14ac:dyDescent="0.35">
      <c r="A38" t="s">
        <v>57</v>
      </c>
      <c r="B38" t="s">
        <v>15</v>
      </c>
      <c r="C38" t="s">
        <v>16</v>
      </c>
      <c r="D38">
        <v>3</v>
      </c>
      <c r="E38" t="s">
        <v>51</v>
      </c>
      <c r="F38">
        <v>5419</v>
      </c>
      <c r="G38" t="s">
        <v>18</v>
      </c>
      <c r="H38">
        <v>27</v>
      </c>
      <c r="I38" t="s">
        <v>19</v>
      </c>
      <c r="J38">
        <v>1992</v>
      </c>
      <c r="K38">
        <v>1992</v>
      </c>
      <c r="L38" t="s">
        <v>20</v>
      </c>
      <c r="M38">
        <v>40000</v>
      </c>
      <c r="N38">
        <v>1485</v>
      </c>
    </row>
    <row r="39" spans="1:14" x14ac:dyDescent="0.35">
      <c r="A39" t="s">
        <v>58</v>
      </c>
      <c r="B39" t="s">
        <v>15</v>
      </c>
      <c r="C39" t="s">
        <v>16</v>
      </c>
      <c r="D39">
        <v>3</v>
      </c>
      <c r="E39" t="s">
        <v>51</v>
      </c>
      <c r="F39">
        <v>5419</v>
      </c>
      <c r="G39" t="s">
        <v>18</v>
      </c>
      <c r="H39">
        <v>27</v>
      </c>
      <c r="I39" t="s">
        <v>19</v>
      </c>
      <c r="J39">
        <v>1993</v>
      </c>
      <c r="K39">
        <v>1993</v>
      </c>
      <c r="L39" t="s">
        <v>20</v>
      </c>
      <c r="M39">
        <v>41786</v>
      </c>
      <c r="N39">
        <v>1485</v>
      </c>
    </row>
    <row r="40" spans="1:14" x14ac:dyDescent="0.35">
      <c r="A40" t="s">
        <v>59</v>
      </c>
      <c r="B40" t="s">
        <v>15</v>
      </c>
      <c r="C40" t="s">
        <v>16</v>
      </c>
      <c r="D40">
        <v>4</v>
      </c>
      <c r="E40" t="s">
        <v>60</v>
      </c>
      <c r="F40">
        <v>5419</v>
      </c>
      <c r="G40" t="s">
        <v>18</v>
      </c>
      <c r="H40">
        <v>27</v>
      </c>
      <c r="I40" t="s">
        <v>19</v>
      </c>
      <c r="J40">
        <v>1985</v>
      </c>
      <c r="K40">
        <v>1985</v>
      </c>
      <c r="L40" t="s">
        <v>20</v>
      </c>
      <c r="M40">
        <v>26667</v>
      </c>
      <c r="N40">
        <v>89</v>
      </c>
    </row>
    <row r="41" spans="1:14" x14ac:dyDescent="0.35">
      <c r="A41" t="s">
        <v>61</v>
      </c>
      <c r="B41" t="s">
        <v>15</v>
      </c>
      <c r="C41" t="s">
        <v>16</v>
      </c>
      <c r="D41">
        <v>4</v>
      </c>
      <c r="E41" t="s">
        <v>60</v>
      </c>
      <c r="F41">
        <v>5419</v>
      </c>
      <c r="G41" t="s">
        <v>18</v>
      </c>
      <c r="H41">
        <v>27</v>
      </c>
      <c r="I41" t="s">
        <v>19</v>
      </c>
      <c r="J41">
        <v>1986</v>
      </c>
      <c r="K41">
        <v>1986</v>
      </c>
      <c r="L41" t="s">
        <v>20</v>
      </c>
      <c r="M41">
        <v>26957</v>
      </c>
      <c r="N41">
        <v>89</v>
      </c>
    </row>
    <row r="42" spans="1:14" x14ac:dyDescent="0.35">
      <c r="A42" t="s">
        <v>62</v>
      </c>
      <c r="B42" t="s">
        <v>15</v>
      </c>
      <c r="C42" t="s">
        <v>16</v>
      </c>
      <c r="D42">
        <v>4</v>
      </c>
      <c r="E42" t="s">
        <v>60</v>
      </c>
      <c r="F42">
        <v>5419</v>
      </c>
      <c r="G42" t="s">
        <v>18</v>
      </c>
      <c r="H42">
        <v>27</v>
      </c>
      <c r="I42" t="s">
        <v>19</v>
      </c>
      <c r="J42">
        <v>1987</v>
      </c>
      <c r="K42">
        <v>1987</v>
      </c>
      <c r="L42" t="s">
        <v>20</v>
      </c>
      <c r="M42">
        <v>27083</v>
      </c>
      <c r="N42">
        <v>89</v>
      </c>
    </row>
    <row r="43" spans="1:14" x14ac:dyDescent="0.35">
      <c r="A43" t="s">
        <v>63</v>
      </c>
      <c r="B43" t="s">
        <v>15</v>
      </c>
      <c r="C43" t="s">
        <v>16</v>
      </c>
      <c r="D43">
        <v>4</v>
      </c>
      <c r="E43" t="s">
        <v>60</v>
      </c>
      <c r="F43">
        <v>5419</v>
      </c>
      <c r="G43" t="s">
        <v>18</v>
      </c>
      <c r="H43">
        <v>27</v>
      </c>
      <c r="I43" t="s">
        <v>19</v>
      </c>
      <c r="J43">
        <v>1989</v>
      </c>
      <c r="K43">
        <v>1989</v>
      </c>
      <c r="L43" t="s">
        <v>20</v>
      </c>
      <c r="M43">
        <v>27925</v>
      </c>
      <c r="N43">
        <v>89</v>
      </c>
    </row>
    <row r="44" spans="1:14" x14ac:dyDescent="0.35">
      <c r="A44" t="s">
        <v>64</v>
      </c>
      <c r="B44" t="s">
        <v>15</v>
      </c>
      <c r="C44" t="s">
        <v>16</v>
      </c>
      <c r="D44">
        <v>4</v>
      </c>
      <c r="E44" t="s">
        <v>60</v>
      </c>
      <c r="F44">
        <v>5419</v>
      </c>
      <c r="G44" t="s">
        <v>18</v>
      </c>
      <c r="H44">
        <v>27</v>
      </c>
      <c r="I44" t="s">
        <v>19</v>
      </c>
      <c r="J44">
        <v>1990</v>
      </c>
      <c r="K44">
        <v>1990</v>
      </c>
      <c r="L44" t="s">
        <v>20</v>
      </c>
      <c r="M44">
        <v>28000</v>
      </c>
      <c r="N44">
        <v>89</v>
      </c>
    </row>
    <row r="45" spans="1:14" x14ac:dyDescent="0.35">
      <c r="A45" t="s">
        <v>65</v>
      </c>
      <c r="B45" t="s">
        <v>15</v>
      </c>
      <c r="C45" t="s">
        <v>16</v>
      </c>
      <c r="D45">
        <v>4</v>
      </c>
      <c r="E45" t="s">
        <v>60</v>
      </c>
      <c r="F45">
        <v>5419</v>
      </c>
      <c r="G45" t="s">
        <v>18</v>
      </c>
      <c r="H45">
        <v>27</v>
      </c>
      <c r="I45" t="s">
        <v>19</v>
      </c>
      <c r="J45">
        <v>1991</v>
      </c>
      <c r="K45">
        <v>1991</v>
      </c>
      <c r="L45" t="s">
        <v>20</v>
      </c>
      <c r="M45">
        <v>26786</v>
      </c>
      <c r="N45">
        <v>89</v>
      </c>
    </row>
    <row r="46" spans="1:14" x14ac:dyDescent="0.35">
      <c r="A46" t="s">
        <v>66</v>
      </c>
      <c r="B46" t="s">
        <v>15</v>
      </c>
      <c r="C46" t="s">
        <v>16</v>
      </c>
      <c r="D46">
        <v>4</v>
      </c>
      <c r="E46" t="s">
        <v>60</v>
      </c>
      <c r="F46">
        <v>5419</v>
      </c>
      <c r="G46" t="s">
        <v>18</v>
      </c>
      <c r="H46">
        <v>27</v>
      </c>
      <c r="I46" t="s">
        <v>19</v>
      </c>
      <c r="J46">
        <v>1992</v>
      </c>
      <c r="K46">
        <v>1992</v>
      </c>
      <c r="L46" t="s">
        <v>20</v>
      </c>
      <c r="M46">
        <v>24733</v>
      </c>
      <c r="N46">
        <v>89</v>
      </c>
    </row>
    <row r="47" spans="1:14" x14ac:dyDescent="0.35">
      <c r="A47" t="s">
        <v>67</v>
      </c>
      <c r="B47" t="s">
        <v>15</v>
      </c>
      <c r="C47" t="s">
        <v>16</v>
      </c>
      <c r="D47">
        <v>4</v>
      </c>
      <c r="E47" t="s">
        <v>60</v>
      </c>
      <c r="F47">
        <v>5419</v>
      </c>
      <c r="G47" t="s">
        <v>18</v>
      </c>
      <c r="H47">
        <v>27</v>
      </c>
      <c r="I47" t="s">
        <v>19</v>
      </c>
      <c r="J47">
        <v>1993</v>
      </c>
      <c r="K47">
        <v>1993</v>
      </c>
      <c r="L47" t="s">
        <v>20</v>
      </c>
      <c r="M47">
        <v>23111</v>
      </c>
      <c r="N47">
        <v>89</v>
      </c>
    </row>
    <row r="48" spans="1:14" x14ac:dyDescent="0.35">
      <c r="A48" t="s">
        <v>68</v>
      </c>
      <c r="B48" t="s">
        <v>15</v>
      </c>
      <c r="C48" t="s">
        <v>16</v>
      </c>
      <c r="D48">
        <v>4</v>
      </c>
      <c r="E48" t="s">
        <v>60</v>
      </c>
      <c r="F48">
        <v>5419</v>
      </c>
      <c r="G48" t="s">
        <v>18</v>
      </c>
      <c r="H48">
        <v>27</v>
      </c>
      <c r="I48" t="s">
        <v>19</v>
      </c>
      <c r="J48">
        <v>1994</v>
      </c>
      <c r="K48">
        <v>1994</v>
      </c>
      <c r="L48" t="s">
        <v>20</v>
      </c>
      <c r="M48">
        <v>21374</v>
      </c>
      <c r="N48">
        <v>89</v>
      </c>
    </row>
    <row r="49" spans="1:14" x14ac:dyDescent="0.35">
      <c r="A49" t="s">
        <v>69</v>
      </c>
      <c r="B49" t="s">
        <v>15</v>
      </c>
      <c r="C49" t="s">
        <v>16</v>
      </c>
      <c r="D49">
        <v>4</v>
      </c>
      <c r="E49" t="s">
        <v>60</v>
      </c>
      <c r="F49">
        <v>5419</v>
      </c>
      <c r="G49" t="s">
        <v>18</v>
      </c>
      <c r="H49">
        <v>27</v>
      </c>
      <c r="I49" t="s">
        <v>19</v>
      </c>
      <c r="J49">
        <v>1995</v>
      </c>
      <c r="K49">
        <v>1995</v>
      </c>
      <c r="L49" t="s">
        <v>20</v>
      </c>
      <c r="M49">
        <v>19598</v>
      </c>
      <c r="N49">
        <v>89</v>
      </c>
    </row>
    <row r="50" spans="1:14" x14ac:dyDescent="0.35">
      <c r="A50" t="s">
        <v>70</v>
      </c>
      <c r="B50" t="s">
        <v>15</v>
      </c>
      <c r="C50" t="s">
        <v>16</v>
      </c>
      <c r="D50">
        <v>4</v>
      </c>
      <c r="E50" t="s">
        <v>60</v>
      </c>
      <c r="F50">
        <v>5419</v>
      </c>
      <c r="G50" t="s">
        <v>18</v>
      </c>
      <c r="H50">
        <v>27</v>
      </c>
      <c r="I50" t="s">
        <v>19</v>
      </c>
      <c r="J50">
        <v>1996</v>
      </c>
      <c r="K50">
        <v>1996</v>
      </c>
      <c r="L50" t="s">
        <v>20</v>
      </c>
      <c r="M50">
        <v>17861</v>
      </c>
      <c r="N50">
        <v>89</v>
      </c>
    </row>
    <row r="51" spans="1:14" x14ac:dyDescent="0.35">
      <c r="A51" t="s">
        <v>71</v>
      </c>
      <c r="B51" t="s">
        <v>15</v>
      </c>
      <c r="C51" t="s">
        <v>16</v>
      </c>
      <c r="D51">
        <v>4</v>
      </c>
      <c r="E51" t="s">
        <v>60</v>
      </c>
      <c r="F51">
        <v>5419</v>
      </c>
      <c r="G51" t="s">
        <v>18</v>
      </c>
      <c r="H51">
        <v>27</v>
      </c>
      <c r="I51" t="s">
        <v>19</v>
      </c>
      <c r="J51">
        <v>1997</v>
      </c>
      <c r="K51">
        <v>1997</v>
      </c>
      <c r="L51" t="s">
        <v>20</v>
      </c>
      <c r="M51">
        <v>15000</v>
      </c>
      <c r="N51">
        <v>89</v>
      </c>
    </row>
    <row r="52" spans="1:14" x14ac:dyDescent="0.35">
      <c r="A52" t="s">
        <v>72</v>
      </c>
      <c r="B52" t="s">
        <v>15</v>
      </c>
      <c r="C52" t="s">
        <v>16</v>
      </c>
      <c r="D52">
        <v>4</v>
      </c>
      <c r="E52" t="s">
        <v>60</v>
      </c>
      <c r="F52">
        <v>5419</v>
      </c>
      <c r="G52" t="s">
        <v>18</v>
      </c>
      <c r="H52">
        <v>27</v>
      </c>
      <c r="I52" t="s">
        <v>19</v>
      </c>
      <c r="J52">
        <v>1998</v>
      </c>
      <c r="K52">
        <v>1998</v>
      </c>
      <c r="L52" t="s">
        <v>20</v>
      </c>
      <c r="M52">
        <v>15000</v>
      </c>
      <c r="N52">
        <v>89</v>
      </c>
    </row>
    <row r="53" spans="1:14" x14ac:dyDescent="0.35">
      <c r="A53" t="s">
        <v>73</v>
      </c>
      <c r="B53" t="s">
        <v>15</v>
      </c>
      <c r="C53" t="s">
        <v>16</v>
      </c>
      <c r="D53">
        <v>4</v>
      </c>
      <c r="E53" t="s">
        <v>60</v>
      </c>
      <c r="F53">
        <v>5419</v>
      </c>
      <c r="G53" t="s">
        <v>18</v>
      </c>
      <c r="H53">
        <v>27</v>
      </c>
      <c r="I53" t="s">
        <v>19</v>
      </c>
      <c r="J53">
        <v>1999</v>
      </c>
      <c r="K53">
        <v>1999</v>
      </c>
      <c r="L53" t="s">
        <v>20</v>
      </c>
      <c r="M53">
        <v>13942</v>
      </c>
      <c r="N53">
        <v>89</v>
      </c>
    </row>
    <row r="54" spans="1:14" x14ac:dyDescent="0.35">
      <c r="A54" t="s">
        <v>74</v>
      </c>
      <c r="B54" t="s">
        <v>15</v>
      </c>
      <c r="C54" t="s">
        <v>16</v>
      </c>
      <c r="D54">
        <v>4</v>
      </c>
      <c r="E54" t="s">
        <v>60</v>
      </c>
      <c r="F54">
        <v>5419</v>
      </c>
      <c r="G54" t="s">
        <v>18</v>
      </c>
      <c r="H54">
        <v>27</v>
      </c>
      <c r="I54" t="s">
        <v>19</v>
      </c>
      <c r="J54">
        <v>2000</v>
      </c>
      <c r="K54">
        <v>2000</v>
      </c>
      <c r="L54" t="s">
        <v>20</v>
      </c>
      <c r="M54">
        <v>13052</v>
      </c>
      <c r="N54">
        <v>89</v>
      </c>
    </row>
    <row r="55" spans="1:14" x14ac:dyDescent="0.35">
      <c r="A55" t="s">
        <v>75</v>
      </c>
      <c r="B55" t="s">
        <v>15</v>
      </c>
      <c r="C55" t="s">
        <v>16</v>
      </c>
      <c r="D55">
        <v>4</v>
      </c>
      <c r="E55" t="s">
        <v>60</v>
      </c>
      <c r="F55">
        <v>5419</v>
      </c>
      <c r="G55" t="s">
        <v>18</v>
      </c>
      <c r="H55">
        <v>27</v>
      </c>
      <c r="I55" t="s">
        <v>19</v>
      </c>
      <c r="J55">
        <v>2001</v>
      </c>
      <c r="K55">
        <v>2001</v>
      </c>
      <c r="L55" t="s">
        <v>20</v>
      </c>
      <c r="M55">
        <v>12314</v>
      </c>
      <c r="N55">
        <v>89</v>
      </c>
    </row>
    <row r="56" spans="1:14" x14ac:dyDescent="0.35">
      <c r="A56" t="s">
        <v>76</v>
      </c>
      <c r="B56" t="s">
        <v>15</v>
      </c>
      <c r="C56" t="s">
        <v>16</v>
      </c>
      <c r="D56">
        <v>4</v>
      </c>
      <c r="E56" t="s">
        <v>60</v>
      </c>
      <c r="F56">
        <v>5419</v>
      </c>
      <c r="G56" t="s">
        <v>18</v>
      </c>
      <c r="H56">
        <v>27</v>
      </c>
      <c r="I56" t="s">
        <v>19</v>
      </c>
      <c r="J56">
        <v>2002</v>
      </c>
      <c r="K56">
        <v>2002</v>
      </c>
      <c r="L56" t="s">
        <v>20</v>
      </c>
      <c r="M56">
        <v>12959</v>
      </c>
      <c r="N56">
        <v>89</v>
      </c>
    </row>
    <row r="57" spans="1:14" x14ac:dyDescent="0.35">
      <c r="A57" t="s">
        <v>77</v>
      </c>
      <c r="B57" t="s">
        <v>15</v>
      </c>
      <c r="C57" t="s">
        <v>16</v>
      </c>
      <c r="D57">
        <v>4</v>
      </c>
      <c r="E57" t="s">
        <v>60</v>
      </c>
      <c r="F57">
        <v>5419</v>
      </c>
      <c r="G57" t="s">
        <v>18</v>
      </c>
      <c r="H57">
        <v>27</v>
      </c>
      <c r="I57" t="s">
        <v>19</v>
      </c>
      <c r="J57">
        <v>2004</v>
      </c>
      <c r="K57">
        <v>2004</v>
      </c>
      <c r="L57" t="s">
        <v>20</v>
      </c>
      <c r="M57">
        <v>12829</v>
      </c>
      <c r="N57">
        <v>89</v>
      </c>
    </row>
    <row r="58" spans="1:14" x14ac:dyDescent="0.35">
      <c r="A58" t="s">
        <v>78</v>
      </c>
      <c r="B58" t="s">
        <v>15</v>
      </c>
      <c r="C58" t="s">
        <v>16</v>
      </c>
      <c r="D58">
        <v>4</v>
      </c>
      <c r="E58" t="s">
        <v>60</v>
      </c>
      <c r="F58">
        <v>5419</v>
      </c>
      <c r="G58" t="s">
        <v>18</v>
      </c>
      <c r="H58">
        <v>27</v>
      </c>
      <c r="I58" t="s">
        <v>19</v>
      </c>
      <c r="J58">
        <v>2005</v>
      </c>
      <c r="K58">
        <v>2005</v>
      </c>
      <c r="L58" t="s">
        <v>20</v>
      </c>
      <c r="M58">
        <v>12998</v>
      </c>
      <c r="N58">
        <v>89</v>
      </c>
    </row>
    <row r="59" spans="1:14" x14ac:dyDescent="0.35">
      <c r="A59" t="s">
        <v>79</v>
      </c>
      <c r="B59" t="s">
        <v>15</v>
      </c>
      <c r="C59" t="s">
        <v>16</v>
      </c>
      <c r="D59">
        <v>4</v>
      </c>
      <c r="E59" t="s">
        <v>60</v>
      </c>
      <c r="F59">
        <v>5419</v>
      </c>
      <c r="G59" t="s">
        <v>18</v>
      </c>
      <c r="H59">
        <v>27</v>
      </c>
      <c r="I59" t="s">
        <v>19</v>
      </c>
      <c r="J59">
        <v>2006</v>
      </c>
      <c r="K59">
        <v>2006</v>
      </c>
      <c r="L59" t="s">
        <v>20</v>
      </c>
      <c r="M59">
        <v>12769</v>
      </c>
      <c r="N59">
        <v>89</v>
      </c>
    </row>
    <row r="60" spans="1:14" x14ac:dyDescent="0.35">
      <c r="A60" t="s">
        <v>80</v>
      </c>
      <c r="B60" t="s">
        <v>15</v>
      </c>
      <c r="C60" t="s">
        <v>16</v>
      </c>
      <c r="D60">
        <v>4</v>
      </c>
      <c r="E60" t="s">
        <v>60</v>
      </c>
      <c r="F60">
        <v>5419</v>
      </c>
      <c r="G60" t="s">
        <v>18</v>
      </c>
      <c r="H60">
        <v>27</v>
      </c>
      <c r="I60" t="s">
        <v>19</v>
      </c>
      <c r="J60">
        <v>2007</v>
      </c>
      <c r="K60">
        <v>2007</v>
      </c>
      <c r="L60" t="s">
        <v>20</v>
      </c>
      <c r="M60">
        <v>13375</v>
      </c>
      <c r="N60">
        <v>89</v>
      </c>
    </row>
    <row r="61" spans="1:14" x14ac:dyDescent="0.35">
      <c r="A61" t="s">
        <v>81</v>
      </c>
      <c r="B61" t="s">
        <v>15</v>
      </c>
      <c r="C61" t="s">
        <v>16</v>
      </c>
      <c r="D61">
        <v>4</v>
      </c>
      <c r="E61" t="s">
        <v>60</v>
      </c>
      <c r="F61">
        <v>5419</v>
      </c>
      <c r="G61" t="s">
        <v>18</v>
      </c>
      <c r="H61">
        <v>27</v>
      </c>
      <c r="I61" t="s">
        <v>19</v>
      </c>
      <c r="J61">
        <v>2008</v>
      </c>
      <c r="K61">
        <v>2008</v>
      </c>
      <c r="L61" t="s">
        <v>20</v>
      </c>
      <c r="M61">
        <v>13952</v>
      </c>
      <c r="N61">
        <v>89</v>
      </c>
    </row>
    <row r="62" spans="1:14" x14ac:dyDescent="0.35">
      <c r="A62" t="s">
        <v>82</v>
      </c>
      <c r="B62" t="s">
        <v>15</v>
      </c>
      <c r="C62" t="s">
        <v>16</v>
      </c>
      <c r="D62">
        <v>4</v>
      </c>
      <c r="E62" t="s">
        <v>60</v>
      </c>
      <c r="F62">
        <v>5419</v>
      </c>
      <c r="G62" t="s">
        <v>18</v>
      </c>
      <c r="H62">
        <v>27</v>
      </c>
      <c r="I62" t="s">
        <v>19</v>
      </c>
      <c r="J62">
        <v>2009</v>
      </c>
      <c r="K62">
        <v>2009</v>
      </c>
      <c r="L62" t="s">
        <v>20</v>
      </c>
      <c r="M62">
        <v>14594</v>
      </c>
      <c r="N62">
        <v>89</v>
      </c>
    </row>
    <row r="63" spans="1:14" x14ac:dyDescent="0.35">
      <c r="A63" t="s">
        <v>83</v>
      </c>
      <c r="B63" t="s">
        <v>15</v>
      </c>
      <c r="C63" t="s">
        <v>16</v>
      </c>
      <c r="D63">
        <v>4</v>
      </c>
      <c r="E63" t="s">
        <v>60</v>
      </c>
      <c r="F63">
        <v>5419</v>
      </c>
      <c r="G63" t="s">
        <v>18</v>
      </c>
      <c r="H63">
        <v>27</v>
      </c>
      <c r="I63" t="s">
        <v>19</v>
      </c>
      <c r="J63">
        <v>2010</v>
      </c>
      <c r="K63">
        <v>2010</v>
      </c>
      <c r="L63" t="s">
        <v>20</v>
      </c>
      <c r="M63">
        <v>15305</v>
      </c>
      <c r="N63">
        <v>89</v>
      </c>
    </row>
    <row r="64" spans="1:14" x14ac:dyDescent="0.35">
      <c r="A64" t="s">
        <v>84</v>
      </c>
      <c r="B64" t="s">
        <v>15</v>
      </c>
      <c r="C64" t="s">
        <v>16</v>
      </c>
      <c r="D64">
        <v>4</v>
      </c>
      <c r="E64" t="s">
        <v>60</v>
      </c>
      <c r="F64">
        <v>5419</v>
      </c>
      <c r="G64" t="s">
        <v>18</v>
      </c>
      <c r="H64">
        <v>27</v>
      </c>
      <c r="I64" t="s">
        <v>19</v>
      </c>
      <c r="J64">
        <v>2011</v>
      </c>
      <c r="K64">
        <v>2011</v>
      </c>
      <c r="L64" t="s">
        <v>20</v>
      </c>
      <c r="M64">
        <v>16081</v>
      </c>
      <c r="N64">
        <v>89</v>
      </c>
    </row>
    <row r="65" spans="1:14" x14ac:dyDescent="0.35">
      <c r="A65" t="s">
        <v>85</v>
      </c>
      <c r="B65" t="s">
        <v>15</v>
      </c>
      <c r="C65" t="s">
        <v>16</v>
      </c>
      <c r="D65">
        <v>4</v>
      </c>
      <c r="E65" t="s">
        <v>60</v>
      </c>
      <c r="F65">
        <v>5419</v>
      </c>
      <c r="G65" t="s">
        <v>18</v>
      </c>
      <c r="H65">
        <v>27</v>
      </c>
      <c r="I65" t="s">
        <v>19</v>
      </c>
      <c r="J65">
        <v>2012</v>
      </c>
      <c r="K65">
        <v>2012</v>
      </c>
      <c r="L65" t="s">
        <v>20</v>
      </c>
      <c r="M65">
        <v>16667</v>
      </c>
      <c r="N65">
        <v>89</v>
      </c>
    </row>
    <row r="66" spans="1:14" x14ac:dyDescent="0.35">
      <c r="A66" t="s">
        <v>86</v>
      </c>
      <c r="B66" t="s">
        <v>15</v>
      </c>
      <c r="C66" t="s">
        <v>16</v>
      </c>
      <c r="D66">
        <v>4</v>
      </c>
      <c r="E66" t="s">
        <v>60</v>
      </c>
      <c r="F66">
        <v>5419</v>
      </c>
      <c r="G66" t="s">
        <v>18</v>
      </c>
      <c r="H66">
        <v>27</v>
      </c>
      <c r="I66" t="s">
        <v>19</v>
      </c>
      <c r="J66">
        <v>2013</v>
      </c>
      <c r="K66">
        <v>2013</v>
      </c>
      <c r="L66" t="s">
        <v>20</v>
      </c>
      <c r="M66">
        <v>17778</v>
      </c>
      <c r="N66">
        <v>89</v>
      </c>
    </row>
    <row r="67" spans="1:14" x14ac:dyDescent="0.35">
      <c r="A67" t="s">
        <v>87</v>
      </c>
      <c r="B67" t="s">
        <v>15</v>
      </c>
      <c r="C67" t="s">
        <v>16</v>
      </c>
      <c r="D67">
        <v>4</v>
      </c>
      <c r="E67" t="s">
        <v>60</v>
      </c>
      <c r="F67">
        <v>5419</v>
      </c>
      <c r="G67" t="s">
        <v>18</v>
      </c>
      <c r="H67">
        <v>27</v>
      </c>
      <c r="I67" t="s">
        <v>19</v>
      </c>
      <c r="J67">
        <v>2014</v>
      </c>
      <c r="K67">
        <v>2014</v>
      </c>
      <c r="L67" t="s">
        <v>20</v>
      </c>
      <c r="M67">
        <v>17778</v>
      </c>
      <c r="N67">
        <v>89</v>
      </c>
    </row>
    <row r="68" spans="1:14" x14ac:dyDescent="0.35">
      <c r="A68" t="s">
        <v>88</v>
      </c>
      <c r="B68" t="s">
        <v>15</v>
      </c>
      <c r="C68" t="s">
        <v>16</v>
      </c>
      <c r="D68">
        <v>4</v>
      </c>
      <c r="E68" t="s">
        <v>60</v>
      </c>
      <c r="F68">
        <v>5419</v>
      </c>
      <c r="G68" t="s">
        <v>18</v>
      </c>
      <c r="H68">
        <v>27</v>
      </c>
      <c r="I68" t="s">
        <v>19</v>
      </c>
      <c r="J68">
        <v>2015</v>
      </c>
      <c r="K68">
        <v>2015</v>
      </c>
      <c r="L68" t="s">
        <v>20</v>
      </c>
      <c r="M68">
        <v>17579</v>
      </c>
      <c r="N68">
        <v>89</v>
      </c>
    </row>
    <row r="69" spans="1:14" x14ac:dyDescent="0.35">
      <c r="A69" t="s">
        <v>89</v>
      </c>
      <c r="B69" t="s">
        <v>15</v>
      </c>
      <c r="C69" t="s">
        <v>16</v>
      </c>
      <c r="D69">
        <v>4</v>
      </c>
      <c r="E69" t="s">
        <v>60</v>
      </c>
      <c r="F69">
        <v>5419</v>
      </c>
      <c r="G69" t="s">
        <v>18</v>
      </c>
      <c r="H69">
        <v>27</v>
      </c>
      <c r="I69" t="s">
        <v>19</v>
      </c>
      <c r="J69">
        <v>2016</v>
      </c>
      <c r="K69">
        <v>2016</v>
      </c>
      <c r="L69" t="s">
        <v>20</v>
      </c>
      <c r="M69">
        <v>17502</v>
      </c>
      <c r="N69">
        <v>89</v>
      </c>
    </row>
    <row r="70" spans="1:14" x14ac:dyDescent="0.35">
      <c r="A70" t="s">
        <v>90</v>
      </c>
      <c r="B70" t="s">
        <v>15</v>
      </c>
      <c r="C70" t="s">
        <v>16</v>
      </c>
      <c r="D70">
        <v>7</v>
      </c>
      <c r="E70" t="s">
        <v>91</v>
      </c>
      <c r="F70">
        <v>5419</v>
      </c>
      <c r="G70" t="s">
        <v>18</v>
      </c>
      <c r="H70">
        <v>27</v>
      </c>
      <c r="I70" t="s">
        <v>19</v>
      </c>
      <c r="J70">
        <v>1985</v>
      </c>
      <c r="K70">
        <v>1985</v>
      </c>
      <c r="L70" t="s">
        <v>20</v>
      </c>
      <c r="M70">
        <v>8333</v>
      </c>
      <c r="N70">
        <v>1010</v>
      </c>
    </row>
    <row r="71" spans="1:14" x14ac:dyDescent="0.35">
      <c r="A71" t="s">
        <v>92</v>
      </c>
      <c r="B71" t="s">
        <v>15</v>
      </c>
      <c r="C71" t="s">
        <v>16</v>
      </c>
      <c r="D71">
        <v>7</v>
      </c>
      <c r="E71" t="s">
        <v>91</v>
      </c>
      <c r="F71">
        <v>5419</v>
      </c>
      <c r="G71" t="s">
        <v>18</v>
      </c>
      <c r="H71">
        <v>27</v>
      </c>
      <c r="I71" t="s">
        <v>19</v>
      </c>
      <c r="J71">
        <v>1986</v>
      </c>
      <c r="K71">
        <v>1986</v>
      </c>
      <c r="L71" t="s">
        <v>20</v>
      </c>
      <c r="M71">
        <v>8333</v>
      </c>
      <c r="N71">
        <v>1010</v>
      </c>
    </row>
    <row r="72" spans="1:14" x14ac:dyDescent="0.35">
      <c r="A72" t="s">
        <v>93</v>
      </c>
      <c r="B72" t="s">
        <v>15</v>
      </c>
      <c r="C72" t="s">
        <v>16</v>
      </c>
      <c r="D72">
        <v>7</v>
      </c>
      <c r="E72" t="s">
        <v>91</v>
      </c>
      <c r="F72">
        <v>5419</v>
      </c>
      <c r="G72" t="s">
        <v>18</v>
      </c>
      <c r="H72">
        <v>27</v>
      </c>
      <c r="I72" t="s">
        <v>19</v>
      </c>
      <c r="J72">
        <v>1987</v>
      </c>
      <c r="K72">
        <v>1987</v>
      </c>
      <c r="L72" t="s">
        <v>20</v>
      </c>
      <c r="M72">
        <v>6667</v>
      </c>
      <c r="N72">
        <v>1010</v>
      </c>
    </row>
    <row r="73" spans="1:14" x14ac:dyDescent="0.35">
      <c r="A73" t="s">
        <v>94</v>
      </c>
      <c r="B73" t="s">
        <v>15</v>
      </c>
      <c r="C73" t="s">
        <v>16</v>
      </c>
      <c r="D73">
        <v>7</v>
      </c>
      <c r="E73" t="s">
        <v>91</v>
      </c>
      <c r="F73">
        <v>5419</v>
      </c>
      <c r="G73" t="s">
        <v>18</v>
      </c>
      <c r="H73">
        <v>27</v>
      </c>
      <c r="I73" t="s">
        <v>19</v>
      </c>
      <c r="J73">
        <v>1989</v>
      </c>
      <c r="K73">
        <v>1989</v>
      </c>
      <c r="L73" t="s">
        <v>20</v>
      </c>
      <c r="M73">
        <v>7500</v>
      </c>
      <c r="N73">
        <v>1010</v>
      </c>
    </row>
    <row r="74" spans="1:14" x14ac:dyDescent="0.35">
      <c r="A74" t="s">
        <v>95</v>
      </c>
      <c r="B74" t="s">
        <v>15</v>
      </c>
      <c r="C74" t="s">
        <v>16</v>
      </c>
      <c r="D74">
        <v>7</v>
      </c>
      <c r="E74" t="s">
        <v>91</v>
      </c>
      <c r="F74">
        <v>5419</v>
      </c>
      <c r="G74" t="s">
        <v>18</v>
      </c>
      <c r="H74">
        <v>27</v>
      </c>
      <c r="I74" t="s">
        <v>19</v>
      </c>
      <c r="J74">
        <v>1990</v>
      </c>
      <c r="K74">
        <v>1990</v>
      </c>
      <c r="L74" t="s">
        <v>20</v>
      </c>
      <c r="M74">
        <v>9512</v>
      </c>
      <c r="N74">
        <v>1010</v>
      </c>
    </row>
    <row r="75" spans="1:14" x14ac:dyDescent="0.35">
      <c r="A75" t="s">
        <v>96</v>
      </c>
      <c r="B75" t="s">
        <v>15</v>
      </c>
      <c r="C75" t="s">
        <v>16</v>
      </c>
      <c r="D75">
        <v>7</v>
      </c>
      <c r="E75" t="s">
        <v>91</v>
      </c>
      <c r="F75">
        <v>5419</v>
      </c>
      <c r="G75" t="s">
        <v>18</v>
      </c>
      <c r="H75">
        <v>27</v>
      </c>
      <c r="I75" t="s">
        <v>19</v>
      </c>
      <c r="J75">
        <v>1991</v>
      </c>
      <c r="K75">
        <v>1991</v>
      </c>
      <c r="L75" t="s">
        <v>20</v>
      </c>
      <c r="M75">
        <v>10000</v>
      </c>
      <c r="N75">
        <v>1010</v>
      </c>
    </row>
    <row r="76" spans="1:14" x14ac:dyDescent="0.35">
      <c r="A76" t="s">
        <v>97</v>
      </c>
      <c r="B76" t="s">
        <v>15</v>
      </c>
      <c r="C76" t="s">
        <v>16</v>
      </c>
      <c r="D76">
        <v>7</v>
      </c>
      <c r="E76" t="s">
        <v>91</v>
      </c>
      <c r="F76">
        <v>5419</v>
      </c>
      <c r="G76" t="s">
        <v>18</v>
      </c>
      <c r="H76">
        <v>27</v>
      </c>
      <c r="I76" t="s">
        <v>19</v>
      </c>
      <c r="J76">
        <v>1992</v>
      </c>
      <c r="K76">
        <v>1992</v>
      </c>
      <c r="L76" t="s">
        <v>20</v>
      </c>
      <c r="M76">
        <v>9106</v>
      </c>
      <c r="N76">
        <v>1010</v>
      </c>
    </row>
    <row r="77" spans="1:14" x14ac:dyDescent="0.35">
      <c r="A77" t="s">
        <v>98</v>
      </c>
      <c r="B77" t="s">
        <v>15</v>
      </c>
      <c r="C77" t="s">
        <v>16</v>
      </c>
      <c r="D77">
        <v>7</v>
      </c>
      <c r="E77" t="s">
        <v>91</v>
      </c>
      <c r="F77">
        <v>5419</v>
      </c>
      <c r="G77" t="s">
        <v>18</v>
      </c>
      <c r="H77">
        <v>27</v>
      </c>
      <c r="I77" t="s">
        <v>19</v>
      </c>
      <c r="J77">
        <v>1993</v>
      </c>
      <c r="K77">
        <v>1993</v>
      </c>
      <c r="L77" t="s">
        <v>20</v>
      </c>
      <c r="M77">
        <v>8000</v>
      </c>
      <c r="N77">
        <v>1010</v>
      </c>
    </row>
    <row r="78" spans="1:14" x14ac:dyDescent="0.35">
      <c r="A78" t="s">
        <v>99</v>
      </c>
      <c r="B78" t="s">
        <v>15</v>
      </c>
      <c r="C78" t="s">
        <v>16</v>
      </c>
      <c r="D78">
        <v>7</v>
      </c>
      <c r="E78" t="s">
        <v>91</v>
      </c>
      <c r="F78">
        <v>5419</v>
      </c>
      <c r="G78" t="s">
        <v>18</v>
      </c>
      <c r="H78">
        <v>27</v>
      </c>
      <c r="I78" t="s">
        <v>19</v>
      </c>
      <c r="J78">
        <v>1994</v>
      </c>
      <c r="K78">
        <v>1994</v>
      </c>
      <c r="L78" t="s">
        <v>20</v>
      </c>
      <c r="M78">
        <v>8750</v>
      </c>
      <c r="N78">
        <v>1010</v>
      </c>
    </row>
    <row r="79" spans="1:14" x14ac:dyDescent="0.35">
      <c r="A79" t="s">
        <v>100</v>
      </c>
      <c r="B79" t="s">
        <v>15</v>
      </c>
      <c r="C79" t="s">
        <v>16</v>
      </c>
      <c r="D79">
        <v>7</v>
      </c>
      <c r="E79" t="s">
        <v>91</v>
      </c>
      <c r="F79">
        <v>5419</v>
      </c>
      <c r="G79" t="s">
        <v>18</v>
      </c>
      <c r="H79">
        <v>27</v>
      </c>
      <c r="I79" t="s">
        <v>19</v>
      </c>
      <c r="J79">
        <v>1995</v>
      </c>
      <c r="K79">
        <v>1995</v>
      </c>
      <c r="L79" t="s">
        <v>20</v>
      </c>
      <c r="M79">
        <v>14615</v>
      </c>
      <c r="N79">
        <v>1010</v>
      </c>
    </row>
    <row r="80" spans="1:14" x14ac:dyDescent="0.35">
      <c r="A80" t="s">
        <v>101</v>
      </c>
      <c r="B80" t="s">
        <v>15</v>
      </c>
      <c r="C80" t="s">
        <v>16</v>
      </c>
      <c r="D80">
        <v>7</v>
      </c>
      <c r="E80" t="s">
        <v>91</v>
      </c>
      <c r="F80">
        <v>5419</v>
      </c>
      <c r="G80" t="s">
        <v>18</v>
      </c>
      <c r="H80">
        <v>27</v>
      </c>
      <c r="I80" t="s">
        <v>19</v>
      </c>
      <c r="J80">
        <v>1996</v>
      </c>
      <c r="K80">
        <v>1996</v>
      </c>
      <c r="L80" t="s">
        <v>20</v>
      </c>
      <c r="M80">
        <v>17500</v>
      </c>
      <c r="N80">
        <v>1010</v>
      </c>
    </row>
    <row r="81" spans="1:14" x14ac:dyDescent="0.35">
      <c r="A81" t="s">
        <v>102</v>
      </c>
      <c r="B81" t="s">
        <v>15</v>
      </c>
      <c r="C81" t="s">
        <v>16</v>
      </c>
      <c r="D81">
        <v>7</v>
      </c>
      <c r="E81" t="s">
        <v>91</v>
      </c>
      <c r="F81">
        <v>5419</v>
      </c>
      <c r="G81" t="s">
        <v>18</v>
      </c>
      <c r="H81">
        <v>27</v>
      </c>
      <c r="I81" t="s">
        <v>19</v>
      </c>
      <c r="J81">
        <v>1997</v>
      </c>
      <c r="K81">
        <v>1997</v>
      </c>
      <c r="L81" t="s">
        <v>20</v>
      </c>
      <c r="M81">
        <v>20000</v>
      </c>
      <c r="N81">
        <v>1010</v>
      </c>
    </row>
    <row r="82" spans="1:14" x14ac:dyDescent="0.35">
      <c r="A82" t="s">
        <v>103</v>
      </c>
      <c r="B82" t="s">
        <v>15</v>
      </c>
      <c r="C82" t="s">
        <v>16</v>
      </c>
      <c r="D82">
        <v>7</v>
      </c>
      <c r="E82" t="s">
        <v>91</v>
      </c>
      <c r="F82">
        <v>5419</v>
      </c>
      <c r="G82" t="s">
        <v>18</v>
      </c>
      <c r="H82">
        <v>27</v>
      </c>
      <c r="I82" t="s">
        <v>19</v>
      </c>
      <c r="J82">
        <v>1998</v>
      </c>
      <c r="K82">
        <v>1998</v>
      </c>
      <c r="L82" t="s">
        <v>20</v>
      </c>
      <c r="M82">
        <v>20000</v>
      </c>
      <c r="N82">
        <v>1010</v>
      </c>
    </row>
    <row r="83" spans="1:14" x14ac:dyDescent="0.35">
      <c r="A83" t="s">
        <v>104</v>
      </c>
      <c r="B83" t="s">
        <v>15</v>
      </c>
      <c r="C83" t="s">
        <v>16</v>
      </c>
      <c r="D83">
        <v>7</v>
      </c>
      <c r="E83" t="s">
        <v>91</v>
      </c>
      <c r="F83">
        <v>5419</v>
      </c>
      <c r="G83" t="s">
        <v>18</v>
      </c>
      <c r="H83">
        <v>27</v>
      </c>
      <c r="I83" t="s">
        <v>19</v>
      </c>
      <c r="J83">
        <v>1999</v>
      </c>
      <c r="K83">
        <v>1999</v>
      </c>
      <c r="L83" t="s">
        <v>20</v>
      </c>
      <c r="M83">
        <v>14235</v>
      </c>
      <c r="N83">
        <v>1010</v>
      </c>
    </row>
    <row r="84" spans="1:14" x14ac:dyDescent="0.35">
      <c r="A84" t="s">
        <v>105</v>
      </c>
      <c r="B84" t="s">
        <v>15</v>
      </c>
      <c r="C84" t="s">
        <v>16</v>
      </c>
      <c r="D84">
        <v>7</v>
      </c>
      <c r="E84" t="s">
        <v>91</v>
      </c>
      <c r="F84">
        <v>5419</v>
      </c>
      <c r="G84" t="s">
        <v>18</v>
      </c>
      <c r="H84">
        <v>27</v>
      </c>
      <c r="I84" t="s">
        <v>19</v>
      </c>
      <c r="J84">
        <v>2000</v>
      </c>
      <c r="K84">
        <v>2000</v>
      </c>
      <c r="L84" t="s">
        <v>20</v>
      </c>
      <c r="M84">
        <v>13454</v>
      </c>
      <c r="N84">
        <v>1010</v>
      </c>
    </row>
    <row r="85" spans="1:14" x14ac:dyDescent="0.35">
      <c r="A85" t="s">
        <v>106</v>
      </c>
      <c r="B85" t="s">
        <v>15</v>
      </c>
      <c r="C85" t="s">
        <v>16</v>
      </c>
      <c r="D85">
        <v>7</v>
      </c>
      <c r="E85" t="s">
        <v>91</v>
      </c>
      <c r="F85">
        <v>5419</v>
      </c>
      <c r="G85" t="s">
        <v>18</v>
      </c>
      <c r="H85">
        <v>27</v>
      </c>
      <c r="I85" t="s">
        <v>19</v>
      </c>
      <c r="J85">
        <v>2001</v>
      </c>
      <c r="K85">
        <v>2001</v>
      </c>
      <c r="L85" t="s">
        <v>20</v>
      </c>
      <c r="M85">
        <v>13701</v>
      </c>
      <c r="N85">
        <v>1010</v>
      </c>
    </row>
    <row r="86" spans="1:14" x14ac:dyDescent="0.35">
      <c r="A86" t="s">
        <v>107</v>
      </c>
      <c r="B86" t="s">
        <v>15</v>
      </c>
      <c r="C86" t="s">
        <v>16</v>
      </c>
      <c r="D86">
        <v>7</v>
      </c>
      <c r="E86" t="s">
        <v>91</v>
      </c>
      <c r="F86">
        <v>5419</v>
      </c>
      <c r="G86" t="s">
        <v>18</v>
      </c>
      <c r="H86">
        <v>27</v>
      </c>
      <c r="I86" t="s">
        <v>19</v>
      </c>
      <c r="J86">
        <v>2002</v>
      </c>
      <c r="K86">
        <v>2002</v>
      </c>
      <c r="L86" t="s">
        <v>20</v>
      </c>
      <c r="M86">
        <v>13198</v>
      </c>
      <c r="N86">
        <v>1010</v>
      </c>
    </row>
    <row r="87" spans="1:14" x14ac:dyDescent="0.35">
      <c r="A87" t="s">
        <v>108</v>
      </c>
      <c r="B87" t="s">
        <v>15</v>
      </c>
      <c r="C87" t="s">
        <v>16</v>
      </c>
      <c r="D87">
        <v>7</v>
      </c>
      <c r="E87" t="s">
        <v>91</v>
      </c>
      <c r="F87">
        <v>5419</v>
      </c>
      <c r="G87" t="s">
        <v>18</v>
      </c>
      <c r="H87">
        <v>27</v>
      </c>
      <c r="I87" t="s">
        <v>19</v>
      </c>
      <c r="J87">
        <v>2004</v>
      </c>
      <c r="K87">
        <v>2004</v>
      </c>
      <c r="L87" t="s">
        <v>20</v>
      </c>
      <c r="M87">
        <v>11584</v>
      </c>
      <c r="N87">
        <v>1010</v>
      </c>
    </row>
    <row r="88" spans="1:14" x14ac:dyDescent="0.35">
      <c r="A88" t="s">
        <v>109</v>
      </c>
      <c r="B88" t="s">
        <v>15</v>
      </c>
      <c r="C88" t="s">
        <v>16</v>
      </c>
      <c r="D88">
        <v>7</v>
      </c>
      <c r="E88" t="s">
        <v>91</v>
      </c>
      <c r="F88">
        <v>5419</v>
      </c>
      <c r="G88" t="s">
        <v>18</v>
      </c>
      <c r="H88">
        <v>27</v>
      </c>
      <c r="I88" t="s">
        <v>19</v>
      </c>
      <c r="J88">
        <v>2005</v>
      </c>
      <c r="K88">
        <v>2005</v>
      </c>
      <c r="L88" t="s">
        <v>20</v>
      </c>
      <c r="M88">
        <v>6977</v>
      </c>
      <c r="N88">
        <v>1010</v>
      </c>
    </row>
    <row r="89" spans="1:14" x14ac:dyDescent="0.35">
      <c r="A89" t="s">
        <v>110</v>
      </c>
      <c r="B89" t="s">
        <v>15</v>
      </c>
      <c r="C89" t="s">
        <v>16</v>
      </c>
      <c r="D89">
        <v>7</v>
      </c>
      <c r="E89" t="s">
        <v>91</v>
      </c>
      <c r="F89">
        <v>5419</v>
      </c>
      <c r="G89" t="s">
        <v>18</v>
      </c>
      <c r="H89">
        <v>27</v>
      </c>
      <c r="I89" t="s">
        <v>19</v>
      </c>
      <c r="J89">
        <v>2006</v>
      </c>
      <c r="K89">
        <v>2006</v>
      </c>
      <c r="L89" t="s">
        <v>20</v>
      </c>
      <c r="M89">
        <v>4947</v>
      </c>
      <c r="N89">
        <v>1010</v>
      </c>
    </row>
    <row r="90" spans="1:14" x14ac:dyDescent="0.35">
      <c r="A90" t="s">
        <v>111</v>
      </c>
      <c r="B90" t="s">
        <v>15</v>
      </c>
      <c r="C90" t="s">
        <v>16</v>
      </c>
      <c r="D90">
        <v>7</v>
      </c>
      <c r="E90" t="s">
        <v>91</v>
      </c>
      <c r="F90">
        <v>5419</v>
      </c>
      <c r="G90" t="s">
        <v>18</v>
      </c>
      <c r="H90">
        <v>27</v>
      </c>
      <c r="I90" t="s">
        <v>19</v>
      </c>
      <c r="J90">
        <v>2007</v>
      </c>
      <c r="K90">
        <v>2007</v>
      </c>
      <c r="L90" t="s">
        <v>20</v>
      </c>
      <c r="M90">
        <v>5143</v>
      </c>
      <c r="N90">
        <v>1010</v>
      </c>
    </row>
    <row r="91" spans="1:14" x14ac:dyDescent="0.35">
      <c r="A91" t="s">
        <v>112</v>
      </c>
      <c r="B91" t="s">
        <v>15</v>
      </c>
      <c r="C91" t="s">
        <v>16</v>
      </c>
      <c r="D91">
        <v>7</v>
      </c>
      <c r="E91" t="s">
        <v>91</v>
      </c>
      <c r="F91">
        <v>5419</v>
      </c>
      <c r="G91" t="s">
        <v>18</v>
      </c>
      <c r="H91">
        <v>27</v>
      </c>
      <c r="I91" t="s">
        <v>19</v>
      </c>
      <c r="J91">
        <v>2008</v>
      </c>
      <c r="K91">
        <v>2008</v>
      </c>
      <c r="L91" t="s">
        <v>20</v>
      </c>
      <c r="M91">
        <v>5084</v>
      </c>
      <c r="N91">
        <v>1010</v>
      </c>
    </row>
    <row r="92" spans="1:14" x14ac:dyDescent="0.35">
      <c r="A92" t="s">
        <v>113</v>
      </c>
      <c r="B92" t="s">
        <v>15</v>
      </c>
      <c r="C92" t="s">
        <v>16</v>
      </c>
      <c r="D92">
        <v>7</v>
      </c>
      <c r="E92" t="s">
        <v>91</v>
      </c>
      <c r="F92">
        <v>5419</v>
      </c>
      <c r="G92" t="s">
        <v>18</v>
      </c>
      <c r="H92">
        <v>27</v>
      </c>
      <c r="I92" t="s">
        <v>19</v>
      </c>
      <c r="J92">
        <v>2009</v>
      </c>
      <c r="K92">
        <v>2009</v>
      </c>
      <c r="L92" t="s">
        <v>20</v>
      </c>
      <c r="M92">
        <v>6028</v>
      </c>
      <c r="N92">
        <v>1010</v>
      </c>
    </row>
    <row r="93" spans="1:14" x14ac:dyDescent="0.35">
      <c r="A93" t="s">
        <v>114</v>
      </c>
      <c r="B93" t="s">
        <v>15</v>
      </c>
      <c r="C93" t="s">
        <v>16</v>
      </c>
      <c r="D93">
        <v>7</v>
      </c>
      <c r="E93" t="s">
        <v>91</v>
      </c>
      <c r="F93">
        <v>5419</v>
      </c>
      <c r="G93" t="s">
        <v>18</v>
      </c>
      <c r="H93">
        <v>27</v>
      </c>
      <c r="I93" t="s">
        <v>19</v>
      </c>
      <c r="J93">
        <v>2010</v>
      </c>
      <c r="K93">
        <v>2010</v>
      </c>
      <c r="L93" t="s">
        <v>20</v>
      </c>
      <c r="M93">
        <v>7403</v>
      </c>
      <c r="N93">
        <v>1010</v>
      </c>
    </row>
    <row r="94" spans="1:14" x14ac:dyDescent="0.35">
      <c r="A94" t="s">
        <v>115</v>
      </c>
      <c r="B94" t="s">
        <v>15</v>
      </c>
      <c r="C94" t="s">
        <v>16</v>
      </c>
      <c r="D94">
        <v>7</v>
      </c>
      <c r="E94" t="s">
        <v>91</v>
      </c>
      <c r="F94">
        <v>5419</v>
      </c>
      <c r="G94" t="s">
        <v>18</v>
      </c>
      <c r="H94">
        <v>27</v>
      </c>
      <c r="I94" t="s">
        <v>19</v>
      </c>
      <c r="J94">
        <v>2011</v>
      </c>
      <c r="K94">
        <v>2011</v>
      </c>
      <c r="L94" t="s">
        <v>20</v>
      </c>
      <c r="M94">
        <v>8914</v>
      </c>
      <c r="N94">
        <v>1010</v>
      </c>
    </row>
    <row r="95" spans="1:14" x14ac:dyDescent="0.35">
      <c r="A95" t="s">
        <v>116</v>
      </c>
      <c r="B95" t="s">
        <v>15</v>
      </c>
      <c r="C95" t="s">
        <v>16</v>
      </c>
      <c r="D95">
        <v>7</v>
      </c>
      <c r="E95" t="s">
        <v>91</v>
      </c>
      <c r="F95">
        <v>5419</v>
      </c>
      <c r="G95" t="s">
        <v>18</v>
      </c>
      <c r="H95">
        <v>27</v>
      </c>
      <c r="I95" t="s">
        <v>19</v>
      </c>
      <c r="J95">
        <v>2012</v>
      </c>
      <c r="K95">
        <v>2012</v>
      </c>
      <c r="L95" t="s">
        <v>20</v>
      </c>
      <c r="M95">
        <v>7703</v>
      </c>
      <c r="N95">
        <v>1010</v>
      </c>
    </row>
    <row r="96" spans="1:14" x14ac:dyDescent="0.35">
      <c r="A96" t="s">
        <v>117</v>
      </c>
      <c r="B96" t="s">
        <v>15</v>
      </c>
      <c r="C96" t="s">
        <v>16</v>
      </c>
      <c r="D96">
        <v>7</v>
      </c>
      <c r="E96" t="s">
        <v>91</v>
      </c>
      <c r="F96">
        <v>5419</v>
      </c>
      <c r="G96" t="s">
        <v>18</v>
      </c>
      <c r="H96">
        <v>27</v>
      </c>
      <c r="I96" t="s">
        <v>19</v>
      </c>
      <c r="J96">
        <v>2013</v>
      </c>
      <c r="K96">
        <v>2013</v>
      </c>
      <c r="L96" t="s">
        <v>20</v>
      </c>
      <c r="M96">
        <v>12744</v>
      </c>
      <c r="N96">
        <v>1010</v>
      </c>
    </row>
    <row r="97" spans="1:14" x14ac:dyDescent="0.35">
      <c r="A97" t="s">
        <v>118</v>
      </c>
      <c r="B97" t="s">
        <v>15</v>
      </c>
      <c r="C97" t="s">
        <v>16</v>
      </c>
      <c r="D97">
        <v>7</v>
      </c>
      <c r="E97" t="s">
        <v>91</v>
      </c>
      <c r="F97">
        <v>5419</v>
      </c>
      <c r="G97" t="s">
        <v>18</v>
      </c>
      <c r="H97">
        <v>27</v>
      </c>
      <c r="I97" t="s">
        <v>19</v>
      </c>
      <c r="J97">
        <v>2014</v>
      </c>
      <c r="K97">
        <v>2014</v>
      </c>
      <c r="L97" t="s">
        <v>20</v>
      </c>
      <c r="M97">
        <v>14064</v>
      </c>
      <c r="N97">
        <v>1010</v>
      </c>
    </row>
    <row r="98" spans="1:14" x14ac:dyDescent="0.35">
      <c r="A98" t="s">
        <v>119</v>
      </c>
      <c r="B98" t="s">
        <v>15</v>
      </c>
      <c r="C98" t="s">
        <v>16</v>
      </c>
      <c r="D98">
        <v>7</v>
      </c>
      <c r="E98" t="s">
        <v>91</v>
      </c>
      <c r="F98">
        <v>5419</v>
      </c>
      <c r="G98" t="s">
        <v>18</v>
      </c>
      <c r="H98">
        <v>27</v>
      </c>
      <c r="I98" t="s">
        <v>19</v>
      </c>
      <c r="J98">
        <v>2015</v>
      </c>
      <c r="K98">
        <v>2015</v>
      </c>
      <c r="L98" t="s">
        <v>20</v>
      </c>
      <c r="M98">
        <v>15068</v>
      </c>
      <c r="N98">
        <v>1010</v>
      </c>
    </row>
    <row r="99" spans="1:14" x14ac:dyDescent="0.35">
      <c r="A99" t="s">
        <v>120</v>
      </c>
      <c r="B99" t="s">
        <v>15</v>
      </c>
      <c r="C99" t="s">
        <v>16</v>
      </c>
      <c r="D99">
        <v>7</v>
      </c>
      <c r="E99" t="s">
        <v>91</v>
      </c>
      <c r="F99">
        <v>5419</v>
      </c>
      <c r="G99" t="s">
        <v>18</v>
      </c>
      <c r="H99">
        <v>27</v>
      </c>
      <c r="I99" t="s">
        <v>19</v>
      </c>
      <c r="J99">
        <v>2016</v>
      </c>
      <c r="K99">
        <v>2016</v>
      </c>
      <c r="L99" t="s">
        <v>20</v>
      </c>
      <c r="M99">
        <v>15477</v>
      </c>
      <c r="N99">
        <v>1010</v>
      </c>
    </row>
    <row r="100" spans="1:14" x14ac:dyDescent="0.35">
      <c r="A100" t="s">
        <v>121</v>
      </c>
      <c r="B100" t="s">
        <v>15</v>
      </c>
      <c r="C100" t="s">
        <v>16</v>
      </c>
      <c r="D100">
        <v>9</v>
      </c>
      <c r="E100" t="s">
        <v>122</v>
      </c>
      <c r="F100">
        <v>5419</v>
      </c>
      <c r="G100" t="s">
        <v>18</v>
      </c>
      <c r="H100">
        <v>27</v>
      </c>
      <c r="I100" t="s">
        <v>19</v>
      </c>
      <c r="J100">
        <v>1985</v>
      </c>
      <c r="K100">
        <v>1985</v>
      </c>
      <c r="L100" t="s">
        <v>20</v>
      </c>
      <c r="M100">
        <v>36782</v>
      </c>
      <c r="N100">
        <v>591</v>
      </c>
    </row>
    <row r="101" spans="1:14" x14ac:dyDescent="0.35">
      <c r="A101" t="s">
        <v>123</v>
      </c>
      <c r="B101" t="s">
        <v>15</v>
      </c>
      <c r="C101" t="s">
        <v>16</v>
      </c>
      <c r="D101">
        <v>9</v>
      </c>
      <c r="E101" t="s">
        <v>122</v>
      </c>
      <c r="F101">
        <v>5419</v>
      </c>
      <c r="G101" t="s">
        <v>18</v>
      </c>
      <c r="H101">
        <v>27</v>
      </c>
      <c r="I101" t="s">
        <v>19</v>
      </c>
      <c r="J101">
        <v>1986</v>
      </c>
      <c r="K101">
        <v>1986</v>
      </c>
      <c r="L101" t="s">
        <v>20</v>
      </c>
      <c r="M101">
        <v>38849</v>
      </c>
      <c r="N101">
        <v>591</v>
      </c>
    </row>
    <row r="102" spans="1:14" x14ac:dyDescent="0.35">
      <c r="A102" t="s">
        <v>124</v>
      </c>
      <c r="B102" t="s">
        <v>15</v>
      </c>
      <c r="C102" t="s">
        <v>16</v>
      </c>
      <c r="D102">
        <v>9</v>
      </c>
      <c r="E102" t="s">
        <v>122</v>
      </c>
      <c r="F102">
        <v>5419</v>
      </c>
      <c r="G102" t="s">
        <v>18</v>
      </c>
      <c r="H102">
        <v>27</v>
      </c>
      <c r="I102" t="s">
        <v>19</v>
      </c>
      <c r="J102">
        <v>1987</v>
      </c>
      <c r="K102">
        <v>1987</v>
      </c>
      <c r="L102" t="s">
        <v>20</v>
      </c>
      <c r="M102">
        <v>39185</v>
      </c>
      <c r="N102">
        <v>591</v>
      </c>
    </row>
    <row r="103" spans="1:14" x14ac:dyDescent="0.35">
      <c r="A103" t="s">
        <v>125</v>
      </c>
      <c r="B103" t="s">
        <v>15</v>
      </c>
      <c r="C103" t="s">
        <v>16</v>
      </c>
      <c r="D103">
        <v>9</v>
      </c>
      <c r="E103" t="s">
        <v>122</v>
      </c>
      <c r="F103">
        <v>5419</v>
      </c>
      <c r="G103" t="s">
        <v>18</v>
      </c>
      <c r="H103">
        <v>27</v>
      </c>
      <c r="I103" t="s">
        <v>19</v>
      </c>
      <c r="J103">
        <v>1989</v>
      </c>
      <c r="K103">
        <v>1989</v>
      </c>
      <c r="L103" t="s">
        <v>20</v>
      </c>
      <c r="M103">
        <v>46711</v>
      </c>
      <c r="N103">
        <v>591</v>
      </c>
    </row>
    <row r="104" spans="1:14" x14ac:dyDescent="0.35">
      <c r="A104" t="s">
        <v>126</v>
      </c>
      <c r="B104" t="s">
        <v>15</v>
      </c>
      <c r="C104" t="s">
        <v>16</v>
      </c>
      <c r="D104">
        <v>9</v>
      </c>
      <c r="E104" t="s">
        <v>122</v>
      </c>
      <c r="F104">
        <v>5419</v>
      </c>
      <c r="G104" t="s">
        <v>18</v>
      </c>
      <c r="H104">
        <v>27</v>
      </c>
      <c r="I104" t="s">
        <v>19</v>
      </c>
      <c r="J104">
        <v>1990</v>
      </c>
      <c r="K104">
        <v>1990</v>
      </c>
      <c r="L104" t="s">
        <v>20</v>
      </c>
      <c r="M104">
        <v>36709</v>
      </c>
      <c r="N104">
        <v>591</v>
      </c>
    </row>
    <row r="105" spans="1:14" x14ac:dyDescent="0.35">
      <c r="A105" t="s">
        <v>127</v>
      </c>
      <c r="B105" t="s">
        <v>15</v>
      </c>
      <c r="C105" t="s">
        <v>16</v>
      </c>
      <c r="D105">
        <v>9</v>
      </c>
      <c r="E105" t="s">
        <v>122</v>
      </c>
      <c r="F105">
        <v>5419</v>
      </c>
      <c r="G105" t="s">
        <v>18</v>
      </c>
      <c r="H105">
        <v>27</v>
      </c>
      <c r="I105" t="s">
        <v>19</v>
      </c>
      <c r="J105">
        <v>1991</v>
      </c>
      <c r="K105">
        <v>1991</v>
      </c>
      <c r="L105" t="s">
        <v>20</v>
      </c>
      <c r="M105">
        <v>40294</v>
      </c>
      <c r="N105">
        <v>591</v>
      </c>
    </row>
    <row r="106" spans="1:14" x14ac:dyDescent="0.35">
      <c r="A106" t="s">
        <v>128</v>
      </c>
      <c r="B106" t="s">
        <v>15</v>
      </c>
      <c r="C106" t="s">
        <v>16</v>
      </c>
      <c r="D106">
        <v>9</v>
      </c>
      <c r="E106" t="s">
        <v>122</v>
      </c>
      <c r="F106">
        <v>5419</v>
      </c>
      <c r="G106" t="s">
        <v>18</v>
      </c>
      <c r="H106">
        <v>27</v>
      </c>
      <c r="I106" t="s">
        <v>19</v>
      </c>
      <c r="J106">
        <v>1992</v>
      </c>
      <c r="K106">
        <v>1992</v>
      </c>
      <c r="L106" t="s">
        <v>20</v>
      </c>
      <c r="M106">
        <v>52075</v>
      </c>
      <c r="N106">
        <v>591</v>
      </c>
    </row>
    <row r="107" spans="1:14" x14ac:dyDescent="0.35">
      <c r="A107" t="s">
        <v>129</v>
      </c>
      <c r="B107" t="s">
        <v>15</v>
      </c>
      <c r="C107" t="s">
        <v>16</v>
      </c>
      <c r="D107">
        <v>9</v>
      </c>
      <c r="E107" t="s">
        <v>122</v>
      </c>
      <c r="F107">
        <v>5419</v>
      </c>
      <c r="G107" t="s">
        <v>18</v>
      </c>
      <c r="H107">
        <v>27</v>
      </c>
      <c r="I107" t="s">
        <v>19</v>
      </c>
      <c r="J107">
        <v>1993</v>
      </c>
      <c r="K107">
        <v>1993</v>
      </c>
      <c r="L107" t="s">
        <v>20</v>
      </c>
      <c r="M107">
        <v>43559</v>
      </c>
      <c r="N107">
        <v>591</v>
      </c>
    </row>
    <row r="108" spans="1:14" x14ac:dyDescent="0.35">
      <c r="A108" t="s">
        <v>130</v>
      </c>
      <c r="B108" t="s">
        <v>15</v>
      </c>
      <c r="C108" t="s">
        <v>16</v>
      </c>
      <c r="D108">
        <v>9</v>
      </c>
      <c r="E108" t="s">
        <v>122</v>
      </c>
      <c r="F108">
        <v>5419</v>
      </c>
      <c r="G108" t="s">
        <v>18</v>
      </c>
      <c r="H108">
        <v>27</v>
      </c>
      <c r="I108" t="s">
        <v>19</v>
      </c>
      <c r="J108">
        <v>1994</v>
      </c>
      <c r="K108">
        <v>1994</v>
      </c>
      <c r="L108" t="s">
        <v>20</v>
      </c>
      <c r="M108">
        <v>42989</v>
      </c>
      <c r="N108">
        <v>591</v>
      </c>
    </row>
    <row r="109" spans="1:14" x14ac:dyDescent="0.35">
      <c r="A109" t="s">
        <v>131</v>
      </c>
      <c r="B109" t="s">
        <v>15</v>
      </c>
      <c r="C109" t="s">
        <v>16</v>
      </c>
      <c r="D109">
        <v>9</v>
      </c>
      <c r="E109" t="s">
        <v>122</v>
      </c>
      <c r="F109">
        <v>5419</v>
      </c>
      <c r="G109" t="s">
        <v>18</v>
      </c>
      <c r="H109">
        <v>27</v>
      </c>
      <c r="I109" t="s">
        <v>19</v>
      </c>
      <c r="J109">
        <v>1995</v>
      </c>
      <c r="K109">
        <v>1995</v>
      </c>
      <c r="L109" t="s">
        <v>20</v>
      </c>
      <c r="M109">
        <v>50306</v>
      </c>
      <c r="N109">
        <v>591</v>
      </c>
    </row>
    <row r="110" spans="1:14" x14ac:dyDescent="0.35">
      <c r="A110" t="s">
        <v>132</v>
      </c>
      <c r="B110" t="s">
        <v>15</v>
      </c>
      <c r="C110" t="s">
        <v>16</v>
      </c>
      <c r="D110">
        <v>9</v>
      </c>
      <c r="E110" t="s">
        <v>122</v>
      </c>
      <c r="F110">
        <v>5419</v>
      </c>
      <c r="G110" t="s">
        <v>18</v>
      </c>
      <c r="H110">
        <v>27</v>
      </c>
      <c r="I110" t="s">
        <v>19</v>
      </c>
      <c r="J110">
        <v>1996</v>
      </c>
      <c r="K110">
        <v>1996</v>
      </c>
      <c r="L110" t="s">
        <v>20</v>
      </c>
      <c r="M110">
        <v>51031</v>
      </c>
      <c r="N110">
        <v>591</v>
      </c>
    </row>
    <row r="111" spans="1:14" x14ac:dyDescent="0.35">
      <c r="A111" t="s">
        <v>133</v>
      </c>
      <c r="B111" t="s">
        <v>15</v>
      </c>
      <c r="C111" t="s">
        <v>16</v>
      </c>
      <c r="D111">
        <v>9</v>
      </c>
      <c r="E111" t="s">
        <v>122</v>
      </c>
      <c r="F111">
        <v>5419</v>
      </c>
      <c r="G111" t="s">
        <v>18</v>
      </c>
      <c r="H111">
        <v>27</v>
      </c>
      <c r="I111" t="s">
        <v>19</v>
      </c>
      <c r="J111">
        <v>1997</v>
      </c>
      <c r="K111">
        <v>1997</v>
      </c>
      <c r="L111" t="s">
        <v>20</v>
      </c>
      <c r="M111">
        <v>53703</v>
      </c>
      <c r="N111">
        <v>591</v>
      </c>
    </row>
    <row r="112" spans="1:14" x14ac:dyDescent="0.35">
      <c r="A112" t="s">
        <v>134</v>
      </c>
      <c r="B112" t="s">
        <v>15</v>
      </c>
      <c r="C112" t="s">
        <v>16</v>
      </c>
      <c r="D112">
        <v>9</v>
      </c>
      <c r="E112" t="s">
        <v>122</v>
      </c>
      <c r="F112">
        <v>5419</v>
      </c>
      <c r="G112" t="s">
        <v>18</v>
      </c>
      <c r="H112">
        <v>27</v>
      </c>
      <c r="I112" t="s">
        <v>19</v>
      </c>
      <c r="J112">
        <v>1998</v>
      </c>
      <c r="K112">
        <v>1998</v>
      </c>
      <c r="L112" t="s">
        <v>20</v>
      </c>
      <c r="M112">
        <v>47762</v>
      </c>
      <c r="N112">
        <v>591</v>
      </c>
    </row>
    <row r="113" spans="1:14" x14ac:dyDescent="0.35">
      <c r="A113" t="s">
        <v>135</v>
      </c>
      <c r="B113" t="s">
        <v>15</v>
      </c>
      <c r="C113" t="s">
        <v>16</v>
      </c>
      <c r="D113">
        <v>9</v>
      </c>
      <c r="E113" t="s">
        <v>122</v>
      </c>
      <c r="F113">
        <v>5419</v>
      </c>
      <c r="G113" t="s">
        <v>18</v>
      </c>
      <c r="H113">
        <v>27</v>
      </c>
      <c r="I113" t="s">
        <v>19</v>
      </c>
      <c r="J113">
        <v>1999</v>
      </c>
      <c r="K113">
        <v>1999</v>
      </c>
      <c r="L113" t="s">
        <v>20</v>
      </c>
      <c r="M113">
        <v>57337</v>
      </c>
      <c r="N113">
        <v>591</v>
      </c>
    </row>
    <row r="114" spans="1:14" x14ac:dyDescent="0.35">
      <c r="A114" t="s">
        <v>136</v>
      </c>
      <c r="B114" t="s">
        <v>15</v>
      </c>
      <c r="C114" t="s">
        <v>16</v>
      </c>
      <c r="D114">
        <v>9</v>
      </c>
      <c r="E114" t="s">
        <v>122</v>
      </c>
      <c r="F114">
        <v>5419</v>
      </c>
      <c r="G114" t="s">
        <v>18</v>
      </c>
      <c r="H114">
        <v>27</v>
      </c>
      <c r="I114" t="s">
        <v>19</v>
      </c>
      <c r="J114">
        <v>2000</v>
      </c>
      <c r="K114">
        <v>2000</v>
      </c>
      <c r="L114" t="s">
        <v>20</v>
      </c>
      <c r="M114">
        <v>47798</v>
      </c>
      <c r="N114">
        <v>591</v>
      </c>
    </row>
    <row r="115" spans="1:14" x14ac:dyDescent="0.35">
      <c r="A115" t="s">
        <v>137</v>
      </c>
      <c r="B115" t="s">
        <v>15</v>
      </c>
      <c r="C115" t="s">
        <v>16</v>
      </c>
      <c r="D115">
        <v>9</v>
      </c>
      <c r="E115" t="s">
        <v>122</v>
      </c>
      <c r="F115">
        <v>5419</v>
      </c>
      <c r="G115" t="s">
        <v>18</v>
      </c>
      <c r="H115">
        <v>27</v>
      </c>
      <c r="I115" t="s">
        <v>19</v>
      </c>
      <c r="J115">
        <v>2001</v>
      </c>
      <c r="K115">
        <v>2001</v>
      </c>
      <c r="L115" t="s">
        <v>20</v>
      </c>
      <c r="M115">
        <v>57495</v>
      </c>
      <c r="N115">
        <v>591</v>
      </c>
    </row>
    <row r="116" spans="1:14" x14ac:dyDescent="0.35">
      <c r="A116" t="s">
        <v>138</v>
      </c>
      <c r="B116" t="s">
        <v>15</v>
      </c>
      <c r="C116" t="s">
        <v>16</v>
      </c>
      <c r="D116">
        <v>9</v>
      </c>
      <c r="E116" t="s">
        <v>122</v>
      </c>
      <c r="F116">
        <v>5419</v>
      </c>
      <c r="G116" t="s">
        <v>18</v>
      </c>
      <c r="H116">
        <v>27</v>
      </c>
      <c r="I116" t="s">
        <v>19</v>
      </c>
      <c r="J116">
        <v>2002</v>
      </c>
      <c r="K116">
        <v>2002</v>
      </c>
      <c r="L116" t="s">
        <v>20</v>
      </c>
      <c r="M116">
        <v>57197</v>
      </c>
      <c r="N116">
        <v>591</v>
      </c>
    </row>
    <row r="117" spans="1:14" x14ac:dyDescent="0.35">
      <c r="A117" t="s">
        <v>139</v>
      </c>
      <c r="B117" t="s">
        <v>15</v>
      </c>
      <c r="C117" t="s">
        <v>16</v>
      </c>
      <c r="D117">
        <v>9</v>
      </c>
      <c r="E117" t="s">
        <v>122</v>
      </c>
      <c r="F117">
        <v>5419</v>
      </c>
      <c r="G117" t="s">
        <v>18</v>
      </c>
      <c r="H117">
        <v>27</v>
      </c>
      <c r="I117" t="s">
        <v>19</v>
      </c>
      <c r="J117">
        <v>2004</v>
      </c>
      <c r="K117">
        <v>2004</v>
      </c>
      <c r="L117" t="s">
        <v>20</v>
      </c>
      <c r="M117">
        <v>62661</v>
      </c>
      <c r="N117">
        <v>591</v>
      </c>
    </row>
    <row r="118" spans="1:14" x14ac:dyDescent="0.35">
      <c r="A118" t="s">
        <v>140</v>
      </c>
      <c r="B118" t="s">
        <v>15</v>
      </c>
      <c r="C118" t="s">
        <v>16</v>
      </c>
      <c r="D118">
        <v>9</v>
      </c>
      <c r="E118" t="s">
        <v>122</v>
      </c>
      <c r="F118">
        <v>5419</v>
      </c>
      <c r="G118" t="s">
        <v>18</v>
      </c>
      <c r="H118">
        <v>27</v>
      </c>
      <c r="I118" t="s">
        <v>19</v>
      </c>
      <c r="J118">
        <v>2005</v>
      </c>
      <c r="K118">
        <v>2005</v>
      </c>
      <c r="L118" t="s">
        <v>20</v>
      </c>
      <c r="M118">
        <v>60165</v>
      </c>
      <c r="N118">
        <v>591</v>
      </c>
    </row>
    <row r="119" spans="1:14" x14ac:dyDescent="0.35">
      <c r="A119" t="s">
        <v>141</v>
      </c>
      <c r="B119" t="s">
        <v>15</v>
      </c>
      <c r="C119" t="s">
        <v>16</v>
      </c>
      <c r="D119">
        <v>9</v>
      </c>
      <c r="E119" t="s">
        <v>122</v>
      </c>
      <c r="F119">
        <v>5419</v>
      </c>
      <c r="G119" t="s">
        <v>18</v>
      </c>
      <c r="H119">
        <v>27</v>
      </c>
      <c r="I119" t="s">
        <v>19</v>
      </c>
      <c r="J119">
        <v>2006</v>
      </c>
      <c r="K119">
        <v>2006</v>
      </c>
      <c r="L119" t="s">
        <v>20</v>
      </c>
      <c r="M119">
        <v>70610</v>
      </c>
      <c r="N119">
        <v>591</v>
      </c>
    </row>
    <row r="120" spans="1:14" x14ac:dyDescent="0.35">
      <c r="A120" t="s">
        <v>142</v>
      </c>
      <c r="B120" t="s">
        <v>15</v>
      </c>
      <c r="C120" t="s">
        <v>16</v>
      </c>
      <c r="D120">
        <v>9</v>
      </c>
      <c r="E120" t="s">
        <v>122</v>
      </c>
      <c r="F120">
        <v>5419</v>
      </c>
      <c r="G120" t="s">
        <v>18</v>
      </c>
      <c r="H120">
        <v>27</v>
      </c>
      <c r="I120" t="s">
        <v>19</v>
      </c>
      <c r="J120">
        <v>2007</v>
      </c>
      <c r="K120">
        <v>2007</v>
      </c>
      <c r="L120" t="s">
        <v>20</v>
      </c>
      <c r="M120">
        <v>65604</v>
      </c>
      <c r="N120">
        <v>591</v>
      </c>
    </row>
    <row r="121" spans="1:14" x14ac:dyDescent="0.35">
      <c r="A121" t="s">
        <v>143</v>
      </c>
      <c r="B121" t="s">
        <v>15</v>
      </c>
      <c r="C121" t="s">
        <v>16</v>
      </c>
      <c r="D121">
        <v>9</v>
      </c>
      <c r="E121" t="s">
        <v>122</v>
      </c>
      <c r="F121">
        <v>5419</v>
      </c>
      <c r="G121" t="s">
        <v>18</v>
      </c>
      <c r="H121">
        <v>27</v>
      </c>
      <c r="I121" t="s">
        <v>19</v>
      </c>
      <c r="J121">
        <v>2008</v>
      </c>
      <c r="K121">
        <v>2008</v>
      </c>
      <c r="L121" t="s">
        <v>20</v>
      </c>
      <c r="M121">
        <v>68278</v>
      </c>
      <c r="N121">
        <v>591</v>
      </c>
    </row>
    <row r="122" spans="1:14" x14ac:dyDescent="0.35">
      <c r="A122" t="s">
        <v>144</v>
      </c>
      <c r="B122" t="s">
        <v>15</v>
      </c>
      <c r="C122" t="s">
        <v>16</v>
      </c>
      <c r="D122">
        <v>9</v>
      </c>
      <c r="E122" t="s">
        <v>122</v>
      </c>
      <c r="F122">
        <v>5419</v>
      </c>
      <c r="G122" t="s">
        <v>18</v>
      </c>
      <c r="H122">
        <v>27</v>
      </c>
      <c r="I122" t="s">
        <v>19</v>
      </c>
      <c r="J122">
        <v>2009</v>
      </c>
      <c r="K122">
        <v>2009</v>
      </c>
      <c r="L122" t="s">
        <v>20</v>
      </c>
      <c r="M122">
        <v>68842</v>
      </c>
      <c r="N122">
        <v>591</v>
      </c>
    </row>
    <row r="123" spans="1:14" x14ac:dyDescent="0.35">
      <c r="A123" t="s">
        <v>145</v>
      </c>
      <c r="B123" t="s">
        <v>15</v>
      </c>
      <c r="C123" t="s">
        <v>16</v>
      </c>
      <c r="D123">
        <v>9</v>
      </c>
      <c r="E123" t="s">
        <v>122</v>
      </c>
      <c r="F123">
        <v>5419</v>
      </c>
      <c r="G123" t="s">
        <v>18</v>
      </c>
      <c r="H123">
        <v>27</v>
      </c>
      <c r="I123" t="s">
        <v>19</v>
      </c>
      <c r="J123">
        <v>2010</v>
      </c>
      <c r="K123">
        <v>2010</v>
      </c>
      <c r="L123" t="s">
        <v>20</v>
      </c>
      <c r="M123">
        <v>57646</v>
      </c>
      <c r="N123">
        <v>591</v>
      </c>
    </row>
    <row r="124" spans="1:14" x14ac:dyDescent="0.35">
      <c r="A124" t="s">
        <v>146</v>
      </c>
      <c r="B124" t="s">
        <v>15</v>
      </c>
      <c r="C124" t="s">
        <v>16</v>
      </c>
      <c r="D124">
        <v>9</v>
      </c>
      <c r="E124" t="s">
        <v>122</v>
      </c>
      <c r="F124">
        <v>5419</v>
      </c>
      <c r="G124" t="s">
        <v>18</v>
      </c>
      <c r="H124">
        <v>27</v>
      </c>
      <c r="I124" t="s">
        <v>19</v>
      </c>
      <c r="J124">
        <v>2011</v>
      </c>
      <c r="K124">
        <v>2011</v>
      </c>
      <c r="L124" t="s">
        <v>20</v>
      </c>
      <c r="M124">
        <v>67901</v>
      </c>
      <c r="N124">
        <v>591</v>
      </c>
    </row>
    <row r="125" spans="1:14" x14ac:dyDescent="0.35">
      <c r="A125" t="s">
        <v>147</v>
      </c>
      <c r="B125" t="s">
        <v>15</v>
      </c>
      <c r="C125" t="s">
        <v>16</v>
      </c>
      <c r="D125">
        <v>9</v>
      </c>
      <c r="E125" t="s">
        <v>122</v>
      </c>
      <c r="F125">
        <v>5419</v>
      </c>
      <c r="G125" t="s">
        <v>18</v>
      </c>
      <c r="H125">
        <v>27</v>
      </c>
      <c r="I125" t="s">
        <v>19</v>
      </c>
      <c r="J125">
        <v>2012</v>
      </c>
      <c r="K125">
        <v>2012</v>
      </c>
      <c r="L125" t="s">
        <v>20</v>
      </c>
      <c r="M125">
        <v>66617</v>
      </c>
      <c r="N125">
        <v>591</v>
      </c>
    </row>
    <row r="126" spans="1:14" x14ac:dyDescent="0.35">
      <c r="A126" t="s">
        <v>148</v>
      </c>
      <c r="B126" t="s">
        <v>15</v>
      </c>
      <c r="C126" t="s">
        <v>16</v>
      </c>
      <c r="D126">
        <v>9</v>
      </c>
      <c r="E126" t="s">
        <v>122</v>
      </c>
      <c r="F126">
        <v>5419</v>
      </c>
      <c r="G126" t="s">
        <v>18</v>
      </c>
      <c r="H126">
        <v>27</v>
      </c>
      <c r="I126" t="s">
        <v>19</v>
      </c>
      <c r="J126">
        <v>2013</v>
      </c>
      <c r="K126">
        <v>2013</v>
      </c>
      <c r="L126" t="s">
        <v>20</v>
      </c>
      <c r="M126">
        <v>67187</v>
      </c>
      <c r="N126">
        <v>591</v>
      </c>
    </row>
    <row r="127" spans="1:14" x14ac:dyDescent="0.35">
      <c r="A127" t="s">
        <v>149</v>
      </c>
      <c r="B127" t="s">
        <v>15</v>
      </c>
      <c r="C127" t="s">
        <v>16</v>
      </c>
      <c r="D127">
        <v>9</v>
      </c>
      <c r="E127" t="s">
        <v>122</v>
      </c>
      <c r="F127">
        <v>5419</v>
      </c>
      <c r="G127" t="s">
        <v>18</v>
      </c>
      <c r="H127">
        <v>27</v>
      </c>
      <c r="I127" t="s">
        <v>19</v>
      </c>
      <c r="J127">
        <v>2014</v>
      </c>
      <c r="K127">
        <v>2014</v>
      </c>
      <c r="L127" t="s">
        <v>20</v>
      </c>
      <c r="M127">
        <v>65042</v>
      </c>
      <c r="N127">
        <v>591</v>
      </c>
    </row>
    <row r="128" spans="1:14" x14ac:dyDescent="0.35">
      <c r="A128" t="s">
        <v>150</v>
      </c>
      <c r="B128" t="s">
        <v>15</v>
      </c>
      <c r="C128" t="s">
        <v>16</v>
      </c>
      <c r="D128">
        <v>9</v>
      </c>
      <c r="E128" t="s">
        <v>122</v>
      </c>
      <c r="F128">
        <v>5419</v>
      </c>
      <c r="G128" t="s">
        <v>18</v>
      </c>
      <c r="H128">
        <v>27</v>
      </c>
      <c r="I128" t="s">
        <v>19</v>
      </c>
      <c r="J128">
        <v>2015</v>
      </c>
      <c r="K128">
        <v>2015</v>
      </c>
      <c r="L128" t="s">
        <v>20</v>
      </c>
      <c r="M128">
        <v>66989</v>
      </c>
      <c r="N128">
        <v>591</v>
      </c>
    </row>
    <row r="129" spans="1:14" x14ac:dyDescent="0.35">
      <c r="A129" t="s">
        <v>151</v>
      </c>
      <c r="B129" t="s">
        <v>15</v>
      </c>
      <c r="C129" t="s">
        <v>16</v>
      </c>
      <c r="D129">
        <v>9</v>
      </c>
      <c r="E129" t="s">
        <v>122</v>
      </c>
      <c r="F129">
        <v>5419</v>
      </c>
      <c r="G129" t="s">
        <v>18</v>
      </c>
      <c r="H129">
        <v>27</v>
      </c>
      <c r="I129" t="s">
        <v>19</v>
      </c>
      <c r="J129">
        <v>2016</v>
      </c>
      <c r="K129">
        <v>2016</v>
      </c>
      <c r="L129" t="s">
        <v>20</v>
      </c>
      <c r="M129">
        <v>67632</v>
      </c>
      <c r="N129">
        <v>591</v>
      </c>
    </row>
    <row r="130" spans="1:14" x14ac:dyDescent="0.35">
      <c r="A130" t="s">
        <v>152</v>
      </c>
      <c r="B130" t="s">
        <v>15</v>
      </c>
      <c r="C130" t="s">
        <v>16</v>
      </c>
      <c r="D130">
        <v>10</v>
      </c>
      <c r="E130" t="s">
        <v>153</v>
      </c>
      <c r="F130">
        <v>5419</v>
      </c>
      <c r="G130" t="s">
        <v>18</v>
      </c>
      <c r="H130">
        <v>27</v>
      </c>
      <c r="I130" t="s">
        <v>19</v>
      </c>
      <c r="J130">
        <v>1985</v>
      </c>
      <c r="K130">
        <v>1985</v>
      </c>
      <c r="L130" t="s">
        <v>20</v>
      </c>
      <c r="M130">
        <v>70936</v>
      </c>
      <c r="N130">
        <v>534</v>
      </c>
    </row>
    <row r="131" spans="1:14" x14ac:dyDescent="0.35">
      <c r="A131" t="s">
        <v>154</v>
      </c>
      <c r="B131" t="s">
        <v>15</v>
      </c>
      <c r="C131" t="s">
        <v>16</v>
      </c>
      <c r="D131">
        <v>10</v>
      </c>
      <c r="E131" t="s">
        <v>153</v>
      </c>
      <c r="F131">
        <v>5419</v>
      </c>
      <c r="G131" t="s">
        <v>18</v>
      </c>
      <c r="H131">
        <v>27</v>
      </c>
      <c r="I131" t="s">
        <v>19</v>
      </c>
      <c r="J131">
        <v>1986</v>
      </c>
      <c r="K131">
        <v>1986</v>
      </c>
      <c r="L131" t="s">
        <v>20</v>
      </c>
      <c r="M131">
        <v>64750</v>
      </c>
      <c r="N131">
        <v>534</v>
      </c>
    </row>
    <row r="132" spans="1:14" x14ac:dyDescent="0.35">
      <c r="A132" t="s">
        <v>155</v>
      </c>
      <c r="B132" t="s">
        <v>15</v>
      </c>
      <c r="C132" t="s">
        <v>16</v>
      </c>
      <c r="D132">
        <v>10</v>
      </c>
      <c r="E132" t="s">
        <v>153</v>
      </c>
      <c r="F132">
        <v>5419</v>
      </c>
      <c r="G132" t="s">
        <v>18</v>
      </c>
      <c r="H132">
        <v>27</v>
      </c>
      <c r="I132" t="s">
        <v>19</v>
      </c>
      <c r="J132">
        <v>1987</v>
      </c>
      <c r="K132">
        <v>1987</v>
      </c>
      <c r="L132" t="s">
        <v>20</v>
      </c>
      <c r="M132">
        <v>57247</v>
      </c>
      <c r="N132">
        <v>534</v>
      </c>
    </row>
    <row r="133" spans="1:14" x14ac:dyDescent="0.35">
      <c r="A133" t="s">
        <v>156</v>
      </c>
      <c r="B133" t="s">
        <v>15</v>
      </c>
      <c r="C133" t="s">
        <v>16</v>
      </c>
      <c r="D133">
        <v>10</v>
      </c>
      <c r="E133" t="s">
        <v>153</v>
      </c>
      <c r="F133">
        <v>5419</v>
      </c>
      <c r="G133" t="s">
        <v>18</v>
      </c>
      <c r="H133">
        <v>27</v>
      </c>
      <c r="I133" t="s">
        <v>19</v>
      </c>
      <c r="J133">
        <v>1989</v>
      </c>
      <c r="K133">
        <v>1989</v>
      </c>
      <c r="L133" t="s">
        <v>20</v>
      </c>
      <c r="M133">
        <v>82990</v>
      </c>
      <c r="N133">
        <v>534</v>
      </c>
    </row>
    <row r="134" spans="1:14" x14ac:dyDescent="0.35">
      <c r="A134" t="s">
        <v>157</v>
      </c>
      <c r="B134" t="s">
        <v>15</v>
      </c>
      <c r="C134" t="s">
        <v>16</v>
      </c>
      <c r="D134">
        <v>10</v>
      </c>
      <c r="E134" t="s">
        <v>153</v>
      </c>
      <c r="F134">
        <v>5419</v>
      </c>
      <c r="G134" t="s">
        <v>18</v>
      </c>
      <c r="H134">
        <v>27</v>
      </c>
      <c r="I134" t="s">
        <v>19</v>
      </c>
      <c r="J134">
        <v>1990</v>
      </c>
      <c r="K134">
        <v>1990</v>
      </c>
      <c r="L134" t="s">
        <v>20</v>
      </c>
      <c r="M134">
        <v>88000</v>
      </c>
      <c r="N134">
        <v>534</v>
      </c>
    </row>
    <row r="135" spans="1:14" x14ac:dyDescent="0.35">
      <c r="A135" t="s">
        <v>158</v>
      </c>
      <c r="B135" t="s">
        <v>15</v>
      </c>
      <c r="C135" t="s">
        <v>16</v>
      </c>
      <c r="D135">
        <v>10</v>
      </c>
      <c r="E135" t="s">
        <v>153</v>
      </c>
      <c r="F135">
        <v>5419</v>
      </c>
      <c r="G135" t="s">
        <v>18</v>
      </c>
      <c r="H135">
        <v>27</v>
      </c>
      <c r="I135" t="s">
        <v>19</v>
      </c>
      <c r="J135">
        <v>1991</v>
      </c>
      <c r="K135">
        <v>1991</v>
      </c>
      <c r="L135" t="s">
        <v>20</v>
      </c>
      <c r="M135">
        <v>88427</v>
      </c>
      <c r="N135">
        <v>534</v>
      </c>
    </row>
    <row r="136" spans="1:14" x14ac:dyDescent="0.35">
      <c r="A136" t="s">
        <v>159</v>
      </c>
      <c r="B136" t="s">
        <v>15</v>
      </c>
      <c r="C136" t="s">
        <v>16</v>
      </c>
      <c r="D136">
        <v>10</v>
      </c>
      <c r="E136" t="s">
        <v>153</v>
      </c>
      <c r="F136">
        <v>5419</v>
      </c>
      <c r="G136" t="s">
        <v>18</v>
      </c>
      <c r="H136">
        <v>27</v>
      </c>
      <c r="I136" t="s">
        <v>19</v>
      </c>
      <c r="J136">
        <v>1992</v>
      </c>
      <c r="K136">
        <v>1992</v>
      </c>
      <c r="L136" t="s">
        <v>20</v>
      </c>
      <c r="M136">
        <v>88346</v>
      </c>
      <c r="N136">
        <v>534</v>
      </c>
    </row>
    <row r="137" spans="1:14" x14ac:dyDescent="0.35">
      <c r="A137" t="s">
        <v>160</v>
      </c>
      <c r="B137" t="s">
        <v>15</v>
      </c>
      <c r="C137" t="s">
        <v>16</v>
      </c>
      <c r="D137">
        <v>10</v>
      </c>
      <c r="E137" t="s">
        <v>153</v>
      </c>
      <c r="F137">
        <v>5419</v>
      </c>
      <c r="G137" t="s">
        <v>18</v>
      </c>
      <c r="H137">
        <v>27</v>
      </c>
      <c r="I137" t="s">
        <v>19</v>
      </c>
      <c r="J137">
        <v>1993</v>
      </c>
      <c r="K137">
        <v>1993</v>
      </c>
      <c r="L137" t="s">
        <v>20</v>
      </c>
      <c r="M137">
        <v>76400</v>
      </c>
      <c r="N137">
        <v>534</v>
      </c>
    </row>
    <row r="138" spans="1:14" x14ac:dyDescent="0.35">
      <c r="A138" t="s">
        <v>161</v>
      </c>
      <c r="B138" t="s">
        <v>15</v>
      </c>
      <c r="C138" t="s">
        <v>16</v>
      </c>
      <c r="D138">
        <v>10</v>
      </c>
      <c r="E138" t="s">
        <v>153</v>
      </c>
      <c r="F138">
        <v>5419</v>
      </c>
      <c r="G138" t="s">
        <v>18</v>
      </c>
      <c r="H138">
        <v>27</v>
      </c>
      <c r="I138" t="s">
        <v>19</v>
      </c>
      <c r="J138">
        <v>1994</v>
      </c>
      <c r="K138">
        <v>1994</v>
      </c>
      <c r="L138" t="s">
        <v>20</v>
      </c>
      <c r="M138">
        <v>81537</v>
      </c>
      <c r="N138">
        <v>534</v>
      </c>
    </row>
    <row r="139" spans="1:14" x14ac:dyDescent="0.35">
      <c r="A139" t="s">
        <v>162</v>
      </c>
      <c r="B139" t="s">
        <v>15</v>
      </c>
      <c r="C139" t="s">
        <v>16</v>
      </c>
      <c r="D139">
        <v>10</v>
      </c>
      <c r="E139" t="s">
        <v>153</v>
      </c>
      <c r="F139">
        <v>5419</v>
      </c>
      <c r="G139" t="s">
        <v>18</v>
      </c>
      <c r="H139">
        <v>27</v>
      </c>
      <c r="I139" t="s">
        <v>19</v>
      </c>
      <c r="J139">
        <v>1995</v>
      </c>
      <c r="K139">
        <v>1995</v>
      </c>
      <c r="L139" t="s">
        <v>20</v>
      </c>
      <c r="M139">
        <v>88003</v>
      </c>
      <c r="N139">
        <v>534</v>
      </c>
    </row>
    <row r="140" spans="1:14" x14ac:dyDescent="0.35">
      <c r="A140" t="s">
        <v>163</v>
      </c>
      <c r="B140" t="s">
        <v>15</v>
      </c>
      <c r="C140" t="s">
        <v>16</v>
      </c>
      <c r="D140">
        <v>10</v>
      </c>
      <c r="E140" t="s">
        <v>153</v>
      </c>
      <c r="F140">
        <v>5419</v>
      </c>
      <c r="G140" t="s">
        <v>18</v>
      </c>
      <c r="H140">
        <v>27</v>
      </c>
      <c r="I140" t="s">
        <v>19</v>
      </c>
      <c r="J140">
        <v>1996</v>
      </c>
      <c r="K140">
        <v>1996</v>
      </c>
      <c r="L140" t="s">
        <v>20</v>
      </c>
      <c r="M140">
        <v>63540</v>
      </c>
      <c r="N140">
        <v>534</v>
      </c>
    </row>
    <row r="141" spans="1:14" x14ac:dyDescent="0.35">
      <c r="A141" t="s">
        <v>164</v>
      </c>
      <c r="B141" t="s">
        <v>15</v>
      </c>
      <c r="C141" t="s">
        <v>16</v>
      </c>
      <c r="D141">
        <v>10</v>
      </c>
      <c r="E141" t="s">
        <v>153</v>
      </c>
      <c r="F141">
        <v>5419</v>
      </c>
      <c r="G141" t="s">
        <v>18</v>
      </c>
      <c r="H141">
        <v>27</v>
      </c>
      <c r="I141" t="s">
        <v>19</v>
      </c>
      <c r="J141">
        <v>1997</v>
      </c>
      <c r="K141">
        <v>1997</v>
      </c>
      <c r="L141" t="s">
        <v>20</v>
      </c>
      <c r="M141">
        <v>83263</v>
      </c>
      <c r="N141">
        <v>534</v>
      </c>
    </row>
    <row r="142" spans="1:14" x14ac:dyDescent="0.35">
      <c r="A142" t="s">
        <v>165</v>
      </c>
      <c r="B142" t="s">
        <v>15</v>
      </c>
      <c r="C142" t="s">
        <v>16</v>
      </c>
      <c r="D142">
        <v>10</v>
      </c>
      <c r="E142" t="s">
        <v>153</v>
      </c>
      <c r="F142">
        <v>5419</v>
      </c>
      <c r="G142" t="s">
        <v>18</v>
      </c>
      <c r="H142">
        <v>27</v>
      </c>
      <c r="I142" t="s">
        <v>19</v>
      </c>
      <c r="J142">
        <v>1998</v>
      </c>
      <c r="K142">
        <v>1998</v>
      </c>
      <c r="L142" t="s">
        <v>20</v>
      </c>
      <c r="M142">
        <v>94256</v>
      </c>
      <c r="N142">
        <v>534</v>
      </c>
    </row>
    <row r="143" spans="1:14" x14ac:dyDescent="0.35">
      <c r="A143" t="s">
        <v>166</v>
      </c>
      <c r="B143" t="s">
        <v>15</v>
      </c>
      <c r="C143" t="s">
        <v>16</v>
      </c>
      <c r="D143">
        <v>10</v>
      </c>
      <c r="E143" t="s">
        <v>153</v>
      </c>
      <c r="F143">
        <v>5419</v>
      </c>
      <c r="G143" t="s">
        <v>18</v>
      </c>
      <c r="H143">
        <v>27</v>
      </c>
      <c r="I143" t="s">
        <v>19</v>
      </c>
      <c r="J143">
        <v>1999</v>
      </c>
      <c r="K143">
        <v>1999</v>
      </c>
      <c r="L143" t="s">
        <v>20</v>
      </c>
      <c r="M143">
        <v>91615</v>
      </c>
      <c r="N143">
        <v>534</v>
      </c>
    </row>
    <row r="144" spans="1:14" x14ac:dyDescent="0.35">
      <c r="A144" t="s">
        <v>167</v>
      </c>
      <c r="B144" t="s">
        <v>15</v>
      </c>
      <c r="C144" t="s">
        <v>16</v>
      </c>
      <c r="D144">
        <v>10</v>
      </c>
      <c r="E144" t="s">
        <v>153</v>
      </c>
      <c r="F144">
        <v>5419</v>
      </c>
      <c r="G144" t="s">
        <v>18</v>
      </c>
      <c r="H144">
        <v>27</v>
      </c>
      <c r="I144" t="s">
        <v>19</v>
      </c>
      <c r="J144">
        <v>2000</v>
      </c>
      <c r="K144">
        <v>2000</v>
      </c>
      <c r="L144" t="s">
        <v>20</v>
      </c>
      <c r="M144">
        <v>82573</v>
      </c>
      <c r="N144">
        <v>534</v>
      </c>
    </row>
    <row r="145" spans="1:14" x14ac:dyDescent="0.35">
      <c r="A145" t="s">
        <v>168</v>
      </c>
      <c r="B145" t="s">
        <v>15</v>
      </c>
      <c r="C145" t="s">
        <v>16</v>
      </c>
      <c r="D145">
        <v>10</v>
      </c>
      <c r="E145" t="s">
        <v>153</v>
      </c>
      <c r="F145">
        <v>5419</v>
      </c>
      <c r="G145" t="s">
        <v>18</v>
      </c>
      <c r="H145">
        <v>27</v>
      </c>
      <c r="I145" t="s">
        <v>19</v>
      </c>
      <c r="J145">
        <v>2001</v>
      </c>
      <c r="K145">
        <v>2001</v>
      </c>
      <c r="L145" t="s">
        <v>20</v>
      </c>
      <c r="M145">
        <v>93071</v>
      </c>
      <c r="N145">
        <v>534</v>
      </c>
    </row>
    <row r="146" spans="1:14" x14ac:dyDescent="0.35">
      <c r="A146" t="s">
        <v>169</v>
      </c>
      <c r="B146" t="s">
        <v>15</v>
      </c>
      <c r="C146" t="s">
        <v>16</v>
      </c>
      <c r="D146">
        <v>10</v>
      </c>
      <c r="E146" t="s">
        <v>153</v>
      </c>
      <c r="F146">
        <v>5419</v>
      </c>
      <c r="G146" t="s">
        <v>18</v>
      </c>
      <c r="H146">
        <v>27</v>
      </c>
      <c r="I146" t="s">
        <v>19</v>
      </c>
      <c r="J146">
        <v>2002</v>
      </c>
      <c r="K146">
        <v>2002</v>
      </c>
      <c r="L146" t="s">
        <v>20</v>
      </c>
      <c r="M146">
        <v>82580</v>
      </c>
      <c r="N146">
        <v>534</v>
      </c>
    </row>
    <row r="147" spans="1:14" x14ac:dyDescent="0.35">
      <c r="A147" t="s">
        <v>170</v>
      </c>
      <c r="B147" t="s">
        <v>15</v>
      </c>
      <c r="C147" t="s">
        <v>16</v>
      </c>
      <c r="D147">
        <v>10</v>
      </c>
      <c r="E147" t="s">
        <v>153</v>
      </c>
      <c r="F147">
        <v>5419</v>
      </c>
      <c r="G147" t="s">
        <v>18</v>
      </c>
      <c r="H147">
        <v>27</v>
      </c>
      <c r="I147" t="s">
        <v>19</v>
      </c>
      <c r="J147">
        <v>2004</v>
      </c>
      <c r="K147">
        <v>2004</v>
      </c>
      <c r="L147" t="s">
        <v>20</v>
      </c>
      <c r="M147">
        <v>83305</v>
      </c>
      <c r="N147">
        <v>534</v>
      </c>
    </row>
    <row r="148" spans="1:14" x14ac:dyDescent="0.35">
      <c r="A148" t="s">
        <v>171</v>
      </c>
      <c r="B148" t="s">
        <v>15</v>
      </c>
      <c r="C148" t="s">
        <v>16</v>
      </c>
      <c r="D148">
        <v>10</v>
      </c>
      <c r="E148" t="s">
        <v>153</v>
      </c>
      <c r="F148">
        <v>5419</v>
      </c>
      <c r="G148" t="s">
        <v>18</v>
      </c>
      <c r="H148">
        <v>27</v>
      </c>
      <c r="I148" t="s">
        <v>19</v>
      </c>
      <c r="J148">
        <v>2005</v>
      </c>
      <c r="K148">
        <v>2005</v>
      </c>
      <c r="L148" t="s">
        <v>20</v>
      </c>
      <c r="M148">
        <v>66168</v>
      </c>
      <c r="N148">
        <v>534</v>
      </c>
    </row>
    <row r="149" spans="1:14" x14ac:dyDescent="0.35">
      <c r="A149" t="s">
        <v>172</v>
      </c>
      <c r="B149" t="s">
        <v>15</v>
      </c>
      <c r="C149" t="s">
        <v>16</v>
      </c>
      <c r="D149">
        <v>10</v>
      </c>
      <c r="E149" t="s">
        <v>153</v>
      </c>
      <c r="F149">
        <v>5419</v>
      </c>
      <c r="G149" t="s">
        <v>18</v>
      </c>
      <c r="H149">
        <v>27</v>
      </c>
      <c r="I149" t="s">
        <v>19</v>
      </c>
      <c r="J149">
        <v>2006</v>
      </c>
      <c r="K149">
        <v>2006</v>
      </c>
      <c r="L149" t="s">
        <v>20</v>
      </c>
      <c r="M149">
        <v>98176</v>
      </c>
      <c r="N149">
        <v>534</v>
      </c>
    </row>
    <row r="150" spans="1:14" x14ac:dyDescent="0.35">
      <c r="A150" t="s">
        <v>173</v>
      </c>
      <c r="B150" t="s">
        <v>15</v>
      </c>
      <c r="C150" t="s">
        <v>16</v>
      </c>
      <c r="D150">
        <v>10</v>
      </c>
      <c r="E150" t="s">
        <v>153</v>
      </c>
      <c r="F150">
        <v>5419</v>
      </c>
      <c r="G150" t="s">
        <v>18</v>
      </c>
      <c r="H150">
        <v>27</v>
      </c>
      <c r="I150" t="s">
        <v>19</v>
      </c>
      <c r="J150">
        <v>2007</v>
      </c>
      <c r="K150">
        <v>2007</v>
      </c>
      <c r="L150" t="s">
        <v>20</v>
      </c>
      <c r="M150">
        <v>82609</v>
      </c>
      <c r="N150">
        <v>534</v>
      </c>
    </row>
    <row r="151" spans="1:14" x14ac:dyDescent="0.35">
      <c r="A151" t="s">
        <v>174</v>
      </c>
      <c r="B151" t="s">
        <v>15</v>
      </c>
      <c r="C151" t="s">
        <v>16</v>
      </c>
      <c r="D151">
        <v>10</v>
      </c>
      <c r="E151" t="s">
        <v>153</v>
      </c>
      <c r="F151">
        <v>5419</v>
      </c>
      <c r="G151" t="s">
        <v>18</v>
      </c>
      <c r="H151">
        <v>27</v>
      </c>
      <c r="I151" t="s">
        <v>19</v>
      </c>
      <c r="J151">
        <v>2008</v>
      </c>
      <c r="K151">
        <v>2008</v>
      </c>
      <c r="L151" t="s">
        <v>20</v>
      </c>
      <c r="M151">
        <v>75988</v>
      </c>
      <c r="N151">
        <v>534</v>
      </c>
    </row>
    <row r="152" spans="1:14" x14ac:dyDescent="0.35">
      <c r="A152" t="s">
        <v>175</v>
      </c>
      <c r="B152" t="s">
        <v>15</v>
      </c>
      <c r="C152" t="s">
        <v>16</v>
      </c>
      <c r="D152">
        <v>10</v>
      </c>
      <c r="E152" t="s">
        <v>153</v>
      </c>
      <c r="F152">
        <v>5419</v>
      </c>
      <c r="G152" t="s">
        <v>18</v>
      </c>
      <c r="H152">
        <v>27</v>
      </c>
      <c r="I152" t="s">
        <v>19</v>
      </c>
      <c r="J152">
        <v>2009</v>
      </c>
      <c r="K152">
        <v>2009</v>
      </c>
      <c r="L152" t="s">
        <v>20</v>
      </c>
      <c r="M152">
        <v>84609</v>
      </c>
      <c r="N152">
        <v>534</v>
      </c>
    </row>
    <row r="153" spans="1:14" x14ac:dyDescent="0.35">
      <c r="A153" t="s">
        <v>176</v>
      </c>
      <c r="B153" t="s">
        <v>15</v>
      </c>
      <c r="C153" t="s">
        <v>16</v>
      </c>
      <c r="D153">
        <v>10</v>
      </c>
      <c r="E153" t="s">
        <v>153</v>
      </c>
      <c r="F153">
        <v>5419</v>
      </c>
      <c r="G153" t="s">
        <v>18</v>
      </c>
      <c r="H153">
        <v>27</v>
      </c>
      <c r="I153" t="s">
        <v>19</v>
      </c>
      <c r="J153">
        <v>2010</v>
      </c>
      <c r="K153">
        <v>2010</v>
      </c>
      <c r="L153" t="s">
        <v>20</v>
      </c>
      <c r="M153">
        <v>103895</v>
      </c>
      <c r="N153">
        <v>534</v>
      </c>
    </row>
    <row r="154" spans="1:14" x14ac:dyDescent="0.35">
      <c r="A154" t="s">
        <v>177</v>
      </c>
      <c r="B154" t="s">
        <v>15</v>
      </c>
      <c r="C154" t="s">
        <v>16</v>
      </c>
      <c r="D154">
        <v>10</v>
      </c>
      <c r="E154" t="s">
        <v>153</v>
      </c>
      <c r="F154">
        <v>5419</v>
      </c>
      <c r="G154" t="s">
        <v>18</v>
      </c>
      <c r="H154">
        <v>27</v>
      </c>
      <c r="I154" t="s">
        <v>19</v>
      </c>
      <c r="J154">
        <v>2011</v>
      </c>
      <c r="K154">
        <v>2011</v>
      </c>
      <c r="L154" t="s">
        <v>20</v>
      </c>
      <c r="M154">
        <v>95441</v>
      </c>
      <c r="N154">
        <v>534</v>
      </c>
    </row>
    <row r="155" spans="1:14" x14ac:dyDescent="0.35">
      <c r="A155" t="s">
        <v>178</v>
      </c>
      <c r="B155" t="s">
        <v>15</v>
      </c>
      <c r="C155" t="s">
        <v>16</v>
      </c>
      <c r="D155">
        <v>10</v>
      </c>
      <c r="E155" t="s">
        <v>153</v>
      </c>
      <c r="F155">
        <v>5419</v>
      </c>
      <c r="G155" t="s">
        <v>18</v>
      </c>
      <c r="H155">
        <v>27</v>
      </c>
      <c r="I155" t="s">
        <v>19</v>
      </c>
      <c r="J155">
        <v>2012</v>
      </c>
      <c r="K155">
        <v>2012</v>
      </c>
      <c r="L155" t="s">
        <v>20</v>
      </c>
      <c r="M155">
        <v>89098</v>
      </c>
      <c r="N155">
        <v>534</v>
      </c>
    </row>
    <row r="156" spans="1:14" x14ac:dyDescent="0.35">
      <c r="A156" t="s">
        <v>179</v>
      </c>
      <c r="B156" t="s">
        <v>15</v>
      </c>
      <c r="C156" t="s">
        <v>16</v>
      </c>
      <c r="D156">
        <v>10</v>
      </c>
      <c r="E156" t="s">
        <v>153</v>
      </c>
      <c r="F156">
        <v>5419</v>
      </c>
      <c r="G156" t="s">
        <v>18</v>
      </c>
      <c r="H156">
        <v>27</v>
      </c>
      <c r="I156" t="s">
        <v>19</v>
      </c>
      <c r="J156">
        <v>2013</v>
      </c>
      <c r="K156">
        <v>2013</v>
      </c>
      <c r="L156" t="s">
        <v>20</v>
      </c>
      <c r="M156">
        <v>102177</v>
      </c>
      <c r="N156">
        <v>534</v>
      </c>
    </row>
    <row r="157" spans="1:14" x14ac:dyDescent="0.35">
      <c r="A157" t="s">
        <v>180</v>
      </c>
      <c r="B157" t="s">
        <v>15</v>
      </c>
      <c r="C157" t="s">
        <v>16</v>
      </c>
      <c r="D157">
        <v>10</v>
      </c>
      <c r="E157" t="s">
        <v>153</v>
      </c>
      <c r="F157">
        <v>5419</v>
      </c>
      <c r="G157" t="s">
        <v>18</v>
      </c>
      <c r="H157">
        <v>27</v>
      </c>
      <c r="I157" t="s">
        <v>19</v>
      </c>
      <c r="J157">
        <v>2014</v>
      </c>
      <c r="K157">
        <v>2014</v>
      </c>
      <c r="L157" t="s">
        <v>20</v>
      </c>
      <c r="M157">
        <v>106827</v>
      </c>
      <c r="N157">
        <v>534</v>
      </c>
    </row>
    <row r="158" spans="1:14" x14ac:dyDescent="0.35">
      <c r="A158" t="s">
        <v>181</v>
      </c>
      <c r="B158" t="s">
        <v>15</v>
      </c>
      <c r="C158" t="s">
        <v>16</v>
      </c>
      <c r="D158">
        <v>10</v>
      </c>
      <c r="E158" t="s">
        <v>153</v>
      </c>
      <c r="F158">
        <v>5419</v>
      </c>
      <c r="G158" t="s">
        <v>18</v>
      </c>
      <c r="H158">
        <v>27</v>
      </c>
      <c r="I158" t="s">
        <v>19</v>
      </c>
      <c r="J158">
        <v>2015</v>
      </c>
      <c r="K158">
        <v>2015</v>
      </c>
      <c r="L158" t="s">
        <v>20</v>
      </c>
      <c r="M158">
        <v>99103</v>
      </c>
      <c r="N158">
        <v>534</v>
      </c>
    </row>
    <row r="159" spans="1:14" x14ac:dyDescent="0.35">
      <c r="A159" t="s">
        <v>182</v>
      </c>
      <c r="B159" t="s">
        <v>15</v>
      </c>
      <c r="C159" t="s">
        <v>16</v>
      </c>
      <c r="D159">
        <v>10</v>
      </c>
      <c r="E159" t="s">
        <v>153</v>
      </c>
      <c r="F159">
        <v>5419</v>
      </c>
      <c r="G159" t="s">
        <v>18</v>
      </c>
      <c r="H159">
        <v>27</v>
      </c>
      <c r="I159" t="s">
        <v>19</v>
      </c>
      <c r="J159">
        <v>2016</v>
      </c>
      <c r="K159">
        <v>2016</v>
      </c>
      <c r="L159" t="s">
        <v>20</v>
      </c>
      <c r="M159">
        <v>102889</v>
      </c>
      <c r="N159">
        <v>534</v>
      </c>
    </row>
    <row r="160" spans="1:14" x14ac:dyDescent="0.35">
      <c r="A160" t="s">
        <v>183</v>
      </c>
      <c r="B160" t="s">
        <v>15</v>
      </c>
      <c r="C160" t="s">
        <v>16</v>
      </c>
      <c r="D160">
        <v>52</v>
      </c>
      <c r="E160" t="s">
        <v>184</v>
      </c>
      <c r="F160">
        <v>5419</v>
      </c>
      <c r="G160" t="s">
        <v>18</v>
      </c>
      <c r="H160">
        <v>27</v>
      </c>
      <c r="I160" t="s">
        <v>19</v>
      </c>
      <c r="J160">
        <v>1992</v>
      </c>
      <c r="K160">
        <v>1992</v>
      </c>
      <c r="L160" t="s">
        <v>20</v>
      </c>
      <c r="M160">
        <v>7292</v>
      </c>
      <c r="N160">
        <v>447</v>
      </c>
    </row>
    <row r="161" spans="1:14" x14ac:dyDescent="0.35">
      <c r="A161" t="s">
        <v>185</v>
      </c>
      <c r="B161" t="s">
        <v>15</v>
      </c>
      <c r="C161" t="s">
        <v>16</v>
      </c>
      <c r="D161">
        <v>52</v>
      </c>
      <c r="E161" t="s">
        <v>184</v>
      </c>
      <c r="F161">
        <v>5419</v>
      </c>
      <c r="G161" t="s">
        <v>18</v>
      </c>
      <c r="H161">
        <v>27</v>
      </c>
      <c r="I161" t="s">
        <v>19</v>
      </c>
      <c r="J161">
        <v>1993</v>
      </c>
      <c r="K161">
        <v>1993</v>
      </c>
      <c r="L161" t="s">
        <v>20</v>
      </c>
      <c r="M161">
        <v>9461</v>
      </c>
      <c r="N161">
        <v>447</v>
      </c>
    </row>
    <row r="162" spans="1:14" x14ac:dyDescent="0.35">
      <c r="A162" t="s">
        <v>186</v>
      </c>
      <c r="B162" t="s">
        <v>15</v>
      </c>
      <c r="C162" t="s">
        <v>16</v>
      </c>
      <c r="D162">
        <v>52</v>
      </c>
      <c r="E162" t="s">
        <v>184</v>
      </c>
      <c r="F162">
        <v>5419</v>
      </c>
      <c r="G162" t="s">
        <v>18</v>
      </c>
      <c r="H162">
        <v>27</v>
      </c>
      <c r="I162" t="s">
        <v>19</v>
      </c>
      <c r="J162">
        <v>1994</v>
      </c>
      <c r="K162">
        <v>1994</v>
      </c>
      <c r="L162" t="s">
        <v>20</v>
      </c>
      <c r="M162">
        <v>10059</v>
      </c>
      <c r="N162">
        <v>447</v>
      </c>
    </row>
    <row r="163" spans="1:14" x14ac:dyDescent="0.35">
      <c r="A163" t="s">
        <v>187</v>
      </c>
      <c r="B163" t="s">
        <v>15</v>
      </c>
      <c r="C163" t="s">
        <v>16</v>
      </c>
      <c r="D163">
        <v>52</v>
      </c>
      <c r="E163" t="s">
        <v>184</v>
      </c>
      <c r="F163">
        <v>5419</v>
      </c>
      <c r="G163" t="s">
        <v>18</v>
      </c>
      <c r="H163">
        <v>27</v>
      </c>
      <c r="I163" t="s">
        <v>19</v>
      </c>
      <c r="J163">
        <v>1995</v>
      </c>
      <c r="K163">
        <v>1995</v>
      </c>
      <c r="L163" t="s">
        <v>20</v>
      </c>
      <c r="M163">
        <v>19890</v>
      </c>
      <c r="N163">
        <v>447</v>
      </c>
    </row>
    <row r="164" spans="1:14" x14ac:dyDescent="0.35">
      <c r="A164" t="s">
        <v>188</v>
      </c>
      <c r="B164" t="s">
        <v>15</v>
      </c>
      <c r="C164" t="s">
        <v>16</v>
      </c>
      <c r="D164">
        <v>52</v>
      </c>
      <c r="E164" t="s">
        <v>184</v>
      </c>
      <c r="F164">
        <v>5419</v>
      </c>
      <c r="G164" t="s">
        <v>18</v>
      </c>
      <c r="H164">
        <v>27</v>
      </c>
      <c r="I164" t="s">
        <v>19</v>
      </c>
      <c r="J164">
        <v>1996</v>
      </c>
      <c r="K164">
        <v>1996</v>
      </c>
      <c r="L164" t="s">
        <v>20</v>
      </c>
      <c r="M164">
        <v>36917</v>
      </c>
      <c r="N164">
        <v>447</v>
      </c>
    </row>
    <row r="165" spans="1:14" x14ac:dyDescent="0.35">
      <c r="A165" t="s">
        <v>189</v>
      </c>
      <c r="B165" t="s">
        <v>15</v>
      </c>
      <c r="C165" t="s">
        <v>16</v>
      </c>
      <c r="D165">
        <v>52</v>
      </c>
      <c r="E165" t="s">
        <v>184</v>
      </c>
      <c r="F165">
        <v>5419</v>
      </c>
      <c r="G165" t="s">
        <v>18</v>
      </c>
      <c r="H165">
        <v>27</v>
      </c>
      <c r="I165" t="s">
        <v>19</v>
      </c>
      <c r="J165">
        <v>1997</v>
      </c>
      <c r="K165">
        <v>1997</v>
      </c>
      <c r="L165" t="s">
        <v>20</v>
      </c>
      <c r="M165">
        <v>46082</v>
      </c>
      <c r="N165">
        <v>447</v>
      </c>
    </row>
    <row r="166" spans="1:14" x14ac:dyDescent="0.35">
      <c r="A166" t="s">
        <v>190</v>
      </c>
      <c r="B166" t="s">
        <v>15</v>
      </c>
      <c r="C166" t="s">
        <v>16</v>
      </c>
      <c r="D166">
        <v>52</v>
      </c>
      <c r="E166" t="s">
        <v>184</v>
      </c>
      <c r="F166">
        <v>5419</v>
      </c>
      <c r="G166" t="s">
        <v>18</v>
      </c>
      <c r="H166">
        <v>27</v>
      </c>
      <c r="I166" t="s">
        <v>19</v>
      </c>
      <c r="J166">
        <v>1998</v>
      </c>
      <c r="K166">
        <v>1998</v>
      </c>
      <c r="L166" t="s">
        <v>20</v>
      </c>
      <c r="M166">
        <v>48046</v>
      </c>
      <c r="N166">
        <v>447</v>
      </c>
    </row>
    <row r="167" spans="1:14" x14ac:dyDescent="0.35">
      <c r="A167" t="s">
        <v>191</v>
      </c>
      <c r="B167" t="s">
        <v>15</v>
      </c>
      <c r="C167" t="s">
        <v>16</v>
      </c>
      <c r="D167">
        <v>52</v>
      </c>
      <c r="E167" t="s">
        <v>184</v>
      </c>
      <c r="F167">
        <v>5419</v>
      </c>
      <c r="G167" t="s">
        <v>18</v>
      </c>
      <c r="H167">
        <v>27</v>
      </c>
      <c r="I167" t="s">
        <v>19</v>
      </c>
      <c r="J167">
        <v>1999</v>
      </c>
      <c r="K167">
        <v>1999</v>
      </c>
      <c r="L167" t="s">
        <v>20</v>
      </c>
      <c r="M167">
        <v>44415</v>
      </c>
      <c r="N167">
        <v>447</v>
      </c>
    </row>
    <row r="168" spans="1:14" x14ac:dyDescent="0.35">
      <c r="A168" t="s">
        <v>192</v>
      </c>
      <c r="B168" t="s">
        <v>15</v>
      </c>
      <c r="C168" t="s">
        <v>16</v>
      </c>
      <c r="D168">
        <v>52</v>
      </c>
      <c r="E168" t="s">
        <v>184</v>
      </c>
      <c r="F168">
        <v>5419</v>
      </c>
      <c r="G168" t="s">
        <v>18</v>
      </c>
      <c r="H168">
        <v>27</v>
      </c>
      <c r="I168" t="s">
        <v>19</v>
      </c>
      <c r="J168">
        <v>2000</v>
      </c>
      <c r="K168">
        <v>2000</v>
      </c>
      <c r="L168" t="s">
        <v>20</v>
      </c>
      <c r="M168">
        <v>50191</v>
      </c>
      <c r="N168">
        <v>447</v>
      </c>
    </row>
    <row r="169" spans="1:14" x14ac:dyDescent="0.35">
      <c r="A169" t="s">
        <v>193</v>
      </c>
      <c r="B169" t="s">
        <v>15</v>
      </c>
      <c r="C169" t="s">
        <v>16</v>
      </c>
      <c r="D169">
        <v>52</v>
      </c>
      <c r="E169" t="s">
        <v>184</v>
      </c>
      <c r="F169">
        <v>5419</v>
      </c>
      <c r="G169" t="s">
        <v>18</v>
      </c>
      <c r="H169">
        <v>27</v>
      </c>
      <c r="I169" t="s">
        <v>19</v>
      </c>
      <c r="J169">
        <v>2001</v>
      </c>
      <c r="K169">
        <v>2001</v>
      </c>
      <c r="L169" t="s">
        <v>20</v>
      </c>
      <c r="M169">
        <v>48495</v>
      </c>
      <c r="N169">
        <v>447</v>
      </c>
    </row>
    <row r="170" spans="1:14" x14ac:dyDescent="0.35">
      <c r="A170" t="s">
        <v>194</v>
      </c>
      <c r="B170" t="s">
        <v>15</v>
      </c>
      <c r="C170" t="s">
        <v>16</v>
      </c>
      <c r="D170">
        <v>52</v>
      </c>
      <c r="E170" t="s">
        <v>184</v>
      </c>
      <c r="F170">
        <v>5419</v>
      </c>
      <c r="G170" t="s">
        <v>18</v>
      </c>
      <c r="H170">
        <v>27</v>
      </c>
      <c r="I170" t="s">
        <v>19</v>
      </c>
      <c r="J170">
        <v>2002</v>
      </c>
      <c r="K170">
        <v>2002</v>
      </c>
      <c r="L170" t="s">
        <v>20</v>
      </c>
      <c r="M170">
        <v>46532</v>
      </c>
      <c r="N170">
        <v>447</v>
      </c>
    </row>
    <row r="171" spans="1:14" x14ac:dyDescent="0.35">
      <c r="A171" t="s">
        <v>195</v>
      </c>
      <c r="B171" t="s">
        <v>15</v>
      </c>
      <c r="C171" t="s">
        <v>16</v>
      </c>
      <c r="D171">
        <v>52</v>
      </c>
      <c r="E171" t="s">
        <v>184</v>
      </c>
      <c r="F171">
        <v>5419</v>
      </c>
      <c r="G171" t="s">
        <v>18</v>
      </c>
      <c r="H171">
        <v>27</v>
      </c>
      <c r="I171" t="s">
        <v>19</v>
      </c>
      <c r="J171">
        <v>2004</v>
      </c>
      <c r="K171">
        <v>2004</v>
      </c>
      <c r="L171" t="s">
        <v>20</v>
      </c>
      <c r="M171">
        <v>39810</v>
      </c>
      <c r="N171">
        <v>447</v>
      </c>
    </row>
    <row r="172" spans="1:14" x14ac:dyDescent="0.35">
      <c r="A172" t="s">
        <v>196</v>
      </c>
      <c r="B172" t="s">
        <v>15</v>
      </c>
      <c r="C172" t="s">
        <v>16</v>
      </c>
      <c r="D172">
        <v>52</v>
      </c>
      <c r="E172" t="s">
        <v>184</v>
      </c>
      <c r="F172">
        <v>5419</v>
      </c>
      <c r="G172" t="s">
        <v>18</v>
      </c>
      <c r="H172">
        <v>27</v>
      </c>
      <c r="I172" t="s">
        <v>19</v>
      </c>
      <c r="J172">
        <v>2005</v>
      </c>
      <c r="K172">
        <v>2005</v>
      </c>
      <c r="L172" t="s">
        <v>20</v>
      </c>
      <c r="M172">
        <v>35903</v>
      </c>
      <c r="N172">
        <v>447</v>
      </c>
    </row>
    <row r="173" spans="1:14" x14ac:dyDescent="0.35">
      <c r="A173" t="s">
        <v>197</v>
      </c>
      <c r="B173" t="s">
        <v>15</v>
      </c>
      <c r="C173" t="s">
        <v>16</v>
      </c>
      <c r="D173">
        <v>52</v>
      </c>
      <c r="E173" t="s">
        <v>184</v>
      </c>
      <c r="F173">
        <v>5419</v>
      </c>
      <c r="G173" t="s">
        <v>18</v>
      </c>
      <c r="H173">
        <v>27</v>
      </c>
      <c r="I173" t="s">
        <v>19</v>
      </c>
      <c r="J173">
        <v>2006</v>
      </c>
      <c r="K173">
        <v>2006</v>
      </c>
      <c r="L173" t="s">
        <v>20</v>
      </c>
      <c r="M173">
        <v>42375</v>
      </c>
      <c r="N173">
        <v>447</v>
      </c>
    </row>
    <row r="174" spans="1:14" x14ac:dyDescent="0.35">
      <c r="A174" t="s">
        <v>198</v>
      </c>
      <c r="B174" t="s">
        <v>15</v>
      </c>
      <c r="C174" t="s">
        <v>16</v>
      </c>
      <c r="D174">
        <v>52</v>
      </c>
      <c r="E174" t="s">
        <v>184</v>
      </c>
      <c r="F174">
        <v>5419</v>
      </c>
      <c r="G174" t="s">
        <v>18</v>
      </c>
      <c r="H174">
        <v>27</v>
      </c>
      <c r="I174" t="s">
        <v>19</v>
      </c>
      <c r="J174">
        <v>2007</v>
      </c>
      <c r="K174">
        <v>2007</v>
      </c>
      <c r="L174" t="s">
        <v>20</v>
      </c>
      <c r="M174">
        <v>33886</v>
      </c>
      <c r="N174">
        <v>447</v>
      </c>
    </row>
    <row r="175" spans="1:14" x14ac:dyDescent="0.35">
      <c r="A175" t="s">
        <v>199</v>
      </c>
      <c r="B175" t="s">
        <v>15</v>
      </c>
      <c r="C175" t="s">
        <v>16</v>
      </c>
      <c r="D175">
        <v>52</v>
      </c>
      <c r="E175" t="s">
        <v>184</v>
      </c>
      <c r="F175">
        <v>5419</v>
      </c>
      <c r="G175" t="s">
        <v>18</v>
      </c>
      <c r="H175">
        <v>27</v>
      </c>
      <c r="I175" t="s">
        <v>19</v>
      </c>
      <c r="J175">
        <v>2008</v>
      </c>
      <c r="K175">
        <v>2008</v>
      </c>
      <c r="L175" t="s">
        <v>20</v>
      </c>
      <c r="M175">
        <v>27973</v>
      </c>
      <c r="N175">
        <v>447</v>
      </c>
    </row>
    <row r="176" spans="1:14" x14ac:dyDescent="0.35">
      <c r="A176" t="s">
        <v>200</v>
      </c>
      <c r="B176" t="s">
        <v>15</v>
      </c>
      <c r="C176" t="s">
        <v>16</v>
      </c>
      <c r="D176">
        <v>52</v>
      </c>
      <c r="E176" t="s">
        <v>184</v>
      </c>
      <c r="F176">
        <v>5419</v>
      </c>
      <c r="G176" t="s">
        <v>18</v>
      </c>
      <c r="H176">
        <v>27</v>
      </c>
      <c r="I176" t="s">
        <v>19</v>
      </c>
      <c r="J176">
        <v>2009</v>
      </c>
      <c r="K176">
        <v>2009</v>
      </c>
      <c r="L176" t="s">
        <v>20</v>
      </c>
      <c r="M176">
        <v>25279</v>
      </c>
      <c r="N176">
        <v>447</v>
      </c>
    </row>
    <row r="177" spans="1:14" x14ac:dyDescent="0.35">
      <c r="A177" t="s">
        <v>201</v>
      </c>
      <c r="B177" t="s">
        <v>15</v>
      </c>
      <c r="C177" t="s">
        <v>16</v>
      </c>
      <c r="D177">
        <v>52</v>
      </c>
      <c r="E177" t="s">
        <v>184</v>
      </c>
      <c r="F177">
        <v>5419</v>
      </c>
      <c r="G177" t="s">
        <v>18</v>
      </c>
      <c r="H177">
        <v>27</v>
      </c>
      <c r="I177" t="s">
        <v>19</v>
      </c>
      <c r="J177">
        <v>2010</v>
      </c>
      <c r="K177">
        <v>2010</v>
      </c>
      <c r="L177" t="s">
        <v>20</v>
      </c>
      <c r="M177">
        <v>23963</v>
      </c>
      <c r="N177">
        <v>447</v>
      </c>
    </row>
    <row r="178" spans="1:14" x14ac:dyDescent="0.35">
      <c r="A178" t="s">
        <v>202</v>
      </c>
      <c r="B178" t="s">
        <v>15</v>
      </c>
      <c r="C178" t="s">
        <v>16</v>
      </c>
      <c r="D178">
        <v>52</v>
      </c>
      <c r="E178" t="s">
        <v>184</v>
      </c>
      <c r="F178">
        <v>5419</v>
      </c>
      <c r="G178" t="s">
        <v>18</v>
      </c>
      <c r="H178">
        <v>27</v>
      </c>
      <c r="I178" t="s">
        <v>19</v>
      </c>
      <c r="J178">
        <v>2011</v>
      </c>
      <c r="K178">
        <v>2011</v>
      </c>
      <c r="L178" t="s">
        <v>20</v>
      </c>
      <c r="M178">
        <v>20947</v>
      </c>
      <c r="N178">
        <v>447</v>
      </c>
    </row>
    <row r="179" spans="1:14" x14ac:dyDescent="0.35">
      <c r="A179" t="s">
        <v>203</v>
      </c>
      <c r="B179" t="s">
        <v>15</v>
      </c>
      <c r="C179" t="s">
        <v>16</v>
      </c>
      <c r="D179">
        <v>52</v>
      </c>
      <c r="E179" t="s">
        <v>184</v>
      </c>
      <c r="F179">
        <v>5419</v>
      </c>
      <c r="G179" t="s">
        <v>18</v>
      </c>
      <c r="H179">
        <v>27</v>
      </c>
      <c r="I179" t="s">
        <v>19</v>
      </c>
      <c r="J179">
        <v>2012</v>
      </c>
      <c r="K179">
        <v>2012</v>
      </c>
      <c r="L179" t="s">
        <v>20</v>
      </c>
      <c r="M179">
        <v>22249</v>
      </c>
      <c r="N179">
        <v>447</v>
      </c>
    </row>
    <row r="180" spans="1:14" x14ac:dyDescent="0.35">
      <c r="A180" t="s">
        <v>204</v>
      </c>
      <c r="B180" t="s">
        <v>15</v>
      </c>
      <c r="C180" t="s">
        <v>16</v>
      </c>
      <c r="D180">
        <v>52</v>
      </c>
      <c r="E180" t="s">
        <v>184</v>
      </c>
      <c r="F180">
        <v>5419</v>
      </c>
      <c r="G180" t="s">
        <v>18</v>
      </c>
      <c r="H180">
        <v>27</v>
      </c>
      <c r="I180" t="s">
        <v>19</v>
      </c>
      <c r="J180">
        <v>2013</v>
      </c>
      <c r="K180">
        <v>2013</v>
      </c>
      <c r="L180" t="s">
        <v>20</v>
      </c>
      <c r="M180">
        <v>22808</v>
      </c>
      <c r="N180">
        <v>447</v>
      </c>
    </row>
    <row r="181" spans="1:14" x14ac:dyDescent="0.35">
      <c r="A181" t="s">
        <v>205</v>
      </c>
      <c r="B181" t="s">
        <v>15</v>
      </c>
      <c r="C181" t="s">
        <v>16</v>
      </c>
      <c r="D181">
        <v>52</v>
      </c>
      <c r="E181" t="s">
        <v>184</v>
      </c>
      <c r="F181">
        <v>5419</v>
      </c>
      <c r="G181" t="s">
        <v>18</v>
      </c>
      <c r="H181">
        <v>27</v>
      </c>
      <c r="I181" t="s">
        <v>19</v>
      </c>
      <c r="J181">
        <v>2014</v>
      </c>
      <c r="K181">
        <v>2014</v>
      </c>
      <c r="L181" t="s">
        <v>20</v>
      </c>
      <c r="M181">
        <v>24646</v>
      </c>
      <c r="N181">
        <v>447</v>
      </c>
    </row>
    <row r="182" spans="1:14" x14ac:dyDescent="0.35">
      <c r="A182" t="s">
        <v>206</v>
      </c>
      <c r="B182" t="s">
        <v>15</v>
      </c>
      <c r="C182" t="s">
        <v>16</v>
      </c>
      <c r="D182">
        <v>52</v>
      </c>
      <c r="E182" t="s">
        <v>184</v>
      </c>
      <c r="F182">
        <v>5419</v>
      </c>
      <c r="G182" t="s">
        <v>18</v>
      </c>
      <c r="H182">
        <v>27</v>
      </c>
      <c r="I182" t="s">
        <v>19</v>
      </c>
      <c r="J182">
        <v>2015</v>
      </c>
      <c r="K182">
        <v>2015</v>
      </c>
      <c r="L182" t="s">
        <v>20</v>
      </c>
      <c r="M182">
        <v>23696</v>
      </c>
      <c r="N182">
        <v>447</v>
      </c>
    </row>
    <row r="183" spans="1:14" x14ac:dyDescent="0.35">
      <c r="A183" t="s">
        <v>207</v>
      </c>
      <c r="B183" t="s">
        <v>15</v>
      </c>
      <c r="C183" t="s">
        <v>16</v>
      </c>
      <c r="D183">
        <v>52</v>
      </c>
      <c r="E183" t="s">
        <v>184</v>
      </c>
      <c r="F183">
        <v>5419</v>
      </c>
      <c r="G183" t="s">
        <v>18</v>
      </c>
      <c r="H183">
        <v>27</v>
      </c>
      <c r="I183" t="s">
        <v>19</v>
      </c>
      <c r="J183">
        <v>2016</v>
      </c>
      <c r="K183">
        <v>2016</v>
      </c>
      <c r="L183" t="s">
        <v>20</v>
      </c>
      <c r="M183">
        <v>21538</v>
      </c>
      <c r="N183">
        <v>447</v>
      </c>
    </row>
    <row r="184" spans="1:14" x14ac:dyDescent="0.35">
      <c r="A184" t="s">
        <v>208</v>
      </c>
      <c r="B184" t="s">
        <v>15</v>
      </c>
      <c r="C184" t="s">
        <v>16</v>
      </c>
      <c r="D184">
        <v>16</v>
      </c>
      <c r="E184" t="s">
        <v>209</v>
      </c>
      <c r="F184">
        <v>5419</v>
      </c>
      <c r="G184" t="s">
        <v>18</v>
      </c>
      <c r="H184">
        <v>27</v>
      </c>
      <c r="I184" t="s">
        <v>19</v>
      </c>
      <c r="J184">
        <v>1985</v>
      </c>
      <c r="K184">
        <v>1985</v>
      </c>
      <c r="L184" t="s">
        <v>20</v>
      </c>
      <c r="M184">
        <v>21693</v>
      </c>
      <c r="N184">
        <v>2666</v>
      </c>
    </row>
    <row r="185" spans="1:14" x14ac:dyDescent="0.35">
      <c r="A185" t="s">
        <v>210</v>
      </c>
      <c r="B185" t="s">
        <v>15</v>
      </c>
      <c r="C185" t="s">
        <v>16</v>
      </c>
      <c r="D185">
        <v>16</v>
      </c>
      <c r="E185" t="s">
        <v>209</v>
      </c>
      <c r="F185">
        <v>5419</v>
      </c>
      <c r="G185" t="s">
        <v>18</v>
      </c>
      <c r="H185">
        <v>27</v>
      </c>
      <c r="I185" t="s">
        <v>19</v>
      </c>
      <c r="J185">
        <v>1986</v>
      </c>
      <c r="K185">
        <v>1986</v>
      </c>
      <c r="L185" t="s">
        <v>20</v>
      </c>
      <c r="M185">
        <v>21783</v>
      </c>
      <c r="N185">
        <v>2666</v>
      </c>
    </row>
    <row r="186" spans="1:14" x14ac:dyDescent="0.35">
      <c r="A186" t="s">
        <v>211</v>
      </c>
      <c r="B186" t="s">
        <v>15</v>
      </c>
      <c r="C186" t="s">
        <v>16</v>
      </c>
      <c r="D186">
        <v>16</v>
      </c>
      <c r="E186" t="s">
        <v>209</v>
      </c>
      <c r="F186">
        <v>5419</v>
      </c>
      <c r="G186" t="s">
        <v>18</v>
      </c>
      <c r="H186">
        <v>27</v>
      </c>
      <c r="I186" t="s">
        <v>19</v>
      </c>
      <c r="J186">
        <v>1987</v>
      </c>
      <c r="K186">
        <v>1987</v>
      </c>
      <c r="L186" t="s">
        <v>20</v>
      </c>
      <c r="M186">
        <v>22399</v>
      </c>
      <c r="N186">
        <v>2666</v>
      </c>
    </row>
    <row r="187" spans="1:14" x14ac:dyDescent="0.35">
      <c r="A187" t="s">
        <v>212</v>
      </c>
      <c r="B187" t="s">
        <v>15</v>
      </c>
      <c r="C187" t="s">
        <v>16</v>
      </c>
      <c r="D187">
        <v>16</v>
      </c>
      <c r="E187" t="s">
        <v>209</v>
      </c>
      <c r="F187">
        <v>5419</v>
      </c>
      <c r="G187" t="s">
        <v>18</v>
      </c>
      <c r="H187">
        <v>27</v>
      </c>
      <c r="I187" t="s">
        <v>19</v>
      </c>
      <c r="J187">
        <v>1989</v>
      </c>
      <c r="K187">
        <v>1989</v>
      </c>
      <c r="L187" t="s">
        <v>20</v>
      </c>
      <c r="M187">
        <v>25562</v>
      </c>
      <c r="N187">
        <v>2666</v>
      </c>
    </row>
    <row r="188" spans="1:14" x14ac:dyDescent="0.35">
      <c r="A188" t="s">
        <v>213</v>
      </c>
      <c r="B188" t="s">
        <v>15</v>
      </c>
      <c r="C188" t="s">
        <v>16</v>
      </c>
      <c r="D188">
        <v>16</v>
      </c>
      <c r="E188" t="s">
        <v>209</v>
      </c>
      <c r="F188">
        <v>5419</v>
      </c>
      <c r="G188" t="s">
        <v>18</v>
      </c>
      <c r="H188">
        <v>27</v>
      </c>
      <c r="I188" t="s">
        <v>19</v>
      </c>
      <c r="J188">
        <v>1990</v>
      </c>
      <c r="K188">
        <v>1990</v>
      </c>
      <c r="L188" t="s">
        <v>20</v>
      </c>
      <c r="M188">
        <v>25661</v>
      </c>
      <c r="N188">
        <v>2666</v>
      </c>
    </row>
    <row r="189" spans="1:14" x14ac:dyDescent="0.35">
      <c r="A189" t="s">
        <v>214</v>
      </c>
      <c r="B189" t="s">
        <v>15</v>
      </c>
      <c r="C189" t="s">
        <v>16</v>
      </c>
      <c r="D189">
        <v>16</v>
      </c>
      <c r="E189" t="s">
        <v>209</v>
      </c>
      <c r="F189">
        <v>5419</v>
      </c>
      <c r="G189" t="s">
        <v>18</v>
      </c>
      <c r="H189">
        <v>27</v>
      </c>
      <c r="I189" t="s">
        <v>19</v>
      </c>
      <c r="J189">
        <v>1991</v>
      </c>
      <c r="K189">
        <v>1991</v>
      </c>
      <c r="L189" t="s">
        <v>20</v>
      </c>
      <c r="M189">
        <v>26592</v>
      </c>
      <c r="N189">
        <v>2666</v>
      </c>
    </row>
    <row r="190" spans="1:14" x14ac:dyDescent="0.35">
      <c r="A190" t="s">
        <v>215</v>
      </c>
      <c r="B190" t="s">
        <v>15</v>
      </c>
      <c r="C190" t="s">
        <v>16</v>
      </c>
      <c r="D190">
        <v>16</v>
      </c>
      <c r="E190" t="s">
        <v>209</v>
      </c>
      <c r="F190">
        <v>5419</v>
      </c>
      <c r="G190" t="s">
        <v>18</v>
      </c>
      <c r="H190">
        <v>27</v>
      </c>
      <c r="I190" t="s">
        <v>19</v>
      </c>
      <c r="J190">
        <v>1992</v>
      </c>
      <c r="K190">
        <v>1992</v>
      </c>
      <c r="L190" t="s">
        <v>20</v>
      </c>
      <c r="M190">
        <v>26893</v>
      </c>
      <c r="N190">
        <v>2666</v>
      </c>
    </row>
    <row r="191" spans="1:14" x14ac:dyDescent="0.35">
      <c r="A191" t="s">
        <v>216</v>
      </c>
      <c r="B191" t="s">
        <v>15</v>
      </c>
      <c r="C191" t="s">
        <v>16</v>
      </c>
      <c r="D191">
        <v>16</v>
      </c>
      <c r="E191" t="s">
        <v>209</v>
      </c>
      <c r="F191">
        <v>5419</v>
      </c>
      <c r="G191" t="s">
        <v>18</v>
      </c>
      <c r="H191">
        <v>27</v>
      </c>
      <c r="I191" t="s">
        <v>19</v>
      </c>
      <c r="J191">
        <v>1993</v>
      </c>
      <c r="K191">
        <v>1993</v>
      </c>
      <c r="L191" t="s">
        <v>20</v>
      </c>
      <c r="M191">
        <v>27185</v>
      </c>
      <c r="N191">
        <v>2666</v>
      </c>
    </row>
    <row r="192" spans="1:14" x14ac:dyDescent="0.35">
      <c r="A192" t="s">
        <v>217</v>
      </c>
      <c r="B192" t="s">
        <v>15</v>
      </c>
      <c r="C192" t="s">
        <v>16</v>
      </c>
      <c r="D192">
        <v>16</v>
      </c>
      <c r="E192" t="s">
        <v>209</v>
      </c>
      <c r="F192">
        <v>5419</v>
      </c>
      <c r="G192" t="s">
        <v>18</v>
      </c>
      <c r="H192">
        <v>27</v>
      </c>
      <c r="I192" t="s">
        <v>19</v>
      </c>
      <c r="J192">
        <v>1994</v>
      </c>
      <c r="K192">
        <v>1994</v>
      </c>
      <c r="L192" t="s">
        <v>20</v>
      </c>
      <c r="M192">
        <v>25328</v>
      </c>
      <c r="N192">
        <v>2666</v>
      </c>
    </row>
    <row r="193" spans="1:14" x14ac:dyDescent="0.35">
      <c r="A193" t="s">
        <v>218</v>
      </c>
      <c r="B193" t="s">
        <v>15</v>
      </c>
      <c r="C193" t="s">
        <v>16</v>
      </c>
      <c r="D193">
        <v>16</v>
      </c>
      <c r="E193" t="s">
        <v>209</v>
      </c>
      <c r="F193">
        <v>5419</v>
      </c>
      <c r="G193" t="s">
        <v>18</v>
      </c>
      <c r="H193">
        <v>27</v>
      </c>
      <c r="I193" t="s">
        <v>19</v>
      </c>
      <c r="J193">
        <v>1995</v>
      </c>
      <c r="K193">
        <v>1995</v>
      </c>
      <c r="L193" t="s">
        <v>20</v>
      </c>
      <c r="M193">
        <v>26527</v>
      </c>
      <c r="N193">
        <v>2666</v>
      </c>
    </row>
    <row r="194" spans="1:14" x14ac:dyDescent="0.35">
      <c r="A194" t="s">
        <v>219</v>
      </c>
      <c r="B194" t="s">
        <v>15</v>
      </c>
      <c r="C194" t="s">
        <v>16</v>
      </c>
      <c r="D194">
        <v>16</v>
      </c>
      <c r="E194" t="s">
        <v>209</v>
      </c>
      <c r="F194">
        <v>5419</v>
      </c>
      <c r="G194" t="s">
        <v>18</v>
      </c>
      <c r="H194">
        <v>27</v>
      </c>
      <c r="I194" t="s">
        <v>19</v>
      </c>
      <c r="J194">
        <v>1996</v>
      </c>
      <c r="K194">
        <v>1996</v>
      </c>
      <c r="L194" t="s">
        <v>20</v>
      </c>
      <c r="M194">
        <v>27629</v>
      </c>
      <c r="N194">
        <v>2666</v>
      </c>
    </row>
    <row r="195" spans="1:14" x14ac:dyDescent="0.35">
      <c r="A195" t="s">
        <v>220</v>
      </c>
      <c r="B195" t="s">
        <v>15</v>
      </c>
      <c r="C195" t="s">
        <v>16</v>
      </c>
      <c r="D195">
        <v>16</v>
      </c>
      <c r="E195" t="s">
        <v>209</v>
      </c>
      <c r="F195">
        <v>5419</v>
      </c>
      <c r="G195" t="s">
        <v>18</v>
      </c>
      <c r="H195">
        <v>27</v>
      </c>
      <c r="I195" t="s">
        <v>19</v>
      </c>
      <c r="J195">
        <v>1997</v>
      </c>
      <c r="K195">
        <v>1997</v>
      </c>
      <c r="L195" t="s">
        <v>20</v>
      </c>
      <c r="M195">
        <v>27431</v>
      </c>
      <c r="N195">
        <v>2666</v>
      </c>
    </row>
    <row r="196" spans="1:14" x14ac:dyDescent="0.35">
      <c r="A196" t="s">
        <v>221</v>
      </c>
      <c r="B196" t="s">
        <v>15</v>
      </c>
      <c r="C196" t="s">
        <v>16</v>
      </c>
      <c r="D196">
        <v>16</v>
      </c>
      <c r="E196" t="s">
        <v>209</v>
      </c>
      <c r="F196">
        <v>5419</v>
      </c>
      <c r="G196" t="s">
        <v>18</v>
      </c>
      <c r="H196">
        <v>27</v>
      </c>
      <c r="I196" t="s">
        <v>19</v>
      </c>
      <c r="J196">
        <v>1998</v>
      </c>
      <c r="K196">
        <v>1998</v>
      </c>
      <c r="L196" t="s">
        <v>20</v>
      </c>
      <c r="M196">
        <v>29358</v>
      </c>
      <c r="N196">
        <v>2666</v>
      </c>
    </row>
    <row r="197" spans="1:14" x14ac:dyDescent="0.35">
      <c r="A197" t="s">
        <v>222</v>
      </c>
      <c r="B197" t="s">
        <v>15</v>
      </c>
      <c r="C197" t="s">
        <v>16</v>
      </c>
      <c r="D197">
        <v>16</v>
      </c>
      <c r="E197" t="s">
        <v>209</v>
      </c>
      <c r="F197">
        <v>5419</v>
      </c>
      <c r="G197" t="s">
        <v>18</v>
      </c>
      <c r="H197">
        <v>27</v>
      </c>
      <c r="I197" t="s">
        <v>19</v>
      </c>
      <c r="J197">
        <v>1999</v>
      </c>
      <c r="K197">
        <v>1999</v>
      </c>
      <c r="L197" t="s">
        <v>20</v>
      </c>
      <c r="M197">
        <v>32139</v>
      </c>
      <c r="N197">
        <v>2666</v>
      </c>
    </row>
    <row r="198" spans="1:14" x14ac:dyDescent="0.35">
      <c r="A198" t="s">
        <v>223</v>
      </c>
      <c r="B198" t="s">
        <v>15</v>
      </c>
      <c r="C198" t="s">
        <v>16</v>
      </c>
      <c r="D198">
        <v>16</v>
      </c>
      <c r="E198" t="s">
        <v>209</v>
      </c>
      <c r="F198">
        <v>5419</v>
      </c>
      <c r="G198" t="s">
        <v>18</v>
      </c>
      <c r="H198">
        <v>27</v>
      </c>
      <c r="I198" t="s">
        <v>19</v>
      </c>
      <c r="J198">
        <v>2000</v>
      </c>
      <c r="K198">
        <v>2000</v>
      </c>
      <c r="L198" t="s">
        <v>20</v>
      </c>
      <c r="M198">
        <v>34836</v>
      </c>
      <c r="N198">
        <v>2666</v>
      </c>
    </row>
    <row r="199" spans="1:14" x14ac:dyDescent="0.35">
      <c r="A199" t="s">
        <v>224</v>
      </c>
      <c r="B199" t="s">
        <v>15</v>
      </c>
      <c r="C199" t="s">
        <v>16</v>
      </c>
      <c r="D199">
        <v>16</v>
      </c>
      <c r="E199" t="s">
        <v>209</v>
      </c>
      <c r="F199">
        <v>5419</v>
      </c>
      <c r="G199" t="s">
        <v>18</v>
      </c>
      <c r="H199">
        <v>27</v>
      </c>
      <c r="I199" t="s">
        <v>19</v>
      </c>
      <c r="J199">
        <v>2001</v>
      </c>
      <c r="K199">
        <v>2001</v>
      </c>
      <c r="L199" t="s">
        <v>20</v>
      </c>
      <c r="M199">
        <v>34020</v>
      </c>
      <c r="N199">
        <v>2666</v>
      </c>
    </row>
    <row r="200" spans="1:14" x14ac:dyDescent="0.35">
      <c r="A200" t="s">
        <v>225</v>
      </c>
      <c r="B200" t="s">
        <v>15</v>
      </c>
      <c r="C200" t="s">
        <v>16</v>
      </c>
      <c r="D200">
        <v>16</v>
      </c>
      <c r="E200" t="s">
        <v>209</v>
      </c>
      <c r="F200">
        <v>5419</v>
      </c>
      <c r="G200" t="s">
        <v>18</v>
      </c>
      <c r="H200">
        <v>27</v>
      </c>
      <c r="I200" t="s">
        <v>19</v>
      </c>
      <c r="J200">
        <v>2002</v>
      </c>
      <c r="K200">
        <v>2002</v>
      </c>
      <c r="L200" t="s">
        <v>20</v>
      </c>
      <c r="M200">
        <v>34902</v>
      </c>
      <c r="N200">
        <v>2666</v>
      </c>
    </row>
    <row r="201" spans="1:14" x14ac:dyDescent="0.35">
      <c r="A201" t="s">
        <v>226</v>
      </c>
      <c r="B201" t="s">
        <v>15</v>
      </c>
      <c r="C201" t="s">
        <v>16</v>
      </c>
      <c r="D201">
        <v>16</v>
      </c>
      <c r="E201" t="s">
        <v>209</v>
      </c>
      <c r="F201">
        <v>5419</v>
      </c>
      <c r="G201" t="s">
        <v>18</v>
      </c>
      <c r="H201">
        <v>27</v>
      </c>
      <c r="I201" t="s">
        <v>19</v>
      </c>
      <c r="J201">
        <v>2004</v>
      </c>
      <c r="K201">
        <v>2004</v>
      </c>
      <c r="L201" t="s">
        <v>20</v>
      </c>
      <c r="M201">
        <v>35359</v>
      </c>
      <c r="N201">
        <v>2666</v>
      </c>
    </row>
    <row r="202" spans="1:14" x14ac:dyDescent="0.35">
      <c r="A202" t="s">
        <v>227</v>
      </c>
      <c r="B202" t="s">
        <v>15</v>
      </c>
      <c r="C202" t="s">
        <v>16</v>
      </c>
      <c r="D202">
        <v>16</v>
      </c>
      <c r="E202" t="s">
        <v>209</v>
      </c>
      <c r="F202">
        <v>5419</v>
      </c>
      <c r="G202" t="s">
        <v>18</v>
      </c>
      <c r="H202">
        <v>27</v>
      </c>
      <c r="I202" t="s">
        <v>19</v>
      </c>
      <c r="J202">
        <v>2005</v>
      </c>
      <c r="K202">
        <v>2005</v>
      </c>
      <c r="L202" t="s">
        <v>20</v>
      </c>
      <c r="M202">
        <v>37814</v>
      </c>
      <c r="N202">
        <v>2666</v>
      </c>
    </row>
    <row r="203" spans="1:14" x14ac:dyDescent="0.35">
      <c r="A203" t="s">
        <v>228</v>
      </c>
      <c r="B203" t="s">
        <v>15</v>
      </c>
      <c r="C203" t="s">
        <v>16</v>
      </c>
      <c r="D203">
        <v>16</v>
      </c>
      <c r="E203" t="s">
        <v>209</v>
      </c>
      <c r="F203">
        <v>5419</v>
      </c>
      <c r="G203" t="s">
        <v>18</v>
      </c>
      <c r="H203">
        <v>27</v>
      </c>
      <c r="I203" t="s">
        <v>19</v>
      </c>
      <c r="J203">
        <v>2006</v>
      </c>
      <c r="K203">
        <v>2006</v>
      </c>
      <c r="L203" t="s">
        <v>20</v>
      </c>
      <c r="M203">
        <v>38541</v>
      </c>
      <c r="N203">
        <v>2666</v>
      </c>
    </row>
    <row r="204" spans="1:14" x14ac:dyDescent="0.35">
      <c r="A204" t="s">
        <v>229</v>
      </c>
      <c r="B204" t="s">
        <v>15</v>
      </c>
      <c r="C204" t="s">
        <v>16</v>
      </c>
      <c r="D204">
        <v>16</v>
      </c>
      <c r="E204" t="s">
        <v>209</v>
      </c>
      <c r="F204">
        <v>5419</v>
      </c>
      <c r="G204" t="s">
        <v>18</v>
      </c>
      <c r="H204">
        <v>27</v>
      </c>
      <c r="I204" t="s">
        <v>19</v>
      </c>
      <c r="J204">
        <v>2007</v>
      </c>
      <c r="K204">
        <v>2007</v>
      </c>
      <c r="L204" t="s">
        <v>20</v>
      </c>
      <c r="M204">
        <v>40833</v>
      </c>
      <c r="N204">
        <v>2666</v>
      </c>
    </row>
    <row r="205" spans="1:14" x14ac:dyDescent="0.35">
      <c r="A205" t="s">
        <v>230</v>
      </c>
      <c r="B205" t="s">
        <v>15</v>
      </c>
      <c r="C205" t="s">
        <v>16</v>
      </c>
      <c r="D205">
        <v>16</v>
      </c>
      <c r="E205" t="s">
        <v>209</v>
      </c>
      <c r="F205">
        <v>5419</v>
      </c>
      <c r="G205" t="s">
        <v>18</v>
      </c>
      <c r="H205">
        <v>27</v>
      </c>
      <c r="I205" t="s">
        <v>19</v>
      </c>
      <c r="J205">
        <v>2008</v>
      </c>
      <c r="K205">
        <v>2008</v>
      </c>
      <c r="L205" t="s">
        <v>20</v>
      </c>
      <c r="M205">
        <v>41441</v>
      </c>
      <c r="N205">
        <v>2666</v>
      </c>
    </row>
    <row r="206" spans="1:14" x14ac:dyDescent="0.35">
      <c r="A206" t="s">
        <v>231</v>
      </c>
      <c r="B206" t="s">
        <v>15</v>
      </c>
      <c r="C206" t="s">
        <v>16</v>
      </c>
      <c r="D206">
        <v>16</v>
      </c>
      <c r="E206" t="s">
        <v>209</v>
      </c>
      <c r="F206">
        <v>5419</v>
      </c>
      <c r="G206" t="s">
        <v>18</v>
      </c>
      <c r="H206">
        <v>27</v>
      </c>
      <c r="I206" t="s">
        <v>19</v>
      </c>
      <c r="J206">
        <v>2009</v>
      </c>
      <c r="K206">
        <v>2009</v>
      </c>
      <c r="L206" t="s">
        <v>20</v>
      </c>
      <c r="M206">
        <v>42404</v>
      </c>
      <c r="N206">
        <v>2666</v>
      </c>
    </row>
    <row r="207" spans="1:14" x14ac:dyDescent="0.35">
      <c r="A207" t="s">
        <v>232</v>
      </c>
      <c r="B207" t="s">
        <v>15</v>
      </c>
      <c r="C207" t="s">
        <v>16</v>
      </c>
      <c r="D207">
        <v>16</v>
      </c>
      <c r="E207" t="s">
        <v>209</v>
      </c>
      <c r="F207">
        <v>5419</v>
      </c>
      <c r="G207" t="s">
        <v>18</v>
      </c>
      <c r="H207">
        <v>27</v>
      </c>
      <c r="I207" t="s">
        <v>19</v>
      </c>
      <c r="J207">
        <v>2010</v>
      </c>
      <c r="K207">
        <v>2010</v>
      </c>
      <c r="L207" t="s">
        <v>20</v>
      </c>
      <c r="M207">
        <v>43422</v>
      </c>
      <c r="N207">
        <v>2666</v>
      </c>
    </row>
    <row r="208" spans="1:14" x14ac:dyDescent="0.35">
      <c r="A208" t="s">
        <v>233</v>
      </c>
      <c r="B208" t="s">
        <v>15</v>
      </c>
      <c r="C208" t="s">
        <v>16</v>
      </c>
      <c r="D208">
        <v>16</v>
      </c>
      <c r="E208" t="s">
        <v>209</v>
      </c>
      <c r="F208">
        <v>5419</v>
      </c>
      <c r="G208" t="s">
        <v>18</v>
      </c>
      <c r="H208">
        <v>27</v>
      </c>
      <c r="I208" t="s">
        <v>19</v>
      </c>
      <c r="J208">
        <v>2011</v>
      </c>
      <c r="K208">
        <v>2011</v>
      </c>
      <c r="L208" t="s">
        <v>20</v>
      </c>
      <c r="M208">
        <v>43917</v>
      </c>
      <c r="N208">
        <v>2666</v>
      </c>
    </row>
    <row r="209" spans="1:14" x14ac:dyDescent="0.35">
      <c r="A209" t="s">
        <v>234</v>
      </c>
      <c r="B209" t="s">
        <v>15</v>
      </c>
      <c r="C209" t="s">
        <v>16</v>
      </c>
      <c r="D209">
        <v>16</v>
      </c>
      <c r="E209" t="s">
        <v>209</v>
      </c>
      <c r="F209">
        <v>5419</v>
      </c>
      <c r="G209" t="s">
        <v>18</v>
      </c>
      <c r="H209">
        <v>27</v>
      </c>
      <c r="I209" t="s">
        <v>19</v>
      </c>
      <c r="J209">
        <v>2012</v>
      </c>
      <c r="K209">
        <v>2012</v>
      </c>
      <c r="L209" t="s">
        <v>20</v>
      </c>
      <c r="M209">
        <v>44206</v>
      </c>
      <c r="N209">
        <v>2666</v>
      </c>
    </row>
    <row r="210" spans="1:14" x14ac:dyDescent="0.35">
      <c r="A210" t="s">
        <v>235</v>
      </c>
      <c r="B210" t="s">
        <v>15</v>
      </c>
      <c r="C210" t="s">
        <v>16</v>
      </c>
      <c r="D210">
        <v>16</v>
      </c>
      <c r="E210" t="s">
        <v>209</v>
      </c>
      <c r="F210">
        <v>5419</v>
      </c>
      <c r="G210" t="s">
        <v>18</v>
      </c>
      <c r="H210">
        <v>27</v>
      </c>
      <c r="I210" t="s">
        <v>19</v>
      </c>
      <c r="J210">
        <v>2013</v>
      </c>
      <c r="K210">
        <v>2013</v>
      </c>
      <c r="L210" t="s">
        <v>20</v>
      </c>
      <c r="M210">
        <v>45317</v>
      </c>
      <c r="N210">
        <v>2666</v>
      </c>
    </row>
    <row r="211" spans="1:14" x14ac:dyDescent="0.35">
      <c r="A211" t="s">
        <v>236</v>
      </c>
      <c r="B211" t="s">
        <v>15</v>
      </c>
      <c r="C211" t="s">
        <v>16</v>
      </c>
      <c r="D211">
        <v>16</v>
      </c>
      <c r="E211" t="s">
        <v>209</v>
      </c>
      <c r="F211">
        <v>5419</v>
      </c>
      <c r="G211" t="s">
        <v>18</v>
      </c>
      <c r="H211">
        <v>27</v>
      </c>
      <c r="I211" t="s">
        <v>19</v>
      </c>
      <c r="J211">
        <v>2014</v>
      </c>
      <c r="K211">
        <v>2014</v>
      </c>
      <c r="L211" t="s">
        <v>20</v>
      </c>
      <c r="M211">
        <v>46226</v>
      </c>
      <c r="N211">
        <v>2666</v>
      </c>
    </row>
    <row r="212" spans="1:14" x14ac:dyDescent="0.35">
      <c r="A212" t="s">
        <v>237</v>
      </c>
      <c r="B212" t="s">
        <v>15</v>
      </c>
      <c r="C212" t="s">
        <v>16</v>
      </c>
      <c r="D212">
        <v>16</v>
      </c>
      <c r="E212" t="s">
        <v>209</v>
      </c>
      <c r="F212">
        <v>5419</v>
      </c>
      <c r="G212" t="s">
        <v>18</v>
      </c>
      <c r="H212">
        <v>27</v>
      </c>
      <c r="I212" t="s">
        <v>19</v>
      </c>
      <c r="J212">
        <v>2015</v>
      </c>
      <c r="K212">
        <v>2015</v>
      </c>
      <c r="L212" t="s">
        <v>20</v>
      </c>
      <c r="M212">
        <v>45093</v>
      </c>
      <c r="N212">
        <v>2666</v>
      </c>
    </row>
    <row r="213" spans="1:14" x14ac:dyDescent="0.35">
      <c r="A213" t="s">
        <v>238</v>
      </c>
      <c r="B213" t="s">
        <v>15</v>
      </c>
      <c r="C213" t="s">
        <v>16</v>
      </c>
      <c r="D213">
        <v>16</v>
      </c>
      <c r="E213" t="s">
        <v>209</v>
      </c>
      <c r="F213">
        <v>5419</v>
      </c>
      <c r="G213" t="s">
        <v>18</v>
      </c>
      <c r="H213">
        <v>27</v>
      </c>
      <c r="I213" t="s">
        <v>19</v>
      </c>
      <c r="J213">
        <v>2016</v>
      </c>
      <c r="K213">
        <v>2016</v>
      </c>
      <c r="L213" t="s">
        <v>20</v>
      </c>
      <c r="M213">
        <v>46188</v>
      </c>
      <c r="N213">
        <v>2666</v>
      </c>
    </row>
    <row r="214" spans="1:14" x14ac:dyDescent="0.35">
      <c r="A214" t="s">
        <v>239</v>
      </c>
      <c r="B214" t="s">
        <v>15</v>
      </c>
      <c r="C214" t="s">
        <v>16</v>
      </c>
      <c r="D214">
        <v>23</v>
      </c>
      <c r="E214" t="s">
        <v>240</v>
      </c>
      <c r="F214">
        <v>5419</v>
      </c>
      <c r="G214" t="s">
        <v>18</v>
      </c>
      <c r="H214">
        <v>27</v>
      </c>
      <c r="I214" t="s">
        <v>19</v>
      </c>
      <c r="J214">
        <v>1985</v>
      </c>
      <c r="K214">
        <v>1985</v>
      </c>
      <c r="L214" t="s">
        <v>20</v>
      </c>
      <c r="M214">
        <v>22749</v>
      </c>
      <c r="N214">
        <v>1705</v>
      </c>
    </row>
    <row r="215" spans="1:14" x14ac:dyDescent="0.35">
      <c r="A215" t="s">
        <v>241</v>
      </c>
      <c r="B215" t="s">
        <v>15</v>
      </c>
      <c r="C215" t="s">
        <v>16</v>
      </c>
      <c r="D215">
        <v>23</v>
      </c>
      <c r="E215" t="s">
        <v>240</v>
      </c>
      <c r="F215">
        <v>5419</v>
      </c>
      <c r="G215" t="s">
        <v>18</v>
      </c>
      <c r="H215">
        <v>27</v>
      </c>
      <c r="I215" t="s">
        <v>19</v>
      </c>
      <c r="J215">
        <v>1986</v>
      </c>
      <c r="K215">
        <v>1986</v>
      </c>
      <c r="L215" t="s">
        <v>20</v>
      </c>
      <c r="M215">
        <v>28784</v>
      </c>
      <c r="N215">
        <v>1705</v>
      </c>
    </row>
    <row r="216" spans="1:14" x14ac:dyDescent="0.35">
      <c r="A216" t="s">
        <v>242</v>
      </c>
      <c r="B216" t="s">
        <v>15</v>
      </c>
      <c r="C216" t="s">
        <v>16</v>
      </c>
      <c r="D216">
        <v>23</v>
      </c>
      <c r="E216" t="s">
        <v>240</v>
      </c>
      <c r="F216">
        <v>5419</v>
      </c>
      <c r="G216" t="s">
        <v>18</v>
      </c>
      <c r="H216">
        <v>27</v>
      </c>
      <c r="I216" t="s">
        <v>19</v>
      </c>
      <c r="J216">
        <v>1987</v>
      </c>
      <c r="K216">
        <v>1987</v>
      </c>
      <c r="L216" t="s">
        <v>20</v>
      </c>
      <c r="M216">
        <v>25517</v>
      </c>
      <c r="N216">
        <v>1705</v>
      </c>
    </row>
    <row r="217" spans="1:14" x14ac:dyDescent="0.35">
      <c r="A217" t="s">
        <v>243</v>
      </c>
      <c r="B217" t="s">
        <v>15</v>
      </c>
      <c r="C217" t="s">
        <v>16</v>
      </c>
      <c r="D217">
        <v>23</v>
      </c>
      <c r="E217" t="s">
        <v>240</v>
      </c>
      <c r="F217">
        <v>5419</v>
      </c>
      <c r="G217" t="s">
        <v>18</v>
      </c>
      <c r="H217">
        <v>27</v>
      </c>
      <c r="I217" t="s">
        <v>19</v>
      </c>
      <c r="J217">
        <v>1989</v>
      </c>
      <c r="K217">
        <v>1989</v>
      </c>
      <c r="L217" t="s">
        <v>20</v>
      </c>
      <c r="M217">
        <v>12117</v>
      </c>
      <c r="N217">
        <v>1705</v>
      </c>
    </row>
    <row r="218" spans="1:14" x14ac:dyDescent="0.35">
      <c r="A218" t="s">
        <v>244</v>
      </c>
      <c r="B218" t="s">
        <v>15</v>
      </c>
      <c r="C218" t="s">
        <v>16</v>
      </c>
      <c r="D218">
        <v>23</v>
      </c>
      <c r="E218" t="s">
        <v>240</v>
      </c>
      <c r="F218">
        <v>5419</v>
      </c>
      <c r="G218" t="s">
        <v>18</v>
      </c>
      <c r="H218">
        <v>27</v>
      </c>
      <c r="I218" t="s">
        <v>19</v>
      </c>
      <c r="J218">
        <v>1990</v>
      </c>
      <c r="K218">
        <v>1990</v>
      </c>
      <c r="L218" t="s">
        <v>20</v>
      </c>
      <c r="M218">
        <v>14419</v>
      </c>
      <c r="N218">
        <v>1705</v>
      </c>
    </row>
    <row r="219" spans="1:14" x14ac:dyDescent="0.35">
      <c r="A219" t="s">
        <v>245</v>
      </c>
      <c r="B219" t="s">
        <v>15</v>
      </c>
      <c r="C219" t="s">
        <v>16</v>
      </c>
      <c r="D219">
        <v>23</v>
      </c>
      <c r="E219" t="s">
        <v>240</v>
      </c>
      <c r="F219">
        <v>5419</v>
      </c>
      <c r="G219" t="s">
        <v>18</v>
      </c>
      <c r="H219">
        <v>27</v>
      </c>
      <c r="I219" t="s">
        <v>19</v>
      </c>
      <c r="J219">
        <v>1991</v>
      </c>
      <c r="K219">
        <v>1991</v>
      </c>
      <c r="L219" t="s">
        <v>20</v>
      </c>
      <c r="M219">
        <v>12896</v>
      </c>
      <c r="N219">
        <v>1705</v>
      </c>
    </row>
    <row r="220" spans="1:14" x14ac:dyDescent="0.35">
      <c r="A220" t="s">
        <v>246</v>
      </c>
      <c r="B220" t="s">
        <v>15</v>
      </c>
      <c r="C220" t="s">
        <v>16</v>
      </c>
      <c r="D220">
        <v>23</v>
      </c>
      <c r="E220" t="s">
        <v>240</v>
      </c>
      <c r="F220">
        <v>5419</v>
      </c>
      <c r="G220" t="s">
        <v>18</v>
      </c>
      <c r="H220">
        <v>27</v>
      </c>
      <c r="I220" t="s">
        <v>19</v>
      </c>
      <c r="J220">
        <v>1992</v>
      </c>
      <c r="K220">
        <v>1992</v>
      </c>
      <c r="L220" t="s">
        <v>20</v>
      </c>
      <c r="M220">
        <v>22756</v>
      </c>
      <c r="N220">
        <v>1705</v>
      </c>
    </row>
    <row r="221" spans="1:14" x14ac:dyDescent="0.35">
      <c r="A221" t="s">
        <v>247</v>
      </c>
      <c r="B221" t="s">
        <v>15</v>
      </c>
      <c r="C221" t="s">
        <v>16</v>
      </c>
      <c r="D221">
        <v>23</v>
      </c>
      <c r="E221" t="s">
        <v>240</v>
      </c>
      <c r="F221">
        <v>5419</v>
      </c>
      <c r="G221" t="s">
        <v>18</v>
      </c>
      <c r="H221">
        <v>27</v>
      </c>
      <c r="I221" t="s">
        <v>19</v>
      </c>
      <c r="J221">
        <v>1993</v>
      </c>
      <c r="K221">
        <v>1993</v>
      </c>
      <c r="L221" t="s">
        <v>20</v>
      </c>
      <c r="M221">
        <v>21874</v>
      </c>
      <c r="N221">
        <v>1705</v>
      </c>
    </row>
    <row r="222" spans="1:14" x14ac:dyDescent="0.35">
      <c r="A222" t="s">
        <v>248</v>
      </c>
      <c r="B222" t="s">
        <v>15</v>
      </c>
      <c r="C222" t="s">
        <v>16</v>
      </c>
      <c r="D222">
        <v>23</v>
      </c>
      <c r="E222" t="s">
        <v>240</v>
      </c>
      <c r="F222">
        <v>5419</v>
      </c>
      <c r="G222" t="s">
        <v>18</v>
      </c>
      <c r="H222">
        <v>27</v>
      </c>
      <c r="I222" t="s">
        <v>19</v>
      </c>
      <c r="J222">
        <v>1994</v>
      </c>
      <c r="K222">
        <v>1994</v>
      </c>
      <c r="L222" t="s">
        <v>20</v>
      </c>
      <c r="M222">
        <v>15005</v>
      </c>
      <c r="N222">
        <v>1705</v>
      </c>
    </row>
    <row r="223" spans="1:14" x14ac:dyDescent="0.35">
      <c r="A223" t="s">
        <v>249</v>
      </c>
      <c r="B223" t="s">
        <v>15</v>
      </c>
      <c r="C223" t="s">
        <v>16</v>
      </c>
      <c r="D223">
        <v>23</v>
      </c>
      <c r="E223" t="s">
        <v>240</v>
      </c>
      <c r="F223">
        <v>5419</v>
      </c>
      <c r="G223" t="s">
        <v>18</v>
      </c>
      <c r="H223">
        <v>27</v>
      </c>
      <c r="I223" t="s">
        <v>19</v>
      </c>
      <c r="J223">
        <v>1995</v>
      </c>
      <c r="K223">
        <v>1995</v>
      </c>
      <c r="L223" t="s">
        <v>20</v>
      </c>
      <c r="M223">
        <v>19521</v>
      </c>
      <c r="N223">
        <v>1705</v>
      </c>
    </row>
    <row r="224" spans="1:14" x14ac:dyDescent="0.35">
      <c r="A224" t="s">
        <v>250</v>
      </c>
      <c r="B224" t="s">
        <v>15</v>
      </c>
      <c r="C224" t="s">
        <v>16</v>
      </c>
      <c r="D224">
        <v>23</v>
      </c>
      <c r="E224" t="s">
        <v>240</v>
      </c>
      <c r="F224">
        <v>5419</v>
      </c>
      <c r="G224" t="s">
        <v>18</v>
      </c>
      <c r="H224">
        <v>27</v>
      </c>
      <c r="I224" t="s">
        <v>19</v>
      </c>
      <c r="J224">
        <v>1996</v>
      </c>
      <c r="K224">
        <v>1996</v>
      </c>
      <c r="L224" t="s">
        <v>20</v>
      </c>
      <c r="M224">
        <v>22010</v>
      </c>
      <c r="N224">
        <v>1705</v>
      </c>
    </row>
    <row r="225" spans="1:14" x14ac:dyDescent="0.35">
      <c r="A225" t="s">
        <v>251</v>
      </c>
      <c r="B225" t="s">
        <v>15</v>
      </c>
      <c r="C225" t="s">
        <v>16</v>
      </c>
      <c r="D225">
        <v>23</v>
      </c>
      <c r="E225" t="s">
        <v>240</v>
      </c>
      <c r="F225">
        <v>5419</v>
      </c>
      <c r="G225" t="s">
        <v>18</v>
      </c>
      <c r="H225">
        <v>27</v>
      </c>
      <c r="I225" t="s">
        <v>19</v>
      </c>
      <c r="J225">
        <v>1997</v>
      </c>
      <c r="K225">
        <v>1997</v>
      </c>
      <c r="L225" t="s">
        <v>20</v>
      </c>
      <c r="M225">
        <v>26767</v>
      </c>
      <c r="N225">
        <v>1705</v>
      </c>
    </row>
    <row r="226" spans="1:14" x14ac:dyDescent="0.35">
      <c r="A226" t="s">
        <v>252</v>
      </c>
      <c r="B226" t="s">
        <v>15</v>
      </c>
      <c r="C226" t="s">
        <v>16</v>
      </c>
      <c r="D226">
        <v>23</v>
      </c>
      <c r="E226" t="s">
        <v>240</v>
      </c>
      <c r="F226">
        <v>5419</v>
      </c>
      <c r="G226" t="s">
        <v>18</v>
      </c>
      <c r="H226">
        <v>27</v>
      </c>
      <c r="I226" t="s">
        <v>19</v>
      </c>
      <c r="J226">
        <v>1998</v>
      </c>
      <c r="K226">
        <v>1998</v>
      </c>
      <c r="L226" t="s">
        <v>20</v>
      </c>
      <c r="M226">
        <v>18107</v>
      </c>
      <c r="N226">
        <v>1705</v>
      </c>
    </row>
    <row r="227" spans="1:14" x14ac:dyDescent="0.35">
      <c r="A227" t="s">
        <v>253</v>
      </c>
      <c r="B227" t="s">
        <v>15</v>
      </c>
      <c r="C227" t="s">
        <v>16</v>
      </c>
      <c r="D227">
        <v>23</v>
      </c>
      <c r="E227" t="s">
        <v>240</v>
      </c>
      <c r="F227">
        <v>5419</v>
      </c>
      <c r="G227" t="s">
        <v>18</v>
      </c>
      <c r="H227">
        <v>27</v>
      </c>
      <c r="I227" t="s">
        <v>19</v>
      </c>
      <c r="J227">
        <v>1999</v>
      </c>
      <c r="K227">
        <v>1999</v>
      </c>
      <c r="L227" t="s">
        <v>20</v>
      </c>
      <c r="M227">
        <v>27409</v>
      </c>
      <c r="N227">
        <v>1705</v>
      </c>
    </row>
    <row r="228" spans="1:14" x14ac:dyDescent="0.35">
      <c r="A228" t="s">
        <v>254</v>
      </c>
      <c r="B228" t="s">
        <v>15</v>
      </c>
      <c r="C228" t="s">
        <v>16</v>
      </c>
      <c r="D228">
        <v>23</v>
      </c>
      <c r="E228" t="s">
        <v>240</v>
      </c>
      <c r="F228">
        <v>5419</v>
      </c>
      <c r="G228" t="s">
        <v>18</v>
      </c>
      <c r="H228">
        <v>27</v>
      </c>
      <c r="I228" t="s">
        <v>19</v>
      </c>
      <c r="J228">
        <v>2000</v>
      </c>
      <c r="K228">
        <v>2000</v>
      </c>
      <c r="L228" t="s">
        <v>20</v>
      </c>
      <c r="M228">
        <v>27172</v>
      </c>
      <c r="N228">
        <v>1705</v>
      </c>
    </row>
    <row r="229" spans="1:14" x14ac:dyDescent="0.35">
      <c r="A229" t="s">
        <v>255</v>
      </c>
      <c r="B229" t="s">
        <v>15</v>
      </c>
      <c r="C229" t="s">
        <v>16</v>
      </c>
      <c r="D229">
        <v>23</v>
      </c>
      <c r="E229" t="s">
        <v>240</v>
      </c>
      <c r="F229">
        <v>5419</v>
      </c>
      <c r="G229" t="s">
        <v>18</v>
      </c>
      <c r="H229">
        <v>27</v>
      </c>
      <c r="I229" t="s">
        <v>19</v>
      </c>
      <c r="J229">
        <v>2001</v>
      </c>
      <c r="K229">
        <v>2001</v>
      </c>
      <c r="L229" t="s">
        <v>20</v>
      </c>
      <c r="M229">
        <v>30137</v>
      </c>
      <c r="N229">
        <v>1705</v>
      </c>
    </row>
    <row r="230" spans="1:14" x14ac:dyDescent="0.35">
      <c r="A230" t="s">
        <v>256</v>
      </c>
      <c r="B230" t="s">
        <v>15</v>
      </c>
      <c r="C230" t="s">
        <v>16</v>
      </c>
      <c r="D230">
        <v>23</v>
      </c>
      <c r="E230" t="s">
        <v>240</v>
      </c>
      <c r="F230">
        <v>5419</v>
      </c>
      <c r="G230" t="s">
        <v>18</v>
      </c>
      <c r="H230">
        <v>27</v>
      </c>
      <c r="I230" t="s">
        <v>19</v>
      </c>
      <c r="J230">
        <v>2002</v>
      </c>
      <c r="K230">
        <v>2002</v>
      </c>
      <c r="L230" t="s">
        <v>20</v>
      </c>
      <c r="M230">
        <v>22935</v>
      </c>
      <c r="N230">
        <v>1705</v>
      </c>
    </row>
    <row r="231" spans="1:14" x14ac:dyDescent="0.35">
      <c r="A231" t="s">
        <v>257</v>
      </c>
      <c r="B231" t="s">
        <v>15</v>
      </c>
      <c r="C231" t="s">
        <v>16</v>
      </c>
      <c r="D231">
        <v>23</v>
      </c>
      <c r="E231" t="s">
        <v>240</v>
      </c>
      <c r="F231">
        <v>5419</v>
      </c>
      <c r="G231" t="s">
        <v>18</v>
      </c>
      <c r="H231">
        <v>27</v>
      </c>
      <c r="I231" t="s">
        <v>19</v>
      </c>
      <c r="J231">
        <v>2004</v>
      </c>
      <c r="K231">
        <v>2004</v>
      </c>
      <c r="L231" t="s">
        <v>20</v>
      </c>
      <c r="M231">
        <v>33294</v>
      </c>
      <c r="N231">
        <v>1705</v>
      </c>
    </row>
    <row r="232" spans="1:14" x14ac:dyDescent="0.35">
      <c r="A232" t="s">
        <v>258</v>
      </c>
      <c r="B232" t="s">
        <v>15</v>
      </c>
      <c r="C232" t="s">
        <v>16</v>
      </c>
      <c r="D232">
        <v>23</v>
      </c>
      <c r="E232" t="s">
        <v>240</v>
      </c>
      <c r="F232">
        <v>5419</v>
      </c>
      <c r="G232" t="s">
        <v>18</v>
      </c>
      <c r="H232">
        <v>27</v>
      </c>
      <c r="I232" t="s">
        <v>19</v>
      </c>
      <c r="J232">
        <v>2005</v>
      </c>
      <c r="K232">
        <v>2005</v>
      </c>
      <c r="L232" t="s">
        <v>20</v>
      </c>
      <c r="M232">
        <v>46984</v>
      </c>
      <c r="N232">
        <v>1705</v>
      </c>
    </row>
    <row r="233" spans="1:14" x14ac:dyDescent="0.35">
      <c r="A233" t="s">
        <v>259</v>
      </c>
      <c r="B233" t="s">
        <v>15</v>
      </c>
      <c r="C233" t="s">
        <v>16</v>
      </c>
      <c r="D233">
        <v>23</v>
      </c>
      <c r="E233" t="s">
        <v>240</v>
      </c>
      <c r="F233">
        <v>5419</v>
      </c>
      <c r="G233" t="s">
        <v>18</v>
      </c>
      <c r="H233">
        <v>27</v>
      </c>
      <c r="I233" t="s">
        <v>19</v>
      </c>
      <c r="J233">
        <v>2006</v>
      </c>
      <c r="K233">
        <v>2006</v>
      </c>
      <c r="L233" t="s">
        <v>20</v>
      </c>
      <c r="M233">
        <v>40697</v>
      </c>
      <c r="N233">
        <v>1705</v>
      </c>
    </row>
    <row r="234" spans="1:14" x14ac:dyDescent="0.35">
      <c r="A234" t="s">
        <v>260</v>
      </c>
      <c r="B234" t="s">
        <v>15</v>
      </c>
      <c r="C234" t="s">
        <v>16</v>
      </c>
      <c r="D234">
        <v>23</v>
      </c>
      <c r="E234" t="s">
        <v>240</v>
      </c>
      <c r="F234">
        <v>5419</v>
      </c>
      <c r="G234" t="s">
        <v>18</v>
      </c>
      <c r="H234">
        <v>27</v>
      </c>
      <c r="I234" t="s">
        <v>19</v>
      </c>
      <c r="J234">
        <v>2007</v>
      </c>
      <c r="K234">
        <v>2007</v>
      </c>
      <c r="L234" t="s">
        <v>20</v>
      </c>
      <c r="M234">
        <v>47872</v>
      </c>
      <c r="N234">
        <v>1705</v>
      </c>
    </row>
    <row r="235" spans="1:14" x14ac:dyDescent="0.35">
      <c r="A235" t="s">
        <v>261</v>
      </c>
      <c r="B235" t="s">
        <v>15</v>
      </c>
      <c r="C235" t="s">
        <v>16</v>
      </c>
      <c r="D235">
        <v>23</v>
      </c>
      <c r="E235" t="s">
        <v>240</v>
      </c>
      <c r="F235">
        <v>5419</v>
      </c>
      <c r="G235" t="s">
        <v>18</v>
      </c>
      <c r="H235">
        <v>27</v>
      </c>
      <c r="I235" t="s">
        <v>19</v>
      </c>
      <c r="J235">
        <v>2008</v>
      </c>
      <c r="K235">
        <v>2008</v>
      </c>
      <c r="L235" t="s">
        <v>20</v>
      </c>
      <c r="M235">
        <v>34749</v>
      </c>
      <c r="N235">
        <v>1705</v>
      </c>
    </row>
    <row r="236" spans="1:14" x14ac:dyDescent="0.35">
      <c r="A236" t="s">
        <v>262</v>
      </c>
      <c r="B236" t="s">
        <v>15</v>
      </c>
      <c r="C236" t="s">
        <v>16</v>
      </c>
      <c r="D236">
        <v>23</v>
      </c>
      <c r="E236" t="s">
        <v>240</v>
      </c>
      <c r="F236">
        <v>5419</v>
      </c>
      <c r="G236" t="s">
        <v>18</v>
      </c>
      <c r="H236">
        <v>27</v>
      </c>
      <c r="I236" t="s">
        <v>19</v>
      </c>
      <c r="J236">
        <v>2009</v>
      </c>
      <c r="K236">
        <v>2009</v>
      </c>
      <c r="L236" t="s">
        <v>20</v>
      </c>
      <c r="M236">
        <v>45021</v>
      </c>
      <c r="N236">
        <v>1705</v>
      </c>
    </row>
    <row r="237" spans="1:14" x14ac:dyDescent="0.35">
      <c r="A237" t="s">
        <v>263</v>
      </c>
      <c r="B237" t="s">
        <v>15</v>
      </c>
      <c r="C237" t="s">
        <v>16</v>
      </c>
      <c r="D237">
        <v>23</v>
      </c>
      <c r="E237" t="s">
        <v>240</v>
      </c>
      <c r="F237">
        <v>5419</v>
      </c>
      <c r="G237" t="s">
        <v>18</v>
      </c>
      <c r="H237">
        <v>27</v>
      </c>
      <c r="I237" t="s">
        <v>19</v>
      </c>
      <c r="J237">
        <v>2010</v>
      </c>
      <c r="K237">
        <v>2010</v>
      </c>
      <c r="L237" t="s">
        <v>20</v>
      </c>
      <c r="M237">
        <v>44538</v>
      </c>
      <c r="N237">
        <v>1705</v>
      </c>
    </row>
    <row r="238" spans="1:14" x14ac:dyDescent="0.35">
      <c r="A238" t="s">
        <v>264</v>
      </c>
      <c r="B238" t="s">
        <v>15</v>
      </c>
      <c r="C238" t="s">
        <v>16</v>
      </c>
      <c r="D238">
        <v>23</v>
      </c>
      <c r="E238" t="s">
        <v>240</v>
      </c>
      <c r="F238">
        <v>5419</v>
      </c>
      <c r="G238" t="s">
        <v>18</v>
      </c>
      <c r="H238">
        <v>27</v>
      </c>
      <c r="I238" t="s">
        <v>19</v>
      </c>
      <c r="J238">
        <v>2011</v>
      </c>
      <c r="K238">
        <v>2011</v>
      </c>
      <c r="L238" t="s">
        <v>20</v>
      </c>
      <c r="M238">
        <v>42831</v>
      </c>
      <c r="N238">
        <v>1705</v>
      </c>
    </row>
    <row r="239" spans="1:14" x14ac:dyDescent="0.35">
      <c r="A239" t="s">
        <v>265</v>
      </c>
      <c r="B239" t="s">
        <v>15</v>
      </c>
      <c r="C239" t="s">
        <v>16</v>
      </c>
      <c r="D239">
        <v>23</v>
      </c>
      <c r="E239" t="s">
        <v>240</v>
      </c>
      <c r="F239">
        <v>5419</v>
      </c>
      <c r="G239" t="s">
        <v>18</v>
      </c>
      <c r="H239">
        <v>27</v>
      </c>
      <c r="I239" t="s">
        <v>19</v>
      </c>
      <c r="J239">
        <v>2012</v>
      </c>
      <c r="K239">
        <v>2012</v>
      </c>
      <c r="L239" t="s">
        <v>20</v>
      </c>
      <c r="M239">
        <v>45437</v>
      </c>
      <c r="N239">
        <v>1705</v>
      </c>
    </row>
    <row r="240" spans="1:14" x14ac:dyDescent="0.35">
      <c r="A240" t="s">
        <v>266</v>
      </c>
      <c r="B240" t="s">
        <v>15</v>
      </c>
      <c r="C240" t="s">
        <v>16</v>
      </c>
      <c r="D240">
        <v>23</v>
      </c>
      <c r="E240" t="s">
        <v>240</v>
      </c>
      <c r="F240">
        <v>5419</v>
      </c>
      <c r="G240" t="s">
        <v>18</v>
      </c>
      <c r="H240">
        <v>27</v>
      </c>
      <c r="I240" t="s">
        <v>19</v>
      </c>
      <c r="J240">
        <v>2013</v>
      </c>
      <c r="K240">
        <v>2013</v>
      </c>
      <c r="L240" t="s">
        <v>20</v>
      </c>
      <c r="M240">
        <v>52229</v>
      </c>
      <c r="N240">
        <v>1705</v>
      </c>
    </row>
    <row r="241" spans="1:14" x14ac:dyDescent="0.35">
      <c r="A241" t="s">
        <v>267</v>
      </c>
      <c r="B241" t="s">
        <v>15</v>
      </c>
      <c r="C241" t="s">
        <v>16</v>
      </c>
      <c r="D241">
        <v>23</v>
      </c>
      <c r="E241" t="s">
        <v>240</v>
      </c>
      <c r="F241">
        <v>5419</v>
      </c>
      <c r="G241" t="s">
        <v>18</v>
      </c>
      <c r="H241">
        <v>27</v>
      </c>
      <c r="I241" t="s">
        <v>19</v>
      </c>
      <c r="J241">
        <v>2014</v>
      </c>
      <c r="K241">
        <v>2014</v>
      </c>
      <c r="L241" t="s">
        <v>20</v>
      </c>
      <c r="M241">
        <v>46309</v>
      </c>
      <c r="N241">
        <v>1705</v>
      </c>
    </row>
    <row r="242" spans="1:14" x14ac:dyDescent="0.35">
      <c r="A242" t="s">
        <v>268</v>
      </c>
      <c r="B242" t="s">
        <v>15</v>
      </c>
      <c r="C242" t="s">
        <v>16</v>
      </c>
      <c r="D242">
        <v>23</v>
      </c>
      <c r="E242" t="s">
        <v>240</v>
      </c>
      <c r="F242">
        <v>5419</v>
      </c>
      <c r="G242" t="s">
        <v>18</v>
      </c>
      <c r="H242">
        <v>27</v>
      </c>
      <c r="I242" t="s">
        <v>19</v>
      </c>
      <c r="J242">
        <v>2015</v>
      </c>
      <c r="K242">
        <v>2015</v>
      </c>
      <c r="L242" t="s">
        <v>20</v>
      </c>
      <c r="M242">
        <v>42422</v>
      </c>
      <c r="N242">
        <v>1705</v>
      </c>
    </row>
    <row r="243" spans="1:14" x14ac:dyDescent="0.35">
      <c r="A243" t="s">
        <v>269</v>
      </c>
      <c r="B243" t="s">
        <v>15</v>
      </c>
      <c r="C243" t="s">
        <v>16</v>
      </c>
      <c r="D243">
        <v>23</v>
      </c>
      <c r="E243" t="s">
        <v>240</v>
      </c>
      <c r="F243">
        <v>5419</v>
      </c>
      <c r="G243" t="s">
        <v>18</v>
      </c>
      <c r="H243">
        <v>27</v>
      </c>
      <c r="I243" t="s">
        <v>19</v>
      </c>
      <c r="J243">
        <v>2016</v>
      </c>
      <c r="K243">
        <v>2016</v>
      </c>
      <c r="L243" t="s">
        <v>20</v>
      </c>
      <c r="M243">
        <v>47752</v>
      </c>
      <c r="N243">
        <v>1705</v>
      </c>
    </row>
    <row r="244" spans="1:14" x14ac:dyDescent="0.35">
      <c r="A244" t="s">
        <v>270</v>
      </c>
      <c r="B244" t="s">
        <v>15</v>
      </c>
      <c r="C244" t="s">
        <v>16</v>
      </c>
      <c r="D244">
        <v>53</v>
      </c>
      <c r="E244" t="s">
        <v>271</v>
      </c>
      <c r="F244">
        <v>5419</v>
      </c>
      <c r="G244" t="s">
        <v>18</v>
      </c>
      <c r="H244">
        <v>27</v>
      </c>
      <c r="I244" t="s">
        <v>19</v>
      </c>
      <c r="J244">
        <v>1985</v>
      </c>
      <c r="K244">
        <v>1985</v>
      </c>
      <c r="L244" t="s">
        <v>20</v>
      </c>
      <c r="M244">
        <v>12783</v>
      </c>
      <c r="N244">
        <v>1039</v>
      </c>
    </row>
    <row r="245" spans="1:14" x14ac:dyDescent="0.35">
      <c r="A245" t="s">
        <v>272</v>
      </c>
      <c r="B245" t="s">
        <v>15</v>
      </c>
      <c r="C245" t="s">
        <v>16</v>
      </c>
      <c r="D245">
        <v>53</v>
      </c>
      <c r="E245" t="s">
        <v>271</v>
      </c>
      <c r="F245">
        <v>5419</v>
      </c>
      <c r="G245" t="s">
        <v>18</v>
      </c>
      <c r="H245">
        <v>27</v>
      </c>
      <c r="I245" t="s">
        <v>19</v>
      </c>
      <c r="J245">
        <v>1986</v>
      </c>
      <c r="K245">
        <v>1986</v>
      </c>
      <c r="L245" t="s">
        <v>20</v>
      </c>
      <c r="M245">
        <v>12119</v>
      </c>
      <c r="N245">
        <v>1039</v>
      </c>
    </row>
    <row r="246" spans="1:14" x14ac:dyDescent="0.35">
      <c r="A246" t="s">
        <v>273</v>
      </c>
      <c r="B246" t="s">
        <v>15</v>
      </c>
      <c r="C246" t="s">
        <v>16</v>
      </c>
      <c r="D246">
        <v>53</v>
      </c>
      <c r="E246" t="s">
        <v>271</v>
      </c>
      <c r="F246">
        <v>5419</v>
      </c>
      <c r="G246" t="s">
        <v>18</v>
      </c>
      <c r="H246">
        <v>27</v>
      </c>
      <c r="I246" t="s">
        <v>19</v>
      </c>
      <c r="J246">
        <v>1987</v>
      </c>
      <c r="K246">
        <v>1987</v>
      </c>
      <c r="L246" t="s">
        <v>20</v>
      </c>
      <c r="M246">
        <v>11704</v>
      </c>
      <c r="N246">
        <v>1039</v>
      </c>
    </row>
    <row r="247" spans="1:14" x14ac:dyDescent="0.35">
      <c r="A247" t="s">
        <v>274</v>
      </c>
      <c r="B247" t="s">
        <v>15</v>
      </c>
      <c r="C247" t="s">
        <v>16</v>
      </c>
      <c r="D247">
        <v>53</v>
      </c>
      <c r="E247" t="s">
        <v>271</v>
      </c>
      <c r="F247">
        <v>5419</v>
      </c>
      <c r="G247" t="s">
        <v>18</v>
      </c>
      <c r="H247">
        <v>27</v>
      </c>
      <c r="I247" t="s">
        <v>19</v>
      </c>
      <c r="J247">
        <v>1989</v>
      </c>
      <c r="K247">
        <v>1989</v>
      </c>
      <c r="L247" t="s">
        <v>20</v>
      </c>
      <c r="M247">
        <v>13752</v>
      </c>
      <c r="N247">
        <v>1039</v>
      </c>
    </row>
    <row r="248" spans="1:14" x14ac:dyDescent="0.35">
      <c r="A248" t="s">
        <v>275</v>
      </c>
      <c r="B248" t="s">
        <v>15</v>
      </c>
      <c r="C248" t="s">
        <v>16</v>
      </c>
      <c r="D248">
        <v>53</v>
      </c>
      <c r="E248" t="s">
        <v>271</v>
      </c>
      <c r="F248">
        <v>5419</v>
      </c>
      <c r="G248" t="s">
        <v>18</v>
      </c>
      <c r="H248">
        <v>27</v>
      </c>
      <c r="I248" t="s">
        <v>19</v>
      </c>
      <c r="J248">
        <v>1990</v>
      </c>
      <c r="K248">
        <v>1990</v>
      </c>
      <c r="L248" t="s">
        <v>20</v>
      </c>
      <c r="M248">
        <v>13961</v>
      </c>
      <c r="N248">
        <v>1039</v>
      </c>
    </row>
    <row r="249" spans="1:14" x14ac:dyDescent="0.35">
      <c r="A249" t="s">
        <v>276</v>
      </c>
      <c r="B249" t="s">
        <v>15</v>
      </c>
      <c r="C249" t="s">
        <v>16</v>
      </c>
      <c r="D249">
        <v>53</v>
      </c>
      <c r="E249" t="s">
        <v>271</v>
      </c>
      <c r="F249">
        <v>5419</v>
      </c>
      <c r="G249" t="s">
        <v>18</v>
      </c>
      <c r="H249">
        <v>27</v>
      </c>
      <c r="I249" t="s">
        <v>19</v>
      </c>
      <c r="J249">
        <v>1991</v>
      </c>
      <c r="K249">
        <v>1991</v>
      </c>
      <c r="L249" t="s">
        <v>20</v>
      </c>
      <c r="M249">
        <v>13423</v>
      </c>
      <c r="N249">
        <v>1039</v>
      </c>
    </row>
    <row r="250" spans="1:14" x14ac:dyDescent="0.35">
      <c r="A250" t="s">
        <v>277</v>
      </c>
      <c r="B250" t="s">
        <v>15</v>
      </c>
      <c r="C250" t="s">
        <v>16</v>
      </c>
      <c r="D250">
        <v>53</v>
      </c>
      <c r="E250" t="s">
        <v>271</v>
      </c>
      <c r="F250">
        <v>5419</v>
      </c>
      <c r="G250" t="s">
        <v>18</v>
      </c>
      <c r="H250">
        <v>27</v>
      </c>
      <c r="I250" t="s">
        <v>19</v>
      </c>
      <c r="J250">
        <v>1992</v>
      </c>
      <c r="K250">
        <v>1992</v>
      </c>
      <c r="L250" t="s">
        <v>20</v>
      </c>
      <c r="M250">
        <v>13344</v>
      </c>
      <c r="N250">
        <v>1039</v>
      </c>
    </row>
    <row r="251" spans="1:14" x14ac:dyDescent="0.35">
      <c r="A251" t="s">
        <v>278</v>
      </c>
      <c r="B251" t="s">
        <v>15</v>
      </c>
      <c r="C251" t="s">
        <v>16</v>
      </c>
      <c r="D251">
        <v>53</v>
      </c>
      <c r="E251" t="s">
        <v>271</v>
      </c>
      <c r="F251">
        <v>5419</v>
      </c>
      <c r="G251" t="s">
        <v>18</v>
      </c>
      <c r="H251">
        <v>27</v>
      </c>
      <c r="I251" t="s">
        <v>19</v>
      </c>
      <c r="J251">
        <v>1993</v>
      </c>
      <c r="K251">
        <v>1993</v>
      </c>
      <c r="L251" t="s">
        <v>20</v>
      </c>
      <c r="M251">
        <v>13177</v>
      </c>
      <c r="N251">
        <v>1039</v>
      </c>
    </row>
    <row r="252" spans="1:14" x14ac:dyDescent="0.35">
      <c r="A252" t="s">
        <v>279</v>
      </c>
      <c r="B252" t="s">
        <v>15</v>
      </c>
      <c r="C252" t="s">
        <v>16</v>
      </c>
      <c r="D252">
        <v>53</v>
      </c>
      <c r="E252" t="s">
        <v>271</v>
      </c>
      <c r="F252">
        <v>5419</v>
      </c>
      <c r="G252" t="s">
        <v>18</v>
      </c>
      <c r="H252">
        <v>27</v>
      </c>
      <c r="I252" t="s">
        <v>19</v>
      </c>
      <c r="J252">
        <v>1994</v>
      </c>
      <c r="K252">
        <v>1994</v>
      </c>
      <c r="L252" t="s">
        <v>20</v>
      </c>
      <c r="M252">
        <v>15666</v>
      </c>
      <c r="N252">
        <v>1039</v>
      </c>
    </row>
    <row r="253" spans="1:14" x14ac:dyDescent="0.35">
      <c r="A253" t="s">
        <v>280</v>
      </c>
      <c r="B253" t="s">
        <v>15</v>
      </c>
      <c r="C253" t="s">
        <v>16</v>
      </c>
      <c r="D253">
        <v>53</v>
      </c>
      <c r="E253" t="s">
        <v>271</v>
      </c>
      <c r="F253">
        <v>5419</v>
      </c>
      <c r="G253" t="s">
        <v>18</v>
      </c>
      <c r="H253">
        <v>27</v>
      </c>
      <c r="I253" t="s">
        <v>19</v>
      </c>
      <c r="J253">
        <v>1995</v>
      </c>
      <c r="K253">
        <v>1995</v>
      </c>
      <c r="L253" t="s">
        <v>20</v>
      </c>
      <c r="M253">
        <v>16654</v>
      </c>
      <c r="N253">
        <v>1039</v>
      </c>
    </row>
    <row r="254" spans="1:14" x14ac:dyDescent="0.35">
      <c r="A254" t="s">
        <v>281</v>
      </c>
      <c r="B254" t="s">
        <v>15</v>
      </c>
      <c r="C254" t="s">
        <v>16</v>
      </c>
      <c r="D254">
        <v>53</v>
      </c>
      <c r="E254" t="s">
        <v>271</v>
      </c>
      <c r="F254">
        <v>5419</v>
      </c>
      <c r="G254" t="s">
        <v>18</v>
      </c>
      <c r="H254">
        <v>27</v>
      </c>
      <c r="I254" t="s">
        <v>19</v>
      </c>
      <c r="J254">
        <v>1996</v>
      </c>
      <c r="K254">
        <v>1996</v>
      </c>
      <c r="L254" t="s">
        <v>20</v>
      </c>
      <c r="M254">
        <v>18498</v>
      </c>
      <c r="N254">
        <v>1039</v>
      </c>
    </row>
    <row r="255" spans="1:14" x14ac:dyDescent="0.35">
      <c r="A255" t="s">
        <v>282</v>
      </c>
      <c r="B255" t="s">
        <v>15</v>
      </c>
      <c r="C255" t="s">
        <v>16</v>
      </c>
      <c r="D255">
        <v>53</v>
      </c>
      <c r="E255" t="s">
        <v>271</v>
      </c>
      <c r="F255">
        <v>5419</v>
      </c>
      <c r="G255" t="s">
        <v>18</v>
      </c>
      <c r="H255">
        <v>27</v>
      </c>
      <c r="I255" t="s">
        <v>19</v>
      </c>
      <c r="J255">
        <v>1997</v>
      </c>
      <c r="K255">
        <v>1997</v>
      </c>
      <c r="L255" t="s">
        <v>20</v>
      </c>
      <c r="M255">
        <v>18827</v>
      </c>
      <c r="N255">
        <v>1039</v>
      </c>
    </row>
    <row r="256" spans="1:14" x14ac:dyDescent="0.35">
      <c r="A256" t="s">
        <v>283</v>
      </c>
      <c r="B256" t="s">
        <v>15</v>
      </c>
      <c r="C256" t="s">
        <v>16</v>
      </c>
      <c r="D256">
        <v>53</v>
      </c>
      <c r="E256" t="s">
        <v>271</v>
      </c>
      <c r="F256">
        <v>5419</v>
      </c>
      <c r="G256" t="s">
        <v>18</v>
      </c>
      <c r="H256">
        <v>27</v>
      </c>
      <c r="I256" t="s">
        <v>19</v>
      </c>
      <c r="J256">
        <v>1998</v>
      </c>
      <c r="K256">
        <v>1998</v>
      </c>
      <c r="L256" t="s">
        <v>20</v>
      </c>
      <c r="M256">
        <v>20822</v>
      </c>
      <c r="N256">
        <v>1039</v>
      </c>
    </row>
    <row r="257" spans="1:14" x14ac:dyDescent="0.35">
      <c r="A257" t="s">
        <v>284</v>
      </c>
      <c r="B257" t="s">
        <v>15</v>
      </c>
      <c r="C257" t="s">
        <v>16</v>
      </c>
      <c r="D257">
        <v>53</v>
      </c>
      <c r="E257" t="s">
        <v>271</v>
      </c>
      <c r="F257">
        <v>5419</v>
      </c>
      <c r="G257" t="s">
        <v>18</v>
      </c>
      <c r="H257">
        <v>27</v>
      </c>
      <c r="I257" t="s">
        <v>19</v>
      </c>
      <c r="J257">
        <v>1999</v>
      </c>
      <c r="K257">
        <v>1999</v>
      </c>
      <c r="L257" t="s">
        <v>20</v>
      </c>
      <c r="M257">
        <v>19384</v>
      </c>
      <c r="N257">
        <v>1039</v>
      </c>
    </row>
    <row r="258" spans="1:14" x14ac:dyDescent="0.35">
      <c r="A258" t="s">
        <v>285</v>
      </c>
      <c r="B258" t="s">
        <v>15</v>
      </c>
      <c r="C258" t="s">
        <v>16</v>
      </c>
      <c r="D258">
        <v>53</v>
      </c>
      <c r="E258" t="s">
        <v>271</v>
      </c>
      <c r="F258">
        <v>5419</v>
      </c>
      <c r="G258" t="s">
        <v>18</v>
      </c>
      <c r="H258">
        <v>27</v>
      </c>
      <c r="I258" t="s">
        <v>19</v>
      </c>
      <c r="J258">
        <v>2000</v>
      </c>
      <c r="K258">
        <v>2000</v>
      </c>
      <c r="L258" t="s">
        <v>20</v>
      </c>
      <c r="M258">
        <v>21114</v>
      </c>
      <c r="N258">
        <v>1039</v>
      </c>
    </row>
    <row r="259" spans="1:14" x14ac:dyDescent="0.35">
      <c r="A259" t="s">
        <v>286</v>
      </c>
      <c r="B259" t="s">
        <v>15</v>
      </c>
      <c r="C259" t="s">
        <v>16</v>
      </c>
      <c r="D259">
        <v>53</v>
      </c>
      <c r="E259" t="s">
        <v>271</v>
      </c>
      <c r="F259">
        <v>5419</v>
      </c>
      <c r="G259" t="s">
        <v>18</v>
      </c>
      <c r="H259">
        <v>27</v>
      </c>
      <c r="I259" t="s">
        <v>19</v>
      </c>
      <c r="J259">
        <v>2001</v>
      </c>
      <c r="K259">
        <v>2001</v>
      </c>
      <c r="L259" t="s">
        <v>20</v>
      </c>
      <c r="M259">
        <v>20714</v>
      </c>
      <c r="N259">
        <v>1039</v>
      </c>
    </row>
    <row r="260" spans="1:14" x14ac:dyDescent="0.35">
      <c r="A260" t="s">
        <v>287</v>
      </c>
      <c r="B260" t="s">
        <v>15</v>
      </c>
      <c r="C260" t="s">
        <v>16</v>
      </c>
      <c r="D260">
        <v>53</v>
      </c>
      <c r="E260" t="s">
        <v>271</v>
      </c>
      <c r="F260">
        <v>5419</v>
      </c>
      <c r="G260" t="s">
        <v>18</v>
      </c>
      <c r="H260">
        <v>27</v>
      </c>
      <c r="I260" t="s">
        <v>19</v>
      </c>
      <c r="J260">
        <v>2002</v>
      </c>
      <c r="K260">
        <v>2002</v>
      </c>
      <c r="L260" t="s">
        <v>20</v>
      </c>
      <c r="M260">
        <v>21961</v>
      </c>
      <c r="N260">
        <v>1039</v>
      </c>
    </row>
    <row r="261" spans="1:14" x14ac:dyDescent="0.35">
      <c r="A261" t="s">
        <v>288</v>
      </c>
      <c r="B261" t="s">
        <v>15</v>
      </c>
      <c r="C261" t="s">
        <v>16</v>
      </c>
      <c r="D261">
        <v>53</v>
      </c>
      <c r="E261" t="s">
        <v>271</v>
      </c>
      <c r="F261">
        <v>5419</v>
      </c>
      <c r="G261" t="s">
        <v>18</v>
      </c>
      <c r="H261">
        <v>27</v>
      </c>
      <c r="I261" t="s">
        <v>19</v>
      </c>
      <c r="J261">
        <v>2004</v>
      </c>
      <c r="K261">
        <v>2004</v>
      </c>
      <c r="L261" t="s">
        <v>20</v>
      </c>
      <c r="M261">
        <v>26137</v>
      </c>
      <c r="N261">
        <v>1039</v>
      </c>
    </row>
    <row r="262" spans="1:14" x14ac:dyDescent="0.35">
      <c r="A262" t="s">
        <v>289</v>
      </c>
      <c r="B262" t="s">
        <v>15</v>
      </c>
      <c r="C262" t="s">
        <v>16</v>
      </c>
      <c r="D262">
        <v>53</v>
      </c>
      <c r="E262" t="s">
        <v>271</v>
      </c>
      <c r="F262">
        <v>5419</v>
      </c>
      <c r="G262" t="s">
        <v>18</v>
      </c>
      <c r="H262">
        <v>27</v>
      </c>
      <c r="I262" t="s">
        <v>19</v>
      </c>
      <c r="J262">
        <v>2005</v>
      </c>
      <c r="K262">
        <v>2005</v>
      </c>
      <c r="L262" t="s">
        <v>20</v>
      </c>
      <c r="M262">
        <v>27100</v>
      </c>
      <c r="N262">
        <v>1039</v>
      </c>
    </row>
    <row r="263" spans="1:14" x14ac:dyDescent="0.35">
      <c r="A263" t="s">
        <v>290</v>
      </c>
      <c r="B263" t="s">
        <v>15</v>
      </c>
      <c r="C263" t="s">
        <v>16</v>
      </c>
      <c r="D263">
        <v>53</v>
      </c>
      <c r="E263" t="s">
        <v>271</v>
      </c>
      <c r="F263">
        <v>5419</v>
      </c>
      <c r="G263" t="s">
        <v>18</v>
      </c>
      <c r="H263">
        <v>27</v>
      </c>
      <c r="I263" t="s">
        <v>19</v>
      </c>
      <c r="J263">
        <v>2006</v>
      </c>
      <c r="K263">
        <v>2006</v>
      </c>
      <c r="L263" t="s">
        <v>20</v>
      </c>
      <c r="M263">
        <v>23678</v>
      </c>
      <c r="N263">
        <v>1039</v>
      </c>
    </row>
    <row r="264" spans="1:14" x14ac:dyDescent="0.35">
      <c r="A264" t="s">
        <v>291</v>
      </c>
      <c r="B264" t="s">
        <v>15</v>
      </c>
      <c r="C264" t="s">
        <v>16</v>
      </c>
      <c r="D264">
        <v>53</v>
      </c>
      <c r="E264" t="s">
        <v>271</v>
      </c>
      <c r="F264">
        <v>5419</v>
      </c>
      <c r="G264" t="s">
        <v>18</v>
      </c>
      <c r="H264">
        <v>27</v>
      </c>
      <c r="I264" t="s">
        <v>19</v>
      </c>
      <c r="J264">
        <v>2007</v>
      </c>
      <c r="K264">
        <v>2007</v>
      </c>
      <c r="L264" t="s">
        <v>20</v>
      </c>
      <c r="M264">
        <v>26633</v>
      </c>
      <c r="N264">
        <v>1039</v>
      </c>
    </row>
    <row r="265" spans="1:14" x14ac:dyDescent="0.35">
      <c r="A265" t="s">
        <v>292</v>
      </c>
      <c r="B265" t="s">
        <v>15</v>
      </c>
      <c r="C265" t="s">
        <v>16</v>
      </c>
      <c r="D265">
        <v>53</v>
      </c>
      <c r="E265" t="s">
        <v>271</v>
      </c>
      <c r="F265">
        <v>5419</v>
      </c>
      <c r="G265" t="s">
        <v>18</v>
      </c>
      <c r="H265">
        <v>27</v>
      </c>
      <c r="I265" t="s">
        <v>19</v>
      </c>
      <c r="J265">
        <v>2008</v>
      </c>
      <c r="K265">
        <v>2008</v>
      </c>
      <c r="L265" t="s">
        <v>20</v>
      </c>
      <c r="M265">
        <v>32850</v>
      </c>
      <c r="N265">
        <v>1039</v>
      </c>
    </row>
    <row r="266" spans="1:14" x14ac:dyDescent="0.35">
      <c r="A266" t="s">
        <v>293</v>
      </c>
      <c r="B266" t="s">
        <v>15</v>
      </c>
      <c r="C266" t="s">
        <v>16</v>
      </c>
      <c r="D266">
        <v>53</v>
      </c>
      <c r="E266" t="s">
        <v>271</v>
      </c>
      <c r="F266">
        <v>5419</v>
      </c>
      <c r="G266" t="s">
        <v>18</v>
      </c>
      <c r="H266">
        <v>27</v>
      </c>
      <c r="I266" t="s">
        <v>19</v>
      </c>
      <c r="J266">
        <v>2009</v>
      </c>
      <c r="K266">
        <v>2009</v>
      </c>
      <c r="L266" t="s">
        <v>20</v>
      </c>
      <c r="M266">
        <v>37395</v>
      </c>
      <c r="N266">
        <v>1039</v>
      </c>
    </row>
    <row r="267" spans="1:14" x14ac:dyDescent="0.35">
      <c r="A267" t="s">
        <v>294</v>
      </c>
      <c r="B267" t="s">
        <v>15</v>
      </c>
      <c r="C267" t="s">
        <v>16</v>
      </c>
      <c r="D267">
        <v>53</v>
      </c>
      <c r="E267" t="s">
        <v>271</v>
      </c>
      <c r="F267">
        <v>5419</v>
      </c>
      <c r="G267" t="s">
        <v>18</v>
      </c>
      <c r="H267">
        <v>27</v>
      </c>
      <c r="I267" t="s">
        <v>19</v>
      </c>
      <c r="J267">
        <v>2010</v>
      </c>
      <c r="K267">
        <v>2010</v>
      </c>
      <c r="L267" t="s">
        <v>20</v>
      </c>
      <c r="M267">
        <v>26558</v>
      </c>
      <c r="N267">
        <v>1039</v>
      </c>
    </row>
    <row r="268" spans="1:14" x14ac:dyDescent="0.35">
      <c r="A268" t="s">
        <v>295</v>
      </c>
      <c r="B268" t="s">
        <v>15</v>
      </c>
      <c r="C268" t="s">
        <v>16</v>
      </c>
      <c r="D268">
        <v>53</v>
      </c>
      <c r="E268" t="s">
        <v>271</v>
      </c>
      <c r="F268">
        <v>5419</v>
      </c>
      <c r="G268" t="s">
        <v>18</v>
      </c>
      <c r="H268">
        <v>27</v>
      </c>
      <c r="I268" t="s">
        <v>19</v>
      </c>
      <c r="J268">
        <v>2011</v>
      </c>
      <c r="K268">
        <v>2011</v>
      </c>
      <c r="L268" t="s">
        <v>20</v>
      </c>
      <c r="M268">
        <v>39362</v>
      </c>
      <c r="N268">
        <v>1039</v>
      </c>
    </row>
    <row r="269" spans="1:14" x14ac:dyDescent="0.35">
      <c r="A269" t="s">
        <v>296</v>
      </c>
      <c r="B269" t="s">
        <v>15</v>
      </c>
      <c r="C269" t="s">
        <v>16</v>
      </c>
      <c r="D269">
        <v>53</v>
      </c>
      <c r="E269" t="s">
        <v>271</v>
      </c>
      <c r="F269">
        <v>5419</v>
      </c>
      <c r="G269" t="s">
        <v>18</v>
      </c>
      <c r="H269">
        <v>27</v>
      </c>
      <c r="I269" t="s">
        <v>19</v>
      </c>
      <c r="J269">
        <v>2012</v>
      </c>
      <c r="K269">
        <v>2012</v>
      </c>
      <c r="L269" t="s">
        <v>20</v>
      </c>
      <c r="M269">
        <v>32960</v>
      </c>
      <c r="N269">
        <v>1039</v>
      </c>
    </row>
    <row r="270" spans="1:14" x14ac:dyDescent="0.35">
      <c r="A270" t="s">
        <v>297</v>
      </c>
      <c r="B270" t="s">
        <v>15</v>
      </c>
      <c r="C270" t="s">
        <v>16</v>
      </c>
      <c r="D270">
        <v>53</v>
      </c>
      <c r="E270" t="s">
        <v>271</v>
      </c>
      <c r="F270">
        <v>5419</v>
      </c>
      <c r="G270" t="s">
        <v>18</v>
      </c>
      <c r="H270">
        <v>27</v>
      </c>
      <c r="I270" t="s">
        <v>19</v>
      </c>
      <c r="J270">
        <v>2013</v>
      </c>
      <c r="K270">
        <v>2013</v>
      </c>
      <c r="L270" t="s">
        <v>20</v>
      </c>
      <c r="M270">
        <v>32960</v>
      </c>
      <c r="N270">
        <v>1039</v>
      </c>
    </row>
    <row r="271" spans="1:14" x14ac:dyDescent="0.35">
      <c r="A271" t="s">
        <v>298</v>
      </c>
      <c r="B271" t="s">
        <v>15</v>
      </c>
      <c r="C271" t="s">
        <v>16</v>
      </c>
      <c r="D271">
        <v>53</v>
      </c>
      <c r="E271" t="s">
        <v>271</v>
      </c>
      <c r="F271">
        <v>5419</v>
      </c>
      <c r="G271" t="s">
        <v>18</v>
      </c>
      <c r="H271">
        <v>27</v>
      </c>
      <c r="I271" t="s">
        <v>19</v>
      </c>
      <c r="J271">
        <v>2014</v>
      </c>
      <c r="K271">
        <v>2014</v>
      </c>
      <c r="L271" t="s">
        <v>20</v>
      </c>
      <c r="M271">
        <v>31393</v>
      </c>
      <c r="N271">
        <v>1039</v>
      </c>
    </row>
    <row r="272" spans="1:14" x14ac:dyDescent="0.35">
      <c r="A272" t="s">
        <v>299</v>
      </c>
      <c r="B272" t="s">
        <v>15</v>
      </c>
      <c r="C272" t="s">
        <v>16</v>
      </c>
      <c r="D272">
        <v>53</v>
      </c>
      <c r="E272" t="s">
        <v>271</v>
      </c>
      <c r="F272">
        <v>5419</v>
      </c>
      <c r="G272" t="s">
        <v>18</v>
      </c>
      <c r="H272">
        <v>27</v>
      </c>
      <c r="I272" t="s">
        <v>19</v>
      </c>
      <c r="J272">
        <v>2015</v>
      </c>
      <c r="K272">
        <v>2015</v>
      </c>
      <c r="L272" t="s">
        <v>20</v>
      </c>
      <c r="M272">
        <v>31285</v>
      </c>
      <c r="N272">
        <v>1039</v>
      </c>
    </row>
    <row r="273" spans="1:14" x14ac:dyDescent="0.35">
      <c r="A273" t="s">
        <v>300</v>
      </c>
      <c r="B273" t="s">
        <v>15</v>
      </c>
      <c r="C273" t="s">
        <v>16</v>
      </c>
      <c r="D273">
        <v>53</v>
      </c>
      <c r="E273" t="s">
        <v>271</v>
      </c>
      <c r="F273">
        <v>5419</v>
      </c>
      <c r="G273" t="s">
        <v>18</v>
      </c>
      <c r="H273">
        <v>27</v>
      </c>
      <c r="I273" t="s">
        <v>19</v>
      </c>
      <c r="J273">
        <v>2016</v>
      </c>
      <c r="K273">
        <v>2016</v>
      </c>
      <c r="L273" t="s">
        <v>20</v>
      </c>
      <c r="M273">
        <v>34174</v>
      </c>
      <c r="N273">
        <v>1039</v>
      </c>
    </row>
    <row r="274" spans="1:14" x14ac:dyDescent="0.35">
      <c r="A274" t="s">
        <v>301</v>
      </c>
      <c r="B274" t="s">
        <v>15</v>
      </c>
      <c r="C274" t="s">
        <v>16</v>
      </c>
      <c r="D274">
        <v>18</v>
      </c>
      <c r="E274" t="s">
        <v>302</v>
      </c>
      <c r="F274">
        <v>5419</v>
      </c>
      <c r="G274" t="s">
        <v>18</v>
      </c>
      <c r="H274">
        <v>27</v>
      </c>
      <c r="I274" t="s">
        <v>19</v>
      </c>
      <c r="J274">
        <v>1985</v>
      </c>
      <c r="K274">
        <v>1985</v>
      </c>
      <c r="L274" t="s">
        <v>20</v>
      </c>
      <c r="M274">
        <v>19375</v>
      </c>
      <c r="N274">
        <v>2200</v>
      </c>
    </row>
    <row r="275" spans="1:14" x14ac:dyDescent="0.35">
      <c r="A275" t="s">
        <v>303</v>
      </c>
      <c r="B275" t="s">
        <v>15</v>
      </c>
      <c r="C275" t="s">
        <v>16</v>
      </c>
      <c r="D275">
        <v>18</v>
      </c>
      <c r="E275" t="s">
        <v>302</v>
      </c>
      <c r="F275">
        <v>5419</v>
      </c>
      <c r="G275" t="s">
        <v>18</v>
      </c>
      <c r="H275">
        <v>27</v>
      </c>
      <c r="I275" t="s">
        <v>19</v>
      </c>
      <c r="J275">
        <v>1986</v>
      </c>
      <c r="K275">
        <v>1986</v>
      </c>
      <c r="L275" t="s">
        <v>20</v>
      </c>
      <c r="M275">
        <v>18000</v>
      </c>
      <c r="N275">
        <v>2200</v>
      </c>
    </row>
    <row r="276" spans="1:14" x14ac:dyDescent="0.35">
      <c r="A276" t="s">
        <v>304</v>
      </c>
      <c r="B276" t="s">
        <v>15</v>
      </c>
      <c r="C276" t="s">
        <v>16</v>
      </c>
      <c r="D276">
        <v>18</v>
      </c>
      <c r="E276" t="s">
        <v>302</v>
      </c>
      <c r="F276">
        <v>5419</v>
      </c>
      <c r="G276" t="s">
        <v>18</v>
      </c>
      <c r="H276">
        <v>27</v>
      </c>
      <c r="I276" t="s">
        <v>19</v>
      </c>
      <c r="J276">
        <v>1987</v>
      </c>
      <c r="K276">
        <v>1987</v>
      </c>
      <c r="L276" t="s">
        <v>20</v>
      </c>
      <c r="M276">
        <v>17568</v>
      </c>
      <c r="N276">
        <v>2200</v>
      </c>
    </row>
    <row r="277" spans="1:14" x14ac:dyDescent="0.35">
      <c r="A277" t="s">
        <v>305</v>
      </c>
      <c r="B277" t="s">
        <v>15</v>
      </c>
      <c r="C277" t="s">
        <v>16</v>
      </c>
      <c r="D277">
        <v>18</v>
      </c>
      <c r="E277" t="s">
        <v>302</v>
      </c>
      <c r="F277">
        <v>5419</v>
      </c>
      <c r="G277" t="s">
        <v>18</v>
      </c>
      <c r="H277">
        <v>27</v>
      </c>
      <c r="I277" t="s">
        <v>19</v>
      </c>
      <c r="J277">
        <v>1989</v>
      </c>
      <c r="K277">
        <v>1989</v>
      </c>
      <c r="L277" t="s">
        <v>20</v>
      </c>
      <c r="M277">
        <v>16538</v>
      </c>
      <c r="N277">
        <v>2200</v>
      </c>
    </row>
    <row r="278" spans="1:14" x14ac:dyDescent="0.35">
      <c r="A278" t="s">
        <v>306</v>
      </c>
      <c r="B278" t="s">
        <v>15</v>
      </c>
      <c r="C278" t="s">
        <v>16</v>
      </c>
      <c r="D278">
        <v>18</v>
      </c>
      <c r="E278" t="s">
        <v>302</v>
      </c>
      <c r="F278">
        <v>5419</v>
      </c>
      <c r="G278" t="s">
        <v>18</v>
      </c>
      <c r="H278">
        <v>27</v>
      </c>
      <c r="I278" t="s">
        <v>19</v>
      </c>
      <c r="J278">
        <v>1990</v>
      </c>
      <c r="K278">
        <v>1990</v>
      </c>
      <c r="L278" t="s">
        <v>20</v>
      </c>
      <c r="M278">
        <v>20976</v>
      </c>
      <c r="N278">
        <v>2200</v>
      </c>
    </row>
    <row r="279" spans="1:14" x14ac:dyDescent="0.35">
      <c r="A279" t="s">
        <v>307</v>
      </c>
      <c r="B279" t="s">
        <v>15</v>
      </c>
      <c r="C279" t="s">
        <v>16</v>
      </c>
      <c r="D279">
        <v>18</v>
      </c>
      <c r="E279" t="s">
        <v>302</v>
      </c>
      <c r="F279">
        <v>5419</v>
      </c>
      <c r="G279" t="s">
        <v>18</v>
      </c>
      <c r="H279">
        <v>27</v>
      </c>
      <c r="I279" t="s">
        <v>19</v>
      </c>
      <c r="J279">
        <v>1991</v>
      </c>
      <c r="K279">
        <v>1991</v>
      </c>
      <c r="L279" t="s">
        <v>20</v>
      </c>
      <c r="M279">
        <v>12702</v>
      </c>
      <c r="N279">
        <v>2200</v>
      </c>
    </row>
    <row r="280" spans="1:14" x14ac:dyDescent="0.35">
      <c r="A280" t="s">
        <v>308</v>
      </c>
      <c r="B280" t="s">
        <v>15</v>
      </c>
      <c r="C280" t="s">
        <v>16</v>
      </c>
      <c r="D280">
        <v>18</v>
      </c>
      <c r="E280" t="s">
        <v>302</v>
      </c>
      <c r="F280">
        <v>5419</v>
      </c>
      <c r="G280" t="s">
        <v>18</v>
      </c>
      <c r="H280">
        <v>27</v>
      </c>
      <c r="I280" t="s">
        <v>19</v>
      </c>
      <c r="J280">
        <v>1992</v>
      </c>
      <c r="K280">
        <v>1992</v>
      </c>
      <c r="L280" t="s">
        <v>20</v>
      </c>
      <c r="M280">
        <v>13491</v>
      </c>
      <c r="N280">
        <v>2200</v>
      </c>
    </row>
    <row r="281" spans="1:14" x14ac:dyDescent="0.35">
      <c r="A281" t="s">
        <v>309</v>
      </c>
      <c r="B281" t="s">
        <v>15</v>
      </c>
      <c r="C281" t="s">
        <v>16</v>
      </c>
      <c r="D281">
        <v>18</v>
      </c>
      <c r="E281" t="s">
        <v>302</v>
      </c>
      <c r="F281">
        <v>5419</v>
      </c>
      <c r="G281" t="s">
        <v>18</v>
      </c>
      <c r="H281">
        <v>27</v>
      </c>
      <c r="I281" t="s">
        <v>19</v>
      </c>
      <c r="J281">
        <v>1993</v>
      </c>
      <c r="K281">
        <v>1993</v>
      </c>
      <c r="L281" t="s">
        <v>20</v>
      </c>
      <c r="M281">
        <v>14704</v>
      </c>
      <c r="N281">
        <v>2200</v>
      </c>
    </row>
    <row r="282" spans="1:14" x14ac:dyDescent="0.35">
      <c r="A282" t="s">
        <v>310</v>
      </c>
      <c r="B282" t="s">
        <v>15</v>
      </c>
      <c r="C282" t="s">
        <v>16</v>
      </c>
      <c r="D282">
        <v>18</v>
      </c>
      <c r="E282" t="s">
        <v>302</v>
      </c>
      <c r="F282">
        <v>5419</v>
      </c>
      <c r="G282" t="s">
        <v>18</v>
      </c>
      <c r="H282">
        <v>27</v>
      </c>
      <c r="I282" t="s">
        <v>19</v>
      </c>
      <c r="J282">
        <v>1994</v>
      </c>
      <c r="K282">
        <v>1994</v>
      </c>
      <c r="L282" t="s">
        <v>20</v>
      </c>
      <c r="M282">
        <v>16071</v>
      </c>
      <c r="N282">
        <v>2200</v>
      </c>
    </row>
    <row r="283" spans="1:14" x14ac:dyDescent="0.35">
      <c r="A283" t="s">
        <v>311</v>
      </c>
      <c r="B283" t="s">
        <v>15</v>
      </c>
      <c r="C283" t="s">
        <v>16</v>
      </c>
      <c r="D283">
        <v>18</v>
      </c>
      <c r="E283" t="s">
        <v>302</v>
      </c>
      <c r="F283">
        <v>5419</v>
      </c>
      <c r="G283" t="s">
        <v>18</v>
      </c>
      <c r="H283">
        <v>27</v>
      </c>
      <c r="I283" t="s">
        <v>19</v>
      </c>
      <c r="J283">
        <v>1995</v>
      </c>
      <c r="K283">
        <v>1995</v>
      </c>
      <c r="L283" t="s">
        <v>20</v>
      </c>
      <c r="M283">
        <v>16667</v>
      </c>
      <c r="N283">
        <v>2200</v>
      </c>
    </row>
    <row r="284" spans="1:14" x14ac:dyDescent="0.35">
      <c r="A284" t="s">
        <v>312</v>
      </c>
      <c r="B284" t="s">
        <v>15</v>
      </c>
      <c r="C284" t="s">
        <v>16</v>
      </c>
      <c r="D284">
        <v>18</v>
      </c>
      <c r="E284" t="s">
        <v>302</v>
      </c>
      <c r="F284">
        <v>5419</v>
      </c>
      <c r="G284" t="s">
        <v>18</v>
      </c>
      <c r="H284">
        <v>27</v>
      </c>
      <c r="I284" t="s">
        <v>19</v>
      </c>
      <c r="J284">
        <v>1996</v>
      </c>
      <c r="K284">
        <v>1996</v>
      </c>
      <c r="L284" t="s">
        <v>20</v>
      </c>
      <c r="M284">
        <v>16570</v>
      </c>
      <c r="N284">
        <v>2200</v>
      </c>
    </row>
    <row r="285" spans="1:14" x14ac:dyDescent="0.35">
      <c r="A285" t="s">
        <v>313</v>
      </c>
      <c r="B285" t="s">
        <v>15</v>
      </c>
      <c r="C285" t="s">
        <v>16</v>
      </c>
      <c r="D285">
        <v>18</v>
      </c>
      <c r="E285" t="s">
        <v>302</v>
      </c>
      <c r="F285">
        <v>5419</v>
      </c>
      <c r="G285" t="s">
        <v>18</v>
      </c>
      <c r="H285">
        <v>27</v>
      </c>
      <c r="I285" t="s">
        <v>19</v>
      </c>
      <c r="J285">
        <v>1997</v>
      </c>
      <c r="K285">
        <v>1997</v>
      </c>
      <c r="L285" t="s">
        <v>20</v>
      </c>
      <c r="M285">
        <v>17214</v>
      </c>
      <c r="N285">
        <v>2200</v>
      </c>
    </row>
    <row r="286" spans="1:14" x14ac:dyDescent="0.35">
      <c r="A286" t="s">
        <v>314</v>
      </c>
      <c r="B286" t="s">
        <v>15</v>
      </c>
      <c r="C286" t="s">
        <v>16</v>
      </c>
      <c r="D286">
        <v>18</v>
      </c>
      <c r="E286" t="s">
        <v>302</v>
      </c>
      <c r="F286">
        <v>5419</v>
      </c>
      <c r="G286" t="s">
        <v>18</v>
      </c>
      <c r="H286">
        <v>27</v>
      </c>
      <c r="I286" t="s">
        <v>19</v>
      </c>
      <c r="J286">
        <v>1998</v>
      </c>
      <c r="K286">
        <v>1998</v>
      </c>
      <c r="L286" t="s">
        <v>20</v>
      </c>
      <c r="M286">
        <v>17892</v>
      </c>
      <c r="N286">
        <v>2200</v>
      </c>
    </row>
    <row r="287" spans="1:14" x14ac:dyDescent="0.35">
      <c r="A287" t="s">
        <v>315</v>
      </c>
      <c r="B287" t="s">
        <v>15</v>
      </c>
      <c r="C287" t="s">
        <v>16</v>
      </c>
      <c r="D287">
        <v>18</v>
      </c>
      <c r="E287" t="s">
        <v>302</v>
      </c>
      <c r="F287">
        <v>5419</v>
      </c>
      <c r="G287" t="s">
        <v>18</v>
      </c>
      <c r="H287">
        <v>27</v>
      </c>
      <c r="I287" t="s">
        <v>19</v>
      </c>
      <c r="J287">
        <v>1999</v>
      </c>
      <c r="K287">
        <v>1999</v>
      </c>
      <c r="L287" t="s">
        <v>20</v>
      </c>
      <c r="M287">
        <v>18471</v>
      </c>
      <c r="N287">
        <v>2200</v>
      </c>
    </row>
    <row r="288" spans="1:14" x14ac:dyDescent="0.35">
      <c r="A288" t="s">
        <v>316</v>
      </c>
      <c r="B288" t="s">
        <v>15</v>
      </c>
      <c r="C288" t="s">
        <v>16</v>
      </c>
      <c r="D288">
        <v>18</v>
      </c>
      <c r="E288" t="s">
        <v>302</v>
      </c>
      <c r="F288">
        <v>5419</v>
      </c>
      <c r="G288" t="s">
        <v>18</v>
      </c>
      <c r="H288">
        <v>27</v>
      </c>
      <c r="I288" t="s">
        <v>19</v>
      </c>
      <c r="J288">
        <v>2000</v>
      </c>
      <c r="K288">
        <v>2000</v>
      </c>
      <c r="L288" t="s">
        <v>20</v>
      </c>
      <c r="M288">
        <v>17038</v>
      </c>
      <c r="N288">
        <v>2200</v>
      </c>
    </row>
    <row r="289" spans="1:14" x14ac:dyDescent="0.35">
      <c r="A289" t="s">
        <v>317</v>
      </c>
      <c r="B289" t="s">
        <v>15</v>
      </c>
      <c r="C289" t="s">
        <v>16</v>
      </c>
      <c r="D289">
        <v>18</v>
      </c>
      <c r="E289" t="s">
        <v>302</v>
      </c>
      <c r="F289">
        <v>5419</v>
      </c>
      <c r="G289" t="s">
        <v>18</v>
      </c>
      <c r="H289">
        <v>27</v>
      </c>
      <c r="I289" t="s">
        <v>19</v>
      </c>
      <c r="J289">
        <v>2001</v>
      </c>
      <c r="K289">
        <v>2001</v>
      </c>
      <c r="L289" t="s">
        <v>20</v>
      </c>
      <c r="M289">
        <v>17391</v>
      </c>
      <c r="N289">
        <v>2200</v>
      </c>
    </row>
    <row r="290" spans="1:14" x14ac:dyDescent="0.35">
      <c r="A290" t="s">
        <v>318</v>
      </c>
      <c r="B290" t="s">
        <v>15</v>
      </c>
      <c r="C290" t="s">
        <v>16</v>
      </c>
      <c r="D290">
        <v>18</v>
      </c>
      <c r="E290" t="s">
        <v>302</v>
      </c>
      <c r="F290">
        <v>5419</v>
      </c>
      <c r="G290" t="s">
        <v>18</v>
      </c>
      <c r="H290">
        <v>27</v>
      </c>
      <c r="I290" t="s">
        <v>19</v>
      </c>
      <c r="J290">
        <v>2002</v>
      </c>
      <c r="K290">
        <v>2002</v>
      </c>
      <c r="L290" t="s">
        <v>20</v>
      </c>
      <c r="M290">
        <v>19987</v>
      </c>
      <c r="N290">
        <v>2200</v>
      </c>
    </row>
    <row r="291" spans="1:14" x14ac:dyDescent="0.35">
      <c r="A291" t="s">
        <v>319</v>
      </c>
      <c r="B291" t="s">
        <v>15</v>
      </c>
      <c r="C291" t="s">
        <v>16</v>
      </c>
      <c r="D291">
        <v>18</v>
      </c>
      <c r="E291" t="s">
        <v>302</v>
      </c>
      <c r="F291">
        <v>5419</v>
      </c>
      <c r="G291" t="s">
        <v>18</v>
      </c>
      <c r="H291">
        <v>27</v>
      </c>
      <c r="I291" t="s">
        <v>19</v>
      </c>
      <c r="J291">
        <v>2004</v>
      </c>
      <c r="K291">
        <v>2004</v>
      </c>
      <c r="L291" t="s">
        <v>20</v>
      </c>
      <c r="M291">
        <v>28816</v>
      </c>
      <c r="N291">
        <v>2200</v>
      </c>
    </row>
    <row r="292" spans="1:14" x14ac:dyDescent="0.35">
      <c r="A292" t="s">
        <v>320</v>
      </c>
      <c r="B292" t="s">
        <v>15</v>
      </c>
      <c r="C292" t="s">
        <v>16</v>
      </c>
      <c r="D292">
        <v>18</v>
      </c>
      <c r="E292" t="s">
        <v>302</v>
      </c>
      <c r="F292">
        <v>5419</v>
      </c>
      <c r="G292" t="s">
        <v>18</v>
      </c>
      <c r="H292">
        <v>27</v>
      </c>
      <c r="I292" t="s">
        <v>19</v>
      </c>
      <c r="J292">
        <v>2005</v>
      </c>
      <c r="K292">
        <v>2005</v>
      </c>
      <c r="L292" t="s">
        <v>20</v>
      </c>
      <c r="M292">
        <v>26896</v>
      </c>
      <c r="N292">
        <v>2200</v>
      </c>
    </row>
    <row r="293" spans="1:14" x14ac:dyDescent="0.35">
      <c r="A293" t="s">
        <v>321</v>
      </c>
      <c r="B293" t="s">
        <v>15</v>
      </c>
      <c r="C293" t="s">
        <v>16</v>
      </c>
      <c r="D293">
        <v>18</v>
      </c>
      <c r="E293" t="s">
        <v>302</v>
      </c>
      <c r="F293">
        <v>5419</v>
      </c>
      <c r="G293" t="s">
        <v>18</v>
      </c>
      <c r="H293">
        <v>27</v>
      </c>
      <c r="I293" t="s">
        <v>19</v>
      </c>
      <c r="J293">
        <v>2006</v>
      </c>
      <c r="K293">
        <v>2006</v>
      </c>
      <c r="L293" t="s">
        <v>20</v>
      </c>
      <c r="M293">
        <v>27461</v>
      </c>
      <c r="N293">
        <v>2200</v>
      </c>
    </row>
    <row r="294" spans="1:14" x14ac:dyDescent="0.35">
      <c r="A294" t="s">
        <v>322</v>
      </c>
      <c r="B294" t="s">
        <v>15</v>
      </c>
      <c r="C294" t="s">
        <v>16</v>
      </c>
      <c r="D294">
        <v>18</v>
      </c>
      <c r="E294" t="s">
        <v>302</v>
      </c>
      <c r="F294">
        <v>5419</v>
      </c>
      <c r="G294" t="s">
        <v>18</v>
      </c>
      <c r="H294">
        <v>27</v>
      </c>
      <c r="I294" t="s">
        <v>19</v>
      </c>
      <c r="J294">
        <v>2007</v>
      </c>
      <c r="K294">
        <v>2007</v>
      </c>
      <c r="L294" t="s">
        <v>20</v>
      </c>
      <c r="M294">
        <v>27043</v>
      </c>
      <c r="N294">
        <v>2200</v>
      </c>
    </row>
    <row r="295" spans="1:14" x14ac:dyDescent="0.35">
      <c r="A295" t="s">
        <v>323</v>
      </c>
      <c r="B295" t="s">
        <v>15</v>
      </c>
      <c r="C295" t="s">
        <v>16</v>
      </c>
      <c r="D295">
        <v>18</v>
      </c>
      <c r="E295" t="s">
        <v>302</v>
      </c>
      <c r="F295">
        <v>5419</v>
      </c>
      <c r="G295" t="s">
        <v>18</v>
      </c>
      <c r="H295">
        <v>27</v>
      </c>
      <c r="I295" t="s">
        <v>19</v>
      </c>
      <c r="J295">
        <v>2008</v>
      </c>
      <c r="K295">
        <v>2008</v>
      </c>
      <c r="L295" t="s">
        <v>20</v>
      </c>
      <c r="M295">
        <v>39983</v>
      </c>
      <c r="N295">
        <v>2200</v>
      </c>
    </row>
    <row r="296" spans="1:14" x14ac:dyDescent="0.35">
      <c r="A296" t="s">
        <v>324</v>
      </c>
      <c r="B296" t="s">
        <v>15</v>
      </c>
      <c r="C296" t="s">
        <v>16</v>
      </c>
      <c r="D296">
        <v>18</v>
      </c>
      <c r="E296" t="s">
        <v>302</v>
      </c>
      <c r="F296">
        <v>5419</v>
      </c>
      <c r="G296" t="s">
        <v>18</v>
      </c>
      <c r="H296">
        <v>27</v>
      </c>
      <c r="I296" t="s">
        <v>19</v>
      </c>
      <c r="J296">
        <v>2009</v>
      </c>
      <c r="K296">
        <v>2009</v>
      </c>
      <c r="L296" t="s">
        <v>20</v>
      </c>
      <c r="M296">
        <v>27993</v>
      </c>
      <c r="N296">
        <v>2200</v>
      </c>
    </row>
    <row r="297" spans="1:14" x14ac:dyDescent="0.35">
      <c r="A297" t="s">
        <v>325</v>
      </c>
      <c r="B297" t="s">
        <v>15</v>
      </c>
      <c r="C297" t="s">
        <v>16</v>
      </c>
      <c r="D297">
        <v>18</v>
      </c>
      <c r="E297" t="s">
        <v>302</v>
      </c>
      <c r="F297">
        <v>5419</v>
      </c>
      <c r="G297" t="s">
        <v>18</v>
      </c>
      <c r="H297">
        <v>27</v>
      </c>
      <c r="I297" t="s">
        <v>19</v>
      </c>
      <c r="J297">
        <v>2010</v>
      </c>
      <c r="K297">
        <v>2010</v>
      </c>
      <c r="L297" t="s">
        <v>20</v>
      </c>
      <c r="M297">
        <v>31400</v>
      </c>
      <c r="N297">
        <v>2200</v>
      </c>
    </row>
    <row r="298" spans="1:14" x14ac:dyDescent="0.35">
      <c r="A298" t="s">
        <v>326</v>
      </c>
      <c r="B298" t="s">
        <v>15</v>
      </c>
      <c r="C298" t="s">
        <v>16</v>
      </c>
      <c r="D298">
        <v>18</v>
      </c>
      <c r="E298" t="s">
        <v>302</v>
      </c>
      <c r="F298">
        <v>5419</v>
      </c>
      <c r="G298" t="s">
        <v>18</v>
      </c>
      <c r="H298">
        <v>27</v>
      </c>
      <c r="I298" t="s">
        <v>19</v>
      </c>
      <c r="J298">
        <v>2011</v>
      </c>
      <c r="K298">
        <v>2011</v>
      </c>
      <c r="L298" t="s">
        <v>20</v>
      </c>
      <c r="M298">
        <v>32382</v>
      </c>
      <c r="N298">
        <v>2200</v>
      </c>
    </row>
    <row r="299" spans="1:14" x14ac:dyDescent="0.35">
      <c r="A299" t="s">
        <v>327</v>
      </c>
      <c r="B299" t="s">
        <v>15</v>
      </c>
      <c r="C299" t="s">
        <v>16</v>
      </c>
      <c r="D299">
        <v>18</v>
      </c>
      <c r="E299" t="s">
        <v>302</v>
      </c>
      <c r="F299">
        <v>5419</v>
      </c>
      <c r="G299" t="s">
        <v>18</v>
      </c>
      <c r="H299">
        <v>27</v>
      </c>
      <c r="I299" t="s">
        <v>19</v>
      </c>
      <c r="J299">
        <v>2012</v>
      </c>
      <c r="K299">
        <v>2012</v>
      </c>
      <c r="L299" t="s">
        <v>20</v>
      </c>
      <c r="M299">
        <v>36893</v>
      </c>
      <c r="N299">
        <v>2200</v>
      </c>
    </row>
    <row r="300" spans="1:14" x14ac:dyDescent="0.35">
      <c r="A300" t="s">
        <v>328</v>
      </c>
      <c r="B300" t="s">
        <v>15</v>
      </c>
      <c r="C300" t="s">
        <v>16</v>
      </c>
      <c r="D300">
        <v>18</v>
      </c>
      <c r="E300" t="s">
        <v>302</v>
      </c>
      <c r="F300">
        <v>5419</v>
      </c>
      <c r="G300" t="s">
        <v>18</v>
      </c>
      <c r="H300">
        <v>27</v>
      </c>
      <c r="I300" t="s">
        <v>19</v>
      </c>
      <c r="J300">
        <v>2013</v>
      </c>
      <c r="K300">
        <v>2013</v>
      </c>
      <c r="L300" t="s">
        <v>20</v>
      </c>
      <c r="M300">
        <v>36985</v>
      </c>
      <c r="N300">
        <v>2200</v>
      </c>
    </row>
    <row r="301" spans="1:14" x14ac:dyDescent="0.35">
      <c r="A301" t="s">
        <v>329</v>
      </c>
      <c r="B301" t="s">
        <v>15</v>
      </c>
      <c r="C301" t="s">
        <v>16</v>
      </c>
      <c r="D301">
        <v>18</v>
      </c>
      <c r="E301" t="s">
        <v>302</v>
      </c>
      <c r="F301">
        <v>5419</v>
      </c>
      <c r="G301" t="s">
        <v>18</v>
      </c>
      <c r="H301">
        <v>27</v>
      </c>
      <c r="I301" t="s">
        <v>19</v>
      </c>
      <c r="J301">
        <v>2014</v>
      </c>
      <c r="K301">
        <v>2014</v>
      </c>
      <c r="L301" t="s">
        <v>20</v>
      </c>
      <c r="M301">
        <v>37635</v>
      </c>
      <c r="N301">
        <v>2200</v>
      </c>
    </row>
    <row r="302" spans="1:14" x14ac:dyDescent="0.35">
      <c r="A302" t="s">
        <v>330</v>
      </c>
      <c r="B302" t="s">
        <v>15</v>
      </c>
      <c r="C302" t="s">
        <v>16</v>
      </c>
      <c r="D302">
        <v>18</v>
      </c>
      <c r="E302" t="s">
        <v>302</v>
      </c>
      <c r="F302">
        <v>5419</v>
      </c>
      <c r="G302" t="s">
        <v>18</v>
      </c>
      <c r="H302">
        <v>27</v>
      </c>
      <c r="I302" t="s">
        <v>19</v>
      </c>
      <c r="J302">
        <v>2015</v>
      </c>
      <c r="K302">
        <v>2015</v>
      </c>
      <c r="L302" t="s">
        <v>20</v>
      </c>
      <c r="M302">
        <v>38061</v>
      </c>
      <c r="N302">
        <v>2200</v>
      </c>
    </row>
    <row r="303" spans="1:14" x14ac:dyDescent="0.35">
      <c r="A303" t="s">
        <v>331</v>
      </c>
      <c r="B303" t="s">
        <v>15</v>
      </c>
      <c r="C303" t="s">
        <v>16</v>
      </c>
      <c r="D303">
        <v>18</v>
      </c>
      <c r="E303" t="s">
        <v>302</v>
      </c>
      <c r="F303">
        <v>5419</v>
      </c>
      <c r="G303" t="s">
        <v>18</v>
      </c>
      <c r="H303">
        <v>27</v>
      </c>
      <c r="I303" t="s">
        <v>19</v>
      </c>
      <c r="J303">
        <v>2016</v>
      </c>
      <c r="K303">
        <v>2016</v>
      </c>
      <c r="L303" t="s">
        <v>20</v>
      </c>
      <c r="M303">
        <v>39556</v>
      </c>
      <c r="N303">
        <v>2200</v>
      </c>
    </row>
    <row r="304" spans="1:14" x14ac:dyDescent="0.35">
      <c r="A304" t="s">
        <v>332</v>
      </c>
      <c r="B304" t="s">
        <v>15</v>
      </c>
      <c r="C304" t="s">
        <v>16</v>
      </c>
      <c r="D304">
        <v>21</v>
      </c>
      <c r="E304" t="s">
        <v>333</v>
      </c>
      <c r="F304">
        <v>5419</v>
      </c>
      <c r="G304" t="s">
        <v>18</v>
      </c>
      <c r="H304">
        <v>27</v>
      </c>
      <c r="I304" t="s">
        <v>19</v>
      </c>
      <c r="J304">
        <v>1985</v>
      </c>
      <c r="K304">
        <v>1985</v>
      </c>
      <c r="L304" t="s">
        <v>20</v>
      </c>
      <c r="M304">
        <v>18980</v>
      </c>
      <c r="N304">
        <v>1761</v>
      </c>
    </row>
    <row r="305" spans="1:14" x14ac:dyDescent="0.35">
      <c r="A305" t="s">
        <v>334</v>
      </c>
      <c r="B305" t="s">
        <v>15</v>
      </c>
      <c r="C305" t="s">
        <v>16</v>
      </c>
      <c r="D305">
        <v>21</v>
      </c>
      <c r="E305" t="s">
        <v>333</v>
      </c>
      <c r="F305">
        <v>5419</v>
      </c>
      <c r="G305" t="s">
        <v>18</v>
      </c>
      <c r="H305">
        <v>27</v>
      </c>
      <c r="I305" t="s">
        <v>19</v>
      </c>
      <c r="J305">
        <v>1986</v>
      </c>
      <c r="K305">
        <v>1986</v>
      </c>
      <c r="L305" t="s">
        <v>20</v>
      </c>
      <c r="M305">
        <v>18610</v>
      </c>
      <c r="N305">
        <v>1761</v>
      </c>
    </row>
    <row r="306" spans="1:14" x14ac:dyDescent="0.35">
      <c r="A306" t="s">
        <v>335</v>
      </c>
      <c r="B306" t="s">
        <v>15</v>
      </c>
      <c r="C306" t="s">
        <v>16</v>
      </c>
      <c r="D306">
        <v>21</v>
      </c>
      <c r="E306" t="s">
        <v>333</v>
      </c>
      <c r="F306">
        <v>5419</v>
      </c>
      <c r="G306" t="s">
        <v>18</v>
      </c>
      <c r="H306">
        <v>27</v>
      </c>
      <c r="I306" t="s">
        <v>19</v>
      </c>
      <c r="J306">
        <v>1987</v>
      </c>
      <c r="K306">
        <v>1987</v>
      </c>
      <c r="L306" t="s">
        <v>20</v>
      </c>
      <c r="M306">
        <v>17375</v>
      </c>
      <c r="N306">
        <v>1761</v>
      </c>
    </row>
    <row r="307" spans="1:14" x14ac:dyDescent="0.35">
      <c r="A307" t="s">
        <v>336</v>
      </c>
      <c r="B307" t="s">
        <v>15</v>
      </c>
      <c r="C307" t="s">
        <v>16</v>
      </c>
      <c r="D307">
        <v>21</v>
      </c>
      <c r="E307" t="s">
        <v>333</v>
      </c>
      <c r="F307">
        <v>5419</v>
      </c>
      <c r="G307" t="s">
        <v>18</v>
      </c>
      <c r="H307">
        <v>27</v>
      </c>
      <c r="I307" t="s">
        <v>19</v>
      </c>
      <c r="J307">
        <v>1989</v>
      </c>
      <c r="K307">
        <v>1989</v>
      </c>
      <c r="L307" t="s">
        <v>20</v>
      </c>
      <c r="M307">
        <v>20993</v>
      </c>
      <c r="N307">
        <v>1761</v>
      </c>
    </row>
    <row r="308" spans="1:14" x14ac:dyDescent="0.35">
      <c r="A308" t="s">
        <v>337</v>
      </c>
      <c r="B308" t="s">
        <v>15</v>
      </c>
      <c r="C308" t="s">
        <v>16</v>
      </c>
      <c r="D308">
        <v>21</v>
      </c>
      <c r="E308" t="s">
        <v>333</v>
      </c>
      <c r="F308">
        <v>5419</v>
      </c>
      <c r="G308" t="s">
        <v>18</v>
      </c>
      <c r="H308">
        <v>27</v>
      </c>
      <c r="I308" t="s">
        <v>19</v>
      </c>
      <c r="J308">
        <v>1990</v>
      </c>
      <c r="K308">
        <v>1990</v>
      </c>
      <c r="L308" t="s">
        <v>20</v>
      </c>
      <c r="M308">
        <v>18803</v>
      </c>
      <c r="N308">
        <v>1761</v>
      </c>
    </row>
    <row r="309" spans="1:14" x14ac:dyDescent="0.35">
      <c r="A309" t="s">
        <v>338</v>
      </c>
      <c r="B309" t="s">
        <v>15</v>
      </c>
      <c r="C309" t="s">
        <v>16</v>
      </c>
      <c r="D309">
        <v>21</v>
      </c>
      <c r="E309" t="s">
        <v>333</v>
      </c>
      <c r="F309">
        <v>5419</v>
      </c>
      <c r="G309" t="s">
        <v>18</v>
      </c>
      <c r="H309">
        <v>27</v>
      </c>
      <c r="I309" t="s">
        <v>19</v>
      </c>
      <c r="J309">
        <v>1991</v>
      </c>
      <c r="K309">
        <v>1991</v>
      </c>
      <c r="L309" t="s">
        <v>20</v>
      </c>
      <c r="M309">
        <v>23020</v>
      </c>
      <c r="N309">
        <v>1761</v>
      </c>
    </row>
    <row r="310" spans="1:14" x14ac:dyDescent="0.35">
      <c r="A310" t="s">
        <v>339</v>
      </c>
      <c r="B310" t="s">
        <v>15</v>
      </c>
      <c r="C310" t="s">
        <v>16</v>
      </c>
      <c r="D310">
        <v>21</v>
      </c>
      <c r="E310" t="s">
        <v>333</v>
      </c>
      <c r="F310">
        <v>5419</v>
      </c>
      <c r="G310" t="s">
        <v>18</v>
      </c>
      <c r="H310">
        <v>27</v>
      </c>
      <c r="I310" t="s">
        <v>19</v>
      </c>
      <c r="J310">
        <v>1992</v>
      </c>
      <c r="K310">
        <v>1992</v>
      </c>
      <c r="L310" t="s">
        <v>20</v>
      </c>
      <c r="M310">
        <v>21349</v>
      </c>
      <c r="N310">
        <v>1761</v>
      </c>
    </row>
    <row r="311" spans="1:14" x14ac:dyDescent="0.35">
      <c r="A311" t="s">
        <v>340</v>
      </c>
      <c r="B311" t="s">
        <v>15</v>
      </c>
      <c r="C311" t="s">
        <v>16</v>
      </c>
      <c r="D311">
        <v>21</v>
      </c>
      <c r="E311" t="s">
        <v>333</v>
      </c>
      <c r="F311">
        <v>5419</v>
      </c>
      <c r="G311" t="s">
        <v>18</v>
      </c>
      <c r="H311">
        <v>27</v>
      </c>
      <c r="I311" t="s">
        <v>19</v>
      </c>
      <c r="J311">
        <v>1993</v>
      </c>
      <c r="K311">
        <v>1993</v>
      </c>
      <c r="L311" t="s">
        <v>20</v>
      </c>
      <c r="M311">
        <v>22912</v>
      </c>
      <c r="N311">
        <v>1761</v>
      </c>
    </row>
    <row r="312" spans="1:14" x14ac:dyDescent="0.35">
      <c r="A312" t="s">
        <v>341</v>
      </c>
      <c r="B312" t="s">
        <v>15</v>
      </c>
      <c r="C312" t="s">
        <v>16</v>
      </c>
      <c r="D312">
        <v>21</v>
      </c>
      <c r="E312" t="s">
        <v>333</v>
      </c>
      <c r="F312">
        <v>5419</v>
      </c>
      <c r="G312" t="s">
        <v>18</v>
      </c>
      <c r="H312">
        <v>27</v>
      </c>
      <c r="I312" t="s">
        <v>19</v>
      </c>
      <c r="J312">
        <v>1994</v>
      </c>
      <c r="K312">
        <v>1994</v>
      </c>
      <c r="L312" t="s">
        <v>20</v>
      </c>
      <c r="M312">
        <v>23876</v>
      </c>
      <c r="N312">
        <v>1761</v>
      </c>
    </row>
    <row r="313" spans="1:14" x14ac:dyDescent="0.35">
      <c r="A313" t="s">
        <v>342</v>
      </c>
      <c r="B313" t="s">
        <v>15</v>
      </c>
      <c r="C313" t="s">
        <v>16</v>
      </c>
      <c r="D313">
        <v>21</v>
      </c>
      <c r="E313" t="s">
        <v>333</v>
      </c>
      <c r="F313">
        <v>5419</v>
      </c>
      <c r="G313" t="s">
        <v>18</v>
      </c>
      <c r="H313">
        <v>27</v>
      </c>
      <c r="I313" t="s">
        <v>19</v>
      </c>
      <c r="J313">
        <v>1995</v>
      </c>
      <c r="K313">
        <v>1995</v>
      </c>
      <c r="L313" t="s">
        <v>20</v>
      </c>
      <c r="M313">
        <v>25668</v>
      </c>
      <c r="N313">
        <v>1761</v>
      </c>
    </row>
    <row r="314" spans="1:14" x14ac:dyDescent="0.35">
      <c r="A314" t="s">
        <v>343</v>
      </c>
      <c r="B314" t="s">
        <v>15</v>
      </c>
      <c r="C314" t="s">
        <v>16</v>
      </c>
      <c r="D314">
        <v>21</v>
      </c>
      <c r="E314" t="s">
        <v>333</v>
      </c>
      <c r="F314">
        <v>5419</v>
      </c>
      <c r="G314" t="s">
        <v>18</v>
      </c>
      <c r="H314">
        <v>27</v>
      </c>
      <c r="I314" t="s">
        <v>19</v>
      </c>
      <c r="J314">
        <v>1996</v>
      </c>
      <c r="K314">
        <v>1996</v>
      </c>
      <c r="L314" t="s">
        <v>20</v>
      </c>
      <c r="M314">
        <v>26578</v>
      </c>
      <c r="N314">
        <v>1761</v>
      </c>
    </row>
    <row r="315" spans="1:14" x14ac:dyDescent="0.35">
      <c r="A315" t="s">
        <v>344</v>
      </c>
      <c r="B315" t="s">
        <v>15</v>
      </c>
      <c r="C315" t="s">
        <v>16</v>
      </c>
      <c r="D315">
        <v>21</v>
      </c>
      <c r="E315" t="s">
        <v>333</v>
      </c>
      <c r="F315">
        <v>5419</v>
      </c>
      <c r="G315" t="s">
        <v>18</v>
      </c>
      <c r="H315">
        <v>27</v>
      </c>
      <c r="I315" t="s">
        <v>19</v>
      </c>
      <c r="J315">
        <v>1997</v>
      </c>
      <c r="K315">
        <v>1997</v>
      </c>
      <c r="L315" t="s">
        <v>20</v>
      </c>
      <c r="M315">
        <v>27310</v>
      </c>
      <c r="N315">
        <v>1761</v>
      </c>
    </row>
    <row r="316" spans="1:14" x14ac:dyDescent="0.35">
      <c r="A316" t="s">
        <v>345</v>
      </c>
      <c r="B316" t="s">
        <v>15</v>
      </c>
      <c r="C316" t="s">
        <v>16</v>
      </c>
      <c r="D316">
        <v>21</v>
      </c>
      <c r="E316" t="s">
        <v>333</v>
      </c>
      <c r="F316">
        <v>5419</v>
      </c>
      <c r="G316" t="s">
        <v>18</v>
      </c>
      <c r="H316">
        <v>27</v>
      </c>
      <c r="I316" t="s">
        <v>19</v>
      </c>
      <c r="J316">
        <v>1998</v>
      </c>
      <c r="K316">
        <v>1998</v>
      </c>
      <c r="L316" t="s">
        <v>20</v>
      </c>
      <c r="M316">
        <v>25198</v>
      </c>
      <c r="N316">
        <v>1761</v>
      </c>
    </row>
    <row r="317" spans="1:14" x14ac:dyDescent="0.35">
      <c r="A317" t="s">
        <v>346</v>
      </c>
      <c r="B317" t="s">
        <v>15</v>
      </c>
      <c r="C317" t="s">
        <v>16</v>
      </c>
      <c r="D317">
        <v>21</v>
      </c>
      <c r="E317" t="s">
        <v>333</v>
      </c>
      <c r="F317">
        <v>5419</v>
      </c>
      <c r="G317" t="s">
        <v>18</v>
      </c>
      <c r="H317">
        <v>27</v>
      </c>
      <c r="I317" t="s">
        <v>19</v>
      </c>
      <c r="J317">
        <v>1999</v>
      </c>
      <c r="K317">
        <v>1999</v>
      </c>
      <c r="L317" t="s">
        <v>20</v>
      </c>
      <c r="M317">
        <v>30708</v>
      </c>
      <c r="N317">
        <v>1761</v>
      </c>
    </row>
    <row r="318" spans="1:14" x14ac:dyDescent="0.35">
      <c r="A318" t="s">
        <v>347</v>
      </c>
      <c r="B318" t="s">
        <v>15</v>
      </c>
      <c r="C318" t="s">
        <v>16</v>
      </c>
      <c r="D318">
        <v>21</v>
      </c>
      <c r="E318" t="s">
        <v>333</v>
      </c>
      <c r="F318">
        <v>5419</v>
      </c>
      <c r="G318" t="s">
        <v>18</v>
      </c>
      <c r="H318">
        <v>27</v>
      </c>
      <c r="I318" t="s">
        <v>19</v>
      </c>
      <c r="J318">
        <v>2000</v>
      </c>
      <c r="K318">
        <v>2000</v>
      </c>
      <c r="L318" t="s">
        <v>20</v>
      </c>
      <c r="M318">
        <v>30382</v>
      </c>
      <c r="N318">
        <v>1761</v>
      </c>
    </row>
    <row r="319" spans="1:14" x14ac:dyDescent="0.35">
      <c r="A319" t="s">
        <v>348</v>
      </c>
      <c r="B319" t="s">
        <v>15</v>
      </c>
      <c r="C319" t="s">
        <v>16</v>
      </c>
      <c r="D319">
        <v>21</v>
      </c>
      <c r="E319" t="s">
        <v>333</v>
      </c>
      <c r="F319">
        <v>5419</v>
      </c>
      <c r="G319" t="s">
        <v>18</v>
      </c>
      <c r="H319">
        <v>27</v>
      </c>
      <c r="I319" t="s">
        <v>19</v>
      </c>
      <c r="J319">
        <v>2001</v>
      </c>
      <c r="K319">
        <v>2001</v>
      </c>
      <c r="L319" t="s">
        <v>20</v>
      </c>
      <c r="M319">
        <v>32405</v>
      </c>
      <c r="N319">
        <v>1761</v>
      </c>
    </row>
    <row r="320" spans="1:14" x14ac:dyDescent="0.35">
      <c r="A320" t="s">
        <v>349</v>
      </c>
      <c r="B320" t="s">
        <v>15</v>
      </c>
      <c r="C320" t="s">
        <v>16</v>
      </c>
      <c r="D320">
        <v>21</v>
      </c>
      <c r="E320" t="s">
        <v>333</v>
      </c>
      <c r="F320">
        <v>5419</v>
      </c>
      <c r="G320" t="s">
        <v>18</v>
      </c>
      <c r="H320">
        <v>27</v>
      </c>
      <c r="I320" t="s">
        <v>19</v>
      </c>
      <c r="J320">
        <v>2002</v>
      </c>
      <c r="K320">
        <v>2002</v>
      </c>
      <c r="L320" t="s">
        <v>20</v>
      </c>
      <c r="M320">
        <v>33246</v>
      </c>
      <c r="N320">
        <v>1761</v>
      </c>
    </row>
    <row r="321" spans="1:14" x14ac:dyDescent="0.35">
      <c r="A321" t="s">
        <v>350</v>
      </c>
      <c r="B321" t="s">
        <v>15</v>
      </c>
      <c r="C321" t="s">
        <v>16</v>
      </c>
      <c r="D321">
        <v>21</v>
      </c>
      <c r="E321" t="s">
        <v>333</v>
      </c>
      <c r="F321">
        <v>5419</v>
      </c>
      <c r="G321" t="s">
        <v>18</v>
      </c>
      <c r="H321">
        <v>27</v>
      </c>
      <c r="I321" t="s">
        <v>19</v>
      </c>
      <c r="J321">
        <v>2004</v>
      </c>
      <c r="K321">
        <v>2004</v>
      </c>
      <c r="L321" t="s">
        <v>20</v>
      </c>
      <c r="M321">
        <v>35565</v>
      </c>
      <c r="N321">
        <v>1761</v>
      </c>
    </row>
    <row r="322" spans="1:14" x14ac:dyDescent="0.35">
      <c r="A322" t="s">
        <v>351</v>
      </c>
      <c r="B322" t="s">
        <v>15</v>
      </c>
      <c r="C322" t="s">
        <v>16</v>
      </c>
      <c r="D322">
        <v>21</v>
      </c>
      <c r="E322" t="s">
        <v>333</v>
      </c>
      <c r="F322">
        <v>5419</v>
      </c>
      <c r="G322" t="s">
        <v>18</v>
      </c>
      <c r="H322">
        <v>27</v>
      </c>
      <c r="I322" t="s">
        <v>19</v>
      </c>
      <c r="J322">
        <v>2005</v>
      </c>
      <c r="K322">
        <v>2005</v>
      </c>
      <c r="L322" t="s">
        <v>20</v>
      </c>
      <c r="M322">
        <v>33691</v>
      </c>
      <c r="N322">
        <v>1761</v>
      </c>
    </row>
    <row r="323" spans="1:14" x14ac:dyDescent="0.35">
      <c r="A323" t="s">
        <v>352</v>
      </c>
      <c r="B323" t="s">
        <v>15</v>
      </c>
      <c r="C323" t="s">
        <v>16</v>
      </c>
      <c r="D323">
        <v>21</v>
      </c>
      <c r="E323" t="s">
        <v>333</v>
      </c>
      <c r="F323">
        <v>5419</v>
      </c>
      <c r="G323" t="s">
        <v>18</v>
      </c>
      <c r="H323">
        <v>27</v>
      </c>
      <c r="I323" t="s">
        <v>19</v>
      </c>
      <c r="J323">
        <v>2006</v>
      </c>
      <c r="K323">
        <v>2006</v>
      </c>
      <c r="L323" t="s">
        <v>20</v>
      </c>
      <c r="M323">
        <v>38798</v>
      </c>
      <c r="N323">
        <v>1761</v>
      </c>
    </row>
    <row r="324" spans="1:14" x14ac:dyDescent="0.35">
      <c r="A324" t="s">
        <v>353</v>
      </c>
      <c r="B324" t="s">
        <v>15</v>
      </c>
      <c r="C324" t="s">
        <v>16</v>
      </c>
      <c r="D324">
        <v>21</v>
      </c>
      <c r="E324" t="s">
        <v>333</v>
      </c>
      <c r="F324">
        <v>5419</v>
      </c>
      <c r="G324" t="s">
        <v>18</v>
      </c>
      <c r="H324">
        <v>27</v>
      </c>
      <c r="I324" t="s">
        <v>19</v>
      </c>
      <c r="J324">
        <v>2007</v>
      </c>
      <c r="K324">
        <v>2007</v>
      </c>
      <c r="L324" t="s">
        <v>20</v>
      </c>
      <c r="M324">
        <v>38260</v>
      </c>
      <c r="N324">
        <v>1761</v>
      </c>
    </row>
    <row r="325" spans="1:14" x14ac:dyDescent="0.35">
      <c r="A325" t="s">
        <v>354</v>
      </c>
      <c r="B325" t="s">
        <v>15</v>
      </c>
      <c r="C325" t="s">
        <v>16</v>
      </c>
      <c r="D325">
        <v>21</v>
      </c>
      <c r="E325" t="s">
        <v>333</v>
      </c>
      <c r="F325">
        <v>5419</v>
      </c>
      <c r="G325" t="s">
        <v>18</v>
      </c>
      <c r="H325">
        <v>27</v>
      </c>
      <c r="I325" t="s">
        <v>19</v>
      </c>
      <c r="J325">
        <v>2008</v>
      </c>
      <c r="K325">
        <v>2008</v>
      </c>
      <c r="L325" t="s">
        <v>20</v>
      </c>
      <c r="M325">
        <v>42311</v>
      </c>
      <c r="N325">
        <v>1761</v>
      </c>
    </row>
    <row r="326" spans="1:14" x14ac:dyDescent="0.35">
      <c r="A326" t="s">
        <v>355</v>
      </c>
      <c r="B326" t="s">
        <v>15</v>
      </c>
      <c r="C326" t="s">
        <v>16</v>
      </c>
      <c r="D326">
        <v>21</v>
      </c>
      <c r="E326" t="s">
        <v>333</v>
      </c>
      <c r="F326">
        <v>5419</v>
      </c>
      <c r="G326" t="s">
        <v>18</v>
      </c>
      <c r="H326">
        <v>27</v>
      </c>
      <c r="I326" t="s">
        <v>19</v>
      </c>
      <c r="J326">
        <v>2009</v>
      </c>
      <c r="K326">
        <v>2009</v>
      </c>
      <c r="L326" t="s">
        <v>20</v>
      </c>
      <c r="M326">
        <v>44049</v>
      </c>
      <c r="N326">
        <v>1761</v>
      </c>
    </row>
    <row r="327" spans="1:14" x14ac:dyDescent="0.35">
      <c r="A327" t="s">
        <v>356</v>
      </c>
      <c r="B327" t="s">
        <v>15</v>
      </c>
      <c r="C327" t="s">
        <v>16</v>
      </c>
      <c r="D327">
        <v>21</v>
      </c>
      <c r="E327" t="s">
        <v>333</v>
      </c>
      <c r="F327">
        <v>5419</v>
      </c>
      <c r="G327" t="s">
        <v>18</v>
      </c>
      <c r="H327">
        <v>27</v>
      </c>
      <c r="I327" t="s">
        <v>19</v>
      </c>
      <c r="J327">
        <v>2010</v>
      </c>
      <c r="K327">
        <v>2010</v>
      </c>
      <c r="L327" t="s">
        <v>20</v>
      </c>
      <c r="M327">
        <v>41271</v>
      </c>
      <c r="N327">
        <v>1761</v>
      </c>
    </row>
    <row r="328" spans="1:14" x14ac:dyDescent="0.35">
      <c r="A328" t="s">
        <v>357</v>
      </c>
      <c r="B328" t="s">
        <v>15</v>
      </c>
      <c r="C328" t="s">
        <v>16</v>
      </c>
      <c r="D328">
        <v>21</v>
      </c>
      <c r="E328" t="s">
        <v>333</v>
      </c>
      <c r="F328">
        <v>5419</v>
      </c>
      <c r="G328" t="s">
        <v>18</v>
      </c>
      <c r="H328">
        <v>27</v>
      </c>
      <c r="I328" t="s">
        <v>19</v>
      </c>
      <c r="J328">
        <v>2011</v>
      </c>
      <c r="K328">
        <v>2011</v>
      </c>
      <c r="L328" t="s">
        <v>20</v>
      </c>
      <c r="M328">
        <v>48956</v>
      </c>
      <c r="N328">
        <v>1761</v>
      </c>
    </row>
    <row r="329" spans="1:14" x14ac:dyDescent="0.35">
      <c r="A329" t="s">
        <v>358</v>
      </c>
      <c r="B329" t="s">
        <v>15</v>
      </c>
      <c r="C329" t="s">
        <v>16</v>
      </c>
      <c r="D329">
        <v>21</v>
      </c>
      <c r="E329" t="s">
        <v>333</v>
      </c>
      <c r="F329">
        <v>5419</v>
      </c>
      <c r="G329" t="s">
        <v>18</v>
      </c>
      <c r="H329">
        <v>27</v>
      </c>
      <c r="I329" t="s">
        <v>19</v>
      </c>
      <c r="J329">
        <v>2012</v>
      </c>
      <c r="K329">
        <v>2012</v>
      </c>
      <c r="L329" t="s">
        <v>20</v>
      </c>
      <c r="M329">
        <v>47860</v>
      </c>
      <c r="N329">
        <v>1761</v>
      </c>
    </row>
    <row r="330" spans="1:14" x14ac:dyDescent="0.35">
      <c r="A330" t="s">
        <v>359</v>
      </c>
      <c r="B330" t="s">
        <v>15</v>
      </c>
      <c r="C330" t="s">
        <v>16</v>
      </c>
      <c r="D330">
        <v>21</v>
      </c>
      <c r="E330" t="s">
        <v>333</v>
      </c>
      <c r="F330">
        <v>5419</v>
      </c>
      <c r="G330" t="s">
        <v>18</v>
      </c>
      <c r="H330">
        <v>27</v>
      </c>
      <c r="I330" t="s">
        <v>19</v>
      </c>
      <c r="J330">
        <v>2013</v>
      </c>
      <c r="K330">
        <v>2013</v>
      </c>
      <c r="L330" t="s">
        <v>20</v>
      </c>
      <c r="M330">
        <v>50071</v>
      </c>
      <c r="N330">
        <v>1761</v>
      </c>
    </row>
    <row r="331" spans="1:14" x14ac:dyDescent="0.35">
      <c r="A331" t="s">
        <v>360</v>
      </c>
      <c r="B331" t="s">
        <v>15</v>
      </c>
      <c r="C331" t="s">
        <v>16</v>
      </c>
      <c r="D331">
        <v>21</v>
      </c>
      <c r="E331" t="s">
        <v>333</v>
      </c>
      <c r="F331">
        <v>5419</v>
      </c>
      <c r="G331" t="s">
        <v>18</v>
      </c>
      <c r="H331">
        <v>27</v>
      </c>
      <c r="I331" t="s">
        <v>19</v>
      </c>
      <c r="J331">
        <v>2014</v>
      </c>
      <c r="K331">
        <v>2014</v>
      </c>
      <c r="L331" t="s">
        <v>20</v>
      </c>
      <c r="M331">
        <v>52013</v>
      </c>
      <c r="N331">
        <v>1761</v>
      </c>
    </row>
    <row r="332" spans="1:14" x14ac:dyDescent="0.35">
      <c r="A332" t="s">
        <v>361</v>
      </c>
      <c r="B332" t="s">
        <v>15</v>
      </c>
      <c r="C332" t="s">
        <v>16</v>
      </c>
      <c r="D332">
        <v>21</v>
      </c>
      <c r="E332" t="s">
        <v>333</v>
      </c>
      <c r="F332">
        <v>5419</v>
      </c>
      <c r="G332" t="s">
        <v>18</v>
      </c>
      <c r="H332">
        <v>27</v>
      </c>
      <c r="I332" t="s">
        <v>19</v>
      </c>
      <c r="J332">
        <v>2015</v>
      </c>
      <c r="K332">
        <v>2015</v>
      </c>
      <c r="L332" t="s">
        <v>20</v>
      </c>
      <c r="M332">
        <v>57525</v>
      </c>
      <c r="N332">
        <v>1761</v>
      </c>
    </row>
    <row r="333" spans="1:14" x14ac:dyDescent="0.35">
      <c r="A333" t="s">
        <v>362</v>
      </c>
      <c r="B333" t="s">
        <v>15</v>
      </c>
      <c r="C333" t="s">
        <v>16</v>
      </c>
      <c r="D333">
        <v>21</v>
      </c>
      <c r="E333" t="s">
        <v>333</v>
      </c>
      <c r="F333">
        <v>5419</v>
      </c>
      <c r="G333" t="s">
        <v>18</v>
      </c>
      <c r="H333">
        <v>27</v>
      </c>
      <c r="I333" t="s">
        <v>19</v>
      </c>
      <c r="J333">
        <v>2016</v>
      </c>
      <c r="K333">
        <v>2016</v>
      </c>
      <c r="L333" t="s">
        <v>20</v>
      </c>
      <c r="M333">
        <v>54643</v>
      </c>
      <c r="N333">
        <v>1761</v>
      </c>
    </row>
    <row r="334" spans="1:14" x14ac:dyDescent="0.35">
      <c r="A334" t="s">
        <v>363</v>
      </c>
      <c r="B334" t="s">
        <v>15</v>
      </c>
      <c r="C334" t="s">
        <v>16</v>
      </c>
      <c r="D334">
        <v>26</v>
      </c>
      <c r="E334" t="s">
        <v>364</v>
      </c>
      <c r="F334">
        <v>5419</v>
      </c>
      <c r="G334" t="s">
        <v>18</v>
      </c>
      <c r="H334">
        <v>27</v>
      </c>
      <c r="I334" t="s">
        <v>19</v>
      </c>
      <c r="J334">
        <v>1985</v>
      </c>
      <c r="K334">
        <v>1985</v>
      </c>
      <c r="L334" t="s">
        <v>20</v>
      </c>
      <c r="M334">
        <v>12394</v>
      </c>
      <c r="N334">
        <v>2722</v>
      </c>
    </row>
    <row r="335" spans="1:14" x14ac:dyDescent="0.35">
      <c r="A335" t="s">
        <v>365</v>
      </c>
      <c r="B335" t="s">
        <v>15</v>
      </c>
      <c r="C335" t="s">
        <v>16</v>
      </c>
      <c r="D335">
        <v>26</v>
      </c>
      <c r="E335" t="s">
        <v>364</v>
      </c>
      <c r="F335">
        <v>5419</v>
      </c>
      <c r="G335" t="s">
        <v>18</v>
      </c>
      <c r="H335">
        <v>27</v>
      </c>
      <c r="I335" t="s">
        <v>19</v>
      </c>
      <c r="J335">
        <v>1986</v>
      </c>
      <c r="K335">
        <v>1986</v>
      </c>
      <c r="L335" t="s">
        <v>20</v>
      </c>
      <c r="M335">
        <v>21359</v>
      </c>
      <c r="N335">
        <v>2722</v>
      </c>
    </row>
    <row r="336" spans="1:14" x14ac:dyDescent="0.35">
      <c r="A336" t="s">
        <v>366</v>
      </c>
      <c r="B336" t="s">
        <v>15</v>
      </c>
      <c r="C336" t="s">
        <v>16</v>
      </c>
      <c r="D336">
        <v>26</v>
      </c>
      <c r="E336" t="s">
        <v>364</v>
      </c>
      <c r="F336">
        <v>5419</v>
      </c>
      <c r="G336" t="s">
        <v>18</v>
      </c>
      <c r="H336">
        <v>27</v>
      </c>
      <c r="I336" t="s">
        <v>19</v>
      </c>
      <c r="J336">
        <v>1987</v>
      </c>
      <c r="K336">
        <v>1987</v>
      </c>
      <c r="L336" t="s">
        <v>20</v>
      </c>
      <c r="M336">
        <v>10630</v>
      </c>
      <c r="N336">
        <v>2722</v>
      </c>
    </row>
    <row r="337" spans="1:14" x14ac:dyDescent="0.35">
      <c r="A337" t="s">
        <v>367</v>
      </c>
      <c r="B337" t="s">
        <v>15</v>
      </c>
      <c r="C337" t="s">
        <v>16</v>
      </c>
      <c r="D337">
        <v>26</v>
      </c>
      <c r="E337" t="s">
        <v>364</v>
      </c>
      <c r="F337">
        <v>5419</v>
      </c>
      <c r="G337" t="s">
        <v>18</v>
      </c>
      <c r="H337">
        <v>27</v>
      </c>
      <c r="I337" t="s">
        <v>19</v>
      </c>
      <c r="J337">
        <v>1989</v>
      </c>
      <c r="K337">
        <v>1989</v>
      </c>
      <c r="L337" t="s">
        <v>20</v>
      </c>
      <c r="M337">
        <v>22286</v>
      </c>
      <c r="N337">
        <v>2722</v>
      </c>
    </row>
    <row r="338" spans="1:14" x14ac:dyDescent="0.35">
      <c r="A338" t="s">
        <v>368</v>
      </c>
      <c r="B338" t="s">
        <v>15</v>
      </c>
      <c r="C338" t="s">
        <v>16</v>
      </c>
      <c r="D338">
        <v>26</v>
      </c>
      <c r="E338" t="s">
        <v>364</v>
      </c>
      <c r="F338">
        <v>5419</v>
      </c>
      <c r="G338" t="s">
        <v>18</v>
      </c>
      <c r="H338">
        <v>27</v>
      </c>
      <c r="I338" t="s">
        <v>19</v>
      </c>
      <c r="J338">
        <v>1990</v>
      </c>
      <c r="K338">
        <v>1990</v>
      </c>
      <c r="L338" t="s">
        <v>20</v>
      </c>
      <c r="M338">
        <v>15500</v>
      </c>
      <c r="N338">
        <v>2722</v>
      </c>
    </row>
    <row r="339" spans="1:14" x14ac:dyDescent="0.35">
      <c r="A339" t="s">
        <v>369</v>
      </c>
      <c r="B339" t="s">
        <v>15</v>
      </c>
      <c r="C339" t="s">
        <v>16</v>
      </c>
      <c r="D339">
        <v>26</v>
      </c>
      <c r="E339" t="s">
        <v>364</v>
      </c>
      <c r="F339">
        <v>5419</v>
      </c>
      <c r="G339" t="s">
        <v>18</v>
      </c>
      <c r="H339">
        <v>27</v>
      </c>
      <c r="I339" t="s">
        <v>19</v>
      </c>
      <c r="J339">
        <v>1991</v>
      </c>
      <c r="K339">
        <v>1991</v>
      </c>
      <c r="L339" t="s">
        <v>20</v>
      </c>
      <c r="M339">
        <v>16000</v>
      </c>
      <c r="N339">
        <v>2722</v>
      </c>
    </row>
    <row r="340" spans="1:14" x14ac:dyDescent="0.35">
      <c r="A340" t="s">
        <v>370</v>
      </c>
      <c r="B340" t="s">
        <v>15</v>
      </c>
      <c r="C340" t="s">
        <v>16</v>
      </c>
      <c r="D340">
        <v>26</v>
      </c>
      <c r="E340" t="s">
        <v>364</v>
      </c>
      <c r="F340">
        <v>5419</v>
      </c>
      <c r="G340" t="s">
        <v>18</v>
      </c>
      <c r="H340">
        <v>27</v>
      </c>
      <c r="I340" t="s">
        <v>19</v>
      </c>
      <c r="J340">
        <v>1992</v>
      </c>
      <c r="K340">
        <v>1992</v>
      </c>
      <c r="L340" t="s">
        <v>20</v>
      </c>
      <c r="M340">
        <v>12333</v>
      </c>
      <c r="N340">
        <v>2722</v>
      </c>
    </row>
    <row r="341" spans="1:14" x14ac:dyDescent="0.35">
      <c r="A341" t="s">
        <v>371</v>
      </c>
      <c r="B341" t="s">
        <v>15</v>
      </c>
      <c r="C341" t="s">
        <v>16</v>
      </c>
      <c r="D341">
        <v>26</v>
      </c>
      <c r="E341" t="s">
        <v>364</v>
      </c>
      <c r="F341">
        <v>5419</v>
      </c>
      <c r="G341" t="s">
        <v>18</v>
      </c>
      <c r="H341">
        <v>27</v>
      </c>
      <c r="I341" t="s">
        <v>19</v>
      </c>
      <c r="J341">
        <v>1993</v>
      </c>
      <c r="K341">
        <v>1993</v>
      </c>
      <c r="L341" t="s">
        <v>20</v>
      </c>
      <c r="M341">
        <v>22571</v>
      </c>
      <c r="N341">
        <v>2722</v>
      </c>
    </row>
    <row r="342" spans="1:14" x14ac:dyDescent="0.35">
      <c r="A342" t="s">
        <v>372</v>
      </c>
      <c r="B342" t="s">
        <v>15</v>
      </c>
      <c r="C342" t="s">
        <v>16</v>
      </c>
      <c r="D342">
        <v>26</v>
      </c>
      <c r="E342" t="s">
        <v>364</v>
      </c>
      <c r="F342">
        <v>5419</v>
      </c>
      <c r="G342" t="s">
        <v>18</v>
      </c>
      <c r="H342">
        <v>27</v>
      </c>
      <c r="I342" t="s">
        <v>19</v>
      </c>
      <c r="J342">
        <v>1994</v>
      </c>
      <c r="K342">
        <v>1994</v>
      </c>
      <c r="L342" t="s">
        <v>20</v>
      </c>
      <c r="M342">
        <v>16702</v>
      </c>
      <c r="N342">
        <v>2722</v>
      </c>
    </row>
    <row r="343" spans="1:14" x14ac:dyDescent="0.35">
      <c r="A343" t="s">
        <v>373</v>
      </c>
      <c r="B343" t="s">
        <v>15</v>
      </c>
      <c r="C343" t="s">
        <v>16</v>
      </c>
      <c r="D343">
        <v>26</v>
      </c>
      <c r="E343" t="s">
        <v>364</v>
      </c>
      <c r="F343">
        <v>5419</v>
      </c>
      <c r="G343" t="s">
        <v>18</v>
      </c>
      <c r="H343">
        <v>27</v>
      </c>
      <c r="I343" t="s">
        <v>19</v>
      </c>
      <c r="J343">
        <v>1995</v>
      </c>
      <c r="K343">
        <v>1995</v>
      </c>
      <c r="L343" t="s">
        <v>20</v>
      </c>
      <c r="M343">
        <v>16387</v>
      </c>
      <c r="N343">
        <v>2722</v>
      </c>
    </row>
    <row r="344" spans="1:14" x14ac:dyDescent="0.35">
      <c r="A344" t="s">
        <v>374</v>
      </c>
      <c r="B344" t="s">
        <v>15</v>
      </c>
      <c r="C344" t="s">
        <v>16</v>
      </c>
      <c r="D344">
        <v>26</v>
      </c>
      <c r="E344" t="s">
        <v>364</v>
      </c>
      <c r="F344">
        <v>5419</v>
      </c>
      <c r="G344" t="s">
        <v>18</v>
      </c>
      <c r="H344">
        <v>27</v>
      </c>
      <c r="I344" t="s">
        <v>19</v>
      </c>
      <c r="J344">
        <v>1996</v>
      </c>
      <c r="K344">
        <v>1996</v>
      </c>
      <c r="L344" t="s">
        <v>20</v>
      </c>
      <c r="M344">
        <v>16519</v>
      </c>
      <c r="N344">
        <v>2722</v>
      </c>
    </row>
    <row r="345" spans="1:14" x14ac:dyDescent="0.35">
      <c r="A345" t="s">
        <v>375</v>
      </c>
      <c r="B345" t="s">
        <v>15</v>
      </c>
      <c r="C345" t="s">
        <v>16</v>
      </c>
      <c r="D345">
        <v>26</v>
      </c>
      <c r="E345" t="s">
        <v>364</v>
      </c>
      <c r="F345">
        <v>5419</v>
      </c>
      <c r="G345" t="s">
        <v>18</v>
      </c>
      <c r="H345">
        <v>27</v>
      </c>
      <c r="I345" t="s">
        <v>19</v>
      </c>
      <c r="J345">
        <v>1997</v>
      </c>
      <c r="K345">
        <v>1997</v>
      </c>
      <c r="L345" t="s">
        <v>20</v>
      </c>
      <c r="M345">
        <v>13097</v>
      </c>
      <c r="N345">
        <v>2722</v>
      </c>
    </row>
    <row r="346" spans="1:14" x14ac:dyDescent="0.35">
      <c r="A346" t="s">
        <v>376</v>
      </c>
      <c r="B346" t="s">
        <v>15</v>
      </c>
      <c r="C346" t="s">
        <v>16</v>
      </c>
      <c r="D346">
        <v>26</v>
      </c>
      <c r="E346" t="s">
        <v>364</v>
      </c>
      <c r="F346">
        <v>5419</v>
      </c>
      <c r="G346" t="s">
        <v>18</v>
      </c>
      <c r="H346">
        <v>27</v>
      </c>
      <c r="I346" t="s">
        <v>19</v>
      </c>
      <c r="J346">
        <v>1998</v>
      </c>
      <c r="K346">
        <v>1998</v>
      </c>
      <c r="L346" t="s">
        <v>20</v>
      </c>
      <c r="M346">
        <v>10944</v>
      </c>
      <c r="N346">
        <v>2722</v>
      </c>
    </row>
    <row r="347" spans="1:14" x14ac:dyDescent="0.35">
      <c r="A347" t="s">
        <v>377</v>
      </c>
      <c r="B347" t="s">
        <v>15</v>
      </c>
      <c r="C347" t="s">
        <v>16</v>
      </c>
      <c r="D347">
        <v>26</v>
      </c>
      <c r="E347" t="s">
        <v>364</v>
      </c>
      <c r="F347">
        <v>5419</v>
      </c>
      <c r="G347" t="s">
        <v>18</v>
      </c>
      <c r="H347">
        <v>27</v>
      </c>
      <c r="I347" t="s">
        <v>19</v>
      </c>
      <c r="J347">
        <v>1999</v>
      </c>
      <c r="K347">
        <v>1999</v>
      </c>
      <c r="L347" t="s">
        <v>20</v>
      </c>
      <c r="M347">
        <v>5263</v>
      </c>
      <c r="N347">
        <v>2722</v>
      </c>
    </row>
    <row r="348" spans="1:14" x14ac:dyDescent="0.35">
      <c r="A348" t="s">
        <v>378</v>
      </c>
      <c r="B348" t="s">
        <v>15</v>
      </c>
      <c r="C348" t="s">
        <v>16</v>
      </c>
      <c r="D348">
        <v>26</v>
      </c>
      <c r="E348" t="s">
        <v>364</v>
      </c>
      <c r="F348">
        <v>5419</v>
      </c>
      <c r="G348" t="s">
        <v>18</v>
      </c>
      <c r="H348">
        <v>27</v>
      </c>
      <c r="I348" t="s">
        <v>19</v>
      </c>
      <c r="J348">
        <v>2000</v>
      </c>
      <c r="K348">
        <v>2000</v>
      </c>
      <c r="L348" t="s">
        <v>20</v>
      </c>
      <c r="M348">
        <v>6500</v>
      </c>
      <c r="N348">
        <v>2722</v>
      </c>
    </row>
    <row r="349" spans="1:14" x14ac:dyDescent="0.35">
      <c r="A349" t="s">
        <v>379</v>
      </c>
      <c r="B349" t="s">
        <v>15</v>
      </c>
      <c r="C349" t="s">
        <v>16</v>
      </c>
      <c r="D349">
        <v>26</v>
      </c>
      <c r="E349" t="s">
        <v>364</v>
      </c>
      <c r="F349">
        <v>5419</v>
      </c>
      <c r="G349" t="s">
        <v>18</v>
      </c>
      <c r="H349">
        <v>27</v>
      </c>
      <c r="I349" t="s">
        <v>19</v>
      </c>
      <c r="J349">
        <v>2001</v>
      </c>
      <c r="K349">
        <v>2001</v>
      </c>
      <c r="L349" t="s">
        <v>20</v>
      </c>
      <c r="M349">
        <v>7292</v>
      </c>
      <c r="N349">
        <v>2722</v>
      </c>
    </row>
    <row r="350" spans="1:14" x14ac:dyDescent="0.35">
      <c r="A350" t="s">
        <v>380</v>
      </c>
      <c r="B350" t="s">
        <v>15</v>
      </c>
      <c r="C350" t="s">
        <v>16</v>
      </c>
      <c r="D350">
        <v>26</v>
      </c>
      <c r="E350" t="s">
        <v>364</v>
      </c>
      <c r="F350">
        <v>5419</v>
      </c>
      <c r="G350" t="s">
        <v>18</v>
      </c>
      <c r="H350">
        <v>27</v>
      </c>
      <c r="I350" t="s">
        <v>19</v>
      </c>
      <c r="J350">
        <v>2002</v>
      </c>
      <c r="K350">
        <v>2002</v>
      </c>
      <c r="L350" t="s">
        <v>20</v>
      </c>
      <c r="M350">
        <v>7294</v>
      </c>
      <c r="N350">
        <v>2722</v>
      </c>
    </row>
    <row r="351" spans="1:14" x14ac:dyDescent="0.35">
      <c r="A351" t="s">
        <v>381</v>
      </c>
      <c r="B351" t="s">
        <v>15</v>
      </c>
      <c r="C351" t="s">
        <v>16</v>
      </c>
      <c r="D351">
        <v>26</v>
      </c>
      <c r="E351" t="s">
        <v>364</v>
      </c>
      <c r="F351">
        <v>5419</v>
      </c>
      <c r="G351" t="s">
        <v>18</v>
      </c>
      <c r="H351">
        <v>27</v>
      </c>
      <c r="I351" t="s">
        <v>19</v>
      </c>
      <c r="J351">
        <v>2004</v>
      </c>
      <c r="K351">
        <v>2004</v>
      </c>
      <c r="L351" t="s">
        <v>20</v>
      </c>
      <c r="M351">
        <v>8190</v>
      </c>
      <c r="N351">
        <v>2722</v>
      </c>
    </row>
    <row r="352" spans="1:14" x14ac:dyDescent="0.35">
      <c r="A352" t="s">
        <v>382</v>
      </c>
      <c r="B352" t="s">
        <v>15</v>
      </c>
      <c r="C352" t="s">
        <v>16</v>
      </c>
      <c r="D352">
        <v>26</v>
      </c>
      <c r="E352" t="s">
        <v>364</v>
      </c>
      <c r="F352">
        <v>5419</v>
      </c>
      <c r="G352" t="s">
        <v>18</v>
      </c>
      <c r="H352">
        <v>27</v>
      </c>
      <c r="I352" t="s">
        <v>19</v>
      </c>
      <c r="J352">
        <v>2005</v>
      </c>
      <c r="K352">
        <v>2005</v>
      </c>
      <c r="L352" t="s">
        <v>20</v>
      </c>
      <c r="M352">
        <v>8728</v>
      </c>
      <c r="N352">
        <v>2722</v>
      </c>
    </row>
    <row r="353" spans="1:14" x14ac:dyDescent="0.35">
      <c r="A353" t="s">
        <v>383</v>
      </c>
      <c r="B353" t="s">
        <v>15</v>
      </c>
      <c r="C353" t="s">
        <v>16</v>
      </c>
      <c r="D353">
        <v>26</v>
      </c>
      <c r="E353" t="s">
        <v>364</v>
      </c>
      <c r="F353">
        <v>5419</v>
      </c>
      <c r="G353" t="s">
        <v>18</v>
      </c>
      <c r="H353">
        <v>27</v>
      </c>
      <c r="I353" t="s">
        <v>19</v>
      </c>
      <c r="J353">
        <v>2006</v>
      </c>
      <c r="K353">
        <v>2006</v>
      </c>
      <c r="L353" t="s">
        <v>20</v>
      </c>
      <c r="M353">
        <v>8091</v>
      </c>
      <c r="N353">
        <v>2722</v>
      </c>
    </row>
    <row r="354" spans="1:14" x14ac:dyDescent="0.35">
      <c r="A354" t="s">
        <v>384</v>
      </c>
      <c r="B354" t="s">
        <v>15</v>
      </c>
      <c r="C354" t="s">
        <v>16</v>
      </c>
      <c r="D354">
        <v>26</v>
      </c>
      <c r="E354" t="s">
        <v>364</v>
      </c>
      <c r="F354">
        <v>5419</v>
      </c>
      <c r="G354" t="s">
        <v>18</v>
      </c>
      <c r="H354">
        <v>27</v>
      </c>
      <c r="I354" t="s">
        <v>19</v>
      </c>
      <c r="J354">
        <v>2007</v>
      </c>
      <c r="K354">
        <v>2007</v>
      </c>
      <c r="L354" t="s">
        <v>20</v>
      </c>
      <c r="M354">
        <v>7255</v>
      </c>
      <c r="N354">
        <v>2722</v>
      </c>
    </row>
    <row r="355" spans="1:14" x14ac:dyDescent="0.35">
      <c r="A355" t="s">
        <v>385</v>
      </c>
      <c r="B355" t="s">
        <v>15</v>
      </c>
      <c r="C355" t="s">
        <v>16</v>
      </c>
      <c r="D355">
        <v>26</v>
      </c>
      <c r="E355" t="s">
        <v>364</v>
      </c>
      <c r="F355">
        <v>5419</v>
      </c>
      <c r="G355" t="s">
        <v>18</v>
      </c>
      <c r="H355">
        <v>27</v>
      </c>
      <c r="I355" t="s">
        <v>19</v>
      </c>
      <c r="J355">
        <v>2008</v>
      </c>
      <c r="K355">
        <v>2008</v>
      </c>
      <c r="L355" t="s">
        <v>20</v>
      </c>
      <c r="M355">
        <v>7008</v>
      </c>
      <c r="N355">
        <v>2722</v>
      </c>
    </row>
    <row r="356" spans="1:14" x14ac:dyDescent="0.35">
      <c r="A356" t="s">
        <v>386</v>
      </c>
      <c r="B356" t="s">
        <v>15</v>
      </c>
      <c r="C356" t="s">
        <v>16</v>
      </c>
      <c r="D356">
        <v>26</v>
      </c>
      <c r="E356" t="s">
        <v>364</v>
      </c>
      <c r="F356">
        <v>5419</v>
      </c>
      <c r="G356" t="s">
        <v>18</v>
      </c>
      <c r="H356">
        <v>27</v>
      </c>
      <c r="I356" t="s">
        <v>19</v>
      </c>
      <c r="J356">
        <v>2009</v>
      </c>
      <c r="K356">
        <v>2009</v>
      </c>
      <c r="L356" t="s">
        <v>20</v>
      </c>
      <c r="M356">
        <v>5147</v>
      </c>
      <c r="N356">
        <v>2722</v>
      </c>
    </row>
    <row r="357" spans="1:14" x14ac:dyDescent="0.35">
      <c r="A357" t="s">
        <v>387</v>
      </c>
      <c r="B357" t="s">
        <v>15</v>
      </c>
      <c r="C357" t="s">
        <v>16</v>
      </c>
      <c r="D357">
        <v>26</v>
      </c>
      <c r="E357" t="s">
        <v>364</v>
      </c>
      <c r="F357">
        <v>5419</v>
      </c>
      <c r="G357" t="s">
        <v>18</v>
      </c>
      <c r="H357">
        <v>27</v>
      </c>
      <c r="I357" t="s">
        <v>19</v>
      </c>
      <c r="J357">
        <v>2010</v>
      </c>
      <c r="K357">
        <v>2010</v>
      </c>
      <c r="L357" t="s">
        <v>20</v>
      </c>
      <c r="M357">
        <v>5801</v>
      </c>
      <c r="N357">
        <v>2722</v>
      </c>
    </row>
    <row r="358" spans="1:14" x14ac:dyDescent="0.35">
      <c r="A358" t="s">
        <v>388</v>
      </c>
      <c r="B358" t="s">
        <v>15</v>
      </c>
      <c r="C358" t="s">
        <v>16</v>
      </c>
      <c r="D358">
        <v>26</v>
      </c>
      <c r="E358" t="s">
        <v>364</v>
      </c>
      <c r="F358">
        <v>5419</v>
      </c>
      <c r="G358" t="s">
        <v>18</v>
      </c>
      <c r="H358">
        <v>27</v>
      </c>
      <c r="I358" t="s">
        <v>19</v>
      </c>
      <c r="J358">
        <v>2011</v>
      </c>
      <c r="K358">
        <v>2011</v>
      </c>
      <c r="L358" t="s">
        <v>20</v>
      </c>
      <c r="M358">
        <v>9227</v>
      </c>
      <c r="N358">
        <v>2722</v>
      </c>
    </row>
    <row r="359" spans="1:14" x14ac:dyDescent="0.35">
      <c r="A359" t="s">
        <v>389</v>
      </c>
      <c r="B359" t="s">
        <v>15</v>
      </c>
      <c r="C359" t="s">
        <v>16</v>
      </c>
      <c r="D359">
        <v>26</v>
      </c>
      <c r="E359" t="s">
        <v>364</v>
      </c>
      <c r="F359">
        <v>5419</v>
      </c>
      <c r="G359" t="s">
        <v>18</v>
      </c>
      <c r="H359">
        <v>27</v>
      </c>
      <c r="I359" t="s">
        <v>19</v>
      </c>
      <c r="J359">
        <v>2012</v>
      </c>
      <c r="K359">
        <v>2012</v>
      </c>
      <c r="L359" t="s">
        <v>20</v>
      </c>
      <c r="M359">
        <v>9772</v>
      </c>
      <c r="N359">
        <v>2722</v>
      </c>
    </row>
    <row r="360" spans="1:14" x14ac:dyDescent="0.35">
      <c r="A360" t="s">
        <v>390</v>
      </c>
      <c r="B360" t="s">
        <v>15</v>
      </c>
      <c r="C360" t="s">
        <v>16</v>
      </c>
      <c r="D360">
        <v>26</v>
      </c>
      <c r="E360" t="s">
        <v>364</v>
      </c>
      <c r="F360">
        <v>5419</v>
      </c>
      <c r="G360" t="s">
        <v>18</v>
      </c>
      <c r="H360">
        <v>27</v>
      </c>
      <c r="I360" t="s">
        <v>19</v>
      </c>
      <c r="J360">
        <v>2013</v>
      </c>
      <c r="K360">
        <v>2013</v>
      </c>
      <c r="L360" t="s">
        <v>20</v>
      </c>
      <c r="M360">
        <v>9664</v>
      </c>
      <c r="N360">
        <v>2722</v>
      </c>
    </row>
    <row r="361" spans="1:14" x14ac:dyDescent="0.35">
      <c r="A361" t="s">
        <v>391</v>
      </c>
      <c r="B361" t="s">
        <v>15</v>
      </c>
      <c r="C361" t="s">
        <v>16</v>
      </c>
      <c r="D361">
        <v>26</v>
      </c>
      <c r="E361" t="s">
        <v>364</v>
      </c>
      <c r="F361">
        <v>5419</v>
      </c>
      <c r="G361" t="s">
        <v>18</v>
      </c>
      <c r="H361">
        <v>27</v>
      </c>
      <c r="I361" t="s">
        <v>19</v>
      </c>
      <c r="J361">
        <v>2014</v>
      </c>
      <c r="K361">
        <v>2014</v>
      </c>
      <c r="L361" t="s">
        <v>20</v>
      </c>
      <c r="M361">
        <v>8411</v>
      </c>
      <c r="N361">
        <v>2722</v>
      </c>
    </row>
    <row r="362" spans="1:14" x14ac:dyDescent="0.35">
      <c r="A362" t="s">
        <v>392</v>
      </c>
      <c r="B362" t="s">
        <v>15</v>
      </c>
      <c r="C362" t="s">
        <v>16</v>
      </c>
      <c r="D362">
        <v>26</v>
      </c>
      <c r="E362" t="s">
        <v>364</v>
      </c>
      <c r="F362">
        <v>5419</v>
      </c>
      <c r="G362" t="s">
        <v>18</v>
      </c>
      <c r="H362">
        <v>27</v>
      </c>
      <c r="I362" t="s">
        <v>19</v>
      </c>
      <c r="J362">
        <v>2015</v>
      </c>
      <c r="K362">
        <v>2015</v>
      </c>
      <c r="L362" t="s">
        <v>20</v>
      </c>
      <c r="M362">
        <v>8086</v>
      </c>
      <c r="N362">
        <v>2722</v>
      </c>
    </row>
    <row r="363" spans="1:14" x14ac:dyDescent="0.35">
      <c r="A363" t="s">
        <v>393</v>
      </c>
      <c r="B363" t="s">
        <v>15</v>
      </c>
      <c r="C363" t="s">
        <v>16</v>
      </c>
      <c r="D363">
        <v>26</v>
      </c>
      <c r="E363" t="s">
        <v>364</v>
      </c>
      <c r="F363">
        <v>5419</v>
      </c>
      <c r="G363" t="s">
        <v>18</v>
      </c>
      <c r="H363">
        <v>27</v>
      </c>
      <c r="I363" t="s">
        <v>19</v>
      </c>
      <c r="J363">
        <v>2016</v>
      </c>
      <c r="K363">
        <v>2016</v>
      </c>
      <c r="L363" t="s">
        <v>20</v>
      </c>
      <c r="M363">
        <v>8442</v>
      </c>
      <c r="N363">
        <v>2722</v>
      </c>
    </row>
    <row r="364" spans="1:14" x14ac:dyDescent="0.35">
      <c r="A364" t="s">
        <v>394</v>
      </c>
      <c r="B364" t="s">
        <v>15</v>
      </c>
      <c r="C364" t="s">
        <v>16</v>
      </c>
      <c r="D364">
        <v>27</v>
      </c>
      <c r="E364" t="s">
        <v>395</v>
      </c>
      <c r="F364">
        <v>5419</v>
      </c>
      <c r="G364" t="s">
        <v>18</v>
      </c>
      <c r="H364">
        <v>27</v>
      </c>
      <c r="I364" t="s">
        <v>19</v>
      </c>
      <c r="J364">
        <v>1985</v>
      </c>
      <c r="K364">
        <v>1985</v>
      </c>
      <c r="L364" t="s">
        <v>20</v>
      </c>
      <c r="M364">
        <v>42464</v>
      </c>
      <c r="N364">
        <v>608</v>
      </c>
    </row>
    <row r="365" spans="1:14" x14ac:dyDescent="0.35">
      <c r="A365" t="s">
        <v>396</v>
      </c>
      <c r="B365" t="s">
        <v>15</v>
      </c>
      <c r="C365" t="s">
        <v>16</v>
      </c>
      <c r="D365">
        <v>27</v>
      </c>
      <c r="E365" t="s">
        <v>395</v>
      </c>
      <c r="F365">
        <v>5419</v>
      </c>
      <c r="G365" t="s">
        <v>18</v>
      </c>
      <c r="H365">
        <v>27</v>
      </c>
      <c r="I365" t="s">
        <v>19</v>
      </c>
      <c r="J365">
        <v>1986</v>
      </c>
      <c r="K365">
        <v>1986</v>
      </c>
      <c r="L365" t="s">
        <v>20</v>
      </c>
      <c r="M365">
        <v>47064</v>
      </c>
      <c r="N365">
        <v>608</v>
      </c>
    </row>
    <row r="366" spans="1:14" x14ac:dyDescent="0.35">
      <c r="A366" t="s">
        <v>397</v>
      </c>
      <c r="B366" t="s">
        <v>15</v>
      </c>
      <c r="C366" t="s">
        <v>16</v>
      </c>
      <c r="D366">
        <v>27</v>
      </c>
      <c r="E366" t="s">
        <v>395</v>
      </c>
      <c r="F366">
        <v>5419</v>
      </c>
      <c r="G366" t="s">
        <v>18</v>
      </c>
      <c r="H366">
        <v>27</v>
      </c>
      <c r="I366" t="s">
        <v>19</v>
      </c>
      <c r="J366">
        <v>1987</v>
      </c>
      <c r="K366">
        <v>1987</v>
      </c>
      <c r="L366" t="s">
        <v>20</v>
      </c>
      <c r="M366">
        <v>37475</v>
      </c>
      <c r="N366">
        <v>608</v>
      </c>
    </row>
    <row r="367" spans="1:14" x14ac:dyDescent="0.35">
      <c r="A367" t="s">
        <v>398</v>
      </c>
      <c r="B367" t="s">
        <v>15</v>
      </c>
      <c r="C367" t="s">
        <v>16</v>
      </c>
      <c r="D367">
        <v>27</v>
      </c>
      <c r="E367" t="s">
        <v>395</v>
      </c>
      <c r="F367">
        <v>5419</v>
      </c>
      <c r="G367" t="s">
        <v>18</v>
      </c>
      <c r="H367">
        <v>27</v>
      </c>
      <c r="I367" t="s">
        <v>19</v>
      </c>
      <c r="J367">
        <v>1989</v>
      </c>
      <c r="K367">
        <v>1989</v>
      </c>
      <c r="L367" t="s">
        <v>20</v>
      </c>
      <c r="M367">
        <v>31315</v>
      </c>
      <c r="N367">
        <v>608</v>
      </c>
    </row>
    <row r="368" spans="1:14" x14ac:dyDescent="0.35">
      <c r="A368" t="s">
        <v>399</v>
      </c>
      <c r="B368" t="s">
        <v>15</v>
      </c>
      <c r="C368" t="s">
        <v>16</v>
      </c>
      <c r="D368">
        <v>27</v>
      </c>
      <c r="E368" t="s">
        <v>395</v>
      </c>
      <c r="F368">
        <v>5419</v>
      </c>
      <c r="G368" t="s">
        <v>18</v>
      </c>
      <c r="H368">
        <v>27</v>
      </c>
      <c r="I368" t="s">
        <v>19</v>
      </c>
      <c r="J368">
        <v>1990</v>
      </c>
      <c r="K368">
        <v>1990</v>
      </c>
      <c r="L368" t="s">
        <v>20</v>
      </c>
      <c r="M368">
        <v>23785</v>
      </c>
      <c r="N368">
        <v>608</v>
      </c>
    </row>
    <row r="369" spans="1:14" x14ac:dyDescent="0.35">
      <c r="A369" t="s">
        <v>400</v>
      </c>
      <c r="B369" t="s">
        <v>15</v>
      </c>
      <c r="C369" t="s">
        <v>16</v>
      </c>
      <c r="D369">
        <v>27</v>
      </c>
      <c r="E369" t="s">
        <v>395</v>
      </c>
      <c r="F369">
        <v>5419</v>
      </c>
      <c r="G369" t="s">
        <v>18</v>
      </c>
      <c r="H369">
        <v>27</v>
      </c>
      <c r="I369" t="s">
        <v>19</v>
      </c>
      <c r="J369">
        <v>1991</v>
      </c>
      <c r="K369">
        <v>1991</v>
      </c>
      <c r="L369" t="s">
        <v>20</v>
      </c>
      <c r="M369">
        <v>25397</v>
      </c>
      <c r="N369">
        <v>608</v>
      </c>
    </row>
    <row r="370" spans="1:14" x14ac:dyDescent="0.35">
      <c r="A370" t="s">
        <v>401</v>
      </c>
      <c r="B370" t="s">
        <v>15</v>
      </c>
      <c r="C370" t="s">
        <v>16</v>
      </c>
      <c r="D370">
        <v>27</v>
      </c>
      <c r="E370" t="s">
        <v>395</v>
      </c>
      <c r="F370">
        <v>5419</v>
      </c>
      <c r="G370" t="s">
        <v>18</v>
      </c>
      <c r="H370">
        <v>27</v>
      </c>
      <c r="I370" t="s">
        <v>19</v>
      </c>
      <c r="J370">
        <v>1992</v>
      </c>
      <c r="K370">
        <v>1992</v>
      </c>
      <c r="L370" t="s">
        <v>20</v>
      </c>
      <c r="M370">
        <v>32042</v>
      </c>
      <c r="N370">
        <v>608</v>
      </c>
    </row>
    <row r="371" spans="1:14" x14ac:dyDescent="0.35">
      <c r="A371" t="s">
        <v>402</v>
      </c>
      <c r="B371" t="s">
        <v>15</v>
      </c>
      <c r="C371" t="s">
        <v>16</v>
      </c>
      <c r="D371">
        <v>27</v>
      </c>
      <c r="E371" t="s">
        <v>395</v>
      </c>
      <c r="F371">
        <v>5419</v>
      </c>
      <c r="G371" t="s">
        <v>18</v>
      </c>
      <c r="H371">
        <v>27</v>
      </c>
      <c r="I371" t="s">
        <v>19</v>
      </c>
      <c r="J371">
        <v>1993</v>
      </c>
      <c r="K371">
        <v>1993</v>
      </c>
      <c r="L371" t="s">
        <v>20</v>
      </c>
      <c r="M371">
        <v>34761</v>
      </c>
      <c r="N371">
        <v>608</v>
      </c>
    </row>
    <row r="372" spans="1:14" x14ac:dyDescent="0.35">
      <c r="A372" t="s">
        <v>403</v>
      </c>
      <c r="B372" t="s">
        <v>15</v>
      </c>
      <c r="C372" t="s">
        <v>16</v>
      </c>
      <c r="D372">
        <v>27</v>
      </c>
      <c r="E372" t="s">
        <v>395</v>
      </c>
      <c r="F372">
        <v>5419</v>
      </c>
      <c r="G372" t="s">
        <v>18</v>
      </c>
      <c r="H372">
        <v>27</v>
      </c>
      <c r="I372" t="s">
        <v>19</v>
      </c>
      <c r="J372">
        <v>1994</v>
      </c>
      <c r="K372">
        <v>1994</v>
      </c>
      <c r="L372" t="s">
        <v>20</v>
      </c>
      <c r="M372">
        <v>37195</v>
      </c>
      <c r="N372">
        <v>608</v>
      </c>
    </row>
    <row r="373" spans="1:14" x14ac:dyDescent="0.35">
      <c r="A373" t="s">
        <v>404</v>
      </c>
      <c r="B373" t="s">
        <v>15</v>
      </c>
      <c r="C373" t="s">
        <v>16</v>
      </c>
      <c r="D373">
        <v>27</v>
      </c>
      <c r="E373" t="s">
        <v>395</v>
      </c>
      <c r="F373">
        <v>5419</v>
      </c>
      <c r="G373" t="s">
        <v>18</v>
      </c>
      <c r="H373">
        <v>27</v>
      </c>
      <c r="I373" t="s">
        <v>19</v>
      </c>
      <c r="J373">
        <v>1995</v>
      </c>
      <c r="K373">
        <v>1995</v>
      </c>
      <c r="L373" t="s">
        <v>20</v>
      </c>
      <c r="M373">
        <v>36116</v>
      </c>
      <c r="N373">
        <v>608</v>
      </c>
    </row>
    <row r="374" spans="1:14" x14ac:dyDescent="0.35">
      <c r="A374" t="s">
        <v>405</v>
      </c>
      <c r="B374" t="s">
        <v>15</v>
      </c>
      <c r="C374" t="s">
        <v>16</v>
      </c>
      <c r="D374">
        <v>27</v>
      </c>
      <c r="E374" t="s">
        <v>395</v>
      </c>
      <c r="F374">
        <v>5419</v>
      </c>
      <c r="G374" t="s">
        <v>18</v>
      </c>
      <c r="H374">
        <v>27</v>
      </c>
      <c r="I374" t="s">
        <v>19</v>
      </c>
      <c r="J374">
        <v>1996</v>
      </c>
      <c r="K374">
        <v>1996</v>
      </c>
      <c r="L374" t="s">
        <v>20</v>
      </c>
      <c r="M374">
        <v>33891</v>
      </c>
      <c r="N374">
        <v>608</v>
      </c>
    </row>
    <row r="375" spans="1:14" x14ac:dyDescent="0.35">
      <c r="A375" t="s">
        <v>406</v>
      </c>
      <c r="B375" t="s">
        <v>15</v>
      </c>
      <c r="C375" t="s">
        <v>16</v>
      </c>
      <c r="D375">
        <v>27</v>
      </c>
      <c r="E375" t="s">
        <v>395</v>
      </c>
      <c r="F375">
        <v>5419</v>
      </c>
      <c r="G375" t="s">
        <v>18</v>
      </c>
      <c r="H375">
        <v>27</v>
      </c>
      <c r="I375" t="s">
        <v>19</v>
      </c>
      <c r="J375">
        <v>1997</v>
      </c>
      <c r="K375">
        <v>1997</v>
      </c>
      <c r="L375" t="s">
        <v>20</v>
      </c>
      <c r="M375">
        <v>29871</v>
      </c>
      <c r="N375">
        <v>608</v>
      </c>
    </row>
    <row r="376" spans="1:14" x14ac:dyDescent="0.35">
      <c r="A376" t="s">
        <v>407</v>
      </c>
      <c r="B376" t="s">
        <v>15</v>
      </c>
      <c r="C376" t="s">
        <v>16</v>
      </c>
      <c r="D376">
        <v>27</v>
      </c>
      <c r="E376" t="s">
        <v>395</v>
      </c>
      <c r="F376">
        <v>5419</v>
      </c>
      <c r="G376" t="s">
        <v>18</v>
      </c>
      <c r="H376">
        <v>27</v>
      </c>
      <c r="I376" t="s">
        <v>19</v>
      </c>
      <c r="J376">
        <v>1998</v>
      </c>
      <c r="K376">
        <v>1998</v>
      </c>
      <c r="L376" t="s">
        <v>20</v>
      </c>
      <c r="M376">
        <v>31467</v>
      </c>
      <c r="N376">
        <v>608</v>
      </c>
    </row>
    <row r="377" spans="1:14" x14ac:dyDescent="0.35">
      <c r="A377" t="s">
        <v>408</v>
      </c>
      <c r="B377" t="s">
        <v>15</v>
      </c>
      <c r="C377" t="s">
        <v>16</v>
      </c>
      <c r="D377">
        <v>27</v>
      </c>
      <c r="E377" t="s">
        <v>395</v>
      </c>
      <c r="F377">
        <v>5419</v>
      </c>
      <c r="G377" t="s">
        <v>18</v>
      </c>
      <c r="H377">
        <v>27</v>
      </c>
      <c r="I377" t="s">
        <v>19</v>
      </c>
      <c r="J377">
        <v>1999</v>
      </c>
      <c r="K377">
        <v>1999</v>
      </c>
      <c r="L377" t="s">
        <v>20</v>
      </c>
      <c r="M377">
        <v>49400</v>
      </c>
      <c r="N377">
        <v>608</v>
      </c>
    </row>
    <row r="378" spans="1:14" x14ac:dyDescent="0.35">
      <c r="A378" t="s">
        <v>409</v>
      </c>
      <c r="B378" t="s">
        <v>15</v>
      </c>
      <c r="C378" t="s">
        <v>16</v>
      </c>
      <c r="D378">
        <v>27</v>
      </c>
      <c r="E378" t="s">
        <v>395</v>
      </c>
      <c r="F378">
        <v>5419</v>
      </c>
      <c r="G378" t="s">
        <v>18</v>
      </c>
      <c r="H378">
        <v>27</v>
      </c>
      <c r="I378" t="s">
        <v>19</v>
      </c>
      <c r="J378">
        <v>2000</v>
      </c>
      <c r="K378">
        <v>2000</v>
      </c>
      <c r="L378" t="s">
        <v>20</v>
      </c>
      <c r="M378">
        <v>47001</v>
      </c>
      <c r="N378">
        <v>608</v>
      </c>
    </row>
    <row r="379" spans="1:14" x14ac:dyDescent="0.35">
      <c r="A379" t="s">
        <v>410</v>
      </c>
      <c r="B379" t="s">
        <v>15</v>
      </c>
      <c r="C379" t="s">
        <v>16</v>
      </c>
      <c r="D379">
        <v>27</v>
      </c>
      <c r="E379" t="s">
        <v>395</v>
      </c>
      <c r="F379">
        <v>5419</v>
      </c>
      <c r="G379" t="s">
        <v>18</v>
      </c>
      <c r="H379">
        <v>27</v>
      </c>
      <c r="I379" t="s">
        <v>19</v>
      </c>
      <c r="J379">
        <v>2001</v>
      </c>
      <c r="K379">
        <v>2001</v>
      </c>
      <c r="L379" t="s">
        <v>20</v>
      </c>
      <c r="M379">
        <v>48001</v>
      </c>
      <c r="N379">
        <v>608</v>
      </c>
    </row>
    <row r="380" spans="1:14" x14ac:dyDescent="0.35">
      <c r="A380" t="s">
        <v>411</v>
      </c>
      <c r="B380" t="s">
        <v>15</v>
      </c>
      <c r="C380" t="s">
        <v>16</v>
      </c>
      <c r="D380">
        <v>27</v>
      </c>
      <c r="E380" t="s">
        <v>395</v>
      </c>
      <c r="F380">
        <v>5419</v>
      </c>
      <c r="G380" t="s">
        <v>18</v>
      </c>
      <c r="H380">
        <v>27</v>
      </c>
      <c r="I380" t="s">
        <v>19</v>
      </c>
      <c r="J380">
        <v>2002</v>
      </c>
      <c r="K380">
        <v>2002</v>
      </c>
      <c r="L380" t="s">
        <v>20</v>
      </c>
      <c r="M380">
        <v>43099</v>
      </c>
      <c r="N380">
        <v>608</v>
      </c>
    </row>
    <row r="381" spans="1:14" x14ac:dyDescent="0.35">
      <c r="A381" t="s">
        <v>412</v>
      </c>
      <c r="B381" t="s">
        <v>15</v>
      </c>
      <c r="C381" t="s">
        <v>16</v>
      </c>
      <c r="D381">
        <v>27</v>
      </c>
      <c r="E381" t="s">
        <v>395</v>
      </c>
      <c r="F381">
        <v>5419</v>
      </c>
      <c r="G381" t="s">
        <v>18</v>
      </c>
      <c r="H381">
        <v>27</v>
      </c>
      <c r="I381" t="s">
        <v>19</v>
      </c>
      <c r="J381">
        <v>2004</v>
      </c>
      <c r="K381">
        <v>2004</v>
      </c>
      <c r="L381" t="s">
        <v>20</v>
      </c>
      <c r="M381">
        <v>49596</v>
      </c>
      <c r="N381">
        <v>608</v>
      </c>
    </row>
    <row r="382" spans="1:14" x14ac:dyDescent="0.35">
      <c r="A382" t="s">
        <v>413</v>
      </c>
      <c r="B382" t="s">
        <v>15</v>
      </c>
      <c r="C382" t="s">
        <v>16</v>
      </c>
      <c r="D382">
        <v>27</v>
      </c>
      <c r="E382" t="s">
        <v>395</v>
      </c>
      <c r="F382">
        <v>5419</v>
      </c>
      <c r="G382" t="s">
        <v>18</v>
      </c>
      <c r="H382">
        <v>27</v>
      </c>
      <c r="I382" t="s">
        <v>19</v>
      </c>
      <c r="J382">
        <v>2005</v>
      </c>
      <c r="K382">
        <v>2005</v>
      </c>
      <c r="L382" t="s">
        <v>20</v>
      </c>
      <c r="M382">
        <v>44801</v>
      </c>
      <c r="N382">
        <v>608</v>
      </c>
    </row>
    <row r="383" spans="1:14" x14ac:dyDescent="0.35">
      <c r="A383" t="s">
        <v>414</v>
      </c>
      <c r="B383" t="s">
        <v>15</v>
      </c>
      <c r="C383" t="s">
        <v>16</v>
      </c>
      <c r="D383">
        <v>27</v>
      </c>
      <c r="E383" t="s">
        <v>395</v>
      </c>
      <c r="F383">
        <v>5419</v>
      </c>
      <c r="G383" t="s">
        <v>18</v>
      </c>
      <c r="H383">
        <v>27</v>
      </c>
      <c r="I383" t="s">
        <v>19</v>
      </c>
      <c r="J383">
        <v>2006</v>
      </c>
      <c r="K383">
        <v>2006</v>
      </c>
      <c r="L383" t="s">
        <v>20</v>
      </c>
      <c r="M383">
        <v>44080</v>
      </c>
      <c r="N383">
        <v>608</v>
      </c>
    </row>
    <row r="384" spans="1:14" x14ac:dyDescent="0.35">
      <c r="A384" t="s">
        <v>415</v>
      </c>
      <c r="B384" t="s">
        <v>15</v>
      </c>
      <c r="C384" t="s">
        <v>16</v>
      </c>
      <c r="D384">
        <v>27</v>
      </c>
      <c r="E384" t="s">
        <v>395</v>
      </c>
      <c r="F384">
        <v>5419</v>
      </c>
      <c r="G384" t="s">
        <v>18</v>
      </c>
      <c r="H384">
        <v>27</v>
      </c>
      <c r="I384" t="s">
        <v>19</v>
      </c>
      <c r="J384">
        <v>2007</v>
      </c>
      <c r="K384">
        <v>2007</v>
      </c>
      <c r="L384" t="s">
        <v>20</v>
      </c>
      <c r="M384">
        <v>46447</v>
      </c>
      <c r="N384">
        <v>608</v>
      </c>
    </row>
    <row r="385" spans="1:14" x14ac:dyDescent="0.35">
      <c r="A385" t="s">
        <v>416</v>
      </c>
      <c r="B385" t="s">
        <v>15</v>
      </c>
      <c r="C385" t="s">
        <v>16</v>
      </c>
      <c r="D385">
        <v>27</v>
      </c>
      <c r="E385" t="s">
        <v>395</v>
      </c>
      <c r="F385">
        <v>5419</v>
      </c>
      <c r="G385" t="s">
        <v>18</v>
      </c>
      <c r="H385">
        <v>27</v>
      </c>
      <c r="I385" t="s">
        <v>19</v>
      </c>
      <c r="J385">
        <v>2008</v>
      </c>
      <c r="K385">
        <v>2008</v>
      </c>
      <c r="L385" t="s">
        <v>20</v>
      </c>
      <c r="M385">
        <v>49621</v>
      </c>
      <c r="N385">
        <v>608</v>
      </c>
    </row>
    <row r="386" spans="1:14" x14ac:dyDescent="0.35">
      <c r="A386" t="s">
        <v>417</v>
      </c>
      <c r="B386" t="s">
        <v>15</v>
      </c>
      <c r="C386" t="s">
        <v>16</v>
      </c>
      <c r="D386">
        <v>27</v>
      </c>
      <c r="E386" t="s">
        <v>395</v>
      </c>
      <c r="F386">
        <v>5419</v>
      </c>
      <c r="G386" t="s">
        <v>18</v>
      </c>
      <c r="H386">
        <v>27</v>
      </c>
      <c r="I386" t="s">
        <v>19</v>
      </c>
      <c r="J386">
        <v>2009</v>
      </c>
      <c r="K386">
        <v>2009</v>
      </c>
      <c r="L386" t="s">
        <v>20</v>
      </c>
      <c r="M386">
        <v>52263</v>
      </c>
      <c r="N386">
        <v>608</v>
      </c>
    </row>
    <row r="387" spans="1:14" x14ac:dyDescent="0.35">
      <c r="A387" t="s">
        <v>418</v>
      </c>
      <c r="B387" t="s">
        <v>15</v>
      </c>
      <c r="C387" t="s">
        <v>16</v>
      </c>
      <c r="D387">
        <v>27</v>
      </c>
      <c r="E387" t="s">
        <v>395</v>
      </c>
      <c r="F387">
        <v>5419</v>
      </c>
      <c r="G387" t="s">
        <v>18</v>
      </c>
      <c r="H387">
        <v>27</v>
      </c>
      <c r="I387" t="s">
        <v>19</v>
      </c>
      <c r="J387">
        <v>2010</v>
      </c>
      <c r="K387">
        <v>2010</v>
      </c>
      <c r="L387" t="s">
        <v>20</v>
      </c>
      <c r="M387">
        <v>47952</v>
      </c>
      <c r="N387">
        <v>608</v>
      </c>
    </row>
    <row r="388" spans="1:14" x14ac:dyDescent="0.35">
      <c r="A388" t="s">
        <v>419</v>
      </c>
      <c r="B388" t="s">
        <v>15</v>
      </c>
      <c r="C388" t="s">
        <v>16</v>
      </c>
      <c r="D388">
        <v>27</v>
      </c>
      <c r="E388" t="s">
        <v>395</v>
      </c>
      <c r="F388">
        <v>5419</v>
      </c>
      <c r="G388" t="s">
        <v>18</v>
      </c>
      <c r="H388">
        <v>27</v>
      </c>
      <c r="I388" t="s">
        <v>19</v>
      </c>
      <c r="J388">
        <v>2011</v>
      </c>
      <c r="K388">
        <v>2011</v>
      </c>
      <c r="L388" t="s">
        <v>20</v>
      </c>
      <c r="M388">
        <v>50563</v>
      </c>
      <c r="N388">
        <v>608</v>
      </c>
    </row>
    <row r="389" spans="1:14" x14ac:dyDescent="0.35">
      <c r="A389" t="s">
        <v>420</v>
      </c>
      <c r="B389" t="s">
        <v>15</v>
      </c>
      <c r="C389" t="s">
        <v>16</v>
      </c>
      <c r="D389">
        <v>27</v>
      </c>
      <c r="E389" t="s">
        <v>395</v>
      </c>
      <c r="F389">
        <v>5419</v>
      </c>
      <c r="G389" t="s">
        <v>18</v>
      </c>
      <c r="H389">
        <v>27</v>
      </c>
      <c r="I389" t="s">
        <v>19</v>
      </c>
      <c r="J389">
        <v>2012</v>
      </c>
      <c r="K389">
        <v>2012</v>
      </c>
      <c r="L389" t="s">
        <v>20</v>
      </c>
      <c r="M389">
        <v>55605</v>
      </c>
      <c r="N389">
        <v>608</v>
      </c>
    </row>
    <row r="390" spans="1:14" x14ac:dyDescent="0.35">
      <c r="A390" t="s">
        <v>421</v>
      </c>
      <c r="B390" t="s">
        <v>15</v>
      </c>
      <c r="C390" t="s">
        <v>16</v>
      </c>
      <c r="D390">
        <v>27</v>
      </c>
      <c r="E390" t="s">
        <v>395</v>
      </c>
      <c r="F390">
        <v>5419</v>
      </c>
      <c r="G390" t="s">
        <v>18</v>
      </c>
      <c r="H390">
        <v>27</v>
      </c>
      <c r="I390" t="s">
        <v>19</v>
      </c>
      <c r="J390">
        <v>2013</v>
      </c>
      <c r="K390">
        <v>2013</v>
      </c>
      <c r="L390" t="s">
        <v>20</v>
      </c>
      <c r="M390">
        <v>54945</v>
      </c>
      <c r="N390">
        <v>608</v>
      </c>
    </row>
    <row r="391" spans="1:14" x14ac:dyDescent="0.35">
      <c r="A391" t="s">
        <v>422</v>
      </c>
      <c r="B391" t="s">
        <v>15</v>
      </c>
      <c r="C391" t="s">
        <v>16</v>
      </c>
      <c r="D391">
        <v>27</v>
      </c>
      <c r="E391" t="s">
        <v>395</v>
      </c>
      <c r="F391">
        <v>5419</v>
      </c>
      <c r="G391" t="s">
        <v>18</v>
      </c>
      <c r="H391">
        <v>27</v>
      </c>
      <c r="I391" t="s">
        <v>19</v>
      </c>
      <c r="J391">
        <v>2014</v>
      </c>
      <c r="K391">
        <v>2014</v>
      </c>
      <c r="L391" t="s">
        <v>20</v>
      </c>
      <c r="M391">
        <v>49040</v>
      </c>
      <c r="N391">
        <v>608</v>
      </c>
    </row>
    <row r="392" spans="1:14" x14ac:dyDescent="0.35">
      <c r="A392" t="s">
        <v>423</v>
      </c>
      <c r="B392" t="s">
        <v>15</v>
      </c>
      <c r="C392" t="s">
        <v>16</v>
      </c>
      <c r="D392">
        <v>27</v>
      </c>
      <c r="E392" t="s">
        <v>395</v>
      </c>
      <c r="F392">
        <v>5419</v>
      </c>
      <c r="G392" t="s">
        <v>18</v>
      </c>
      <c r="H392">
        <v>27</v>
      </c>
      <c r="I392" t="s">
        <v>19</v>
      </c>
      <c r="J392">
        <v>2015</v>
      </c>
      <c r="K392">
        <v>2015</v>
      </c>
      <c r="L392" t="s">
        <v>20</v>
      </c>
      <c r="M392">
        <v>54540</v>
      </c>
      <c r="N392">
        <v>608</v>
      </c>
    </row>
    <row r="393" spans="1:14" x14ac:dyDescent="0.35">
      <c r="A393" t="s">
        <v>424</v>
      </c>
      <c r="B393" t="s">
        <v>15</v>
      </c>
      <c r="C393" t="s">
        <v>16</v>
      </c>
      <c r="D393">
        <v>27</v>
      </c>
      <c r="E393" t="s">
        <v>395</v>
      </c>
      <c r="F393">
        <v>5419</v>
      </c>
      <c r="G393" t="s">
        <v>18</v>
      </c>
      <c r="H393">
        <v>27</v>
      </c>
      <c r="I393" t="s">
        <v>19</v>
      </c>
      <c r="J393">
        <v>2016</v>
      </c>
      <c r="K393">
        <v>2016</v>
      </c>
      <c r="L393" t="s">
        <v>20</v>
      </c>
      <c r="M393">
        <v>54032</v>
      </c>
      <c r="N393">
        <v>608</v>
      </c>
    </row>
    <row r="394" spans="1:14" x14ac:dyDescent="0.35">
      <c r="A394" t="s">
        <v>425</v>
      </c>
      <c r="B394" t="s">
        <v>15</v>
      </c>
      <c r="C394" t="s">
        <v>16</v>
      </c>
      <c r="D394">
        <v>233</v>
      </c>
      <c r="E394" t="s">
        <v>426</v>
      </c>
      <c r="F394">
        <v>5419</v>
      </c>
      <c r="G394" t="s">
        <v>18</v>
      </c>
      <c r="H394">
        <v>27</v>
      </c>
      <c r="I394" t="s">
        <v>19</v>
      </c>
      <c r="J394">
        <v>1985</v>
      </c>
      <c r="K394">
        <v>1985</v>
      </c>
      <c r="L394" t="s">
        <v>20</v>
      </c>
      <c r="M394">
        <v>18144</v>
      </c>
      <c r="N394">
        <v>748</v>
      </c>
    </row>
    <row r="395" spans="1:14" x14ac:dyDescent="0.35">
      <c r="A395" t="s">
        <v>427</v>
      </c>
      <c r="B395" t="s">
        <v>15</v>
      </c>
      <c r="C395" t="s">
        <v>16</v>
      </c>
      <c r="D395">
        <v>233</v>
      </c>
      <c r="E395" t="s">
        <v>426</v>
      </c>
      <c r="F395">
        <v>5419</v>
      </c>
      <c r="G395" t="s">
        <v>18</v>
      </c>
      <c r="H395">
        <v>27</v>
      </c>
      <c r="I395" t="s">
        <v>19</v>
      </c>
      <c r="J395">
        <v>1986</v>
      </c>
      <c r="K395">
        <v>1986</v>
      </c>
      <c r="L395" t="s">
        <v>20</v>
      </c>
      <c r="M395">
        <v>16802</v>
      </c>
      <c r="N395">
        <v>748</v>
      </c>
    </row>
    <row r="396" spans="1:14" x14ac:dyDescent="0.35">
      <c r="A396" t="s">
        <v>428</v>
      </c>
      <c r="B396" t="s">
        <v>15</v>
      </c>
      <c r="C396" t="s">
        <v>16</v>
      </c>
      <c r="D396">
        <v>233</v>
      </c>
      <c r="E396" t="s">
        <v>426</v>
      </c>
      <c r="F396">
        <v>5419</v>
      </c>
      <c r="G396" t="s">
        <v>18</v>
      </c>
      <c r="H396">
        <v>27</v>
      </c>
      <c r="I396" t="s">
        <v>19</v>
      </c>
      <c r="J396">
        <v>1987</v>
      </c>
      <c r="K396">
        <v>1987</v>
      </c>
      <c r="L396" t="s">
        <v>20</v>
      </c>
      <c r="M396">
        <v>11516</v>
      </c>
      <c r="N396">
        <v>748</v>
      </c>
    </row>
    <row r="397" spans="1:14" x14ac:dyDescent="0.35">
      <c r="A397" t="s">
        <v>429</v>
      </c>
      <c r="B397" t="s">
        <v>15</v>
      </c>
      <c r="C397" t="s">
        <v>16</v>
      </c>
      <c r="D397">
        <v>233</v>
      </c>
      <c r="E397" t="s">
        <v>426</v>
      </c>
      <c r="F397">
        <v>5419</v>
      </c>
      <c r="G397" t="s">
        <v>18</v>
      </c>
      <c r="H397">
        <v>27</v>
      </c>
      <c r="I397" t="s">
        <v>19</v>
      </c>
      <c r="J397">
        <v>1989</v>
      </c>
      <c r="K397">
        <v>1989</v>
      </c>
      <c r="L397" t="s">
        <v>20</v>
      </c>
      <c r="M397">
        <v>20541</v>
      </c>
      <c r="N397">
        <v>748</v>
      </c>
    </row>
    <row r="398" spans="1:14" x14ac:dyDescent="0.35">
      <c r="A398" t="s">
        <v>430</v>
      </c>
      <c r="B398" t="s">
        <v>15</v>
      </c>
      <c r="C398" t="s">
        <v>16</v>
      </c>
      <c r="D398">
        <v>233</v>
      </c>
      <c r="E398" t="s">
        <v>426</v>
      </c>
      <c r="F398">
        <v>5419</v>
      </c>
      <c r="G398" t="s">
        <v>18</v>
      </c>
      <c r="H398">
        <v>27</v>
      </c>
      <c r="I398" t="s">
        <v>19</v>
      </c>
      <c r="J398">
        <v>1990</v>
      </c>
      <c r="K398">
        <v>1990</v>
      </c>
      <c r="L398" t="s">
        <v>20</v>
      </c>
      <c r="M398">
        <v>20783</v>
      </c>
      <c r="N398">
        <v>748</v>
      </c>
    </row>
    <row r="399" spans="1:14" x14ac:dyDescent="0.35">
      <c r="A399" t="s">
        <v>431</v>
      </c>
      <c r="B399" t="s">
        <v>15</v>
      </c>
      <c r="C399" t="s">
        <v>16</v>
      </c>
      <c r="D399">
        <v>233</v>
      </c>
      <c r="E399" t="s">
        <v>426</v>
      </c>
      <c r="F399">
        <v>5419</v>
      </c>
      <c r="G399" t="s">
        <v>18</v>
      </c>
      <c r="H399">
        <v>27</v>
      </c>
      <c r="I399" t="s">
        <v>19</v>
      </c>
      <c r="J399">
        <v>1991</v>
      </c>
      <c r="K399">
        <v>1991</v>
      </c>
      <c r="L399" t="s">
        <v>20</v>
      </c>
      <c r="M399">
        <v>21444</v>
      </c>
      <c r="N399">
        <v>748</v>
      </c>
    </row>
    <row r="400" spans="1:14" x14ac:dyDescent="0.35">
      <c r="A400" t="s">
        <v>432</v>
      </c>
      <c r="B400" t="s">
        <v>15</v>
      </c>
      <c r="C400" t="s">
        <v>16</v>
      </c>
      <c r="D400">
        <v>233</v>
      </c>
      <c r="E400" t="s">
        <v>426</v>
      </c>
      <c r="F400">
        <v>5419</v>
      </c>
      <c r="G400" t="s">
        <v>18</v>
      </c>
      <c r="H400">
        <v>27</v>
      </c>
      <c r="I400" t="s">
        <v>19</v>
      </c>
      <c r="J400">
        <v>1992</v>
      </c>
      <c r="K400">
        <v>1992</v>
      </c>
      <c r="L400" t="s">
        <v>20</v>
      </c>
      <c r="M400">
        <v>18831</v>
      </c>
      <c r="N400">
        <v>748</v>
      </c>
    </row>
    <row r="401" spans="1:14" x14ac:dyDescent="0.35">
      <c r="A401" t="s">
        <v>433</v>
      </c>
      <c r="B401" t="s">
        <v>15</v>
      </c>
      <c r="C401" t="s">
        <v>16</v>
      </c>
      <c r="D401">
        <v>233</v>
      </c>
      <c r="E401" t="s">
        <v>426</v>
      </c>
      <c r="F401">
        <v>5419</v>
      </c>
      <c r="G401" t="s">
        <v>18</v>
      </c>
      <c r="H401">
        <v>27</v>
      </c>
      <c r="I401" t="s">
        <v>19</v>
      </c>
      <c r="J401">
        <v>1993</v>
      </c>
      <c r="K401">
        <v>1993</v>
      </c>
      <c r="L401" t="s">
        <v>20</v>
      </c>
      <c r="M401">
        <v>21630</v>
      </c>
      <c r="N401">
        <v>748</v>
      </c>
    </row>
    <row r="402" spans="1:14" x14ac:dyDescent="0.35">
      <c r="A402" t="s">
        <v>434</v>
      </c>
      <c r="B402" t="s">
        <v>15</v>
      </c>
      <c r="C402" t="s">
        <v>16</v>
      </c>
      <c r="D402">
        <v>233</v>
      </c>
      <c r="E402" t="s">
        <v>426</v>
      </c>
      <c r="F402">
        <v>5419</v>
      </c>
      <c r="G402" t="s">
        <v>18</v>
      </c>
      <c r="H402">
        <v>27</v>
      </c>
      <c r="I402" t="s">
        <v>19</v>
      </c>
      <c r="J402">
        <v>1994</v>
      </c>
      <c r="K402">
        <v>1994</v>
      </c>
      <c r="L402" t="s">
        <v>20</v>
      </c>
      <c r="M402">
        <v>19582</v>
      </c>
      <c r="N402">
        <v>748</v>
      </c>
    </row>
    <row r="403" spans="1:14" x14ac:dyDescent="0.35">
      <c r="A403" t="s">
        <v>435</v>
      </c>
      <c r="B403" t="s">
        <v>15</v>
      </c>
      <c r="C403" t="s">
        <v>16</v>
      </c>
      <c r="D403">
        <v>233</v>
      </c>
      <c r="E403" t="s">
        <v>426</v>
      </c>
      <c r="F403">
        <v>5419</v>
      </c>
      <c r="G403" t="s">
        <v>18</v>
      </c>
      <c r="H403">
        <v>27</v>
      </c>
      <c r="I403" t="s">
        <v>19</v>
      </c>
      <c r="J403">
        <v>1995</v>
      </c>
      <c r="K403">
        <v>1995</v>
      </c>
      <c r="L403" t="s">
        <v>20</v>
      </c>
      <c r="M403">
        <v>19249</v>
      </c>
      <c r="N403">
        <v>748</v>
      </c>
    </row>
    <row r="404" spans="1:14" x14ac:dyDescent="0.35">
      <c r="A404" t="s">
        <v>436</v>
      </c>
      <c r="B404" t="s">
        <v>15</v>
      </c>
      <c r="C404" t="s">
        <v>16</v>
      </c>
      <c r="D404">
        <v>233</v>
      </c>
      <c r="E404" t="s">
        <v>426</v>
      </c>
      <c r="F404">
        <v>5419</v>
      </c>
      <c r="G404" t="s">
        <v>18</v>
      </c>
      <c r="H404">
        <v>27</v>
      </c>
      <c r="I404" t="s">
        <v>19</v>
      </c>
      <c r="J404">
        <v>1996</v>
      </c>
      <c r="K404">
        <v>1996</v>
      </c>
      <c r="L404" t="s">
        <v>20</v>
      </c>
      <c r="M404">
        <v>23883</v>
      </c>
      <c r="N404">
        <v>748</v>
      </c>
    </row>
    <row r="405" spans="1:14" x14ac:dyDescent="0.35">
      <c r="A405" t="s">
        <v>437</v>
      </c>
      <c r="B405" t="s">
        <v>15</v>
      </c>
      <c r="C405" t="s">
        <v>16</v>
      </c>
      <c r="D405">
        <v>233</v>
      </c>
      <c r="E405" t="s">
        <v>426</v>
      </c>
      <c r="F405">
        <v>5419</v>
      </c>
      <c r="G405" t="s">
        <v>18</v>
      </c>
      <c r="H405">
        <v>27</v>
      </c>
      <c r="I405" t="s">
        <v>19</v>
      </c>
      <c r="J405">
        <v>1997</v>
      </c>
      <c r="K405">
        <v>1997</v>
      </c>
      <c r="L405" t="s">
        <v>20</v>
      </c>
      <c r="M405">
        <v>15750</v>
      </c>
      <c r="N405">
        <v>748</v>
      </c>
    </row>
    <row r="406" spans="1:14" x14ac:dyDescent="0.35">
      <c r="A406" t="s">
        <v>438</v>
      </c>
      <c r="B406" t="s">
        <v>15</v>
      </c>
      <c r="C406" t="s">
        <v>16</v>
      </c>
      <c r="D406">
        <v>233</v>
      </c>
      <c r="E406" t="s">
        <v>426</v>
      </c>
      <c r="F406">
        <v>5419</v>
      </c>
      <c r="G406" t="s">
        <v>18</v>
      </c>
      <c r="H406">
        <v>27</v>
      </c>
      <c r="I406" t="s">
        <v>19</v>
      </c>
      <c r="J406">
        <v>1998</v>
      </c>
      <c r="K406">
        <v>1998</v>
      </c>
      <c r="L406" t="s">
        <v>20</v>
      </c>
      <c r="M406">
        <v>19388</v>
      </c>
      <c r="N406">
        <v>748</v>
      </c>
    </row>
    <row r="407" spans="1:14" x14ac:dyDescent="0.35">
      <c r="A407" t="s">
        <v>439</v>
      </c>
      <c r="B407" t="s">
        <v>15</v>
      </c>
      <c r="C407" t="s">
        <v>16</v>
      </c>
      <c r="D407">
        <v>233</v>
      </c>
      <c r="E407" t="s">
        <v>426</v>
      </c>
      <c r="F407">
        <v>5419</v>
      </c>
      <c r="G407" t="s">
        <v>18</v>
      </c>
      <c r="H407">
        <v>27</v>
      </c>
      <c r="I407" t="s">
        <v>19</v>
      </c>
      <c r="J407">
        <v>1999</v>
      </c>
      <c r="K407">
        <v>1999</v>
      </c>
      <c r="L407" t="s">
        <v>20</v>
      </c>
      <c r="M407">
        <v>24824</v>
      </c>
      <c r="N407">
        <v>748</v>
      </c>
    </row>
    <row r="408" spans="1:14" x14ac:dyDescent="0.35">
      <c r="A408" t="s">
        <v>440</v>
      </c>
      <c r="B408" t="s">
        <v>15</v>
      </c>
      <c r="C408" t="s">
        <v>16</v>
      </c>
      <c r="D408">
        <v>233</v>
      </c>
      <c r="E408" t="s">
        <v>426</v>
      </c>
      <c r="F408">
        <v>5419</v>
      </c>
      <c r="G408" t="s">
        <v>18</v>
      </c>
      <c r="H408">
        <v>27</v>
      </c>
      <c r="I408" t="s">
        <v>19</v>
      </c>
      <c r="J408">
        <v>2000</v>
      </c>
      <c r="K408">
        <v>2000</v>
      </c>
      <c r="L408" t="s">
        <v>20</v>
      </c>
      <c r="M408">
        <v>25675</v>
      </c>
      <c r="N408">
        <v>748</v>
      </c>
    </row>
    <row r="409" spans="1:14" x14ac:dyDescent="0.35">
      <c r="A409" t="s">
        <v>441</v>
      </c>
      <c r="B409" t="s">
        <v>15</v>
      </c>
      <c r="C409" t="s">
        <v>16</v>
      </c>
      <c r="D409">
        <v>233</v>
      </c>
      <c r="E409" t="s">
        <v>426</v>
      </c>
      <c r="F409">
        <v>5419</v>
      </c>
      <c r="G409" t="s">
        <v>18</v>
      </c>
      <c r="H409">
        <v>27</v>
      </c>
      <c r="I409" t="s">
        <v>19</v>
      </c>
      <c r="J409">
        <v>2001</v>
      </c>
      <c r="K409">
        <v>2001</v>
      </c>
      <c r="L409" t="s">
        <v>20</v>
      </c>
      <c r="M409">
        <v>18795</v>
      </c>
      <c r="N409">
        <v>748</v>
      </c>
    </row>
    <row r="410" spans="1:14" x14ac:dyDescent="0.35">
      <c r="A410" t="s">
        <v>442</v>
      </c>
      <c r="B410" t="s">
        <v>15</v>
      </c>
      <c r="C410" t="s">
        <v>16</v>
      </c>
      <c r="D410">
        <v>233</v>
      </c>
      <c r="E410" t="s">
        <v>426</v>
      </c>
      <c r="F410">
        <v>5419</v>
      </c>
      <c r="G410" t="s">
        <v>18</v>
      </c>
      <c r="H410">
        <v>27</v>
      </c>
      <c r="I410" t="s">
        <v>19</v>
      </c>
      <c r="J410">
        <v>2002</v>
      </c>
      <c r="K410">
        <v>2002</v>
      </c>
      <c r="L410" t="s">
        <v>20</v>
      </c>
      <c r="M410">
        <v>19010</v>
      </c>
      <c r="N410">
        <v>748</v>
      </c>
    </row>
    <row r="411" spans="1:14" x14ac:dyDescent="0.35">
      <c r="A411" t="s">
        <v>443</v>
      </c>
      <c r="B411" t="s">
        <v>15</v>
      </c>
      <c r="C411" t="s">
        <v>16</v>
      </c>
      <c r="D411">
        <v>233</v>
      </c>
      <c r="E411" t="s">
        <v>426</v>
      </c>
      <c r="F411">
        <v>5419</v>
      </c>
      <c r="G411" t="s">
        <v>18</v>
      </c>
      <c r="H411">
        <v>27</v>
      </c>
      <c r="I411" t="s">
        <v>19</v>
      </c>
      <c r="J411">
        <v>2004</v>
      </c>
      <c r="K411">
        <v>2004</v>
      </c>
      <c r="L411" t="s">
        <v>20</v>
      </c>
      <c r="M411">
        <v>15047</v>
      </c>
      <c r="N411">
        <v>748</v>
      </c>
    </row>
    <row r="412" spans="1:14" x14ac:dyDescent="0.35">
      <c r="A412" t="s">
        <v>444</v>
      </c>
      <c r="B412" t="s">
        <v>15</v>
      </c>
      <c r="C412" t="s">
        <v>16</v>
      </c>
      <c r="D412">
        <v>233</v>
      </c>
      <c r="E412" t="s">
        <v>426</v>
      </c>
      <c r="F412">
        <v>5419</v>
      </c>
      <c r="G412" t="s">
        <v>18</v>
      </c>
      <c r="H412">
        <v>27</v>
      </c>
      <c r="I412" t="s">
        <v>19</v>
      </c>
      <c r="J412">
        <v>2005</v>
      </c>
      <c r="K412">
        <v>2005</v>
      </c>
      <c r="L412" t="s">
        <v>20</v>
      </c>
      <c r="M412">
        <v>17791</v>
      </c>
      <c r="N412">
        <v>748</v>
      </c>
    </row>
    <row r="413" spans="1:14" x14ac:dyDescent="0.35">
      <c r="A413" t="s">
        <v>445</v>
      </c>
      <c r="B413" t="s">
        <v>15</v>
      </c>
      <c r="C413" t="s">
        <v>16</v>
      </c>
      <c r="D413">
        <v>233</v>
      </c>
      <c r="E413" t="s">
        <v>426</v>
      </c>
      <c r="F413">
        <v>5419</v>
      </c>
      <c r="G413" t="s">
        <v>18</v>
      </c>
      <c r="H413">
        <v>27</v>
      </c>
      <c r="I413" t="s">
        <v>19</v>
      </c>
      <c r="J413">
        <v>2006</v>
      </c>
      <c r="K413">
        <v>2006</v>
      </c>
      <c r="L413" t="s">
        <v>20</v>
      </c>
      <c r="M413">
        <v>25724</v>
      </c>
      <c r="N413">
        <v>748</v>
      </c>
    </row>
    <row r="414" spans="1:14" x14ac:dyDescent="0.35">
      <c r="A414" t="s">
        <v>446</v>
      </c>
      <c r="B414" t="s">
        <v>15</v>
      </c>
      <c r="C414" t="s">
        <v>16</v>
      </c>
      <c r="D414">
        <v>233</v>
      </c>
      <c r="E414" t="s">
        <v>426</v>
      </c>
      <c r="F414">
        <v>5419</v>
      </c>
      <c r="G414" t="s">
        <v>18</v>
      </c>
      <c r="H414">
        <v>27</v>
      </c>
      <c r="I414" t="s">
        <v>19</v>
      </c>
      <c r="J414">
        <v>2007</v>
      </c>
      <c r="K414">
        <v>2007</v>
      </c>
      <c r="L414" t="s">
        <v>20</v>
      </c>
      <c r="M414">
        <v>17002</v>
      </c>
      <c r="N414">
        <v>748</v>
      </c>
    </row>
    <row r="415" spans="1:14" x14ac:dyDescent="0.35">
      <c r="A415" t="s">
        <v>447</v>
      </c>
      <c r="B415" t="s">
        <v>15</v>
      </c>
      <c r="C415" t="s">
        <v>16</v>
      </c>
      <c r="D415">
        <v>233</v>
      </c>
      <c r="E415" t="s">
        <v>426</v>
      </c>
      <c r="F415">
        <v>5419</v>
      </c>
      <c r="G415" t="s">
        <v>18</v>
      </c>
      <c r="H415">
        <v>27</v>
      </c>
      <c r="I415" t="s">
        <v>19</v>
      </c>
      <c r="J415">
        <v>2008</v>
      </c>
      <c r="K415">
        <v>2008</v>
      </c>
      <c r="L415" t="s">
        <v>20</v>
      </c>
      <c r="M415">
        <v>24355</v>
      </c>
      <c r="N415">
        <v>748</v>
      </c>
    </row>
    <row r="416" spans="1:14" x14ac:dyDescent="0.35">
      <c r="A416" t="s">
        <v>448</v>
      </c>
      <c r="B416" t="s">
        <v>15</v>
      </c>
      <c r="C416" t="s">
        <v>16</v>
      </c>
      <c r="D416">
        <v>233</v>
      </c>
      <c r="E416" t="s">
        <v>426</v>
      </c>
      <c r="F416">
        <v>5419</v>
      </c>
      <c r="G416" t="s">
        <v>18</v>
      </c>
      <c r="H416">
        <v>27</v>
      </c>
      <c r="I416" t="s">
        <v>19</v>
      </c>
      <c r="J416">
        <v>2009</v>
      </c>
      <c r="K416">
        <v>2009</v>
      </c>
      <c r="L416" t="s">
        <v>20</v>
      </c>
      <c r="M416">
        <v>23154</v>
      </c>
      <c r="N416">
        <v>748</v>
      </c>
    </row>
    <row r="417" spans="1:14" x14ac:dyDescent="0.35">
      <c r="A417" t="s">
        <v>449</v>
      </c>
      <c r="B417" t="s">
        <v>15</v>
      </c>
      <c r="C417" t="s">
        <v>16</v>
      </c>
      <c r="D417">
        <v>233</v>
      </c>
      <c r="E417" t="s">
        <v>426</v>
      </c>
      <c r="F417">
        <v>5419</v>
      </c>
      <c r="G417" t="s">
        <v>18</v>
      </c>
      <c r="H417">
        <v>27</v>
      </c>
      <c r="I417" t="s">
        <v>19</v>
      </c>
      <c r="J417">
        <v>2010</v>
      </c>
      <c r="K417">
        <v>2010</v>
      </c>
      <c r="L417" t="s">
        <v>20</v>
      </c>
      <c r="M417">
        <v>20238</v>
      </c>
      <c r="N417">
        <v>748</v>
      </c>
    </row>
    <row r="418" spans="1:14" x14ac:dyDescent="0.35">
      <c r="A418" t="s">
        <v>450</v>
      </c>
      <c r="B418" t="s">
        <v>15</v>
      </c>
      <c r="C418" t="s">
        <v>16</v>
      </c>
      <c r="D418">
        <v>233</v>
      </c>
      <c r="E418" t="s">
        <v>426</v>
      </c>
      <c r="F418">
        <v>5419</v>
      </c>
      <c r="G418" t="s">
        <v>18</v>
      </c>
      <c r="H418">
        <v>27</v>
      </c>
      <c r="I418" t="s">
        <v>19</v>
      </c>
      <c r="J418">
        <v>2011</v>
      </c>
      <c r="K418">
        <v>2011</v>
      </c>
      <c r="L418" t="s">
        <v>20</v>
      </c>
      <c r="M418">
        <v>17676</v>
      </c>
      <c r="N418">
        <v>748</v>
      </c>
    </row>
    <row r="419" spans="1:14" x14ac:dyDescent="0.35">
      <c r="A419" t="s">
        <v>451</v>
      </c>
      <c r="B419" t="s">
        <v>15</v>
      </c>
      <c r="C419" t="s">
        <v>16</v>
      </c>
      <c r="D419">
        <v>233</v>
      </c>
      <c r="E419" t="s">
        <v>426</v>
      </c>
      <c r="F419">
        <v>5419</v>
      </c>
      <c r="G419" t="s">
        <v>18</v>
      </c>
      <c r="H419">
        <v>27</v>
      </c>
      <c r="I419" t="s">
        <v>19</v>
      </c>
      <c r="J419">
        <v>2012</v>
      </c>
      <c r="K419">
        <v>2012</v>
      </c>
      <c r="L419" t="s">
        <v>20</v>
      </c>
      <c r="M419">
        <v>23336</v>
      </c>
      <c r="N419">
        <v>748</v>
      </c>
    </row>
    <row r="420" spans="1:14" x14ac:dyDescent="0.35">
      <c r="A420" t="s">
        <v>452</v>
      </c>
      <c r="B420" t="s">
        <v>15</v>
      </c>
      <c r="C420" t="s">
        <v>16</v>
      </c>
      <c r="D420">
        <v>233</v>
      </c>
      <c r="E420" t="s">
        <v>426</v>
      </c>
      <c r="F420">
        <v>5419</v>
      </c>
      <c r="G420" t="s">
        <v>18</v>
      </c>
      <c r="H420">
        <v>27</v>
      </c>
      <c r="I420" t="s">
        <v>19</v>
      </c>
      <c r="J420">
        <v>2013</v>
      </c>
      <c r="K420">
        <v>2013</v>
      </c>
      <c r="L420" t="s">
        <v>20</v>
      </c>
      <c r="M420">
        <v>21993</v>
      </c>
      <c r="N420">
        <v>748</v>
      </c>
    </row>
    <row r="421" spans="1:14" x14ac:dyDescent="0.35">
      <c r="A421" t="s">
        <v>453</v>
      </c>
      <c r="B421" t="s">
        <v>15</v>
      </c>
      <c r="C421" t="s">
        <v>16</v>
      </c>
      <c r="D421">
        <v>233</v>
      </c>
      <c r="E421" t="s">
        <v>426</v>
      </c>
      <c r="F421">
        <v>5419</v>
      </c>
      <c r="G421" t="s">
        <v>18</v>
      </c>
      <c r="H421">
        <v>27</v>
      </c>
      <c r="I421" t="s">
        <v>19</v>
      </c>
      <c r="J421">
        <v>2014</v>
      </c>
      <c r="K421">
        <v>2014</v>
      </c>
      <c r="L421" t="s">
        <v>20</v>
      </c>
      <c r="M421">
        <v>24088</v>
      </c>
      <c r="N421">
        <v>748</v>
      </c>
    </row>
    <row r="422" spans="1:14" x14ac:dyDescent="0.35">
      <c r="A422" t="s">
        <v>454</v>
      </c>
      <c r="B422" t="s">
        <v>15</v>
      </c>
      <c r="C422" t="s">
        <v>16</v>
      </c>
      <c r="D422">
        <v>233</v>
      </c>
      <c r="E422" t="s">
        <v>426</v>
      </c>
      <c r="F422">
        <v>5419</v>
      </c>
      <c r="G422" t="s">
        <v>18</v>
      </c>
      <c r="H422">
        <v>27</v>
      </c>
      <c r="I422" t="s">
        <v>19</v>
      </c>
      <c r="J422">
        <v>2015</v>
      </c>
      <c r="K422">
        <v>2015</v>
      </c>
      <c r="L422" t="s">
        <v>20</v>
      </c>
      <c r="M422">
        <v>22032</v>
      </c>
      <c r="N422">
        <v>748</v>
      </c>
    </row>
    <row r="423" spans="1:14" x14ac:dyDescent="0.35">
      <c r="A423" t="s">
        <v>455</v>
      </c>
      <c r="B423" t="s">
        <v>15</v>
      </c>
      <c r="C423" t="s">
        <v>16</v>
      </c>
      <c r="D423">
        <v>233</v>
      </c>
      <c r="E423" t="s">
        <v>426</v>
      </c>
      <c r="F423">
        <v>5419</v>
      </c>
      <c r="G423" t="s">
        <v>18</v>
      </c>
      <c r="H423">
        <v>27</v>
      </c>
      <c r="I423" t="s">
        <v>19</v>
      </c>
      <c r="J423">
        <v>2016</v>
      </c>
      <c r="K423">
        <v>2016</v>
      </c>
      <c r="L423" t="s">
        <v>20</v>
      </c>
      <c r="M423">
        <v>21718</v>
      </c>
      <c r="N423">
        <v>748</v>
      </c>
    </row>
    <row r="424" spans="1:14" x14ac:dyDescent="0.35">
      <c r="A424" t="s">
        <v>456</v>
      </c>
      <c r="B424" t="s">
        <v>15</v>
      </c>
      <c r="C424" t="s">
        <v>16</v>
      </c>
      <c r="D424">
        <v>29</v>
      </c>
      <c r="E424" t="s">
        <v>457</v>
      </c>
      <c r="F424">
        <v>5419</v>
      </c>
      <c r="G424" t="s">
        <v>18</v>
      </c>
      <c r="H424">
        <v>27</v>
      </c>
      <c r="I424" t="s">
        <v>19</v>
      </c>
      <c r="J424">
        <v>1985</v>
      </c>
      <c r="K424">
        <v>1985</v>
      </c>
      <c r="L424" t="s">
        <v>20</v>
      </c>
      <c r="M424">
        <v>44150</v>
      </c>
      <c r="N424">
        <v>1274</v>
      </c>
    </row>
    <row r="425" spans="1:14" x14ac:dyDescent="0.35">
      <c r="A425" t="s">
        <v>458</v>
      </c>
      <c r="B425" t="s">
        <v>15</v>
      </c>
      <c r="C425" t="s">
        <v>16</v>
      </c>
      <c r="D425">
        <v>29</v>
      </c>
      <c r="E425" t="s">
        <v>457</v>
      </c>
      <c r="F425">
        <v>5419</v>
      </c>
      <c r="G425" t="s">
        <v>18</v>
      </c>
      <c r="H425">
        <v>27</v>
      </c>
      <c r="I425" t="s">
        <v>19</v>
      </c>
      <c r="J425">
        <v>1986</v>
      </c>
      <c r="K425">
        <v>1986</v>
      </c>
      <c r="L425" t="s">
        <v>20</v>
      </c>
      <c r="M425">
        <v>30837</v>
      </c>
      <c r="N425">
        <v>1274</v>
      </c>
    </row>
    <row r="426" spans="1:14" x14ac:dyDescent="0.35">
      <c r="A426" t="s">
        <v>459</v>
      </c>
      <c r="B426" t="s">
        <v>15</v>
      </c>
      <c r="C426" t="s">
        <v>16</v>
      </c>
      <c r="D426">
        <v>29</v>
      </c>
      <c r="E426" t="s">
        <v>457</v>
      </c>
      <c r="F426">
        <v>5419</v>
      </c>
      <c r="G426" t="s">
        <v>18</v>
      </c>
      <c r="H426">
        <v>27</v>
      </c>
      <c r="I426" t="s">
        <v>19</v>
      </c>
      <c r="J426">
        <v>1987</v>
      </c>
      <c r="K426">
        <v>1987</v>
      </c>
      <c r="L426" t="s">
        <v>20</v>
      </c>
      <c r="M426">
        <v>23333</v>
      </c>
      <c r="N426">
        <v>1274</v>
      </c>
    </row>
    <row r="427" spans="1:14" x14ac:dyDescent="0.35">
      <c r="A427" t="s">
        <v>460</v>
      </c>
      <c r="B427" t="s">
        <v>15</v>
      </c>
      <c r="C427" t="s">
        <v>16</v>
      </c>
      <c r="D427">
        <v>29</v>
      </c>
      <c r="E427" t="s">
        <v>457</v>
      </c>
      <c r="F427">
        <v>5419</v>
      </c>
      <c r="G427" t="s">
        <v>18</v>
      </c>
      <c r="H427">
        <v>27</v>
      </c>
      <c r="I427" t="s">
        <v>19</v>
      </c>
      <c r="J427">
        <v>1989</v>
      </c>
      <c r="K427">
        <v>1989</v>
      </c>
      <c r="L427" t="s">
        <v>20</v>
      </c>
      <c r="M427">
        <v>33333</v>
      </c>
      <c r="N427">
        <v>1274</v>
      </c>
    </row>
    <row r="428" spans="1:14" x14ac:dyDescent="0.35">
      <c r="A428" t="s">
        <v>461</v>
      </c>
      <c r="B428" t="s">
        <v>15</v>
      </c>
      <c r="C428" t="s">
        <v>16</v>
      </c>
      <c r="D428">
        <v>29</v>
      </c>
      <c r="E428" t="s">
        <v>457</v>
      </c>
      <c r="F428">
        <v>5419</v>
      </c>
      <c r="G428" t="s">
        <v>18</v>
      </c>
      <c r="H428">
        <v>27</v>
      </c>
      <c r="I428" t="s">
        <v>19</v>
      </c>
      <c r="J428">
        <v>1990</v>
      </c>
      <c r="K428">
        <v>1990</v>
      </c>
      <c r="L428" t="s">
        <v>20</v>
      </c>
      <c r="M428">
        <v>33333</v>
      </c>
      <c r="N428">
        <v>1274</v>
      </c>
    </row>
    <row r="429" spans="1:14" x14ac:dyDescent="0.35">
      <c r="A429" t="s">
        <v>462</v>
      </c>
      <c r="B429" t="s">
        <v>15</v>
      </c>
      <c r="C429" t="s">
        <v>16</v>
      </c>
      <c r="D429">
        <v>29</v>
      </c>
      <c r="E429" t="s">
        <v>457</v>
      </c>
      <c r="F429">
        <v>5419</v>
      </c>
      <c r="G429" t="s">
        <v>18</v>
      </c>
      <c r="H429">
        <v>27</v>
      </c>
      <c r="I429" t="s">
        <v>19</v>
      </c>
      <c r="J429">
        <v>1991</v>
      </c>
      <c r="K429">
        <v>1991</v>
      </c>
      <c r="L429" t="s">
        <v>20</v>
      </c>
      <c r="M429">
        <v>30923</v>
      </c>
      <c r="N429">
        <v>1274</v>
      </c>
    </row>
    <row r="430" spans="1:14" x14ac:dyDescent="0.35">
      <c r="A430" t="s">
        <v>463</v>
      </c>
      <c r="B430" t="s">
        <v>15</v>
      </c>
      <c r="C430" t="s">
        <v>16</v>
      </c>
      <c r="D430">
        <v>29</v>
      </c>
      <c r="E430" t="s">
        <v>457</v>
      </c>
      <c r="F430">
        <v>5419</v>
      </c>
      <c r="G430" t="s">
        <v>18</v>
      </c>
      <c r="H430">
        <v>27</v>
      </c>
      <c r="I430" t="s">
        <v>19</v>
      </c>
      <c r="J430">
        <v>1992</v>
      </c>
      <c r="K430">
        <v>1992</v>
      </c>
      <c r="L430" t="s">
        <v>20</v>
      </c>
      <c r="M430">
        <v>31077</v>
      </c>
      <c r="N430">
        <v>1274</v>
      </c>
    </row>
    <row r="431" spans="1:14" x14ac:dyDescent="0.35">
      <c r="A431" t="s">
        <v>464</v>
      </c>
      <c r="B431" t="s">
        <v>15</v>
      </c>
      <c r="C431" t="s">
        <v>16</v>
      </c>
      <c r="D431">
        <v>29</v>
      </c>
      <c r="E431" t="s">
        <v>457</v>
      </c>
      <c r="F431">
        <v>5419</v>
      </c>
      <c r="G431" t="s">
        <v>18</v>
      </c>
      <c r="H431">
        <v>27</v>
      </c>
      <c r="I431" t="s">
        <v>19</v>
      </c>
      <c r="J431">
        <v>1993</v>
      </c>
      <c r="K431">
        <v>1993</v>
      </c>
      <c r="L431" t="s">
        <v>20</v>
      </c>
      <c r="M431">
        <v>31398</v>
      </c>
      <c r="N431">
        <v>1274</v>
      </c>
    </row>
    <row r="432" spans="1:14" x14ac:dyDescent="0.35">
      <c r="A432" t="s">
        <v>465</v>
      </c>
      <c r="B432" t="s">
        <v>15</v>
      </c>
      <c r="C432" t="s">
        <v>16</v>
      </c>
      <c r="D432">
        <v>29</v>
      </c>
      <c r="E432" t="s">
        <v>457</v>
      </c>
      <c r="F432">
        <v>5419</v>
      </c>
      <c r="G432" t="s">
        <v>18</v>
      </c>
      <c r="H432">
        <v>27</v>
      </c>
      <c r="I432" t="s">
        <v>19</v>
      </c>
      <c r="J432">
        <v>1994</v>
      </c>
      <c r="K432">
        <v>1994</v>
      </c>
      <c r="L432" t="s">
        <v>20</v>
      </c>
      <c r="M432">
        <v>31099</v>
      </c>
      <c r="N432">
        <v>1274</v>
      </c>
    </row>
    <row r="433" spans="1:14" x14ac:dyDescent="0.35">
      <c r="A433" t="s">
        <v>466</v>
      </c>
      <c r="B433" t="s">
        <v>15</v>
      </c>
      <c r="C433" t="s">
        <v>16</v>
      </c>
      <c r="D433">
        <v>29</v>
      </c>
      <c r="E433" t="s">
        <v>457</v>
      </c>
      <c r="F433">
        <v>5419</v>
      </c>
      <c r="G433" t="s">
        <v>18</v>
      </c>
      <c r="H433">
        <v>27</v>
      </c>
      <c r="I433" t="s">
        <v>19</v>
      </c>
      <c r="J433">
        <v>1995</v>
      </c>
      <c r="K433">
        <v>1995</v>
      </c>
      <c r="L433" t="s">
        <v>20</v>
      </c>
      <c r="M433">
        <v>26819</v>
      </c>
      <c r="N433">
        <v>1274</v>
      </c>
    </row>
    <row r="434" spans="1:14" x14ac:dyDescent="0.35">
      <c r="A434" t="s">
        <v>467</v>
      </c>
      <c r="B434" t="s">
        <v>15</v>
      </c>
      <c r="C434" t="s">
        <v>16</v>
      </c>
      <c r="D434">
        <v>29</v>
      </c>
      <c r="E434" t="s">
        <v>457</v>
      </c>
      <c r="F434">
        <v>5419</v>
      </c>
      <c r="G434" t="s">
        <v>18</v>
      </c>
      <c r="H434">
        <v>27</v>
      </c>
      <c r="I434" t="s">
        <v>19</v>
      </c>
      <c r="J434">
        <v>1996</v>
      </c>
      <c r="K434">
        <v>1996</v>
      </c>
      <c r="L434" t="s">
        <v>20</v>
      </c>
      <c r="M434">
        <v>27873</v>
      </c>
      <c r="N434">
        <v>1274</v>
      </c>
    </row>
    <row r="435" spans="1:14" x14ac:dyDescent="0.35">
      <c r="A435" t="s">
        <v>468</v>
      </c>
      <c r="B435" t="s">
        <v>15</v>
      </c>
      <c r="C435" t="s">
        <v>16</v>
      </c>
      <c r="D435">
        <v>29</v>
      </c>
      <c r="E435" t="s">
        <v>457</v>
      </c>
      <c r="F435">
        <v>5419</v>
      </c>
      <c r="G435" t="s">
        <v>18</v>
      </c>
      <c r="H435">
        <v>27</v>
      </c>
      <c r="I435" t="s">
        <v>19</v>
      </c>
      <c r="J435">
        <v>1997</v>
      </c>
      <c r="K435">
        <v>1997</v>
      </c>
      <c r="L435" t="s">
        <v>20</v>
      </c>
      <c r="M435">
        <v>32551</v>
      </c>
      <c r="N435">
        <v>1274</v>
      </c>
    </row>
    <row r="436" spans="1:14" x14ac:dyDescent="0.35">
      <c r="A436" t="s">
        <v>469</v>
      </c>
      <c r="B436" t="s">
        <v>15</v>
      </c>
      <c r="C436" t="s">
        <v>16</v>
      </c>
      <c r="D436">
        <v>29</v>
      </c>
      <c r="E436" t="s">
        <v>457</v>
      </c>
      <c r="F436">
        <v>5419</v>
      </c>
      <c r="G436" t="s">
        <v>18</v>
      </c>
      <c r="H436">
        <v>27</v>
      </c>
      <c r="I436" t="s">
        <v>19</v>
      </c>
      <c r="J436">
        <v>1998</v>
      </c>
      <c r="K436">
        <v>1998</v>
      </c>
      <c r="L436" t="s">
        <v>20</v>
      </c>
      <c r="M436">
        <v>29927</v>
      </c>
      <c r="N436">
        <v>1274</v>
      </c>
    </row>
    <row r="437" spans="1:14" x14ac:dyDescent="0.35">
      <c r="A437" t="s">
        <v>470</v>
      </c>
      <c r="B437" t="s">
        <v>15</v>
      </c>
      <c r="C437" t="s">
        <v>16</v>
      </c>
      <c r="D437">
        <v>29</v>
      </c>
      <c r="E437" t="s">
        <v>457</v>
      </c>
      <c r="F437">
        <v>5419</v>
      </c>
      <c r="G437" t="s">
        <v>18</v>
      </c>
      <c r="H437">
        <v>27</v>
      </c>
      <c r="I437" t="s">
        <v>19</v>
      </c>
      <c r="J437">
        <v>1999</v>
      </c>
      <c r="K437">
        <v>1999</v>
      </c>
      <c r="L437" t="s">
        <v>20</v>
      </c>
      <c r="M437">
        <v>32572</v>
      </c>
      <c r="N437">
        <v>1274</v>
      </c>
    </row>
    <row r="438" spans="1:14" x14ac:dyDescent="0.35">
      <c r="A438" t="s">
        <v>471</v>
      </c>
      <c r="B438" t="s">
        <v>15</v>
      </c>
      <c r="C438" t="s">
        <v>16</v>
      </c>
      <c r="D438">
        <v>29</v>
      </c>
      <c r="E438" t="s">
        <v>457</v>
      </c>
      <c r="F438">
        <v>5419</v>
      </c>
      <c r="G438" t="s">
        <v>18</v>
      </c>
      <c r="H438">
        <v>27</v>
      </c>
      <c r="I438" t="s">
        <v>19</v>
      </c>
      <c r="J438">
        <v>2000</v>
      </c>
      <c r="K438">
        <v>2000</v>
      </c>
      <c r="L438" t="s">
        <v>20</v>
      </c>
      <c r="M438">
        <v>30399</v>
      </c>
      <c r="N438">
        <v>1274</v>
      </c>
    </row>
    <row r="439" spans="1:14" x14ac:dyDescent="0.35">
      <c r="A439" t="s">
        <v>472</v>
      </c>
      <c r="B439" t="s">
        <v>15</v>
      </c>
      <c r="C439" t="s">
        <v>16</v>
      </c>
      <c r="D439">
        <v>29</v>
      </c>
      <c r="E439" t="s">
        <v>457</v>
      </c>
      <c r="F439">
        <v>5419</v>
      </c>
      <c r="G439" t="s">
        <v>18</v>
      </c>
      <c r="H439">
        <v>27</v>
      </c>
      <c r="I439" t="s">
        <v>19</v>
      </c>
      <c r="J439">
        <v>2001</v>
      </c>
      <c r="K439">
        <v>2001</v>
      </c>
      <c r="L439" t="s">
        <v>20</v>
      </c>
      <c r="M439">
        <v>32063</v>
      </c>
      <c r="N439">
        <v>1274</v>
      </c>
    </row>
    <row r="440" spans="1:14" x14ac:dyDescent="0.35">
      <c r="A440" t="s">
        <v>473</v>
      </c>
      <c r="B440" t="s">
        <v>15</v>
      </c>
      <c r="C440" t="s">
        <v>16</v>
      </c>
      <c r="D440">
        <v>29</v>
      </c>
      <c r="E440" t="s">
        <v>457</v>
      </c>
      <c r="F440">
        <v>5419</v>
      </c>
      <c r="G440" t="s">
        <v>18</v>
      </c>
      <c r="H440">
        <v>27</v>
      </c>
      <c r="I440" t="s">
        <v>19</v>
      </c>
      <c r="J440">
        <v>2002</v>
      </c>
      <c r="K440">
        <v>2002</v>
      </c>
      <c r="L440" t="s">
        <v>20</v>
      </c>
      <c r="M440">
        <v>32629</v>
      </c>
      <c r="N440">
        <v>1274</v>
      </c>
    </row>
    <row r="441" spans="1:14" x14ac:dyDescent="0.35">
      <c r="A441" t="s">
        <v>474</v>
      </c>
      <c r="B441" t="s">
        <v>15</v>
      </c>
      <c r="C441" t="s">
        <v>16</v>
      </c>
      <c r="D441">
        <v>29</v>
      </c>
      <c r="E441" t="s">
        <v>457</v>
      </c>
      <c r="F441">
        <v>5419</v>
      </c>
      <c r="G441" t="s">
        <v>18</v>
      </c>
      <c r="H441">
        <v>27</v>
      </c>
      <c r="I441" t="s">
        <v>19</v>
      </c>
      <c r="J441">
        <v>2004</v>
      </c>
      <c r="K441">
        <v>2004</v>
      </c>
      <c r="L441" t="s">
        <v>20</v>
      </c>
      <c r="M441">
        <v>32924</v>
      </c>
      <c r="N441">
        <v>1274</v>
      </c>
    </row>
    <row r="442" spans="1:14" x14ac:dyDescent="0.35">
      <c r="A442" t="s">
        <v>475</v>
      </c>
      <c r="B442" t="s">
        <v>15</v>
      </c>
      <c r="C442" t="s">
        <v>16</v>
      </c>
      <c r="D442">
        <v>29</v>
      </c>
      <c r="E442" t="s">
        <v>457</v>
      </c>
      <c r="F442">
        <v>5419</v>
      </c>
      <c r="G442" t="s">
        <v>18</v>
      </c>
      <c r="H442">
        <v>27</v>
      </c>
      <c r="I442" t="s">
        <v>19</v>
      </c>
      <c r="J442">
        <v>2005</v>
      </c>
      <c r="K442">
        <v>2005</v>
      </c>
      <c r="L442" t="s">
        <v>20</v>
      </c>
      <c r="M442">
        <v>34144</v>
      </c>
      <c r="N442">
        <v>1274</v>
      </c>
    </row>
    <row r="443" spans="1:14" x14ac:dyDescent="0.35">
      <c r="A443" t="s">
        <v>476</v>
      </c>
      <c r="B443" t="s">
        <v>15</v>
      </c>
      <c r="C443" t="s">
        <v>16</v>
      </c>
      <c r="D443">
        <v>29</v>
      </c>
      <c r="E443" t="s">
        <v>457</v>
      </c>
      <c r="F443">
        <v>5419</v>
      </c>
      <c r="G443" t="s">
        <v>18</v>
      </c>
      <c r="H443">
        <v>27</v>
      </c>
      <c r="I443" t="s">
        <v>19</v>
      </c>
      <c r="J443">
        <v>2006</v>
      </c>
      <c r="K443">
        <v>2006</v>
      </c>
      <c r="L443" t="s">
        <v>20</v>
      </c>
      <c r="M443">
        <v>33322</v>
      </c>
      <c r="N443">
        <v>1274</v>
      </c>
    </row>
    <row r="444" spans="1:14" x14ac:dyDescent="0.35">
      <c r="A444" t="s">
        <v>477</v>
      </c>
      <c r="B444" t="s">
        <v>15</v>
      </c>
      <c r="C444" t="s">
        <v>16</v>
      </c>
      <c r="D444">
        <v>29</v>
      </c>
      <c r="E444" t="s">
        <v>457</v>
      </c>
      <c r="F444">
        <v>5419</v>
      </c>
      <c r="G444" t="s">
        <v>18</v>
      </c>
      <c r="H444">
        <v>27</v>
      </c>
      <c r="I444" t="s">
        <v>19</v>
      </c>
      <c r="J444">
        <v>2007</v>
      </c>
      <c r="K444">
        <v>2007</v>
      </c>
      <c r="L444" t="s">
        <v>20</v>
      </c>
      <c r="M444">
        <v>33767</v>
      </c>
      <c r="N444">
        <v>1274</v>
      </c>
    </row>
    <row r="445" spans="1:14" x14ac:dyDescent="0.35">
      <c r="A445" t="s">
        <v>478</v>
      </c>
      <c r="B445" t="s">
        <v>15</v>
      </c>
      <c r="C445" t="s">
        <v>16</v>
      </c>
      <c r="D445">
        <v>29</v>
      </c>
      <c r="E445" t="s">
        <v>457</v>
      </c>
      <c r="F445">
        <v>5419</v>
      </c>
      <c r="G445" t="s">
        <v>18</v>
      </c>
      <c r="H445">
        <v>27</v>
      </c>
      <c r="I445" t="s">
        <v>19</v>
      </c>
      <c r="J445">
        <v>2008</v>
      </c>
      <c r="K445">
        <v>2008</v>
      </c>
      <c r="L445" t="s">
        <v>20</v>
      </c>
      <c r="M445">
        <v>32203</v>
      </c>
      <c r="N445">
        <v>1274</v>
      </c>
    </row>
    <row r="446" spans="1:14" x14ac:dyDescent="0.35">
      <c r="A446" t="s">
        <v>479</v>
      </c>
      <c r="B446" t="s">
        <v>15</v>
      </c>
      <c r="C446" t="s">
        <v>16</v>
      </c>
      <c r="D446">
        <v>29</v>
      </c>
      <c r="E446" t="s">
        <v>457</v>
      </c>
      <c r="F446">
        <v>5419</v>
      </c>
      <c r="G446" t="s">
        <v>18</v>
      </c>
      <c r="H446">
        <v>27</v>
      </c>
      <c r="I446" t="s">
        <v>19</v>
      </c>
      <c r="J446">
        <v>2009</v>
      </c>
      <c r="K446">
        <v>2009</v>
      </c>
      <c r="L446" t="s">
        <v>20</v>
      </c>
      <c r="M446">
        <v>32680</v>
      </c>
      <c r="N446">
        <v>1274</v>
      </c>
    </row>
    <row r="447" spans="1:14" x14ac:dyDescent="0.35">
      <c r="A447" t="s">
        <v>480</v>
      </c>
      <c r="B447" t="s">
        <v>15</v>
      </c>
      <c r="C447" t="s">
        <v>16</v>
      </c>
      <c r="D447">
        <v>29</v>
      </c>
      <c r="E447" t="s">
        <v>457</v>
      </c>
      <c r="F447">
        <v>5419</v>
      </c>
      <c r="G447" t="s">
        <v>18</v>
      </c>
      <c r="H447">
        <v>27</v>
      </c>
      <c r="I447" t="s">
        <v>19</v>
      </c>
      <c r="J447">
        <v>2010</v>
      </c>
      <c r="K447">
        <v>2010</v>
      </c>
      <c r="L447" t="s">
        <v>20</v>
      </c>
      <c r="M447">
        <v>28268</v>
      </c>
      <c r="N447">
        <v>1274</v>
      </c>
    </row>
    <row r="448" spans="1:14" x14ac:dyDescent="0.35">
      <c r="A448" t="s">
        <v>481</v>
      </c>
      <c r="B448" t="s">
        <v>15</v>
      </c>
      <c r="C448" t="s">
        <v>16</v>
      </c>
      <c r="D448">
        <v>29</v>
      </c>
      <c r="E448" t="s">
        <v>457</v>
      </c>
      <c r="F448">
        <v>5419</v>
      </c>
      <c r="G448" t="s">
        <v>18</v>
      </c>
      <c r="H448">
        <v>27</v>
      </c>
      <c r="I448" t="s">
        <v>19</v>
      </c>
      <c r="J448">
        <v>2011</v>
      </c>
      <c r="K448">
        <v>2011</v>
      </c>
      <c r="L448" t="s">
        <v>20</v>
      </c>
      <c r="M448">
        <v>26876</v>
      </c>
      <c r="N448">
        <v>1274</v>
      </c>
    </row>
    <row r="449" spans="1:14" x14ac:dyDescent="0.35">
      <c r="A449" t="s">
        <v>482</v>
      </c>
      <c r="B449" t="s">
        <v>15</v>
      </c>
      <c r="C449" t="s">
        <v>16</v>
      </c>
      <c r="D449">
        <v>29</v>
      </c>
      <c r="E449" t="s">
        <v>457</v>
      </c>
      <c r="F449">
        <v>5419</v>
      </c>
      <c r="G449" t="s">
        <v>18</v>
      </c>
      <c r="H449">
        <v>27</v>
      </c>
      <c r="I449" t="s">
        <v>19</v>
      </c>
      <c r="J449">
        <v>2012</v>
      </c>
      <c r="K449">
        <v>2012</v>
      </c>
      <c r="L449" t="s">
        <v>20</v>
      </c>
      <c r="M449">
        <v>21041</v>
      </c>
      <c r="N449">
        <v>1274</v>
      </c>
    </row>
    <row r="450" spans="1:14" x14ac:dyDescent="0.35">
      <c r="A450" t="s">
        <v>483</v>
      </c>
      <c r="B450" t="s">
        <v>15</v>
      </c>
      <c r="C450" t="s">
        <v>16</v>
      </c>
      <c r="D450">
        <v>29</v>
      </c>
      <c r="E450" t="s">
        <v>457</v>
      </c>
      <c r="F450">
        <v>5419</v>
      </c>
      <c r="G450" t="s">
        <v>18</v>
      </c>
      <c r="H450">
        <v>27</v>
      </c>
      <c r="I450" t="s">
        <v>19</v>
      </c>
      <c r="J450">
        <v>2013</v>
      </c>
      <c r="K450">
        <v>2013</v>
      </c>
      <c r="L450" t="s">
        <v>20</v>
      </c>
      <c r="M450">
        <v>19130</v>
      </c>
      <c r="N450">
        <v>1274</v>
      </c>
    </row>
    <row r="451" spans="1:14" x14ac:dyDescent="0.35">
      <c r="A451" t="s">
        <v>484</v>
      </c>
      <c r="B451" t="s">
        <v>15</v>
      </c>
      <c r="C451" t="s">
        <v>16</v>
      </c>
      <c r="D451">
        <v>29</v>
      </c>
      <c r="E451" t="s">
        <v>457</v>
      </c>
      <c r="F451">
        <v>5419</v>
      </c>
      <c r="G451" t="s">
        <v>18</v>
      </c>
      <c r="H451">
        <v>27</v>
      </c>
      <c r="I451" t="s">
        <v>19</v>
      </c>
      <c r="J451">
        <v>2014</v>
      </c>
      <c r="K451">
        <v>2014</v>
      </c>
      <c r="L451" t="s">
        <v>20</v>
      </c>
      <c r="M451">
        <v>28393</v>
      </c>
      <c r="N451">
        <v>1274</v>
      </c>
    </row>
    <row r="452" spans="1:14" x14ac:dyDescent="0.35">
      <c r="A452" t="s">
        <v>485</v>
      </c>
      <c r="B452" t="s">
        <v>15</v>
      </c>
      <c r="C452" t="s">
        <v>16</v>
      </c>
      <c r="D452">
        <v>29</v>
      </c>
      <c r="E452" t="s">
        <v>457</v>
      </c>
      <c r="F452">
        <v>5419</v>
      </c>
      <c r="G452" t="s">
        <v>18</v>
      </c>
      <c r="H452">
        <v>27</v>
      </c>
      <c r="I452" t="s">
        <v>19</v>
      </c>
      <c r="J452">
        <v>2015</v>
      </c>
      <c r="K452">
        <v>2015</v>
      </c>
      <c r="L452" t="s">
        <v>20</v>
      </c>
      <c r="M452">
        <v>11293</v>
      </c>
      <c r="N452">
        <v>1274</v>
      </c>
    </row>
    <row r="453" spans="1:14" x14ac:dyDescent="0.35">
      <c r="A453" t="s">
        <v>486</v>
      </c>
      <c r="B453" t="s">
        <v>15</v>
      </c>
      <c r="C453" t="s">
        <v>16</v>
      </c>
      <c r="D453">
        <v>29</v>
      </c>
      <c r="E453" t="s">
        <v>457</v>
      </c>
      <c r="F453">
        <v>5419</v>
      </c>
      <c r="G453" t="s">
        <v>18</v>
      </c>
      <c r="H453">
        <v>27</v>
      </c>
      <c r="I453" t="s">
        <v>19</v>
      </c>
      <c r="J453">
        <v>2016</v>
      </c>
      <c r="K453">
        <v>2016</v>
      </c>
      <c r="L453" t="s">
        <v>20</v>
      </c>
      <c r="M453">
        <v>23001</v>
      </c>
      <c r="N453">
        <v>1274</v>
      </c>
    </row>
    <row r="454" spans="1:14" x14ac:dyDescent="0.35">
      <c r="A454" t="s">
        <v>487</v>
      </c>
      <c r="B454" t="s">
        <v>15</v>
      </c>
      <c r="C454" t="s">
        <v>16</v>
      </c>
      <c r="D454">
        <v>115</v>
      </c>
      <c r="E454" t="s">
        <v>488</v>
      </c>
      <c r="F454">
        <v>5419</v>
      </c>
      <c r="G454" t="s">
        <v>18</v>
      </c>
      <c r="H454">
        <v>27</v>
      </c>
      <c r="I454" t="s">
        <v>19</v>
      </c>
      <c r="J454">
        <v>1985</v>
      </c>
      <c r="K454">
        <v>1985</v>
      </c>
      <c r="L454" t="s">
        <v>20</v>
      </c>
      <c r="M454">
        <v>12497</v>
      </c>
      <c r="N454">
        <v>1904</v>
      </c>
    </row>
    <row r="455" spans="1:14" x14ac:dyDescent="0.35">
      <c r="A455" t="s">
        <v>489</v>
      </c>
      <c r="B455" t="s">
        <v>15</v>
      </c>
      <c r="C455" t="s">
        <v>16</v>
      </c>
      <c r="D455">
        <v>115</v>
      </c>
      <c r="E455" t="s">
        <v>488</v>
      </c>
      <c r="F455">
        <v>5419</v>
      </c>
      <c r="G455" t="s">
        <v>18</v>
      </c>
      <c r="H455">
        <v>27</v>
      </c>
      <c r="I455" t="s">
        <v>19</v>
      </c>
      <c r="J455">
        <v>1986</v>
      </c>
      <c r="K455">
        <v>1986</v>
      </c>
      <c r="L455" t="s">
        <v>20</v>
      </c>
      <c r="M455">
        <v>13770</v>
      </c>
      <c r="N455">
        <v>1904</v>
      </c>
    </row>
    <row r="456" spans="1:14" x14ac:dyDescent="0.35">
      <c r="A456" t="s">
        <v>490</v>
      </c>
      <c r="B456" t="s">
        <v>15</v>
      </c>
      <c r="C456" t="s">
        <v>16</v>
      </c>
      <c r="D456">
        <v>115</v>
      </c>
      <c r="E456" t="s">
        <v>488</v>
      </c>
      <c r="F456">
        <v>5419</v>
      </c>
      <c r="G456" t="s">
        <v>18</v>
      </c>
      <c r="H456">
        <v>27</v>
      </c>
      <c r="I456" t="s">
        <v>19</v>
      </c>
      <c r="J456">
        <v>1987</v>
      </c>
      <c r="K456">
        <v>1987</v>
      </c>
      <c r="L456" t="s">
        <v>20</v>
      </c>
      <c r="M456">
        <v>13248</v>
      </c>
      <c r="N456">
        <v>1904</v>
      </c>
    </row>
    <row r="457" spans="1:14" x14ac:dyDescent="0.35">
      <c r="A457" t="s">
        <v>491</v>
      </c>
      <c r="B457" t="s">
        <v>15</v>
      </c>
      <c r="C457" t="s">
        <v>16</v>
      </c>
      <c r="D457">
        <v>115</v>
      </c>
      <c r="E457" t="s">
        <v>488</v>
      </c>
      <c r="F457">
        <v>5419</v>
      </c>
      <c r="G457" t="s">
        <v>18</v>
      </c>
      <c r="H457">
        <v>27</v>
      </c>
      <c r="I457" t="s">
        <v>19</v>
      </c>
      <c r="J457">
        <v>1989</v>
      </c>
      <c r="K457">
        <v>1989</v>
      </c>
      <c r="L457" t="s">
        <v>20</v>
      </c>
      <c r="M457">
        <v>14358</v>
      </c>
      <c r="N457">
        <v>1904</v>
      </c>
    </row>
    <row r="458" spans="1:14" x14ac:dyDescent="0.35">
      <c r="A458" t="s">
        <v>492</v>
      </c>
      <c r="B458" t="s">
        <v>15</v>
      </c>
      <c r="C458" t="s">
        <v>16</v>
      </c>
      <c r="D458">
        <v>115</v>
      </c>
      <c r="E458" t="s">
        <v>488</v>
      </c>
      <c r="F458">
        <v>5419</v>
      </c>
      <c r="G458" t="s">
        <v>18</v>
      </c>
      <c r="H458">
        <v>27</v>
      </c>
      <c r="I458" t="s">
        <v>19</v>
      </c>
      <c r="J458">
        <v>1990</v>
      </c>
      <c r="K458">
        <v>1990</v>
      </c>
      <c r="L458" t="s">
        <v>20</v>
      </c>
      <c r="M458">
        <v>13477</v>
      </c>
      <c r="N458">
        <v>1904</v>
      </c>
    </row>
    <row r="459" spans="1:14" x14ac:dyDescent="0.35">
      <c r="A459" t="s">
        <v>493</v>
      </c>
      <c r="B459" t="s">
        <v>15</v>
      </c>
      <c r="C459" t="s">
        <v>16</v>
      </c>
      <c r="D459">
        <v>115</v>
      </c>
      <c r="E459" t="s">
        <v>488</v>
      </c>
      <c r="F459">
        <v>5419</v>
      </c>
      <c r="G459" t="s">
        <v>18</v>
      </c>
      <c r="H459">
        <v>27</v>
      </c>
      <c r="I459" t="s">
        <v>19</v>
      </c>
      <c r="J459">
        <v>1991</v>
      </c>
      <c r="K459">
        <v>1991</v>
      </c>
      <c r="L459" t="s">
        <v>20</v>
      </c>
      <c r="M459">
        <v>13962</v>
      </c>
      <c r="N459">
        <v>1904</v>
      </c>
    </row>
    <row r="460" spans="1:14" x14ac:dyDescent="0.35">
      <c r="A460" t="s">
        <v>494</v>
      </c>
      <c r="B460" t="s">
        <v>15</v>
      </c>
      <c r="C460" t="s">
        <v>16</v>
      </c>
      <c r="D460">
        <v>115</v>
      </c>
      <c r="E460" t="s">
        <v>488</v>
      </c>
      <c r="F460">
        <v>5419</v>
      </c>
      <c r="G460" t="s">
        <v>18</v>
      </c>
      <c r="H460">
        <v>27</v>
      </c>
      <c r="I460" t="s">
        <v>19</v>
      </c>
      <c r="J460">
        <v>1992</v>
      </c>
      <c r="K460">
        <v>1992</v>
      </c>
      <c r="L460" t="s">
        <v>20</v>
      </c>
      <c r="M460">
        <v>13178</v>
      </c>
      <c r="N460">
        <v>1904</v>
      </c>
    </row>
    <row r="461" spans="1:14" x14ac:dyDescent="0.35">
      <c r="A461" t="s">
        <v>495</v>
      </c>
      <c r="B461" t="s">
        <v>15</v>
      </c>
      <c r="C461" t="s">
        <v>16</v>
      </c>
      <c r="D461">
        <v>115</v>
      </c>
      <c r="E461" t="s">
        <v>488</v>
      </c>
      <c r="F461">
        <v>5419</v>
      </c>
      <c r="G461" t="s">
        <v>18</v>
      </c>
      <c r="H461">
        <v>27</v>
      </c>
      <c r="I461" t="s">
        <v>19</v>
      </c>
      <c r="J461">
        <v>1993</v>
      </c>
      <c r="K461">
        <v>1993</v>
      </c>
      <c r="L461" t="s">
        <v>20</v>
      </c>
      <c r="M461">
        <v>13069</v>
      </c>
      <c r="N461">
        <v>1904</v>
      </c>
    </row>
    <row r="462" spans="1:14" x14ac:dyDescent="0.35">
      <c r="A462" t="s">
        <v>496</v>
      </c>
      <c r="B462" t="s">
        <v>15</v>
      </c>
      <c r="C462" t="s">
        <v>16</v>
      </c>
      <c r="D462">
        <v>115</v>
      </c>
      <c r="E462" t="s">
        <v>488</v>
      </c>
      <c r="F462">
        <v>5419</v>
      </c>
      <c r="G462" t="s">
        <v>18</v>
      </c>
      <c r="H462">
        <v>27</v>
      </c>
      <c r="I462" t="s">
        <v>19</v>
      </c>
      <c r="J462">
        <v>1994</v>
      </c>
      <c r="K462">
        <v>1994</v>
      </c>
      <c r="L462" t="s">
        <v>20</v>
      </c>
      <c r="M462">
        <v>14877</v>
      </c>
      <c r="N462">
        <v>1904</v>
      </c>
    </row>
    <row r="463" spans="1:14" x14ac:dyDescent="0.35">
      <c r="A463" t="s">
        <v>497</v>
      </c>
      <c r="B463" t="s">
        <v>15</v>
      </c>
      <c r="C463" t="s">
        <v>16</v>
      </c>
      <c r="D463">
        <v>115</v>
      </c>
      <c r="E463" t="s">
        <v>488</v>
      </c>
      <c r="F463">
        <v>5419</v>
      </c>
      <c r="G463" t="s">
        <v>18</v>
      </c>
      <c r="H463">
        <v>27</v>
      </c>
      <c r="I463" t="s">
        <v>19</v>
      </c>
      <c r="J463">
        <v>1995</v>
      </c>
      <c r="K463">
        <v>1995</v>
      </c>
      <c r="L463" t="s">
        <v>20</v>
      </c>
      <c r="M463">
        <v>17920</v>
      </c>
      <c r="N463">
        <v>1904</v>
      </c>
    </row>
    <row r="464" spans="1:14" x14ac:dyDescent="0.35">
      <c r="A464" t="s">
        <v>498</v>
      </c>
      <c r="B464" t="s">
        <v>15</v>
      </c>
      <c r="C464" t="s">
        <v>16</v>
      </c>
      <c r="D464">
        <v>115</v>
      </c>
      <c r="E464" t="s">
        <v>488</v>
      </c>
      <c r="F464">
        <v>5419</v>
      </c>
      <c r="G464" t="s">
        <v>18</v>
      </c>
      <c r="H464">
        <v>27</v>
      </c>
      <c r="I464" t="s">
        <v>19</v>
      </c>
      <c r="J464">
        <v>1996</v>
      </c>
      <c r="K464">
        <v>1996</v>
      </c>
      <c r="L464" t="s">
        <v>20</v>
      </c>
      <c r="M464">
        <v>18116</v>
      </c>
      <c r="N464">
        <v>1904</v>
      </c>
    </row>
    <row r="465" spans="1:14" x14ac:dyDescent="0.35">
      <c r="A465" t="s">
        <v>499</v>
      </c>
      <c r="B465" t="s">
        <v>15</v>
      </c>
      <c r="C465" t="s">
        <v>16</v>
      </c>
      <c r="D465">
        <v>115</v>
      </c>
      <c r="E465" t="s">
        <v>488</v>
      </c>
      <c r="F465">
        <v>5419</v>
      </c>
      <c r="G465" t="s">
        <v>18</v>
      </c>
      <c r="H465">
        <v>27</v>
      </c>
      <c r="I465" t="s">
        <v>19</v>
      </c>
      <c r="J465">
        <v>1997</v>
      </c>
      <c r="K465">
        <v>1997</v>
      </c>
      <c r="L465" t="s">
        <v>20</v>
      </c>
      <c r="M465">
        <v>17706</v>
      </c>
      <c r="N465">
        <v>1904</v>
      </c>
    </row>
    <row r="466" spans="1:14" x14ac:dyDescent="0.35">
      <c r="A466" t="s">
        <v>500</v>
      </c>
      <c r="B466" t="s">
        <v>15</v>
      </c>
      <c r="C466" t="s">
        <v>16</v>
      </c>
      <c r="D466">
        <v>115</v>
      </c>
      <c r="E466" t="s">
        <v>488</v>
      </c>
      <c r="F466">
        <v>5419</v>
      </c>
      <c r="G466" t="s">
        <v>18</v>
      </c>
      <c r="H466">
        <v>27</v>
      </c>
      <c r="I466" t="s">
        <v>19</v>
      </c>
      <c r="J466">
        <v>1998</v>
      </c>
      <c r="K466">
        <v>1998</v>
      </c>
      <c r="L466" t="s">
        <v>20</v>
      </c>
      <c r="M466">
        <v>17884</v>
      </c>
      <c r="N466">
        <v>1904</v>
      </c>
    </row>
    <row r="467" spans="1:14" x14ac:dyDescent="0.35">
      <c r="A467" t="s">
        <v>501</v>
      </c>
      <c r="B467" t="s">
        <v>15</v>
      </c>
      <c r="C467" t="s">
        <v>16</v>
      </c>
      <c r="D467">
        <v>115</v>
      </c>
      <c r="E467" t="s">
        <v>488</v>
      </c>
      <c r="F467">
        <v>5419</v>
      </c>
      <c r="G467" t="s">
        <v>18</v>
      </c>
      <c r="H467">
        <v>27</v>
      </c>
      <c r="I467" t="s">
        <v>19</v>
      </c>
      <c r="J467">
        <v>1999</v>
      </c>
      <c r="K467">
        <v>1999</v>
      </c>
      <c r="L467" t="s">
        <v>20</v>
      </c>
      <c r="M467">
        <v>19433</v>
      </c>
      <c r="N467">
        <v>1904</v>
      </c>
    </row>
    <row r="468" spans="1:14" x14ac:dyDescent="0.35">
      <c r="A468" t="s">
        <v>502</v>
      </c>
      <c r="B468" t="s">
        <v>15</v>
      </c>
      <c r="C468" t="s">
        <v>16</v>
      </c>
      <c r="D468">
        <v>115</v>
      </c>
      <c r="E468" t="s">
        <v>488</v>
      </c>
      <c r="F468">
        <v>5419</v>
      </c>
      <c r="G468" t="s">
        <v>18</v>
      </c>
      <c r="H468">
        <v>27</v>
      </c>
      <c r="I468" t="s">
        <v>19</v>
      </c>
      <c r="J468">
        <v>2000</v>
      </c>
      <c r="K468">
        <v>2000</v>
      </c>
      <c r="L468" t="s">
        <v>20</v>
      </c>
      <c r="M468">
        <v>21155</v>
      </c>
      <c r="N468">
        <v>1904</v>
      </c>
    </row>
    <row r="469" spans="1:14" x14ac:dyDescent="0.35">
      <c r="A469" t="s">
        <v>503</v>
      </c>
      <c r="B469" t="s">
        <v>15</v>
      </c>
      <c r="C469" t="s">
        <v>16</v>
      </c>
      <c r="D469">
        <v>115</v>
      </c>
      <c r="E469" t="s">
        <v>488</v>
      </c>
      <c r="F469">
        <v>5419</v>
      </c>
      <c r="G469" t="s">
        <v>18</v>
      </c>
      <c r="H469">
        <v>27</v>
      </c>
      <c r="I469" t="s">
        <v>19</v>
      </c>
      <c r="J469">
        <v>2001</v>
      </c>
      <c r="K469">
        <v>2001</v>
      </c>
      <c r="L469" t="s">
        <v>20</v>
      </c>
      <c r="M469">
        <v>20699</v>
      </c>
      <c r="N469">
        <v>1904</v>
      </c>
    </row>
    <row r="470" spans="1:14" x14ac:dyDescent="0.35">
      <c r="A470" t="s">
        <v>504</v>
      </c>
      <c r="B470" t="s">
        <v>15</v>
      </c>
      <c r="C470" t="s">
        <v>16</v>
      </c>
      <c r="D470">
        <v>115</v>
      </c>
      <c r="E470" t="s">
        <v>488</v>
      </c>
      <c r="F470">
        <v>5419</v>
      </c>
      <c r="G470" t="s">
        <v>18</v>
      </c>
      <c r="H470">
        <v>27</v>
      </c>
      <c r="I470" t="s">
        <v>19</v>
      </c>
      <c r="J470">
        <v>2002</v>
      </c>
      <c r="K470">
        <v>2002</v>
      </c>
      <c r="L470" t="s">
        <v>20</v>
      </c>
      <c r="M470">
        <v>19164</v>
      </c>
      <c r="N470">
        <v>1904</v>
      </c>
    </row>
    <row r="471" spans="1:14" x14ac:dyDescent="0.35">
      <c r="A471" t="s">
        <v>505</v>
      </c>
      <c r="B471" t="s">
        <v>15</v>
      </c>
      <c r="C471" t="s">
        <v>16</v>
      </c>
      <c r="D471">
        <v>115</v>
      </c>
      <c r="E471" t="s">
        <v>488</v>
      </c>
      <c r="F471">
        <v>5419</v>
      </c>
      <c r="G471" t="s">
        <v>18</v>
      </c>
      <c r="H471">
        <v>27</v>
      </c>
      <c r="I471" t="s">
        <v>19</v>
      </c>
      <c r="J471">
        <v>2004</v>
      </c>
      <c r="K471">
        <v>2004</v>
      </c>
      <c r="L471" t="s">
        <v>20</v>
      </c>
      <c r="M471">
        <v>19773</v>
      </c>
      <c r="N471">
        <v>1904</v>
      </c>
    </row>
    <row r="472" spans="1:14" x14ac:dyDescent="0.35">
      <c r="A472" t="s">
        <v>506</v>
      </c>
      <c r="B472" t="s">
        <v>15</v>
      </c>
      <c r="C472" t="s">
        <v>16</v>
      </c>
      <c r="D472">
        <v>115</v>
      </c>
      <c r="E472" t="s">
        <v>488</v>
      </c>
      <c r="F472">
        <v>5419</v>
      </c>
      <c r="G472" t="s">
        <v>18</v>
      </c>
      <c r="H472">
        <v>27</v>
      </c>
      <c r="I472" t="s">
        <v>19</v>
      </c>
      <c r="J472">
        <v>2005</v>
      </c>
      <c r="K472">
        <v>2005</v>
      </c>
      <c r="L472" t="s">
        <v>20</v>
      </c>
      <c r="M472">
        <v>24793</v>
      </c>
      <c r="N472">
        <v>1904</v>
      </c>
    </row>
    <row r="473" spans="1:14" x14ac:dyDescent="0.35">
      <c r="A473" t="s">
        <v>507</v>
      </c>
      <c r="B473" t="s">
        <v>15</v>
      </c>
      <c r="C473" t="s">
        <v>16</v>
      </c>
      <c r="D473">
        <v>115</v>
      </c>
      <c r="E473" t="s">
        <v>488</v>
      </c>
      <c r="F473">
        <v>5419</v>
      </c>
      <c r="G473" t="s">
        <v>18</v>
      </c>
      <c r="H473">
        <v>27</v>
      </c>
      <c r="I473" t="s">
        <v>19</v>
      </c>
      <c r="J473">
        <v>2006</v>
      </c>
      <c r="K473">
        <v>2006</v>
      </c>
      <c r="L473" t="s">
        <v>20</v>
      </c>
      <c r="M473">
        <v>24893</v>
      </c>
      <c r="N473">
        <v>1904</v>
      </c>
    </row>
    <row r="474" spans="1:14" x14ac:dyDescent="0.35">
      <c r="A474" t="s">
        <v>508</v>
      </c>
      <c r="B474" t="s">
        <v>15</v>
      </c>
      <c r="C474" t="s">
        <v>16</v>
      </c>
      <c r="D474">
        <v>115</v>
      </c>
      <c r="E474" t="s">
        <v>488</v>
      </c>
      <c r="F474">
        <v>5419</v>
      </c>
      <c r="G474" t="s">
        <v>18</v>
      </c>
      <c r="H474">
        <v>27</v>
      </c>
      <c r="I474" t="s">
        <v>19</v>
      </c>
      <c r="J474">
        <v>2007</v>
      </c>
      <c r="K474">
        <v>2007</v>
      </c>
      <c r="L474" t="s">
        <v>20</v>
      </c>
      <c r="M474">
        <v>26216</v>
      </c>
      <c r="N474">
        <v>1904</v>
      </c>
    </row>
    <row r="475" spans="1:14" x14ac:dyDescent="0.35">
      <c r="A475" t="s">
        <v>509</v>
      </c>
      <c r="B475" t="s">
        <v>15</v>
      </c>
      <c r="C475" t="s">
        <v>16</v>
      </c>
      <c r="D475">
        <v>115</v>
      </c>
      <c r="E475" t="s">
        <v>488</v>
      </c>
      <c r="F475">
        <v>5419</v>
      </c>
      <c r="G475" t="s">
        <v>18</v>
      </c>
      <c r="H475">
        <v>27</v>
      </c>
      <c r="I475" t="s">
        <v>19</v>
      </c>
      <c r="J475">
        <v>2008</v>
      </c>
      <c r="K475">
        <v>2008</v>
      </c>
      <c r="L475" t="s">
        <v>20</v>
      </c>
      <c r="M475">
        <v>27457</v>
      </c>
      <c r="N475">
        <v>1904</v>
      </c>
    </row>
    <row r="476" spans="1:14" x14ac:dyDescent="0.35">
      <c r="A476" t="s">
        <v>510</v>
      </c>
      <c r="B476" t="s">
        <v>15</v>
      </c>
      <c r="C476" t="s">
        <v>16</v>
      </c>
      <c r="D476">
        <v>115</v>
      </c>
      <c r="E476" t="s">
        <v>488</v>
      </c>
      <c r="F476">
        <v>5419</v>
      </c>
      <c r="G476" t="s">
        <v>18</v>
      </c>
      <c r="H476">
        <v>27</v>
      </c>
      <c r="I476" t="s">
        <v>19</v>
      </c>
      <c r="J476">
        <v>2009</v>
      </c>
      <c r="K476">
        <v>2009</v>
      </c>
      <c r="L476" t="s">
        <v>20</v>
      </c>
      <c r="M476">
        <v>28363</v>
      </c>
      <c r="N476">
        <v>1904</v>
      </c>
    </row>
    <row r="477" spans="1:14" x14ac:dyDescent="0.35">
      <c r="A477" t="s">
        <v>511</v>
      </c>
      <c r="B477" t="s">
        <v>15</v>
      </c>
      <c r="C477" t="s">
        <v>16</v>
      </c>
      <c r="D477">
        <v>115</v>
      </c>
      <c r="E477" t="s">
        <v>488</v>
      </c>
      <c r="F477">
        <v>5419</v>
      </c>
      <c r="G477" t="s">
        <v>18</v>
      </c>
      <c r="H477">
        <v>27</v>
      </c>
      <c r="I477" t="s">
        <v>19</v>
      </c>
      <c r="J477">
        <v>2010</v>
      </c>
      <c r="K477">
        <v>2010</v>
      </c>
      <c r="L477" t="s">
        <v>20</v>
      </c>
      <c r="M477">
        <v>29697</v>
      </c>
      <c r="N477">
        <v>1904</v>
      </c>
    </row>
    <row r="478" spans="1:14" x14ac:dyDescent="0.35">
      <c r="A478" t="s">
        <v>512</v>
      </c>
      <c r="B478" t="s">
        <v>15</v>
      </c>
      <c r="C478" t="s">
        <v>16</v>
      </c>
      <c r="D478">
        <v>115</v>
      </c>
      <c r="E478" t="s">
        <v>488</v>
      </c>
      <c r="F478">
        <v>5419</v>
      </c>
      <c r="G478" t="s">
        <v>18</v>
      </c>
      <c r="H478">
        <v>27</v>
      </c>
      <c r="I478" t="s">
        <v>19</v>
      </c>
      <c r="J478">
        <v>2011</v>
      </c>
      <c r="K478">
        <v>2011</v>
      </c>
      <c r="L478" t="s">
        <v>20</v>
      </c>
      <c r="M478">
        <v>29574</v>
      </c>
      <c r="N478">
        <v>1904</v>
      </c>
    </row>
    <row r="479" spans="1:14" x14ac:dyDescent="0.35">
      <c r="A479" t="s">
        <v>513</v>
      </c>
      <c r="B479" t="s">
        <v>15</v>
      </c>
      <c r="C479" t="s">
        <v>16</v>
      </c>
      <c r="D479">
        <v>115</v>
      </c>
      <c r="E479" t="s">
        <v>488</v>
      </c>
      <c r="F479">
        <v>5419</v>
      </c>
      <c r="G479" t="s">
        <v>18</v>
      </c>
      <c r="H479">
        <v>27</v>
      </c>
      <c r="I479" t="s">
        <v>19</v>
      </c>
      <c r="J479">
        <v>2012</v>
      </c>
      <c r="K479">
        <v>2012</v>
      </c>
      <c r="L479" t="s">
        <v>20</v>
      </c>
      <c r="M479">
        <v>30892</v>
      </c>
      <c r="N479">
        <v>1904</v>
      </c>
    </row>
    <row r="480" spans="1:14" x14ac:dyDescent="0.35">
      <c r="A480" t="s">
        <v>514</v>
      </c>
      <c r="B480" t="s">
        <v>15</v>
      </c>
      <c r="C480" t="s">
        <v>16</v>
      </c>
      <c r="D480">
        <v>115</v>
      </c>
      <c r="E480" t="s">
        <v>488</v>
      </c>
      <c r="F480">
        <v>5419</v>
      </c>
      <c r="G480" t="s">
        <v>18</v>
      </c>
      <c r="H480">
        <v>27</v>
      </c>
      <c r="I480" t="s">
        <v>19</v>
      </c>
      <c r="J480">
        <v>2013</v>
      </c>
      <c r="K480">
        <v>2013</v>
      </c>
      <c r="L480" t="s">
        <v>20</v>
      </c>
      <c r="M480">
        <v>31675</v>
      </c>
      <c r="N480">
        <v>1904</v>
      </c>
    </row>
    <row r="481" spans="1:14" x14ac:dyDescent="0.35">
      <c r="A481" t="s">
        <v>515</v>
      </c>
      <c r="B481" t="s">
        <v>15</v>
      </c>
      <c r="C481" t="s">
        <v>16</v>
      </c>
      <c r="D481">
        <v>115</v>
      </c>
      <c r="E481" t="s">
        <v>488</v>
      </c>
      <c r="F481">
        <v>5419</v>
      </c>
      <c r="G481" t="s">
        <v>18</v>
      </c>
      <c r="H481">
        <v>27</v>
      </c>
      <c r="I481" t="s">
        <v>19</v>
      </c>
      <c r="J481">
        <v>2014</v>
      </c>
      <c r="K481">
        <v>2014</v>
      </c>
      <c r="L481" t="s">
        <v>20</v>
      </c>
      <c r="M481">
        <v>32639</v>
      </c>
      <c r="N481">
        <v>1904</v>
      </c>
    </row>
    <row r="482" spans="1:14" x14ac:dyDescent="0.35">
      <c r="A482" t="s">
        <v>516</v>
      </c>
      <c r="B482" t="s">
        <v>15</v>
      </c>
      <c r="C482" t="s">
        <v>16</v>
      </c>
      <c r="D482">
        <v>115</v>
      </c>
      <c r="E482" t="s">
        <v>488</v>
      </c>
      <c r="F482">
        <v>5419</v>
      </c>
      <c r="G482" t="s">
        <v>18</v>
      </c>
      <c r="H482">
        <v>27</v>
      </c>
      <c r="I482" t="s">
        <v>19</v>
      </c>
      <c r="J482">
        <v>2015</v>
      </c>
      <c r="K482">
        <v>2015</v>
      </c>
      <c r="L482" t="s">
        <v>20</v>
      </c>
      <c r="M482">
        <v>33398</v>
      </c>
      <c r="N482">
        <v>1904</v>
      </c>
    </row>
    <row r="483" spans="1:14" x14ac:dyDescent="0.35">
      <c r="A483" t="s">
        <v>517</v>
      </c>
      <c r="B483" t="s">
        <v>15</v>
      </c>
      <c r="C483" t="s">
        <v>16</v>
      </c>
      <c r="D483">
        <v>115</v>
      </c>
      <c r="E483" t="s">
        <v>488</v>
      </c>
      <c r="F483">
        <v>5419</v>
      </c>
      <c r="G483" t="s">
        <v>18</v>
      </c>
      <c r="H483">
        <v>27</v>
      </c>
      <c r="I483" t="s">
        <v>19</v>
      </c>
      <c r="J483">
        <v>2016</v>
      </c>
      <c r="K483">
        <v>2016</v>
      </c>
      <c r="L483" t="s">
        <v>20</v>
      </c>
      <c r="M483">
        <v>34277</v>
      </c>
      <c r="N483">
        <v>1904</v>
      </c>
    </row>
    <row r="484" spans="1:14" x14ac:dyDescent="0.35">
      <c r="A484" t="s">
        <v>518</v>
      </c>
      <c r="B484" t="s">
        <v>15</v>
      </c>
      <c r="C484" t="s">
        <v>16</v>
      </c>
      <c r="D484">
        <v>32</v>
      </c>
      <c r="E484" t="s">
        <v>519</v>
      </c>
      <c r="F484">
        <v>5419</v>
      </c>
      <c r="G484" t="s">
        <v>18</v>
      </c>
      <c r="H484">
        <v>27</v>
      </c>
      <c r="I484" t="s">
        <v>19</v>
      </c>
      <c r="J484">
        <v>1985</v>
      </c>
      <c r="K484">
        <v>1985</v>
      </c>
      <c r="L484" t="s">
        <v>20</v>
      </c>
      <c r="M484">
        <v>47375</v>
      </c>
      <c r="N484">
        <v>1604</v>
      </c>
    </row>
    <row r="485" spans="1:14" x14ac:dyDescent="0.35">
      <c r="A485" t="s">
        <v>520</v>
      </c>
      <c r="B485" t="s">
        <v>15</v>
      </c>
      <c r="C485" t="s">
        <v>16</v>
      </c>
      <c r="D485">
        <v>32</v>
      </c>
      <c r="E485" t="s">
        <v>519</v>
      </c>
      <c r="F485">
        <v>5419</v>
      </c>
      <c r="G485" t="s">
        <v>18</v>
      </c>
      <c r="H485">
        <v>27</v>
      </c>
      <c r="I485" t="s">
        <v>19</v>
      </c>
      <c r="J485">
        <v>1986</v>
      </c>
      <c r="K485">
        <v>1986</v>
      </c>
      <c r="L485" t="s">
        <v>20</v>
      </c>
      <c r="M485">
        <v>45000</v>
      </c>
      <c r="N485">
        <v>1604</v>
      </c>
    </row>
    <row r="486" spans="1:14" x14ac:dyDescent="0.35">
      <c r="A486" t="s">
        <v>521</v>
      </c>
      <c r="B486" t="s">
        <v>15</v>
      </c>
      <c r="C486" t="s">
        <v>16</v>
      </c>
      <c r="D486">
        <v>32</v>
      </c>
      <c r="E486" t="s">
        <v>519</v>
      </c>
      <c r="F486">
        <v>5419</v>
      </c>
      <c r="G486" t="s">
        <v>18</v>
      </c>
      <c r="H486">
        <v>27</v>
      </c>
      <c r="I486" t="s">
        <v>19</v>
      </c>
      <c r="J486">
        <v>1987</v>
      </c>
      <c r="K486">
        <v>1987</v>
      </c>
      <c r="L486" t="s">
        <v>20</v>
      </c>
      <c r="M486">
        <v>43400</v>
      </c>
      <c r="N486">
        <v>1604</v>
      </c>
    </row>
    <row r="487" spans="1:14" x14ac:dyDescent="0.35">
      <c r="A487" t="s">
        <v>522</v>
      </c>
      <c r="B487" t="s">
        <v>15</v>
      </c>
      <c r="C487" t="s">
        <v>16</v>
      </c>
      <c r="D487">
        <v>32</v>
      </c>
      <c r="E487" t="s">
        <v>519</v>
      </c>
      <c r="F487">
        <v>5419</v>
      </c>
      <c r="G487" t="s">
        <v>18</v>
      </c>
      <c r="H487">
        <v>27</v>
      </c>
      <c r="I487" t="s">
        <v>19</v>
      </c>
      <c r="J487">
        <v>1989</v>
      </c>
      <c r="K487">
        <v>1989</v>
      </c>
      <c r="L487" t="s">
        <v>20</v>
      </c>
      <c r="M487">
        <v>54668</v>
      </c>
      <c r="N487">
        <v>1604</v>
      </c>
    </row>
    <row r="488" spans="1:14" x14ac:dyDescent="0.35">
      <c r="A488" t="s">
        <v>523</v>
      </c>
      <c r="B488" t="s">
        <v>15</v>
      </c>
      <c r="C488" t="s">
        <v>16</v>
      </c>
      <c r="D488">
        <v>32</v>
      </c>
      <c r="E488" t="s">
        <v>519</v>
      </c>
      <c r="F488">
        <v>5419</v>
      </c>
      <c r="G488" t="s">
        <v>18</v>
      </c>
      <c r="H488">
        <v>27</v>
      </c>
      <c r="I488" t="s">
        <v>19</v>
      </c>
      <c r="J488">
        <v>1990</v>
      </c>
      <c r="K488">
        <v>1990</v>
      </c>
      <c r="L488" t="s">
        <v>20</v>
      </c>
      <c r="M488">
        <v>49999</v>
      </c>
      <c r="N488">
        <v>1604</v>
      </c>
    </row>
    <row r="489" spans="1:14" x14ac:dyDescent="0.35">
      <c r="A489" t="s">
        <v>524</v>
      </c>
      <c r="B489" t="s">
        <v>15</v>
      </c>
      <c r="C489" t="s">
        <v>16</v>
      </c>
      <c r="D489">
        <v>32</v>
      </c>
      <c r="E489" t="s">
        <v>519</v>
      </c>
      <c r="F489">
        <v>5419</v>
      </c>
      <c r="G489" t="s">
        <v>18</v>
      </c>
      <c r="H489">
        <v>27</v>
      </c>
      <c r="I489" t="s">
        <v>19</v>
      </c>
      <c r="J489">
        <v>1991</v>
      </c>
      <c r="K489">
        <v>1991</v>
      </c>
      <c r="L489" t="s">
        <v>20</v>
      </c>
      <c r="M489">
        <v>36400</v>
      </c>
      <c r="N489">
        <v>1604</v>
      </c>
    </row>
    <row r="490" spans="1:14" x14ac:dyDescent="0.35">
      <c r="A490" t="s">
        <v>525</v>
      </c>
      <c r="B490" t="s">
        <v>15</v>
      </c>
      <c r="C490" t="s">
        <v>16</v>
      </c>
      <c r="D490">
        <v>32</v>
      </c>
      <c r="E490" t="s">
        <v>519</v>
      </c>
      <c r="F490">
        <v>5419</v>
      </c>
      <c r="G490" t="s">
        <v>18</v>
      </c>
      <c r="H490">
        <v>27</v>
      </c>
      <c r="I490" t="s">
        <v>19</v>
      </c>
      <c r="J490">
        <v>1992</v>
      </c>
      <c r="K490">
        <v>1992</v>
      </c>
      <c r="L490" t="s">
        <v>20</v>
      </c>
      <c r="M490">
        <v>35000</v>
      </c>
      <c r="N490">
        <v>1604</v>
      </c>
    </row>
    <row r="491" spans="1:14" x14ac:dyDescent="0.35">
      <c r="A491" t="s">
        <v>526</v>
      </c>
      <c r="B491" t="s">
        <v>15</v>
      </c>
      <c r="C491" t="s">
        <v>16</v>
      </c>
      <c r="D491">
        <v>32</v>
      </c>
      <c r="E491" t="s">
        <v>519</v>
      </c>
      <c r="F491">
        <v>5419</v>
      </c>
      <c r="G491" t="s">
        <v>18</v>
      </c>
      <c r="H491">
        <v>27</v>
      </c>
      <c r="I491" t="s">
        <v>19</v>
      </c>
      <c r="J491">
        <v>1993</v>
      </c>
      <c r="K491">
        <v>1993</v>
      </c>
      <c r="L491" t="s">
        <v>20</v>
      </c>
      <c r="M491">
        <v>29000</v>
      </c>
      <c r="N491">
        <v>1604</v>
      </c>
    </row>
    <row r="492" spans="1:14" x14ac:dyDescent="0.35">
      <c r="A492" t="s">
        <v>527</v>
      </c>
      <c r="B492" t="s">
        <v>15</v>
      </c>
      <c r="C492" t="s">
        <v>16</v>
      </c>
      <c r="D492">
        <v>32</v>
      </c>
      <c r="E492" t="s">
        <v>519</v>
      </c>
      <c r="F492">
        <v>5419</v>
      </c>
      <c r="G492" t="s">
        <v>18</v>
      </c>
      <c r="H492">
        <v>27</v>
      </c>
      <c r="I492" t="s">
        <v>19</v>
      </c>
      <c r="J492">
        <v>1994</v>
      </c>
      <c r="K492">
        <v>1994</v>
      </c>
      <c r="L492" t="s">
        <v>20</v>
      </c>
      <c r="M492">
        <v>31423</v>
      </c>
      <c r="N492">
        <v>1604</v>
      </c>
    </row>
    <row r="493" spans="1:14" x14ac:dyDescent="0.35">
      <c r="A493" t="s">
        <v>528</v>
      </c>
      <c r="B493" t="s">
        <v>15</v>
      </c>
      <c r="C493" t="s">
        <v>16</v>
      </c>
      <c r="D493">
        <v>32</v>
      </c>
      <c r="E493" t="s">
        <v>519</v>
      </c>
      <c r="F493">
        <v>5419</v>
      </c>
      <c r="G493" t="s">
        <v>18</v>
      </c>
      <c r="H493">
        <v>27</v>
      </c>
      <c r="I493" t="s">
        <v>19</v>
      </c>
      <c r="J493">
        <v>1995</v>
      </c>
      <c r="K493">
        <v>1995</v>
      </c>
      <c r="L493" t="s">
        <v>20</v>
      </c>
      <c r="M493">
        <v>31307</v>
      </c>
      <c r="N493">
        <v>1604</v>
      </c>
    </row>
    <row r="494" spans="1:14" x14ac:dyDescent="0.35">
      <c r="A494" t="s">
        <v>529</v>
      </c>
      <c r="B494" t="s">
        <v>15</v>
      </c>
      <c r="C494" t="s">
        <v>16</v>
      </c>
      <c r="D494">
        <v>32</v>
      </c>
      <c r="E494" t="s">
        <v>519</v>
      </c>
      <c r="F494">
        <v>5419</v>
      </c>
      <c r="G494" t="s">
        <v>18</v>
      </c>
      <c r="H494">
        <v>27</v>
      </c>
      <c r="I494" t="s">
        <v>19</v>
      </c>
      <c r="J494">
        <v>1996</v>
      </c>
      <c r="K494">
        <v>1996</v>
      </c>
      <c r="L494" t="s">
        <v>20</v>
      </c>
      <c r="M494">
        <v>31391</v>
      </c>
      <c r="N494">
        <v>1604</v>
      </c>
    </row>
    <row r="495" spans="1:14" x14ac:dyDescent="0.35">
      <c r="A495" t="s">
        <v>530</v>
      </c>
      <c r="B495" t="s">
        <v>15</v>
      </c>
      <c r="C495" t="s">
        <v>16</v>
      </c>
      <c r="D495">
        <v>32</v>
      </c>
      <c r="E495" t="s">
        <v>519</v>
      </c>
      <c r="F495">
        <v>5419</v>
      </c>
      <c r="G495" t="s">
        <v>18</v>
      </c>
      <c r="H495">
        <v>27</v>
      </c>
      <c r="I495" t="s">
        <v>19</v>
      </c>
      <c r="J495">
        <v>1997</v>
      </c>
      <c r="K495">
        <v>1997</v>
      </c>
      <c r="L495" t="s">
        <v>20</v>
      </c>
      <c r="M495">
        <v>33636</v>
      </c>
      <c r="N495">
        <v>1604</v>
      </c>
    </row>
    <row r="496" spans="1:14" x14ac:dyDescent="0.35">
      <c r="A496" t="s">
        <v>531</v>
      </c>
      <c r="B496" t="s">
        <v>15</v>
      </c>
      <c r="C496" t="s">
        <v>16</v>
      </c>
      <c r="D496">
        <v>32</v>
      </c>
      <c r="E496" t="s">
        <v>519</v>
      </c>
      <c r="F496">
        <v>5419</v>
      </c>
      <c r="G496" t="s">
        <v>18</v>
      </c>
      <c r="H496">
        <v>27</v>
      </c>
      <c r="I496" t="s">
        <v>19</v>
      </c>
      <c r="J496">
        <v>1998</v>
      </c>
      <c r="K496">
        <v>1998</v>
      </c>
      <c r="L496" t="s">
        <v>20</v>
      </c>
      <c r="M496">
        <v>35467</v>
      </c>
      <c r="N496">
        <v>1604</v>
      </c>
    </row>
    <row r="497" spans="1:14" x14ac:dyDescent="0.35">
      <c r="A497" t="s">
        <v>532</v>
      </c>
      <c r="B497" t="s">
        <v>15</v>
      </c>
      <c r="C497" t="s">
        <v>16</v>
      </c>
      <c r="D497">
        <v>32</v>
      </c>
      <c r="E497" t="s">
        <v>519</v>
      </c>
      <c r="F497">
        <v>5419</v>
      </c>
      <c r="G497" t="s">
        <v>18</v>
      </c>
      <c r="H497">
        <v>27</v>
      </c>
      <c r="I497" t="s">
        <v>19</v>
      </c>
      <c r="J497">
        <v>1999</v>
      </c>
      <c r="K497">
        <v>1999</v>
      </c>
      <c r="L497" t="s">
        <v>20</v>
      </c>
      <c r="M497">
        <v>33095</v>
      </c>
      <c r="N497">
        <v>1604</v>
      </c>
    </row>
    <row r="498" spans="1:14" x14ac:dyDescent="0.35">
      <c r="A498" t="s">
        <v>533</v>
      </c>
      <c r="B498" t="s">
        <v>15</v>
      </c>
      <c r="C498" t="s">
        <v>16</v>
      </c>
      <c r="D498">
        <v>32</v>
      </c>
      <c r="E498" t="s">
        <v>519</v>
      </c>
      <c r="F498">
        <v>5419</v>
      </c>
      <c r="G498" t="s">
        <v>18</v>
      </c>
      <c r="H498">
        <v>27</v>
      </c>
      <c r="I498" t="s">
        <v>19</v>
      </c>
      <c r="J498">
        <v>2000</v>
      </c>
      <c r="K498">
        <v>2000</v>
      </c>
      <c r="L498" t="s">
        <v>20</v>
      </c>
      <c r="M498">
        <v>30103</v>
      </c>
      <c r="N498">
        <v>1604</v>
      </c>
    </row>
    <row r="499" spans="1:14" x14ac:dyDescent="0.35">
      <c r="A499" t="s">
        <v>534</v>
      </c>
      <c r="B499" t="s">
        <v>15</v>
      </c>
      <c r="C499" t="s">
        <v>16</v>
      </c>
      <c r="D499">
        <v>32</v>
      </c>
      <c r="E499" t="s">
        <v>519</v>
      </c>
      <c r="F499">
        <v>5419</v>
      </c>
      <c r="G499" t="s">
        <v>18</v>
      </c>
      <c r="H499">
        <v>27</v>
      </c>
      <c r="I499" t="s">
        <v>19</v>
      </c>
      <c r="J499">
        <v>2001</v>
      </c>
      <c r="K499">
        <v>2001</v>
      </c>
      <c r="L499" t="s">
        <v>20</v>
      </c>
      <c r="M499">
        <v>30242</v>
      </c>
      <c r="N499">
        <v>1604</v>
      </c>
    </row>
    <row r="500" spans="1:14" x14ac:dyDescent="0.35">
      <c r="A500" t="s">
        <v>535</v>
      </c>
      <c r="B500" t="s">
        <v>15</v>
      </c>
      <c r="C500" t="s">
        <v>16</v>
      </c>
      <c r="D500">
        <v>32</v>
      </c>
      <c r="E500" t="s">
        <v>519</v>
      </c>
      <c r="F500">
        <v>5419</v>
      </c>
      <c r="G500" t="s">
        <v>18</v>
      </c>
      <c r="H500">
        <v>27</v>
      </c>
      <c r="I500" t="s">
        <v>19</v>
      </c>
      <c r="J500">
        <v>2002</v>
      </c>
      <c r="K500">
        <v>2002</v>
      </c>
      <c r="L500" t="s">
        <v>20</v>
      </c>
      <c r="M500">
        <v>11137</v>
      </c>
      <c r="N500">
        <v>1604</v>
      </c>
    </row>
    <row r="501" spans="1:14" x14ac:dyDescent="0.35">
      <c r="A501" t="s">
        <v>536</v>
      </c>
      <c r="B501" t="s">
        <v>15</v>
      </c>
      <c r="C501" t="s">
        <v>16</v>
      </c>
      <c r="D501">
        <v>32</v>
      </c>
      <c r="E501" t="s">
        <v>519</v>
      </c>
      <c r="F501">
        <v>5419</v>
      </c>
      <c r="G501" t="s">
        <v>18</v>
      </c>
      <c r="H501">
        <v>27</v>
      </c>
      <c r="I501" t="s">
        <v>19</v>
      </c>
      <c r="J501">
        <v>2004</v>
      </c>
      <c r="K501">
        <v>2004</v>
      </c>
      <c r="L501" t="s">
        <v>20</v>
      </c>
      <c r="M501">
        <v>12416</v>
      </c>
      <c r="N501">
        <v>1604</v>
      </c>
    </row>
    <row r="502" spans="1:14" x14ac:dyDescent="0.35">
      <c r="A502" t="s">
        <v>537</v>
      </c>
      <c r="B502" t="s">
        <v>15</v>
      </c>
      <c r="C502" t="s">
        <v>16</v>
      </c>
      <c r="D502">
        <v>32</v>
      </c>
      <c r="E502" t="s">
        <v>519</v>
      </c>
      <c r="F502">
        <v>5419</v>
      </c>
      <c r="G502" t="s">
        <v>18</v>
      </c>
      <c r="H502">
        <v>27</v>
      </c>
      <c r="I502" t="s">
        <v>19</v>
      </c>
      <c r="J502">
        <v>2005</v>
      </c>
      <c r="K502">
        <v>2005</v>
      </c>
      <c r="L502" t="s">
        <v>20</v>
      </c>
      <c r="M502">
        <v>12971</v>
      </c>
      <c r="N502">
        <v>1604</v>
      </c>
    </row>
    <row r="503" spans="1:14" x14ac:dyDescent="0.35">
      <c r="A503" t="s">
        <v>538</v>
      </c>
      <c r="B503" t="s">
        <v>15</v>
      </c>
      <c r="C503" t="s">
        <v>16</v>
      </c>
      <c r="D503">
        <v>32</v>
      </c>
      <c r="E503" t="s">
        <v>519</v>
      </c>
      <c r="F503">
        <v>5419</v>
      </c>
      <c r="G503" t="s">
        <v>18</v>
      </c>
      <c r="H503">
        <v>27</v>
      </c>
      <c r="I503" t="s">
        <v>19</v>
      </c>
      <c r="J503">
        <v>2006</v>
      </c>
      <c r="K503">
        <v>2006</v>
      </c>
      <c r="L503" t="s">
        <v>20</v>
      </c>
      <c r="M503">
        <v>12905</v>
      </c>
      <c r="N503">
        <v>1604</v>
      </c>
    </row>
    <row r="504" spans="1:14" x14ac:dyDescent="0.35">
      <c r="A504" t="s">
        <v>539</v>
      </c>
      <c r="B504" t="s">
        <v>15</v>
      </c>
      <c r="C504" t="s">
        <v>16</v>
      </c>
      <c r="D504">
        <v>32</v>
      </c>
      <c r="E504" t="s">
        <v>519</v>
      </c>
      <c r="F504">
        <v>5419</v>
      </c>
      <c r="G504" t="s">
        <v>18</v>
      </c>
      <c r="H504">
        <v>27</v>
      </c>
      <c r="I504" t="s">
        <v>19</v>
      </c>
      <c r="J504">
        <v>2007</v>
      </c>
      <c r="K504">
        <v>2007</v>
      </c>
      <c r="L504" t="s">
        <v>20</v>
      </c>
      <c r="M504">
        <v>10000</v>
      </c>
      <c r="N504">
        <v>1604</v>
      </c>
    </row>
    <row r="505" spans="1:14" x14ac:dyDescent="0.35">
      <c r="A505" t="s">
        <v>540</v>
      </c>
      <c r="B505" t="s">
        <v>15</v>
      </c>
      <c r="C505" t="s">
        <v>16</v>
      </c>
      <c r="D505">
        <v>32</v>
      </c>
      <c r="E505" t="s">
        <v>519</v>
      </c>
      <c r="F505">
        <v>5419</v>
      </c>
      <c r="G505" t="s">
        <v>18</v>
      </c>
      <c r="H505">
        <v>27</v>
      </c>
      <c r="I505" t="s">
        <v>19</v>
      </c>
      <c r="J505">
        <v>2008</v>
      </c>
      <c r="K505">
        <v>2008</v>
      </c>
      <c r="L505" t="s">
        <v>20</v>
      </c>
      <c r="M505">
        <v>10000</v>
      </c>
      <c r="N505">
        <v>1604</v>
      </c>
    </row>
    <row r="506" spans="1:14" x14ac:dyDescent="0.35">
      <c r="A506" t="s">
        <v>541</v>
      </c>
      <c r="B506" t="s">
        <v>15</v>
      </c>
      <c r="C506" t="s">
        <v>16</v>
      </c>
      <c r="D506">
        <v>32</v>
      </c>
      <c r="E506" t="s">
        <v>519</v>
      </c>
      <c r="F506">
        <v>5419</v>
      </c>
      <c r="G506" t="s">
        <v>18</v>
      </c>
      <c r="H506">
        <v>27</v>
      </c>
      <c r="I506" t="s">
        <v>19</v>
      </c>
      <c r="J506">
        <v>2009</v>
      </c>
      <c r="K506">
        <v>2009</v>
      </c>
      <c r="L506" t="s">
        <v>20</v>
      </c>
      <c r="M506">
        <v>27475</v>
      </c>
      <c r="N506">
        <v>1604</v>
      </c>
    </row>
    <row r="507" spans="1:14" x14ac:dyDescent="0.35">
      <c r="A507" t="s">
        <v>542</v>
      </c>
      <c r="B507" t="s">
        <v>15</v>
      </c>
      <c r="C507" t="s">
        <v>16</v>
      </c>
      <c r="D507">
        <v>32</v>
      </c>
      <c r="E507" t="s">
        <v>519</v>
      </c>
      <c r="F507">
        <v>5419</v>
      </c>
      <c r="G507" t="s">
        <v>18</v>
      </c>
      <c r="H507">
        <v>27</v>
      </c>
      <c r="I507" t="s">
        <v>19</v>
      </c>
      <c r="J507">
        <v>2010</v>
      </c>
      <c r="K507">
        <v>2010</v>
      </c>
      <c r="L507" t="s">
        <v>20</v>
      </c>
      <c r="M507">
        <v>10936</v>
      </c>
      <c r="N507">
        <v>1604</v>
      </c>
    </row>
    <row r="508" spans="1:14" x14ac:dyDescent="0.35">
      <c r="A508" t="s">
        <v>543</v>
      </c>
      <c r="B508" t="s">
        <v>15</v>
      </c>
      <c r="C508" t="s">
        <v>16</v>
      </c>
      <c r="D508">
        <v>32</v>
      </c>
      <c r="E508" t="s">
        <v>519</v>
      </c>
      <c r="F508">
        <v>5419</v>
      </c>
      <c r="G508" t="s">
        <v>18</v>
      </c>
      <c r="H508">
        <v>27</v>
      </c>
      <c r="I508" t="s">
        <v>19</v>
      </c>
      <c r="J508">
        <v>2011</v>
      </c>
      <c r="K508">
        <v>2011</v>
      </c>
      <c r="L508" t="s">
        <v>20</v>
      </c>
      <c r="M508">
        <v>13464</v>
      </c>
      <c r="N508">
        <v>1604</v>
      </c>
    </row>
    <row r="509" spans="1:14" x14ac:dyDescent="0.35">
      <c r="A509" t="s">
        <v>544</v>
      </c>
      <c r="B509" t="s">
        <v>15</v>
      </c>
      <c r="C509" t="s">
        <v>16</v>
      </c>
      <c r="D509">
        <v>32</v>
      </c>
      <c r="E509" t="s">
        <v>519</v>
      </c>
      <c r="F509">
        <v>5419</v>
      </c>
      <c r="G509" t="s">
        <v>18</v>
      </c>
      <c r="H509">
        <v>27</v>
      </c>
      <c r="I509" t="s">
        <v>19</v>
      </c>
      <c r="J509">
        <v>2012</v>
      </c>
      <c r="K509">
        <v>2012</v>
      </c>
      <c r="L509" t="s">
        <v>20</v>
      </c>
      <c r="M509">
        <v>14217</v>
      </c>
      <c r="N509">
        <v>1604</v>
      </c>
    </row>
    <row r="510" spans="1:14" x14ac:dyDescent="0.35">
      <c r="A510" t="s">
        <v>545</v>
      </c>
      <c r="B510" t="s">
        <v>15</v>
      </c>
      <c r="C510" t="s">
        <v>16</v>
      </c>
      <c r="D510">
        <v>32</v>
      </c>
      <c r="E510" t="s">
        <v>519</v>
      </c>
      <c r="F510">
        <v>5419</v>
      </c>
      <c r="G510" t="s">
        <v>18</v>
      </c>
      <c r="H510">
        <v>27</v>
      </c>
      <c r="I510" t="s">
        <v>19</v>
      </c>
      <c r="J510">
        <v>2013</v>
      </c>
      <c r="K510">
        <v>2013</v>
      </c>
      <c r="L510" t="s">
        <v>20</v>
      </c>
      <c r="M510">
        <v>11641</v>
      </c>
      <c r="N510">
        <v>1604</v>
      </c>
    </row>
    <row r="511" spans="1:14" x14ac:dyDescent="0.35">
      <c r="A511" t="s">
        <v>546</v>
      </c>
      <c r="B511" t="s">
        <v>15</v>
      </c>
      <c r="C511" t="s">
        <v>16</v>
      </c>
      <c r="D511">
        <v>32</v>
      </c>
      <c r="E511" t="s">
        <v>519</v>
      </c>
      <c r="F511">
        <v>5419</v>
      </c>
      <c r="G511" t="s">
        <v>18</v>
      </c>
      <c r="H511">
        <v>27</v>
      </c>
      <c r="I511" t="s">
        <v>19</v>
      </c>
      <c r="J511">
        <v>2014</v>
      </c>
      <c r="K511">
        <v>2014</v>
      </c>
      <c r="L511" t="s">
        <v>20</v>
      </c>
      <c r="M511">
        <v>12076</v>
      </c>
      <c r="N511">
        <v>1604</v>
      </c>
    </row>
    <row r="512" spans="1:14" x14ac:dyDescent="0.35">
      <c r="A512" t="s">
        <v>547</v>
      </c>
      <c r="B512" t="s">
        <v>15</v>
      </c>
      <c r="C512" t="s">
        <v>16</v>
      </c>
      <c r="D512">
        <v>32</v>
      </c>
      <c r="E512" t="s">
        <v>519</v>
      </c>
      <c r="F512">
        <v>5419</v>
      </c>
      <c r="G512" t="s">
        <v>18</v>
      </c>
      <c r="H512">
        <v>27</v>
      </c>
      <c r="I512" t="s">
        <v>19</v>
      </c>
      <c r="J512">
        <v>2015</v>
      </c>
      <c r="K512">
        <v>2015</v>
      </c>
      <c r="L512" t="s">
        <v>20</v>
      </c>
      <c r="M512">
        <v>12271</v>
      </c>
      <c r="N512">
        <v>1604</v>
      </c>
    </row>
    <row r="513" spans="1:14" x14ac:dyDescent="0.35">
      <c r="A513" t="s">
        <v>548</v>
      </c>
      <c r="B513" t="s">
        <v>15</v>
      </c>
      <c r="C513" t="s">
        <v>16</v>
      </c>
      <c r="D513">
        <v>32</v>
      </c>
      <c r="E513" t="s">
        <v>519</v>
      </c>
      <c r="F513">
        <v>5419</v>
      </c>
      <c r="G513" t="s">
        <v>18</v>
      </c>
      <c r="H513">
        <v>27</v>
      </c>
      <c r="I513" t="s">
        <v>19</v>
      </c>
      <c r="J513">
        <v>2016</v>
      </c>
      <c r="K513">
        <v>2016</v>
      </c>
      <c r="L513" t="s">
        <v>20</v>
      </c>
      <c r="M513">
        <v>13011</v>
      </c>
      <c r="N513">
        <v>1604</v>
      </c>
    </row>
    <row r="514" spans="1:14" x14ac:dyDescent="0.35">
      <c r="A514" t="s">
        <v>549</v>
      </c>
      <c r="B514" t="s">
        <v>15</v>
      </c>
      <c r="C514" t="s">
        <v>16</v>
      </c>
      <c r="D514">
        <v>37</v>
      </c>
      <c r="E514" t="s">
        <v>550</v>
      </c>
      <c r="F514">
        <v>5419</v>
      </c>
      <c r="G514" t="s">
        <v>18</v>
      </c>
      <c r="H514">
        <v>27</v>
      </c>
      <c r="I514" t="s">
        <v>19</v>
      </c>
      <c r="J514">
        <v>1985</v>
      </c>
      <c r="K514">
        <v>1985</v>
      </c>
      <c r="L514" t="s">
        <v>20</v>
      </c>
      <c r="M514">
        <v>16839</v>
      </c>
      <c r="N514">
        <v>1342</v>
      </c>
    </row>
    <row r="515" spans="1:14" x14ac:dyDescent="0.35">
      <c r="A515" t="s">
        <v>551</v>
      </c>
      <c r="B515" t="s">
        <v>15</v>
      </c>
      <c r="C515" t="s">
        <v>16</v>
      </c>
      <c r="D515">
        <v>37</v>
      </c>
      <c r="E515" t="s">
        <v>550</v>
      </c>
      <c r="F515">
        <v>5419</v>
      </c>
      <c r="G515" t="s">
        <v>18</v>
      </c>
      <c r="H515">
        <v>27</v>
      </c>
      <c r="I515" t="s">
        <v>19</v>
      </c>
      <c r="J515">
        <v>1986</v>
      </c>
      <c r="K515">
        <v>1986</v>
      </c>
      <c r="L515" t="s">
        <v>20</v>
      </c>
      <c r="M515">
        <v>10693</v>
      </c>
      <c r="N515">
        <v>1342</v>
      </c>
    </row>
    <row r="516" spans="1:14" x14ac:dyDescent="0.35">
      <c r="A516" t="s">
        <v>552</v>
      </c>
      <c r="B516" t="s">
        <v>15</v>
      </c>
      <c r="C516" t="s">
        <v>16</v>
      </c>
      <c r="D516">
        <v>37</v>
      </c>
      <c r="E516" t="s">
        <v>550</v>
      </c>
      <c r="F516">
        <v>5419</v>
      </c>
      <c r="G516" t="s">
        <v>18</v>
      </c>
      <c r="H516">
        <v>27</v>
      </c>
      <c r="I516" t="s">
        <v>19</v>
      </c>
      <c r="J516">
        <v>1987</v>
      </c>
      <c r="K516">
        <v>1987</v>
      </c>
      <c r="L516" t="s">
        <v>20</v>
      </c>
      <c r="M516">
        <v>11583</v>
      </c>
      <c r="N516">
        <v>1342</v>
      </c>
    </row>
    <row r="517" spans="1:14" x14ac:dyDescent="0.35">
      <c r="A517" t="s">
        <v>553</v>
      </c>
      <c r="B517" t="s">
        <v>15</v>
      </c>
      <c r="C517" t="s">
        <v>16</v>
      </c>
      <c r="D517">
        <v>37</v>
      </c>
      <c r="E517" t="s">
        <v>550</v>
      </c>
      <c r="F517">
        <v>5419</v>
      </c>
      <c r="G517" t="s">
        <v>18</v>
      </c>
      <c r="H517">
        <v>27</v>
      </c>
      <c r="I517" t="s">
        <v>19</v>
      </c>
      <c r="J517">
        <v>1989</v>
      </c>
      <c r="K517">
        <v>1989</v>
      </c>
      <c r="L517" t="s">
        <v>20</v>
      </c>
      <c r="M517">
        <v>15485</v>
      </c>
      <c r="N517">
        <v>1342</v>
      </c>
    </row>
    <row r="518" spans="1:14" x14ac:dyDescent="0.35">
      <c r="A518" t="s">
        <v>554</v>
      </c>
      <c r="B518" t="s">
        <v>15</v>
      </c>
      <c r="C518" t="s">
        <v>16</v>
      </c>
      <c r="D518">
        <v>37</v>
      </c>
      <c r="E518" t="s">
        <v>550</v>
      </c>
      <c r="F518">
        <v>5419</v>
      </c>
      <c r="G518" t="s">
        <v>18</v>
      </c>
      <c r="H518">
        <v>27</v>
      </c>
      <c r="I518" t="s">
        <v>19</v>
      </c>
      <c r="J518">
        <v>1990</v>
      </c>
      <c r="K518">
        <v>1990</v>
      </c>
      <c r="L518" t="s">
        <v>20</v>
      </c>
      <c r="M518">
        <v>16729</v>
      </c>
      <c r="N518">
        <v>1342</v>
      </c>
    </row>
    <row r="519" spans="1:14" x14ac:dyDescent="0.35">
      <c r="A519" t="s">
        <v>555</v>
      </c>
      <c r="B519" t="s">
        <v>15</v>
      </c>
      <c r="C519" t="s">
        <v>16</v>
      </c>
      <c r="D519">
        <v>37</v>
      </c>
      <c r="E519" t="s">
        <v>550</v>
      </c>
      <c r="F519">
        <v>5419</v>
      </c>
      <c r="G519" t="s">
        <v>18</v>
      </c>
      <c r="H519">
        <v>27</v>
      </c>
      <c r="I519" t="s">
        <v>19</v>
      </c>
      <c r="J519">
        <v>1991</v>
      </c>
      <c r="K519">
        <v>1991</v>
      </c>
      <c r="L519" t="s">
        <v>20</v>
      </c>
      <c r="M519">
        <v>13375</v>
      </c>
      <c r="N519">
        <v>1342</v>
      </c>
    </row>
    <row r="520" spans="1:14" x14ac:dyDescent="0.35">
      <c r="A520" t="s">
        <v>556</v>
      </c>
      <c r="B520" t="s">
        <v>15</v>
      </c>
      <c r="C520" t="s">
        <v>16</v>
      </c>
      <c r="D520">
        <v>37</v>
      </c>
      <c r="E520" t="s">
        <v>550</v>
      </c>
      <c r="F520">
        <v>5419</v>
      </c>
      <c r="G520" t="s">
        <v>18</v>
      </c>
      <c r="H520">
        <v>27</v>
      </c>
      <c r="I520" t="s">
        <v>19</v>
      </c>
      <c r="J520">
        <v>1992</v>
      </c>
      <c r="K520">
        <v>1992</v>
      </c>
      <c r="L520" t="s">
        <v>20</v>
      </c>
      <c r="M520">
        <v>14516</v>
      </c>
      <c r="N520">
        <v>1342</v>
      </c>
    </row>
    <row r="521" spans="1:14" x14ac:dyDescent="0.35">
      <c r="A521" t="s">
        <v>557</v>
      </c>
      <c r="B521" t="s">
        <v>15</v>
      </c>
      <c r="C521" t="s">
        <v>16</v>
      </c>
      <c r="D521">
        <v>37</v>
      </c>
      <c r="E521" t="s">
        <v>550</v>
      </c>
      <c r="F521">
        <v>5419</v>
      </c>
      <c r="G521" t="s">
        <v>18</v>
      </c>
      <c r="H521">
        <v>27</v>
      </c>
      <c r="I521" t="s">
        <v>19</v>
      </c>
      <c r="J521">
        <v>1993</v>
      </c>
      <c r="K521">
        <v>1993</v>
      </c>
      <c r="L521" t="s">
        <v>20</v>
      </c>
      <c r="M521">
        <v>14514</v>
      </c>
      <c r="N521">
        <v>1342</v>
      </c>
    </row>
    <row r="522" spans="1:14" x14ac:dyDescent="0.35">
      <c r="A522" t="s">
        <v>558</v>
      </c>
      <c r="B522" t="s">
        <v>15</v>
      </c>
      <c r="C522" t="s">
        <v>16</v>
      </c>
      <c r="D522">
        <v>37</v>
      </c>
      <c r="E522" t="s">
        <v>550</v>
      </c>
      <c r="F522">
        <v>5419</v>
      </c>
      <c r="G522" t="s">
        <v>18</v>
      </c>
      <c r="H522">
        <v>27</v>
      </c>
      <c r="I522" t="s">
        <v>19</v>
      </c>
      <c r="J522">
        <v>1994</v>
      </c>
      <c r="K522">
        <v>1994</v>
      </c>
      <c r="L522" t="s">
        <v>20</v>
      </c>
      <c r="M522">
        <v>13201</v>
      </c>
      <c r="N522">
        <v>1342</v>
      </c>
    </row>
    <row r="523" spans="1:14" x14ac:dyDescent="0.35">
      <c r="A523" t="s">
        <v>559</v>
      </c>
      <c r="B523" t="s">
        <v>15</v>
      </c>
      <c r="C523" t="s">
        <v>16</v>
      </c>
      <c r="D523">
        <v>37</v>
      </c>
      <c r="E523" t="s">
        <v>550</v>
      </c>
      <c r="F523">
        <v>5419</v>
      </c>
      <c r="G523" t="s">
        <v>18</v>
      </c>
      <c r="H523">
        <v>27</v>
      </c>
      <c r="I523" t="s">
        <v>19</v>
      </c>
      <c r="J523">
        <v>1995</v>
      </c>
      <c r="K523">
        <v>1995</v>
      </c>
      <c r="L523" t="s">
        <v>20</v>
      </c>
      <c r="M523">
        <v>15214</v>
      </c>
      <c r="N523">
        <v>1342</v>
      </c>
    </row>
    <row r="524" spans="1:14" x14ac:dyDescent="0.35">
      <c r="A524" t="s">
        <v>560</v>
      </c>
      <c r="B524" t="s">
        <v>15</v>
      </c>
      <c r="C524" t="s">
        <v>16</v>
      </c>
      <c r="D524">
        <v>37</v>
      </c>
      <c r="E524" t="s">
        <v>550</v>
      </c>
      <c r="F524">
        <v>5419</v>
      </c>
      <c r="G524" t="s">
        <v>18</v>
      </c>
      <c r="H524">
        <v>27</v>
      </c>
      <c r="I524" t="s">
        <v>19</v>
      </c>
      <c r="J524">
        <v>1996</v>
      </c>
      <c r="K524">
        <v>1996</v>
      </c>
      <c r="L524" t="s">
        <v>20</v>
      </c>
      <c r="M524">
        <v>13200</v>
      </c>
      <c r="N524">
        <v>1342</v>
      </c>
    </row>
    <row r="525" spans="1:14" x14ac:dyDescent="0.35">
      <c r="A525" t="s">
        <v>561</v>
      </c>
      <c r="B525" t="s">
        <v>15</v>
      </c>
      <c r="C525" t="s">
        <v>16</v>
      </c>
      <c r="D525">
        <v>37</v>
      </c>
      <c r="E525" t="s">
        <v>550</v>
      </c>
      <c r="F525">
        <v>5419</v>
      </c>
      <c r="G525" t="s">
        <v>18</v>
      </c>
      <c r="H525">
        <v>27</v>
      </c>
      <c r="I525" t="s">
        <v>19</v>
      </c>
      <c r="J525">
        <v>1997</v>
      </c>
      <c r="K525">
        <v>1997</v>
      </c>
      <c r="L525" t="s">
        <v>20</v>
      </c>
      <c r="M525">
        <v>14167</v>
      </c>
      <c r="N525">
        <v>1342</v>
      </c>
    </row>
    <row r="526" spans="1:14" x14ac:dyDescent="0.35">
      <c r="A526" t="s">
        <v>562</v>
      </c>
      <c r="B526" t="s">
        <v>15</v>
      </c>
      <c r="C526" t="s">
        <v>16</v>
      </c>
      <c r="D526">
        <v>37</v>
      </c>
      <c r="E526" t="s">
        <v>550</v>
      </c>
      <c r="F526">
        <v>5419</v>
      </c>
      <c r="G526" t="s">
        <v>18</v>
      </c>
      <c r="H526">
        <v>27</v>
      </c>
      <c r="I526" t="s">
        <v>19</v>
      </c>
      <c r="J526">
        <v>1998</v>
      </c>
      <c r="K526">
        <v>1998</v>
      </c>
      <c r="L526" t="s">
        <v>20</v>
      </c>
      <c r="M526">
        <v>14231</v>
      </c>
      <c r="N526">
        <v>1342</v>
      </c>
    </row>
    <row r="527" spans="1:14" x14ac:dyDescent="0.35">
      <c r="A527" t="s">
        <v>563</v>
      </c>
      <c r="B527" t="s">
        <v>15</v>
      </c>
      <c r="C527" t="s">
        <v>16</v>
      </c>
      <c r="D527">
        <v>37</v>
      </c>
      <c r="E527" t="s">
        <v>550</v>
      </c>
      <c r="F527">
        <v>5419</v>
      </c>
      <c r="G527" t="s">
        <v>18</v>
      </c>
      <c r="H527">
        <v>27</v>
      </c>
      <c r="I527" t="s">
        <v>19</v>
      </c>
      <c r="J527">
        <v>1999</v>
      </c>
      <c r="K527">
        <v>1999</v>
      </c>
      <c r="L527" t="s">
        <v>20</v>
      </c>
      <c r="M527">
        <v>15000</v>
      </c>
      <c r="N527">
        <v>1342</v>
      </c>
    </row>
    <row r="528" spans="1:14" x14ac:dyDescent="0.35">
      <c r="A528" t="s">
        <v>564</v>
      </c>
      <c r="B528" t="s">
        <v>15</v>
      </c>
      <c r="C528" t="s">
        <v>16</v>
      </c>
      <c r="D528">
        <v>37</v>
      </c>
      <c r="E528" t="s">
        <v>550</v>
      </c>
      <c r="F528">
        <v>5419</v>
      </c>
      <c r="G528" t="s">
        <v>18</v>
      </c>
      <c r="H528">
        <v>27</v>
      </c>
      <c r="I528" t="s">
        <v>19</v>
      </c>
      <c r="J528">
        <v>2000</v>
      </c>
      <c r="K528">
        <v>2000</v>
      </c>
      <c r="L528" t="s">
        <v>20</v>
      </c>
      <c r="M528">
        <v>14903</v>
      </c>
      <c r="N528">
        <v>1342</v>
      </c>
    </row>
    <row r="529" spans="1:14" x14ac:dyDescent="0.35">
      <c r="A529" t="s">
        <v>565</v>
      </c>
      <c r="B529" t="s">
        <v>15</v>
      </c>
      <c r="C529" t="s">
        <v>16</v>
      </c>
      <c r="D529">
        <v>37</v>
      </c>
      <c r="E529" t="s">
        <v>550</v>
      </c>
      <c r="F529">
        <v>5419</v>
      </c>
      <c r="G529" t="s">
        <v>18</v>
      </c>
      <c r="H529">
        <v>27</v>
      </c>
      <c r="I529" t="s">
        <v>19</v>
      </c>
      <c r="J529">
        <v>2001</v>
      </c>
      <c r="K529">
        <v>2001</v>
      </c>
      <c r="L529" t="s">
        <v>20</v>
      </c>
      <c r="M529">
        <v>14882</v>
      </c>
      <c r="N529">
        <v>1342</v>
      </c>
    </row>
    <row r="530" spans="1:14" x14ac:dyDescent="0.35">
      <c r="A530" t="s">
        <v>566</v>
      </c>
      <c r="B530" t="s">
        <v>15</v>
      </c>
      <c r="C530" t="s">
        <v>16</v>
      </c>
      <c r="D530">
        <v>37</v>
      </c>
      <c r="E530" t="s">
        <v>550</v>
      </c>
      <c r="F530">
        <v>5419</v>
      </c>
      <c r="G530" t="s">
        <v>18</v>
      </c>
      <c r="H530">
        <v>27</v>
      </c>
      <c r="I530" t="s">
        <v>19</v>
      </c>
      <c r="J530">
        <v>2002</v>
      </c>
      <c r="K530">
        <v>2002</v>
      </c>
      <c r="L530" t="s">
        <v>20</v>
      </c>
      <c r="M530">
        <v>14891</v>
      </c>
      <c r="N530">
        <v>1342</v>
      </c>
    </row>
    <row r="531" spans="1:14" x14ac:dyDescent="0.35">
      <c r="A531" t="s">
        <v>567</v>
      </c>
      <c r="B531" t="s">
        <v>15</v>
      </c>
      <c r="C531" t="s">
        <v>16</v>
      </c>
      <c r="D531">
        <v>37</v>
      </c>
      <c r="E531" t="s">
        <v>550</v>
      </c>
      <c r="F531">
        <v>5419</v>
      </c>
      <c r="G531" t="s">
        <v>18</v>
      </c>
      <c r="H531">
        <v>27</v>
      </c>
      <c r="I531" t="s">
        <v>19</v>
      </c>
      <c r="J531">
        <v>2004</v>
      </c>
      <c r="K531">
        <v>2004</v>
      </c>
      <c r="L531" t="s">
        <v>20</v>
      </c>
      <c r="M531">
        <v>19938</v>
      </c>
      <c r="N531">
        <v>1342</v>
      </c>
    </row>
    <row r="532" spans="1:14" x14ac:dyDescent="0.35">
      <c r="A532" t="s">
        <v>568</v>
      </c>
      <c r="B532" t="s">
        <v>15</v>
      </c>
      <c r="C532" t="s">
        <v>16</v>
      </c>
      <c r="D532">
        <v>37</v>
      </c>
      <c r="E532" t="s">
        <v>550</v>
      </c>
      <c r="F532">
        <v>5419</v>
      </c>
      <c r="G532" t="s">
        <v>18</v>
      </c>
      <c r="H532">
        <v>27</v>
      </c>
      <c r="I532" t="s">
        <v>19</v>
      </c>
      <c r="J532">
        <v>2005</v>
      </c>
      <c r="K532">
        <v>2005</v>
      </c>
      <c r="L532" t="s">
        <v>20</v>
      </c>
      <c r="M532">
        <v>20087</v>
      </c>
      <c r="N532">
        <v>1342</v>
      </c>
    </row>
    <row r="533" spans="1:14" x14ac:dyDescent="0.35">
      <c r="A533" t="s">
        <v>569</v>
      </c>
      <c r="B533" t="s">
        <v>15</v>
      </c>
      <c r="C533" t="s">
        <v>16</v>
      </c>
      <c r="D533">
        <v>37</v>
      </c>
      <c r="E533" t="s">
        <v>550</v>
      </c>
      <c r="F533">
        <v>5419</v>
      </c>
      <c r="G533" t="s">
        <v>18</v>
      </c>
      <c r="H533">
        <v>27</v>
      </c>
      <c r="I533" t="s">
        <v>19</v>
      </c>
      <c r="J533">
        <v>2006</v>
      </c>
      <c r="K533">
        <v>2006</v>
      </c>
      <c r="L533" t="s">
        <v>20</v>
      </c>
      <c r="M533">
        <v>16000</v>
      </c>
      <c r="N533">
        <v>1342</v>
      </c>
    </row>
    <row r="534" spans="1:14" x14ac:dyDescent="0.35">
      <c r="A534" t="s">
        <v>570</v>
      </c>
      <c r="B534" t="s">
        <v>15</v>
      </c>
      <c r="C534" t="s">
        <v>16</v>
      </c>
      <c r="D534">
        <v>37</v>
      </c>
      <c r="E534" t="s">
        <v>550</v>
      </c>
      <c r="F534">
        <v>5419</v>
      </c>
      <c r="G534" t="s">
        <v>18</v>
      </c>
      <c r="H534">
        <v>27</v>
      </c>
      <c r="I534" t="s">
        <v>19</v>
      </c>
      <c r="J534">
        <v>2007</v>
      </c>
      <c r="K534">
        <v>2007</v>
      </c>
      <c r="L534" t="s">
        <v>20</v>
      </c>
      <c r="M534">
        <v>15000</v>
      </c>
      <c r="N534">
        <v>1342</v>
      </c>
    </row>
    <row r="535" spans="1:14" x14ac:dyDescent="0.35">
      <c r="A535" t="s">
        <v>571</v>
      </c>
      <c r="B535" t="s">
        <v>15</v>
      </c>
      <c r="C535" t="s">
        <v>16</v>
      </c>
      <c r="D535">
        <v>37</v>
      </c>
      <c r="E535" t="s">
        <v>550</v>
      </c>
      <c r="F535">
        <v>5419</v>
      </c>
      <c r="G535" t="s">
        <v>18</v>
      </c>
      <c r="H535">
        <v>27</v>
      </c>
      <c r="I535" t="s">
        <v>19</v>
      </c>
      <c r="J535">
        <v>2008</v>
      </c>
      <c r="K535">
        <v>2008</v>
      </c>
      <c r="L535" t="s">
        <v>20</v>
      </c>
      <c r="M535">
        <v>15000</v>
      </c>
      <c r="N535">
        <v>1342</v>
      </c>
    </row>
    <row r="536" spans="1:14" x14ac:dyDescent="0.35">
      <c r="A536" t="s">
        <v>572</v>
      </c>
      <c r="B536" t="s">
        <v>15</v>
      </c>
      <c r="C536" t="s">
        <v>16</v>
      </c>
      <c r="D536">
        <v>37</v>
      </c>
      <c r="E536" t="s">
        <v>550</v>
      </c>
      <c r="F536">
        <v>5419</v>
      </c>
      <c r="G536" t="s">
        <v>18</v>
      </c>
      <c r="H536">
        <v>27</v>
      </c>
      <c r="I536" t="s">
        <v>19</v>
      </c>
      <c r="J536">
        <v>2009</v>
      </c>
      <c r="K536">
        <v>2009</v>
      </c>
      <c r="L536" t="s">
        <v>20</v>
      </c>
      <c r="M536">
        <v>15000</v>
      </c>
      <c r="N536">
        <v>1342</v>
      </c>
    </row>
    <row r="537" spans="1:14" x14ac:dyDescent="0.35">
      <c r="A537" t="s">
        <v>573</v>
      </c>
      <c r="B537" t="s">
        <v>15</v>
      </c>
      <c r="C537" t="s">
        <v>16</v>
      </c>
      <c r="D537">
        <v>37</v>
      </c>
      <c r="E537" t="s">
        <v>550</v>
      </c>
      <c r="F537">
        <v>5419</v>
      </c>
      <c r="G537" t="s">
        <v>18</v>
      </c>
      <c r="H537">
        <v>27</v>
      </c>
      <c r="I537" t="s">
        <v>19</v>
      </c>
      <c r="J537">
        <v>2010</v>
      </c>
      <c r="K537">
        <v>2010</v>
      </c>
      <c r="L537" t="s">
        <v>20</v>
      </c>
      <c r="M537">
        <v>23353</v>
      </c>
      <c r="N537">
        <v>1342</v>
      </c>
    </row>
    <row r="538" spans="1:14" x14ac:dyDescent="0.35">
      <c r="A538" t="s">
        <v>574</v>
      </c>
      <c r="B538" t="s">
        <v>15</v>
      </c>
      <c r="C538" t="s">
        <v>16</v>
      </c>
      <c r="D538">
        <v>37</v>
      </c>
      <c r="E538" t="s">
        <v>550</v>
      </c>
      <c r="F538">
        <v>5419</v>
      </c>
      <c r="G538" t="s">
        <v>18</v>
      </c>
      <c r="H538">
        <v>27</v>
      </c>
      <c r="I538" t="s">
        <v>19</v>
      </c>
      <c r="J538">
        <v>2011</v>
      </c>
      <c r="K538">
        <v>2011</v>
      </c>
      <c r="L538" t="s">
        <v>20</v>
      </c>
      <c r="M538">
        <v>16000</v>
      </c>
      <c r="N538">
        <v>1342</v>
      </c>
    </row>
    <row r="539" spans="1:14" x14ac:dyDescent="0.35">
      <c r="A539" t="s">
        <v>575</v>
      </c>
      <c r="B539" t="s">
        <v>15</v>
      </c>
      <c r="C539" t="s">
        <v>16</v>
      </c>
      <c r="D539">
        <v>37</v>
      </c>
      <c r="E539" t="s">
        <v>550</v>
      </c>
      <c r="F539">
        <v>5419</v>
      </c>
      <c r="G539" t="s">
        <v>18</v>
      </c>
      <c r="H539">
        <v>27</v>
      </c>
      <c r="I539" t="s">
        <v>19</v>
      </c>
      <c r="J539">
        <v>2012</v>
      </c>
      <c r="K539">
        <v>2012</v>
      </c>
      <c r="L539" t="s">
        <v>20</v>
      </c>
      <c r="M539">
        <v>30000</v>
      </c>
      <c r="N539">
        <v>1342</v>
      </c>
    </row>
    <row r="540" spans="1:14" x14ac:dyDescent="0.35">
      <c r="A540" t="s">
        <v>576</v>
      </c>
      <c r="B540" t="s">
        <v>15</v>
      </c>
      <c r="C540" t="s">
        <v>16</v>
      </c>
      <c r="D540">
        <v>37</v>
      </c>
      <c r="E540" t="s">
        <v>550</v>
      </c>
      <c r="F540">
        <v>5419</v>
      </c>
      <c r="G540" t="s">
        <v>18</v>
      </c>
      <c r="H540">
        <v>27</v>
      </c>
      <c r="I540" t="s">
        <v>19</v>
      </c>
      <c r="J540">
        <v>2013</v>
      </c>
      <c r="K540">
        <v>2013</v>
      </c>
      <c r="L540" t="s">
        <v>20</v>
      </c>
      <c r="M540">
        <v>18665</v>
      </c>
      <c r="N540">
        <v>1342</v>
      </c>
    </row>
    <row r="541" spans="1:14" x14ac:dyDescent="0.35">
      <c r="A541" t="s">
        <v>577</v>
      </c>
      <c r="B541" t="s">
        <v>15</v>
      </c>
      <c r="C541" t="s">
        <v>16</v>
      </c>
      <c r="D541">
        <v>37</v>
      </c>
      <c r="E541" t="s">
        <v>550</v>
      </c>
      <c r="F541">
        <v>5419</v>
      </c>
      <c r="G541" t="s">
        <v>18</v>
      </c>
      <c r="H541">
        <v>27</v>
      </c>
      <c r="I541" t="s">
        <v>19</v>
      </c>
      <c r="J541">
        <v>2014</v>
      </c>
      <c r="K541">
        <v>2014</v>
      </c>
      <c r="L541" t="s">
        <v>20</v>
      </c>
      <c r="M541">
        <v>14000</v>
      </c>
      <c r="N541">
        <v>1342</v>
      </c>
    </row>
    <row r="542" spans="1:14" x14ac:dyDescent="0.35">
      <c r="A542" t="s">
        <v>578</v>
      </c>
      <c r="B542" t="s">
        <v>15</v>
      </c>
      <c r="C542" t="s">
        <v>16</v>
      </c>
      <c r="D542">
        <v>37</v>
      </c>
      <c r="E542" t="s">
        <v>550</v>
      </c>
      <c r="F542">
        <v>5419</v>
      </c>
      <c r="G542" t="s">
        <v>18</v>
      </c>
      <c r="H542">
        <v>27</v>
      </c>
      <c r="I542" t="s">
        <v>19</v>
      </c>
      <c r="J542">
        <v>2015</v>
      </c>
      <c r="K542">
        <v>2015</v>
      </c>
      <c r="L542" t="s">
        <v>20</v>
      </c>
      <c r="M542">
        <v>14000</v>
      </c>
      <c r="N542">
        <v>1342</v>
      </c>
    </row>
    <row r="543" spans="1:14" x14ac:dyDescent="0.35">
      <c r="A543" t="s">
        <v>579</v>
      </c>
      <c r="B543" t="s">
        <v>15</v>
      </c>
      <c r="C543" t="s">
        <v>16</v>
      </c>
      <c r="D543">
        <v>37</v>
      </c>
      <c r="E543" t="s">
        <v>550</v>
      </c>
      <c r="F543">
        <v>5419</v>
      </c>
      <c r="G543" t="s">
        <v>18</v>
      </c>
      <c r="H543">
        <v>27</v>
      </c>
      <c r="I543" t="s">
        <v>19</v>
      </c>
      <c r="J543">
        <v>2016</v>
      </c>
      <c r="K543">
        <v>2016</v>
      </c>
      <c r="L543" t="s">
        <v>20</v>
      </c>
      <c r="M543">
        <v>14792</v>
      </c>
      <c r="N543">
        <v>1342</v>
      </c>
    </row>
    <row r="544" spans="1:14" x14ac:dyDescent="0.35">
      <c r="A544" t="s">
        <v>580</v>
      </c>
      <c r="B544" t="s">
        <v>15</v>
      </c>
      <c r="C544" t="s">
        <v>16</v>
      </c>
      <c r="D544">
        <v>39</v>
      </c>
      <c r="E544" t="s">
        <v>581</v>
      </c>
      <c r="F544">
        <v>5419</v>
      </c>
      <c r="G544" t="s">
        <v>18</v>
      </c>
      <c r="H544">
        <v>27</v>
      </c>
      <c r="I544" t="s">
        <v>19</v>
      </c>
      <c r="J544">
        <v>1985</v>
      </c>
      <c r="K544">
        <v>1985</v>
      </c>
      <c r="L544" t="s">
        <v>20</v>
      </c>
      <c r="M544">
        <v>5287</v>
      </c>
      <c r="N544">
        <v>322</v>
      </c>
    </row>
    <row r="545" spans="1:14" x14ac:dyDescent="0.35">
      <c r="A545" t="s">
        <v>582</v>
      </c>
      <c r="B545" t="s">
        <v>15</v>
      </c>
      <c r="C545" t="s">
        <v>16</v>
      </c>
      <c r="D545">
        <v>39</v>
      </c>
      <c r="E545" t="s">
        <v>581</v>
      </c>
      <c r="F545">
        <v>5419</v>
      </c>
      <c r="G545" t="s">
        <v>18</v>
      </c>
      <c r="H545">
        <v>27</v>
      </c>
      <c r="I545" t="s">
        <v>19</v>
      </c>
      <c r="J545">
        <v>1986</v>
      </c>
      <c r="K545">
        <v>1986</v>
      </c>
      <c r="L545" t="s">
        <v>20</v>
      </c>
      <c r="M545">
        <v>8083</v>
      </c>
      <c r="N545">
        <v>322</v>
      </c>
    </row>
    <row r="546" spans="1:14" x14ac:dyDescent="0.35">
      <c r="A546" t="s">
        <v>583</v>
      </c>
      <c r="B546" t="s">
        <v>15</v>
      </c>
      <c r="C546" t="s">
        <v>16</v>
      </c>
      <c r="D546">
        <v>39</v>
      </c>
      <c r="E546" t="s">
        <v>581</v>
      </c>
      <c r="F546">
        <v>5419</v>
      </c>
      <c r="G546" t="s">
        <v>18</v>
      </c>
      <c r="H546">
        <v>27</v>
      </c>
      <c r="I546" t="s">
        <v>19</v>
      </c>
      <c r="J546">
        <v>1987</v>
      </c>
      <c r="K546">
        <v>1987</v>
      </c>
      <c r="L546" t="s">
        <v>20</v>
      </c>
      <c r="M546">
        <v>9131</v>
      </c>
      <c r="N546">
        <v>322</v>
      </c>
    </row>
    <row r="547" spans="1:14" x14ac:dyDescent="0.35">
      <c r="A547" t="s">
        <v>584</v>
      </c>
      <c r="B547" t="s">
        <v>15</v>
      </c>
      <c r="C547" t="s">
        <v>16</v>
      </c>
      <c r="D547">
        <v>39</v>
      </c>
      <c r="E547" t="s">
        <v>581</v>
      </c>
      <c r="F547">
        <v>5419</v>
      </c>
      <c r="G547" t="s">
        <v>18</v>
      </c>
      <c r="H547">
        <v>27</v>
      </c>
      <c r="I547" t="s">
        <v>19</v>
      </c>
      <c r="J547">
        <v>1989</v>
      </c>
      <c r="K547">
        <v>1989</v>
      </c>
      <c r="L547" t="s">
        <v>20</v>
      </c>
      <c r="M547">
        <v>27888</v>
      </c>
      <c r="N547">
        <v>322</v>
      </c>
    </row>
    <row r="548" spans="1:14" x14ac:dyDescent="0.35">
      <c r="A548" t="s">
        <v>585</v>
      </c>
      <c r="B548" t="s">
        <v>15</v>
      </c>
      <c r="C548" t="s">
        <v>16</v>
      </c>
      <c r="D548">
        <v>39</v>
      </c>
      <c r="E548" t="s">
        <v>581</v>
      </c>
      <c r="F548">
        <v>5419</v>
      </c>
      <c r="G548" t="s">
        <v>18</v>
      </c>
      <c r="H548">
        <v>27</v>
      </c>
      <c r="I548" t="s">
        <v>19</v>
      </c>
      <c r="J548">
        <v>1990</v>
      </c>
      <c r="K548">
        <v>1990</v>
      </c>
      <c r="L548" t="s">
        <v>20</v>
      </c>
      <c r="M548">
        <v>17916</v>
      </c>
      <c r="N548">
        <v>322</v>
      </c>
    </row>
    <row r="549" spans="1:14" x14ac:dyDescent="0.35">
      <c r="A549" t="s">
        <v>586</v>
      </c>
      <c r="B549" t="s">
        <v>15</v>
      </c>
      <c r="C549" t="s">
        <v>16</v>
      </c>
      <c r="D549">
        <v>39</v>
      </c>
      <c r="E549" t="s">
        <v>581</v>
      </c>
      <c r="F549">
        <v>5419</v>
      </c>
      <c r="G549" t="s">
        <v>18</v>
      </c>
      <c r="H549">
        <v>27</v>
      </c>
      <c r="I549" t="s">
        <v>19</v>
      </c>
      <c r="J549">
        <v>1991</v>
      </c>
      <c r="K549">
        <v>1991</v>
      </c>
      <c r="L549" t="s">
        <v>20</v>
      </c>
      <c r="M549">
        <v>24287</v>
      </c>
      <c r="N549">
        <v>322</v>
      </c>
    </row>
    <row r="550" spans="1:14" x14ac:dyDescent="0.35">
      <c r="A550" t="s">
        <v>587</v>
      </c>
      <c r="B550" t="s">
        <v>15</v>
      </c>
      <c r="C550" t="s">
        <v>16</v>
      </c>
      <c r="D550">
        <v>39</v>
      </c>
      <c r="E550" t="s">
        <v>581</v>
      </c>
      <c r="F550">
        <v>5419</v>
      </c>
      <c r="G550" t="s">
        <v>18</v>
      </c>
      <c r="H550">
        <v>27</v>
      </c>
      <c r="I550" t="s">
        <v>19</v>
      </c>
      <c r="J550">
        <v>1992</v>
      </c>
      <c r="K550">
        <v>1992</v>
      </c>
      <c r="L550" t="s">
        <v>20</v>
      </c>
      <c r="M550">
        <v>20265</v>
      </c>
      <c r="N550">
        <v>322</v>
      </c>
    </row>
    <row r="551" spans="1:14" x14ac:dyDescent="0.35">
      <c r="A551" t="s">
        <v>588</v>
      </c>
      <c r="B551" t="s">
        <v>15</v>
      </c>
      <c r="C551" t="s">
        <v>16</v>
      </c>
      <c r="D551">
        <v>39</v>
      </c>
      <c r="E551" t="s">
        <v>581</v>
      </c>
      <c r="F551">
        <v>5419</v>
      </c>
      <c r="G551" t="s">
        <v>18</v>
      </c>
      <c r="H551">
        <v>27</v>
      </c>
      <c r="I551" t="s">
        <v>19</v>
      </c>
      <c r="J551">
        <v>1993</v>
      </c>
      <c r="K551">
        <v>1993</v>
      </c>
      <c r="L551" t="s">
        <v>20</v>
      </c>
      <c r="M551">
        <v>5586</v>
      </c>
      <c r="N551">
        <v>322</v>
      </c>
    </row>
    <row r="552" spans="1:14" x14ac:dyDescent="0.35">
      <c r="A552" t="s">
        <v>589</v>
      </c>
      <c r="B552" t="s">
        <v>15</v>
      </c>
      <c r="C552" t="s">
        <v>16</v>
      </c>
      <c r="D552">
        <v>39</v>
      </c>
      <c r="E552" t="s">
        <v>581</v>
      </c>
      <c r="F552">
        <v>5419</v>
      </c>
      <c r="G552" t="s">
        <v>18</v>
      </c>
      <c r="H552">
        <v>27</v>
      </c>
      <c r="I552" t="s">
        <v>19</v>
      </c>
      <c r="J552">
        <v>1994</v>
      </c>
      <c r="K552">
        <v>1994</v>
      </c>
      <c r="L552" t="s">
        <v>20</v>
      </c>
      <c r="M552">
        <v>17414</v>
      </c>
      <c r="N552">
        <v>322</v>
      </c>
    </row>
    <row r="553" spans="1:14" x14ac:dyDescent="0.35">
      <c r="A553" t="s">
        <v>590</v>
      </c>
      <c r="B553" t="s">
        <v>15</v>
      </c>
      <c r="C553" t="s">
        <v>16</v>
      </c>
      <c r="D553">
        <v>39</v>
      </c>
      <c r="E553" t="s">
        <v>581</v>
      </c>
      <c r="F553">
        <v>5419</v>
      </c>
      <c r="G553" t="s">
        <v>18</v>
      </c>
      <c r="H553">
        <v>27</v>
      </c>
      <c r="I553" t="s">
        <v>19</v>
      </c>
      <c r="J553">
        <v>1995</v>
      </c>
      <c r="K553">
        <v>1995</v>
      </c>
      <c r="L553" t="s">
        <v>20</v>
      </c>
      <c r="M553">
        <v>11342</v>
      </c>
      <c r="N553">
        <v>322</v>
      </c>
    </row>
    <row r="554" spans="1:14" x14ac:dyDescent="0.35">
      <c r="A554" t="s">
        <v>591</v>
      </c>
      <c r="B554" t="s">
        <v>15</v>
      </c>
      <c r="C554" t="s">
        <v>16</v>
      </c>
      <c r="D554">
        <v>39</v>
      </c>
      <c r="E554" t="s">
        <v>581</v>
      </c>
      <c r="F554">
        <v>5419</v>
      </c>
      <c r="G554" t="s">
        <v>18</v>
      </c>
      <c r="H554">
        <v>27</v>
      </c>
      <c r="I554" t="s">
        <v>19</v>
      </c>
      <c r="J554">
        <v>1996</v>
      </c>
      <c r="K554">
        <v>1996</v>
      </c>
      <c r="L554" t="s">
        <v>20</v>
      </c>
      <c r="M554">
        <v>15685</v>
      </c>
      <c r="N554">
        <v>322</v>
      </c>
    </row>
    <row r="555" spans="1:14" x14ac:dyDescent="0.35">
      <c r="A555" t="s">
        <v>592</v>
      </c>
      <c r="B555" t="s">
        <v>15</v>
      </c>
      <c r="C555" t="s">
        <v>16</v>
      </c>
      <c r="D555">
        <v>39</v>
      </c>
      <c r="E555" t="s">
        <v>581</v>
      </c>
      <c r="F555">
        <v>5419</v>
      </c>
      <c r="G555" t="s">
        <v>18</v>
      </c>
      <c r="H555">
        <v>27</v>
      </c>
      <c r="I555" t="s">
        <v>19</v>
      </c>
      <c r="J555">
        <v>1997</v>
      </c>
      <c r="K555">
        <v>1997</v>
      </c>
      <c r="L555" t="s">
        <v>20</v>
      </c>
      <c r="M555">
        <v>12903</v>
      </c>
      <c r="N555">
        <v>322</v>
      </c>
    </row>
    <row r="556" spans="1:14" x14ac:dyDescent="0.35">
      <c r="A556" t="s">
        <v>593</v>
      </c>
      <c r="B556" t="s">
        <v>15</v>
      </c>
      <c r="C556" t="s">
        <v>16</v>
      </c>
      <c r="D556">
        <v>39</v>
      </c>
      <c r="E556" t="s">
        <v>581</v>
      </c>
      <c r="F556">
        <v>5419</v>
      </c>
      <c r="G556" t="s">
        <v>18</v>
      </c>
      <c r="H556">
        <v>27</v>
      </c>
      <c r="I556" t="s">
        <v>19</v>
      </c>
      <c r="J556">
        <v>1998</v>
      </c>
      <c r="K556">
        <v>1998</v>
      </c>
      <c r="L556" t="s">
        <v>20</v>
      </c>
      <c r="M556">
        <v>13125</v>
      </c>
      <c r="N556">
        <v>322</v>
      </c>
    </row>
    <row r="557" spans="1:14" x14ac:dyDescent="0.35">
      <c r="A557" t="s">
        <v>594</v>
      </c>
      <c r="B557" t="s">
        <v>15</v>
      </c>
      <c r="C557" t="s">
        <v>16</v>
      </c>
      <c r="D557">
        <v>39</v>
      </c>
      <c r="E557" t="s">
        <v>581</v>
      </c>
      <c r="F557">
        <v>5419</v>
      </c>
      <c r="G557" t="s">
        <v>18</v>
      </c>
      <c r="H557">
        <v>27</v>
      </c>
      <c r="I557" t="s">
        <v>19</v>
      </c>
      <c r="J557">
        <v>1999</v>
      </c>
      <c r="K557">
        <v>1999</v>
      </c>
      <c r="L557" t="s">
        <v>20</v>
      </c>
      <c r="M557">
        <v>17421</v>
      </c>
      <c r="N557">
        <v>322</v>
      </c>
    </row>
    <row r="558" spans="1:14" x14ac:dyDescent="0.35">
      <c r="A558" t="s">
        <v>595</v>
      </c>
      <c r="B558" t="s">
        <v>15</v>
      </c>
      <c r="C558" t="s">
        <v>16</v>
      </c>
      <c r="D558">
        <v>39</v>
      </c>
      <c r="E558" t="s">
        <v>581</v>
      </c>
      <c r="F558">
        <v>5419</v>
      </c>
      <c r="G558" t="s">
        <v>18</v>
      </c>
      <c r="H558">
        <v>27</v>
      </c>
      <c r="I558" t="s">
        <v>19</v>
      </c>
      <c r="J558">
        <v>2000</v>
      </c>
      <c r="K558">
        <v>2000</v>
      </c>
      <c r="L558" t="s">
        <v>20</v>
      </c>
      <c r="M558">
        <v>10341</v>
      </c>
      <c r="N558">
        <v>322</v>
      </c>
    </row>
    <row r="559" spans="1:14" x14ac:dyDescent="0.35">
      <c r="A559" t="s">
        <v>596</v>
      </c>
      <c r="B559" t="s">
        <v>15</v>
      </c>
      <c r="C559" t="s">
        <v>16</v>
      </c>
      <c r="D559">
        <v>39</v>
      </c>
      <c r="E559" t="s">
        <v>581</v>
      </c>
      <c r="F559">
        <v>5419</v>
      </c>
      <c r="G559" t="s">
        <v>18</v>
      </c>
      <c r="H559">
        <v>27</v>
      </c>
      <c r="I559" t="s">
        <v>19</v>
      </c>
      <c r="J559">
        <v>2001</v>
      </c>
      <c r="K559">
        <v>2001</v>
      </c>
      <c r="L559" t="s">
        <v>20</v>
      </c>
      <c r="M559">
        <v>12868</v>
      </c>
      <c r="N559">
        <v>322</v>
      </c>
    </row>
    <row r="560" spans="1:14" x14ac:dyDescent="0.35">
      <c r="A560" t="s">
        <v>597</v>
      </c>
      <c r="B560" t="s">
        <v>15</v>
      </c>
      <c r="C560" t="s">
        <v>16</v>
      </c>
      <c r="D560">
        <v>39</v>
      </c>
      <c r="E560" t="s">
        <v>581</v>
      </c>
      <c r="F560">
        <v>5419</v>
      </c>
      <c r="G560" t="s">
        <v>18</v>
      </c>
      <c r="H560">
        <v>27</v>
      </c>
      <c r="I560" t="s">
        <v>19</v>
      </c>
      <c r="J560">
        <v>2002</v>
      </c>
      <c r="K560">
        <v>2002</v>
      </c>
      <c r="L560" t="s">
        <v>20</v>
      </c>
      <c r="M560">
        <v>12994</v>
      </c>
      <c r="N560">
        <v>322</v>
      </c>
    </row>
    <row r="561" spans="1:14" x14ac:dyDescent="0.35">
      <c r="A561" t="s">
        <v>598</v>
      </c>
      <c r="B561" t="s">
        <v>15</v>
      </c>
      <c r="C561" t="s">
        <v>16</v>
      </c>
      <c r="D561">
        <v>39</v>
      </c>
      <c r="E561" t="s">
        <v>581</v>
      </c>
      <c r="F561">
        <v>5419</v>
      </c>
      <c r="G561" t="s">
        <v>18</v>
      </c>
      <c r="H561">
        <v>27</v>
      </c>
      <c r="I561" t="s">
        <v>19</v>
      </c>
      <c r="J561">
        <v>2004</v>
      </c>
      <c r="K561">
        <v>2004</v>
      </c>
      <c r="L561" t="s">
        <v>20</v>
      </c>
      <c r="M561">
        <v>9705</v>
      </c>
      <c r="N561">
        <v>322</v>
      </c>
    </row>
    <row r="562" spans="1:14" x14ac:dyDescent="0.35">
      <c r="A562" t="s">
        <v>599</v>
      </c>
      <c r="B562" t="s">
        <v>15</v>
      </c>
      <c r="C562" t="s">
        <v>16</v>
      </c>
      <c r="D562">
        <v>39</v>
      </c>
      <c r="E562" t="s">
        <v>581</v>
      </c>
      <c r="F562">
        <v>5419</v>
      </c>
      <c r="G562" t="s">
        <v>18</v>
      </c>
      <c r="H562">
        <v>27</v>
      </c>
      <c r="I562" t="s">
        <v>19</v>
      </c>
      <c r="J562">
        <v>2005</v>
      </c>
      <c r="K562">
        <v>2005</v>
      </c>
      <c r="L562" t="s">
        <v>20</v>
      </c>
      <c r="M562">
        <v>13264</v>
      </c>
      <c r="N562">
        <v>322</v>
      </c>
    </row>
    <row r="563" spans="1:14" x14ac:dyDescent="0.35">
      <c r="A563" t="s">
        <v>600</v>
      </c>
      <c r="B563" t="s">
        <v>15</v>
      </c>
      <c r="C563" t="s">
        <v>16</v>
      </c>
      <c r="D563">
        <v>39</v>
      </c>
      <c r="E563" t="s">
        <v>581</v>
      </c>
      <c r="F563">
        <v>5419</v>
      </c>
      <c r="G563" t="s">
        <v>18</v>
      </c>
      <c r="H563">
        <v>27</v>
      </c>
      <c r="I563" t="s">
        <v>19</v>
      </c>
      <c r="J563">
        <v>2006</v>
      </c>
      <c r="K563">
        <v>2006</v>
      </c>
      <c r="L563" t="s">
        <v>20</v>
      </c>
      <c r="M563">
        <v>10263</v>
      </c>
      <c r="N563">
        <v>322</v>
      </c>
    </row>
    <row r="564" spans="1:14" x14ac:dyDescent="0.35">
      <c r="A564" t="s">
        <v>601</v>
      </c>
      <c r="B564" t="s">
        <v>15</v>
      </c>
      <c r="C564" t="s">
        <v>16</v>
      </c>
      <c r="D564">
        <v>39</v>
      </c>
      <c r="E564" t="s">
        <v>581</v>
      </c>
      <c r="F564">
        <v>5419</v>
      </c>
      <c r="G564" t="s">
        <v>18</v>
      </c>
      <c r="H564">
        <v>27</v>
      </c>
      <c r="I564" t="s">
        <v>19</v>
      </c>
      <c r="J564">
        <v>2007</v>
      </c>
      <c r="K564">
        <v>2007</v>
      </c>
      <c r="L564" t="s">
        <v>20</v>
      </c>
      <c r="M564">
        <v>12486</v>
      </c>
      <c r="N564">
        <v>322</v>
      </c>
    </row>
    <row r="565" spans="1:14" x14ac:dyDescent="0.35">
      <c r="A565" t="s">
        <v>602</v>
      </c>
      <c r="B565" t="s">
        <v>15</v>
      </c>
      <c r="C565" t="s">
        <v>16</v>
      </c>
      <c r="D565">
        <v>39</v>
      </c>
      <c r="E565" t="s">
        <v>581</v>
      </c>
      <c r="F565">
        <v>5419</v>
      </c>
      <c r="G565" t="s">
        <v>18</v>
      </c>
      <c r="H565">
        <v>27</v>
      </c>
      <c r="I565" t="s">
        <v>19</v>
      </c>
      <c r="J565">
        <v>2008</v>
      </c>
      <c r="K565">
        <v>2008</v>
      </c>
      <c r="L565" t="s">
        <v>20</v>
      </c>
      <c r="M565">
        <v>15696</v>
      </c>
      <c r="N565">
        <v>322</v>
      </c>
    </row>
    <row r="566" spans="1:14" x14ac:dyDescent="0.35">
      <c r="A566" t="s">
        <v>603</v>
      </c>
      <c r="B566" t="s">
        <v>15</v>
      </c>
      <c r="C566" t="s">
        <v>16</v>
      </c>
      <c r="D566">
        <v>39</v>
      </c>
      <c r="E566" t="s">
        <v>581</v>
      </c>
      <c r="F566">
        <v>5419</v>
      </c>
      <c r="G566" t="s">
        <v>18</v>
      </c>
      <c r="H566">
        <v>27</v>
      </c>
      <c r="I566" t="s">
        <v>19</v>
      </c>
      <c r="J566">
        <v>2009</v>
      </c>
      <c r="K566">
        <v>2009</v>
      </c>
      <c r="L566" t="s">
        <v>20</v>
      </c>
      <c r="M566">
        <v>10481</v>
      </c>
      <c r="N566">
        <v>322</v>
      </c>
    </row>
    <row r="567" spans="1:14" x14ac:dyDescent="0.35">
      <c r="A567" t="s">
        <v>604</v>
      </c>
      <c r="B567" t="s">
        <v>15</v>
      </c>
      <c r="C567" t="s">
        <v>16</v>
      </c>
      <c r="D567">
        <v>39</v>
      </c>
      <c r="E567" t="s">
        <v>581</v>
      </c>
      <c r="F567">
        <v>5419</v>
      </c>
      <c r="G567" t="s">
        <v>18</v>
      </c>
      <c r="H567">
        <v>27</v>
      </c>
      <c r="I567" t="s">
        <v>19</v>
      </c>
      <c r="J567">
        <v>2010</v>
      </c>
      <c r="K567">
        <v>2010</v>
      </c>
      <c r="L567" t="s">
        <v>20</v>
      </c>
      <c r="M567">
        <v>13415</v>
      </c>
      <c r="N567">
        <v>322</v>
      </c>
    </row>
    <row r="568" spans="1:14" x14ac:dyDescent="0.35">
      <c r="A568" t="s">
        <v>605</v>
      </c>
      <c r="B568" t="s">
        <v>15</v>
      </c>
      <c r="C568" t="s">
        <v>16</v>
      </c>
      <c r="D568">
        <v>39</v>
      </c>
      <c r="E568" t="s">
        <v>581</v>
      </c>
      <c r="F568">
        <v>5419</v>
      </c>
      <c r="G568" t="s">
        <v>18</v>
      </c>
      <c r="H568">
        <v>27</v>
      </c>
      <c r="I568" t="s">
        <v>19</v>
      </c>
      <c r="J568">
        <v>2011</v>
      </c>
      <c r="K568">
        <v>2011</v>
      </c>
      <c r="L568" t="s">
        <v>20</v>
      </c>
      <c r="M568">
        <v>14296</v>
      </c>
      <c r="N568">
        <v>322</v>
      </c>
    </row>
    <row r="569" spans="1:14" x14ac:dyDescent="0.35">
      <c r="A569" t="s">
        <v>606</v>
      </c>
      <c r="B569" t="s">
        <v>15</v>
      </c>
      <c r="C569" t="s">
        <v>16</v>
      </c>
      <c r="D569">
        <v>39</v>
      </c>
      <c r="E569" t="s">
        <v>581</v>
      </c>
      <c r="F569">
        <v>5419</v>
      </c>
      <c r="G569" t="s">
        <v>18</v>
      </c>
      <c r="H569">
        <v>27</v>
      </c>
      <c r="I569" t="s">
        <v>19</v>
      </c>
      <c r="J569">
        <v>2012</v>
      </c>
      <c r="K569">
        <v>2012</v>
      </c>
      <c r="L569" t="s">
        <v>20</v>
      </c>
      <c r="M569">
        <v>12978</v>
      </c>
      <c r="N569">
        <v>322</v>
      </c>
    </row>
    <row r="570" spans="1:14" x14ac:dyDescent="0.35">
      <c r="A570" t="s">
        <v>607</v>
      </c>
      <c r="B570" t="s">
        <v>15</v>
      </c>
      <c r="C570" t="s">
        <v>16</v>
      </c>
      <c r="D570">
        <v>39</v>
      </c>
      <c r="E570" t="s">
        <v>581</v>
      </c>
      <c r="F570">
        <v>5419</v>
      </c>
      <c r="G570" t="s">
        <v>18</v>
      </c>
      <c r="H570">
        <v>27</v>
      </c>
      <c r="I570" t="s">
        <v>19</v>
      </c>
      <c r="J570">
        <v>2013</v>
      </c>
      <c r="K570">
        <v>2013</v>
      </c>
      <c r="L570" t="s">
        <v>20</v>
      </c>
      <c r="M570">
        <v>17377</v>
      </c>
      <c r="N570">
        <v>322</v>
      </c>
    </row>
    <row r="571" spans="1:14" x14ac:dyDescent="0.35">
      <c r="A571" t="s">
        <v>608</v>
      </c>
      <c r="B571" t="s">
        <v>15</v>
      </c>
      <c r="C571" t="s">
        <v>16</v>
      </c>
      <c r="D571">
        <v>39</v>
      </c>
      <c r="E571" t="s">
        <v>581</v>
      </c>
      <c r="F571">
        <v>5419</v>
      </c>
      <c r="G571" t="s">
        <v>18</v>
      </c>
      <c r="H571">
        <v>27</v>
      </c>
      <c r="I571" t="s">
        <v>19</v>
      </c>
      <c r="J571">
        <v>2014</v>
      </c>
      <c r="K571">
        <v>2014</v>
      </c>
      <c r="L571" t="s">
        <v>20</v>
      </c>
      <c r="M571">
        <v>15699</v>
      </c>
      <c r="N571">
        <v>322</v>
      </c>
    </row>
    <row r="572" spans="1:14" x14ac:dyDescent="0.35">
      <c r="A572" t="s">
        <v>609</v>
      </c>
      <c r="B572" t="s">
        <v>15</v>
      </c>
      <c r="C572" t="s">
        <v>16</v>
      </c>
      <c r="D572">
        <v>39</v>
      </c>
      <c r="E572" t="s">
        <v>581</v>
      </c>
      <c r="F572">
        <v>5419</v>
      </c>
      <c r="G572" t="s">
        <v>18</v>
      </c>
      <c r="H572">
        <v>27</v>
      </c>
      <c r="I572" t="s">
        <v>19</v>
      </c>
      <c r="J572">
        <v>2015</v>
      </c>
      <c r="K572">
        <v>2015</v>
      </c>
      <c r="L572" t="s">
        <v>20</v>
      </c>
      <c r="M572">
        <v>14155</v>
      </c>
      <c r="N572">
        <v>322</v>
      </c>
    </row>
    <row r="573" spans="1:14" x14ac:dyDescent="0.35">
      <c r="A573" t="s">
        <v>610</v>
      </c>
      <c r="B573" t="s">
        <v>15</v>
      </c>
      <c r="C573" t="s">
        <v>16</v>
      </c>
      <c r="D573">
        <v>39</v>
      </c>
      <c r="E573" t="s">
        <v>581</v>
      </c>
      <c r="F573">
        <v>5419</v>
      </c>
      <c r="G573" t="s">
        <v>18</v>
      </c>
      <c r="H573">
        <v>27</v>
      </c>
      <c r="I573" t="s">
        <v>19</v>
      </c>
      <c r="J573">
        <v>2016</v>
      </c>
      <c r="K573">
        <v>2016</v>
      </c>
      <c r="L573" t="s">
        <v>20</v>
      </c>
      <c r="M573">
        <v>14128</v>
      </c>
      <c r="N573">
        <v>322</v>
      </c>
    </row>
    <row r="574" spans="1:14" x14ac:dyDescent="0.35">
      <c r="A574" t="s">
        <v>611</v>
      </c>
      <c r="B574" t="s">
        <v>15</v>
      </c>
      <c r="C574" t="s">
        <v>16</v>
      </c>
      <c r="D574">
        <v>40</v>
      </c>
      <c r="E574" t="s">
        <v>612</v>
      </c>
      <c r="F574">
        <v>5419</v>
      </c>
      <c r="G574" t="s">
        <v>18</v>
      </c>
      <c r="H574">
        <v>27</v>
      </c>
      <c r="I574" t="s">
        <v>19</v>
      </c>
      <c r="J574">
        <v>1985</v>
      </c>
      <c r="K574">
        <v>1985</v>
      </c>
      <c r="L574" t="s">
        <v>20</v>
      </c>
      <c r="M574">
        <v>40667</v>
      </c>
      <c r="N574">
        <v>1522</v>
      </c>
    </row>
    <row r="575" spans="1:14" x14ac:dyDescent="0.35">
      <c r="A575" t="s">
        <v>613</v>
      </c>
      <c r="B575" t="s">
        <v>15</v>
      </c>
      <c r="C575" t="s">
        <v>16</v>
      </c>
      <c r="D575">
        <v>40</v>
      </c>
      <c r="E575" t="s">
        <v>612</v>
      </c>
      <c r="F575">
        <v>5419</v>
      </c>
      <c r="G575" t="s">
        <v>18</v>
      </c>
      <c r="H575">
        <v>27</v>
      </c>
      <c r="I575" t="s">
        <v>19</v>
      </c>
      <c r="J575">
        <v>1986</v>
      </c>
      <c r="K575">
        <v>1986</v>
      </c>
      <c r="L575" t="s">
        <v>20</v>
      </c>
      <c r="M575">
        <v>39559</v>
      </c>
      <c r="N575">
        <v>1522</v>
      </c>
    </row>
    <row r="576" spans="1:14" x14ac:dyDescent="0.35">
      <c r="A576" t="s">
        <v>614</v>
      </c>
      <c r="B576" t="s">
        <v>15</v>
      </c>
      <c r="C576" t="s">
        <v>16</v>
      </c>
      <c r="D576">
        <v>40</v>
      </c>
      <c r="E576" t="s">
        <v>612</v>
      </c>
      <c r="F576">
        <v>5419</v>
      </c>
      <c r="G576" t="s">
        <v>18</v>
      </c>
      <c r="H576">
        <v>27</v>
      </c>
      <c r="I576" t="s">
        <v>19</v>
      </c>
      <c r="J576">
        <v>1987</v>
      </c>
      <c r="K576">
        <v>1987</v>
      </c>
      <c r="L576" t="s">
        <v>20</v>
      </c>
      <c r="M576">
        <v>39451</v>
      </c>
      <c r="N576">
        <v>1522</v>
      </c>
    </row>
    <row r="577" spans="1:14" x14ac:dyDescent="0.35">
      <c r="A577" t="s">
        <v>615</v>
      </c>
      <c r="B577" t="s">
        <v>15</v>
      </c>
      <c r="C577" t="s">
        <v>16</v>
      </c>
      <c r="D577">
        <v>40</v>
      </c>
      <c r="E577" t="s">
        <v>612</v>
      </c>
      <c r="F577">
        <v>5419</v>
      </c>
      <c r="G577" t="s">
        <v>18</v>
      </c>
      <c r="H577">
        <v>27</v>
      </c>
      <c r="I577" t="s">
        <v>19</v>
      </c>
      <c r="J577">
        <v>1989</v>
      </c>
      <c r="K577">
        <v>1989</v>
      </c>
      <c r="L577" t="s">
        <v>20</v>
      </c>
      <c r="M577">
        <v>43077</v>
      </c>
      <c r="N577">
        <v>1522</v>
      </c>
    </row>
    <row r="578" spans="1:14" x14ac:dyDescent="0.35">
      <c r="A578" t="s">
        <v>616</v>
      </c>
      <c r="B578" t="s">
        <v>15</v>
      </c>
      <c r="C578" t="s">
        <v>16</v>
      </c>
      <c r="D578">
        <v>40</v>
      </c>
      <c r="E578" t="s">
        <v>612</v>
      </c>
      <c r="F578">
        <v>5419</v>
      </c>
      <c r="G578" t="s">
        <v>18</v>
      </c>
      <c r="H578">
        <v>27</v>
      </c>
      <c r="I578" t="s">
        <v>19</v>
      </c>
      <c r="J578">
        <v>1990</v>
      </c>
      <c r="K578">
        <v>1990</v>
      </c>
      <c r="L578" t="s">
        <v>20</v>
      </c>
      <c r="M578">
        <v>41734</v>
      </c>
      <c r="N578">
        <v>1522</v>
      </c>
    </row>
    <row r="579" spans="1:14" x14ac:dyDescent="0.35">
      <c r="A579" t="s">
        <v>617</v>
      </c>
      <c r="B579" t="s">
        <v>15</v>
      </c>
      <c r="C579" t="s">
        <v>16</v>
      </c>
      <c r="D579">
        <v>40</v>
      </c>
      <c r="E579" t="s">
        <v>612</v>
      </c>
      <c r="F579">
        <v>5419</v>
      </c>
      <c r="G579" t="s">
        <v>18</v>
      </c>
      <c r="H579">
        <v>27</v>
      </c>
      <c r="I579" t="s">
        <v>19</v>
      </c>
      <c r="J579">
        <v>1991</v>
      </c>
      <c r="K579">
        <v>1991</v>
      </c>
      <c r="L579" t="s">
        <v>20</v>
      </c>
      <c r="M579">
        <v>39366</v>
      </c>
      <c r="N579">
        <v>1522</v>
      </c>
    </row>
    <row r="580" spans="1:14" x14ac:dyDescent="0.35">
      <c r="A580" t="s">
        <v>618</v>
      </c>
      <c r="B580" t="s">
        <v>15</v>
      </c>
      <c r="C580" t="s">
        <v>16</v>
      </c>
      <c r="D580">
        <v>40</v>
      </c>
      <c r="E580" t="s">
        <v>612</v>
      </c>
      <c r="F580">
        <v>5419</v>
      </c>
      <c r="G580" t="s">
        <v>18</v>
      </c>
      <c r="H580">
        <v>27</v>
      </c>
      <c r="I580" t="s">
        <v>19</v>
      </c>
      <c r="J580">
        <v>1992</v>
      </c>
      <c r="K580">
        <v>1992</v>
      </c>
      <c r="L580" t="s">
        <v>20</v>
      </c>
      <c r="M580">
        <v>42044</v>
      </c>
      <c r="N580">
        <v>1522</v>
      </c>
    </row>
    <row r="581" spans="1:14" x14ac:dyDescent="0.35">
      <c r="A581" t="s">
        <v>619</v>
      </c>
      <c r="B581" t="s">
        <v>15</v>
      </c>
      <c r="C581" t="s">
        <v>16</v>
      </c>
      <c r="D581">
        <v>40</v>
      </c>
      <c r="E581" t="s">
        <v>612</v>
      </c>
      <c r="F581">
        <v>5419</v>
      </c>
      <c r="G581" t="s">
        <v>18</v>
      </c>
      <c r="H581">
        <v>27</v>
      </c>
      <c r="I581" t="s">
        <v>19</v>
      </c>
      <c r="J581">
        <v>1993</v>
      </c>
      <c r="K581">
        <v>1993</v>
      </c>
      <c r="L581" t="s">
        <v>20</v>
      </c>
      <c r="M581">
        <v>44921</v>
      </c>
      <c r="N581">
        <v>1522</v>
      </c>
    </row>
    <row r="582" spans="1:14" x14ac:dyDescent="0.35">
      <c r="A582" t="s">
        <v>620</v>
      </c>
      <c r="B582" t="s">
        <v>15</v>
      </c>
      <c r="C582" t="s">
        <v>16</v>
      </c>
      <c r="D582">
        <v>40</v>
      </c>
      <c r="E582" t="s">
        <v>612</v>
      </c>
      <c r="F582">
        <v>5419</v>
      </c>
      <c r="G582" t="s">
        <v>18</v>
      </c>
      <c r="H582">
        <v>27</v>
      </c>
      <c r="I582" t="s">
        <v>19</v>
      </c>
      <c r="J582">
        <v>1994</v>
      </c>
      <c r="K582">
        <v>1994</v>
      </c>
      <c r="L582" t="s">
        <v>20</v>
      </c>
      <c r="M582">
        <v>43834</v>
      </c>
      <c r="N582">
        <v>1522</v>
      </c>
    </row>
    <row r="583" spans="1:14" x14ac:dyDescent="0.35">
      <c r="A583" t="s">
        <v>621</v>
      </c>
      <c r="B583" t="s">
        <v>15</v>
      </c>
      <c r="C583" t="s">
        <v>16</v>
      </c>
      <c r="D583">
        <v>40</v>
      </c>
      <c r="E583" t="s">
        <v>612</v>
      </c>
      <c r="F583">
        <v>5419</v>
      </c>
      <c r="G583" t="s">
        <v>18</v>
      </c>
      <c r="H583">
        <v>27</v>
      </c>
      <c r="I583" t="s">
        <v>19</v>
      </c>
      <c r="J583">
        <v>1995</v>
      </c>
      <c r="K583">
        <v>1995</v>
      </c>
      <c r="L583" t="s">
        <v>20</v>
      </c>
      <c r="M583">
        <v>43000</v>
      </c>
      <c r="N583">
        <v>1522</v>
      </c>
    </row>
    <row r="584" spans="1:14" x14ac:dyDescent="0.35">
      <c r="A584" t="s">
        <v>622</v>
      </c>
      <c r="B584" t="s">
        <v>15</v>
      </c>
      <c r="C584" t="s">
        <v>16</v>
      </c>
      <c r="D584">
        <v>40</v>
      </c>
      <c r="E584" t="s">
        <v>612</v>
      </c>
      <c r="F584">
        <v>5419</v>
      </c>
      <c r="G584" t="s">
        <v>18</v>
      </c>
      <c r="H584">
        <v>27</v>
      </c>
      <c r="I584" t="s">
        <v>19</v>
      </c>
      <c r="J584">
        <v>1996</v>
      </c>
      <c r="K584">
        <v>1996</v>
      </c>
      <c r="L584" t="s">
        <v>20</v>
      </c>
      <c r="M584">
        <v>47704</v>
      </c>
      <c r="N584">
        <v>1522</v>
      </c>
    </row>
    <row r="585" spans="1:14" x14ac:dyDescent="0.35">
      <c r="A585" t="s">
        <v>623</v>
      </c>
      <c r="B585" t="s">
        <v>15</v>
      </c>
      <c r="C585" t="s">
        <v>16</v>
      </c>
      <c r="D585">
        <v>40</v>
      </c>
      <c r="E585" t="s">
        <v>612</v>
      </c>
      <c r="F585">
        <v>5419</v>
      </c>
      <c r="G585" t="s">
        <v>18</v>
      </c>
      <c r="H585">
        <v>27</v>
      </c>
      <c r="I585" t="s">
        <v>19</v>
      </c>
      <c r="J585">
        <v>1997</v>
      </c>
      <c r="K585">
        <v>1997</v>
      </c>
      <c r="L585" t="s">
        <v>20</v>
      </c>
      <c r="M585">
        <v>36336</v>
      </c>
      <c r="N585">
        <v>1522</v>
      </c>
    </row>
    <row r="586" spans="1:14" x14ac:dyDescent="0.35">
      <c r="A586" t="s">
        <v>624</v>
      </c>
      <c r="B586" t="s">
        <v>15</v>
      </c>
      <c r="C586" t="s">
        <v>16</v>
      </c>
      <c r="D586">
        <v>40</v>
      </c>
      <c r="E586" t="s">
        <v>612</v>
      </c>
      <c r="F586">
        <v>5419</v>
      </c>
      <c r="G586" t="s">
        <v>18</v>
      </c>
      <c r="H586">
        <v>27</v>
      </c>
      <c r="I586" t="s">
        <v>19</v>
      </c>
      <c r="J586">
        <v>1998</v>
      </c>
      <c r="K586">
        <v>1998</v>
      </c>
      <c r="L586" t="s">
        <v>20</v>
      </c>
      <c r="M586">
        <v>39089</v>
      </c>
      <c r="N586">
        <v>1522</v>
      </c>
    </row>
    <row r="587" spans="1:14" x14ac:dyDescent="0.35">
      <c r="A587" t="s">
        <v>625</v>
      </c>
      <c r="B587" t="s">
        <v>15</v>
      </c>
      <c r="C587" t="s">
        <v>16</v>
      </c>
      <c r="D587">
        <v>40</v>
      </c>
      <c r="E587" t="s">
        <v>612</v>
      </c>
      <c r="F587">
        <v>5419</v>
      </c>
      <c r="G587" t="s">
        <v>18</v>
      </c>
      <c r="H587">
        <v>27</v>
      </c>
      <c r="I587" t="s">
        <v>19</v>
      </c>
      <c r="J587">
        <v>1999</v>
      </c>
      <c r="K587">
        <v>1999</v>
      </c>
      <c r="L587" t="s">
        <v>20</v>
      </c>
      <c r="M587">
        <v>41508</v>
      </c>
      <c r="N587">
        <v>1522</v>
      </c>
    </row>
    <row r="588" spans="1:14" x14ac:dyDescent="0.35">
      <c r="A588" t="s">
        <v>626</v>
      </c>
      <c r="B588" t="s">
        <v>15</v>
      </c>
      <c r="C588" t="s">
        <v>16</v>
      </c>
      <c r="D588">
        <v>40</v>
      </c>
      <c r="E588" t="s">
        <v>612</v>
      </c>
      <c r="F588">
        <v>5419</v>
      </c>
      <c r="G588" t="s">
        <v>18</v>
      </c>
      <c r="H588">
        <v>27</v>
      </c>
      <c r="I588" t="s">
        <v>19</v>
      </c>
      <c r="J588">
        <v>2000</v>
      </c>
      <c r="K588">
        <v>2000</v>
      </c>
      <c r="L588" t="s">
        <v>20</v>
      </c>
      <c r="M588">
        <v>52414</v>
      </c>
      <c r="N588">
        <v>1522</v>
      </c>
    </row>
    <row r="589" spans="1:14" x14ac:dyDescent="0.35">
      <c r="A589" t="s">
        <v>627</v>
      </c>
      <c r="B589" t="s">
        <v>15</v>
      </c>
      <c r="C589" t="s">
        <v>16</v>
      </c>
      <c r="D589">
        <v>40</v>
      </c>
      <c r="E589" t="s">
        <v>612</v>
      </c>
      <c r="F589">
        <v>5419</v>
      </c>
      <c r="G589" t="s">
        <v>18</v>
      </c>
      <c r="H589">
        <v>27</v>
      </c>
      <c r="I589" t="s">
        <v>19</v>
      </c>
      <c r="J589">
        <v>2001</v>
      </c>
      <c r="K589">
        <v>2001</v>
      </c>
      <c r="L589" t="s">
        <v>20</v>
      </c>
      <c r="M589">
        <v>50179</v>
      </c>
      <c r="N589">
        <v>1522</v>
      </c>
    </row>
    <row r="590" spans="1:14" x14ac:dyDescent="0.35">
      <c r="A590" t="s">
        <v>628</v>
      </c>
      <c r="B590" t="s">
        <v>15</v>
      </c>
      <c r="C590" t="s">
        <v>16</v>
      </c>
      <c r="D590">
        <v>40</v>
      </c>
      <c r="E590" t="s">
        <v>612</v>
      </c>
      <c r="F590">
        <v>5419</v>
      </c>
      <c r="G590" t="s">
        <v>18</v>
      </c>
      <c r="H590">
        <v>27</v>
      </c>
      <c r="I590" t="s">
        <v>19</v>
      </c>
      <c r="J590">
        <v>2002</v>
      </c>
      <c r="K590">
        <v>2002</v>
      </c>
      <c r="L590" t="s">
        <v>20</v>
      </c>
      <c r="M590">
        <v>50724</v>
      </c>
      <c r="N590">
        <v>1522</v>
      </c>
    </row>
    <row r="591" spans="1:14" x14ac:dyDescent="0.35">
      <c r="A591" t="s">
        <v>629</v>
      </c>
      <c r="B591" t="s">
        <v>15</v>
      </c>
      <c r="C591" t="s">
        <v>16</v>
      </c>
      <c r="D591">
        <v>40</v>
      </c>
      <c r="E591" t="s">
        <v>612</v>
      </c>
      <c r="F591">
        <v>5419</v>
      </c>
      <c r="G591" t="s">
        <v>18</v>
      </c>
      <c r="H591">
        <v>27</v>
      </c>
      <c r="I591" t="s">
        <v>19</v>
      </c>
      <c r="J591">
        <v>2004</v>
      </c>
      <c r="K591">
        <v>2004</v>
      </c>
      <c r="L591" t="s">
        <v>20</v>
      </c>
      <c r="M591">
        <v>47898</v>
      </c>
      <c r="N591">
        <v>1522</v>
      </c>
    </row>
    <row r="592" spans="1:14" x14ac:dyDescent="0.35">
      <c r="A592" t="s">
        <v>630</v>
      </c>
      <c r="B592" t="s">
        <v>15</v>
      </c>
      <c r="C592" t="s">
        <v>16</v>
      </c>
      <c r="D592">
        <v>40</v>
      </c>
      <c r="E592" t="s">
        <v>612</v>
      </c>
      <c r="F592">
        <v>5419</v>
      </c>
      <c r="G592" t="s">
        <v>18</v>
      </c>
      <c r="H592">
        <v>27</v>
      </c>
      <c r="I592" t="s">
        <v>19</v>
      </c>
      <c r="J592">
        <v>2005</v>
      </c>
      <c r="K592">
        <v>2005</v>
      </c>
      <c r="L592" t="s">
        <v>20</v>
      </c>
      <c r="M592">
        <v>46677</v>
      </c>
      <c r="N592">
        <v>1522</v>
      </c>
    </row>
    <row r="593" spans="1:14" x14ac:dyDescent="0.35">
      <c r="A593" t="s">
        <v>631</v>
      </c>
      <c r="B593" t="s">
        <v>15</v>
      </c>
      <c r="C593" t="s">
        <v>16</v>
      </c>
      <c r="D593">
        <v>40</v>
      </c>
      <c r="E593" t="s">
        <v>612</v>
      </c>
      <c r="F593">
        <v>5419</v>
      </c>
      <c r="G593" t="s">
        <v>18</v>
      </c>
      <c r="H593">
        <v>27</v>
      </c>
      <c r="I593" t="s">
        <v>19</v>
      </c>
      <c r="J593">
        <v>2006</v>
      </c>
      <c r="K593">
        <v>2006</v>
      </c>
      <c r="L593" t="s">
        <v>20</v>
      </c>
      <c r="M593">
        <v>57296</v>
      </c>
      <c r="N593">
        <v>1522</v>
      </c>
    </row>
    <row r="594" spans="1:14" x14ac:dyDescent="0.35">
      <c r="A594" t="s">
        <v>632</v>
      </c>
      <c r="B594" t="s">
        <v>15</v>
      </c>
      <c r="C594" t="s">
        <v>16</v>
      </c>
      <c r="D594">
        <v>40</v>
      </c>
      <c r="E594" t="s">
        <v>612</v>
      </c>
      <c r="F594">
        <v>5419</v>
      </c>
      <c r="G594" t="s">
        <v>18</v>
      </c>
      <c r="H594">
        <v>27</v>
      </c>
      <c r="I594" t="s">
        <v>19</v>
      </c>
      <c r="J594">
        <v>2007</v>
      </c>
      <c r="K594">
        <v>2007</v>
      </c>
      <c r="L594" t="s">
        <v>20</v>
      </c>
      <c r="M594">
        <v>50663</v>
      </c>
      <c r="N594">
        <v>1522</v>
      </c>
    </row>
    <row r="595" spans="1:14" x14ac:dyDescent="0.35">
      <c r="A595" t="s">
        <v>633</v>
      </c>
      <c r="B595" t="s">
        <v>15</v>
      </c>
      <c r="C595" t="s">
        <v>16</v>
      </c>
      <c r="D595">
        <v>40</v>
      </c>
      <c r="E595" t="s">
        <v>612</v>
      </c>
      <c r="F595">
        <v>5419</v>
      </c>
      <c r="G595" t="s">
        <v>18</v>
      </c>
      <c r="H595">
        <v>27</v>
      </c>
      <c r="I595" t="s">
        <v>19</v>
      </c>
      <c r="J595">
        <v>2008</v>
      </c>
      <c r="K595">
        <v>2008</v>
      </c>
      <c r="L595" t="s">
        <v>20</v>
      </c>
      <c r="M595">
        <v>57920</v>
      </c>
      <c r="N595">
        <v>1522</v>
      </c>
    </row>
    <row r="596" spans="1:14" x14ac:dyDescent="0.35">
      <c r="A596" t="s">
        <v>634</v>
      </c>
      <c r="B596" t="s">
        <v>15</v>
      </c>
      <c r="C596" t="s">
        <v>16</v>
      </c>
      <c r="D596">
        <v>40</v>
      </c>
      <c r="E596" t="s">
        <v>612</v>
      </c>
      <c r="F596">
        <v>5419</v>
      </c>
      <c r="G596" t="s">
        <v>18</v>
      </c>
      <c r="H596">
        <v>27</v>
      </c>
      <c r="I596" t="s">
        <v>19</v>
      </c>
      <c r="J596">
        <v>2009</v>
      </c>
      <c r="K596">
        <v>2009</v>
      </c>
      <c r="L596" t="s">
        <v>20</v>
      </c>
      <c r="M596">
        <v>53763</v>
      </c>
      <c r="N596">
        <v>1522</v>
      </c>
    </row>
    <row r="597" spans="1:14" x14ac:dyDescent="0.35">
      <c r="A597" t="s">
        <v>635</v>
      </c>
      <c r="B597" t="s">
        <v>15</v>
      </c>
      <c r="C597" t="s">
        <v>16</v>
      </c>
      <c r="D597">
        <v>40</v>
      </c>
      <c r="E597" t="s">
        <v>612</v>
      </c>
      <c r="F597">
        <v>5419</v>
      </c>
      <c r="G597" t="s">
        <v>18</v>
      </c>
      <c r="H597">
        <v>27</v>
      </c>
      <c r="I597" t="s">
        <v>19</v>
      </c>
      <c r="J597">
        <v>2010</v>
      </c>
      <c r="K597">
        <v>2010</v>
      </c>
      <c r="L597" t="s">
        <v>20</v>
      </c>
      <c r="M597">
        <v>38599</v>
      </c>
      <c r="N597">
        <v>1522</v>
      </c>
    </row>
    <row r="598" spans="1:14" x14ac:dyDescent="0.35">
      <c r="A598" t="s">
        <v>636</v>
      </c>
      <c r="B598" t="s">
        <v>15</v>
      </c>
      <c r="C598" t="s">
        <v>16</v>
      </c>
      <c r="D598">
        <v>40</v>
      </c>
      <c r="E598" t="s">
        <v>612</v>
      </c>
      <c r="F598">
        <v>5419</v>
      </c>
      <c r="G598" t="s">
        <v>18</v>
      </c>
      <c r="H598">
        <v>27</v>
      </c>
      <c r="I598" t="s">
        <v>19</v>
      </c>
      <c r="J598">
        <v>2011</v>
      </c>
      <c r="K598">
        <v>2011</v>
      </c>
      <c r="L598" t="s">
        <v>20</v>
      </c>
      <c r="M598">
        <v>51899</v>
      </c>
      <c r="N598">
        <v>1522</v>
      </c>
    </row>
    <row r="599" spans="1:14" x14ac:dyDescent="0.35">
      <c r="A599" t="s">
        <v>637</v>
      </c>
      <c r="B599" t="s">
        <v>15</v>
      </c>
      <c r="C599" t="s">
        <v>16</v>
      </c>
      <c r="D599">
        <v>40</v>
      </c>
      <c r="E599" t="s">
        <v>612</v>
      </c>
      <c r="F599">
        <v>5419</v>
      </c>
      <c r="G599" t="s">
        <v>18</v>
      </c>
      <c r="H599">
        <v>27</v>
      </c>
      <c r="I599" t="s">
        <v>19</v>
      </c>
      <c r="J599">
        <v>2012</v>
      </c>
      <c r="K599">
        <v>2012</v>
      </c>
      <c r="L599" t="s">
        <v>20</v>
      </c>
      <c r="M599">
        <v>62435</v>
      </c>
      <c r="N599">
        <v>1522</v>
      </c>
    </row>
    <row r="600" spans="1:14" x14ac:dyDescent="0.35">
      <c r="A600" t="s">
        <v>638</v>
      </c>
      <c r="B600" t="s">
        <v>15</v>
      </c>
      <c r="C600" t="s">
        <v>16</v>
      </c>
      <c r="D600">
        <v>40</v>
      </c>
      <c r="E600" t="s">
        <v>612</v>
      </c>
      <c r="F600">
        <v>5419</v>
      </c>
      <c r="G600" t="s">
        <v>18</v>
      </c>
      <c r="H600">
        <v>27</v>
      </c>
      <c r="I600" t="s">
        <v>19</v>
      </c>
      <c r="J600">
        <v>2013</v>
      </c>
      <c r="K600">
        <v>2013</v>
      </c>
      <c r="L600" t="s">
        <v>20</v>
      </c>
      <c r="M600">
        <v>62051</v>
      </c>
      <c r="N600">
        <v>1522</v>
      </c>
    </row>
    <row r="601" spans="1:14" x14ac:dyDescent="0.35">
      <c r="A601" t="s">
        <v>639</v>
      </c>
      <c r="B601" t="s">
        <v>15</v>
      </c>
      <c r="C601" t="s">
        <v>16</v>
      </c>
      <c r="D601">
        <v>40</v>
      </c>
      <c r="E601" t="s">
        <v>612</v>
      </c>
      <c r="F601">
        <v>5419</v>
      </c>
      <c r="G601" t="s">
        <v>18</v>
      </c>
      <c r="H601">
        <v>27</v>
      </c>
      <c r="I601" t="s">
        <v>19</v>
      </c>
      <c r="J601">
        <v>2014</v>
      </c>
      <c r="K601">
        <v>2014</v>
      </c>
      <c r="L601" t="s">
        <v>20</v>
      </c>
      <c r="M601">
        <v>60221</v>
      </c>
      <c r="N601">
        <v>1522</v>
      </c>
    </row>
    <row r="602" spans="1:14" x14ac:dyDescent="0.35">
      <c r="A602" t="s">
        <v>640</v>
      </c>
      <c r="B602" t="s">
        <v>15</v>
      </c>
      <c r="C602" t="s">
        <v>16</v>
      </c>
      <c r="D602">
        <v>40</v>
      </c>
      <c r="E602" t="s">
        <v>612</v>
      </c>
      <c r="F602">
        <v>5419</v>
      </c>
      <c r="G602" t="s">
        <v>18</v>
      </c>
      <c r="H602">
        <v>27</v>
      </c>
      <c r="I602" t="s">
        <v>19</v>
      </c>
      <c r="J602">
        <v>2015</v>
      </c>
      <c r="K602">
        <v>2015</v>
      </c>
      <c r="L602" t="s">
        <v>20</v>
      </c>
      <c r="M602">
        <v>68972</v>
      </c>
      <c r="N602">
        <v>1522</v>
      </c>
    </row>
    <row r="603" spans="1:14" x14ac:dyDescent="0.35">
      <c r="A603" t="s">
        <v>641</v>
      </c>
      <c r="B603" t="s">
        <v>15</v>
      </c>
      <c r="C603" t="s">
        <v>16</v>
      </c>
      <c r="D603">
        <v>40</v>
      </c>
      <c r="E603" t="s">
        <v>612</v>
      </c>
      <c r="F603">
        <v>5419</v>
      </c>
      <c r="G603" t="s">
        <v>18</v>
      </c>
      <c r="H603">
        <v>27</v>
      </c>
      <c r="I603" t="s">
        <v>19</v>
      </c>
      <c r="J603">
        <v>2016</v>
      </c>
      <c r="K603">
        <v>2016</v>
      </c>
      <c r="L603" t="s">
        <v>20</v>
      </c>
      <c r="M603">
        <v>65564</v>
      </c>
      <c r="N603">
        <v>1522</v>
      </c>
    </row>
    <row r="604" spans="1:14" x14ac:dyDescent="0.35">
      <c r="A604" t="s">
        <v>642</v>
      </c>
      <c r="B604" t="s">
        <v>15</v>
      </c>
      <c r="C604" t="s">
        <v>16</v>
      </c>
      <c r="D604">
        <v>351</v>
      </c>
      <c r="E604" t="s">
        <v>643</v>
      </c>
      <c r="F604">
        <v>5419</v>
      </c>
      <c r="G604" t="s">
        <v>18</v>
      </c>
      <c r="H604">
        <v>27</v>
      </c>
      <c r="I604" t="s">
        <v>19</v>
      </c>
      <c r="J604">
        <v>1985</v>
      </c>
      <c r="K604">
        <v>1985</v>
      </c>
      <c r="L604" t="s">
        <v>20</v>
      </c>
      <c r="M604">
        <v>52498</v>
      </c>
      <c r="N604">
        <v>645</v>
      </c>
    </row>
    <row r="605" spans="1:14" x14ac:dyDescent="0.35">
      <c r="A605" t="s">
        <v>644</v>
      </c>
      <c r="B605" t="s">
        <v>15</v>
      </c>
      <c r="C605" t="s">
        <v>16</v>
      </c>
      <c r="D605">
        <v>351</v>
      </c>
      <c r="E605" t="s">
        <v>643</v>
      </c>
      <c r="F605">
        <v>5419</v>
      </c>
      <c r="G605" t="s">
        <v>18</v>
      </c>
      <c r="H605">
        <v>27</v>
      </c>
      <c r="I605" t="s">
        <v>19</v>
      </c>
      <c r="J605">
        <v>1986</v>
      </c>
      <c r="K605">
        <v>1986</v>
      </c>
      <c r="L605" t="s">
        <v>20</v>
      </c>
      <c r="M605">
        <v>53272</v>
      </c>
      <c r="N605">
        <v>645</v>
      </c>
    </row>
    <row r="606" spans="1:14" x14ac:dyDescent="0.35">
      <c r="A606" t="s">
        <v>645</v>
      </c>
      <c r="B606" t="s">
        <v>15</v>
      </c>
      <c r="C606" t="s">
        <v>16</v>
      </c>
      <c r="D606">
        <v>351</v>
      </c>
      <c r="E606" t="s">
        <v>643</v>
      </c>
      <c r="F606">
        <v>5419</v>
      </c>
      <c r="G606" t="s">
        <v>18</v>
      </c>
      <c r="H606">
        <v>27</v>
      </c>
      <c r="I606" t="s">
        <v>19</v>
      </c>
      <c r="J606">
        <v>1987</v>
      </c>
      <c r="K606">
        <v>1987</v>
      </c>
      <c r="L606" t="s">
        <v>20</v>
      </c>
      <c r="M606">
        <v>54035</v>
      </c>
      <c r="N606">
        <v>645</v>
      </c>
    </row>
    <row r="607" spans="1:14" x14ac:dyDescent="0.35">
      <c r="A607" t="s">
        <v>646</v>
      </c>
      <c r="B607" t="s">
        <v>15</v>
      </c>
      <c r="C607" t="s">
        <v>16</v>
      </c>
      <c r="D607">
        <v>351</v>
      </c>
      <c r="E607" t="s">
        <v>643</v>
      </c>
      <c r="F607">
        <v>5419</v>
      </c>
      <c r="G607" t="s">
        <v>18</v>
      </c>
      <c r="H607">
        <v>27</v>
      </c>
      <c r="I607" t="s">
        <v>19</v>
      </c>
      <c r="J607">
        <v>1989</v>
      </c>
      <c r="K607">
        <v>1989</v>
      </c>
      <c r="L607" t="s">
        <v>20</v>
      </c>
      <c r="M607">
        <v>55005</v>
      </c>
      <c r="N607">
        <v>645</v>
      </c>
    </row>
    <row r="608" spans="1:14" x14ac:dyDescent="0.35">
      <c r="A608" t="s">
        <v>647</v>
      </c>
      <c r="B608" t="s">
        <v>15</v>
      </c>
      <c r="C608" t="s">
        <v>16</v>
      </c>
      <c r="D608">
        <v>351</v>
      </c>
      <c r="E608" t="s">
        <v>643</v>
      </c>
      <c r="F608">
        <v>5419</v>
      </c>
      <c r="G608" t="s">
        <v>18</v>
      </c>
      <c r="H608">
        <v>27</v>
      </c>
      <c r="I608" t="s">
        <v>19</v>
      </c>
      <c r="J608">
        <v>1990</v>
      </c>
      <c r="K608">
        <v>1990</v>
      </c>
      <c r="L608" t="s">
        <v>20</v>
      </c>
      <c r="M608">
        <v>57166</v>
      </c>
      <c r="N608">
        <v>645</v>
      </c>
    </row>
    <row r="609" spans="1:14" x14ac:dyDescent="0.35">
      <c r="A609" t="s">
        <v>648</v>
      </c>
      <c r="B609" t="s">
        <v>15</v>
      </c>
      <c r="C609" t="s">
        <v>16</v>
      </c>
      <c r="D609">
        <v>351</v>
      </c>
      <c r="E609" t="s">
        <v>643</v>
      </c>
      <c r="F609">
        <v>5419</v>
      </c>
      <c r="G609" t="s">
        <v>18</v>
      </c>
      <c r="H609">
        <v>27</v>
      </c>
      <c r="I609" t="s">
        <v>19</v>
      </c>
      <c r="J609">
        <v>1991</v>
      </c>
      <c r="K609">
        <v>1991</v>
      </c>
      <c r="L609" t="s">
        <v>20</v>
      </c>
      <c r="M609">
        <v>56369</v>
      </c>
      <c r="N609">
        <v>645</v>
      </c>
    </row>
    <row r="610" spans="1:14" x14ac:dyDescent="0.35">
      <c r="A610" t="s">
        <v>649</v>
      </c>
      <c r="B610" t="s">
        <v>15</v>
      </c>
      <c r="C610" t="s">
        <v>16</v>
      </c>
      <c r="D610">
        <v>351</v>
      </c>
      <c r="E610" t="s">
        <v>643</v>
      </c>
      <c r="F610">
        <v>5419</v>
      </c>
      <c r="G610" t="s">
        <v>18</v>
      </c>
      <c r="H610">
        <v>27</v>
      </c>
      <c r="I610" t="s">
        <v>19</v>
      </c>
      <c r="J610">
        <v>1992</v>
      </c>
      <c r="K610">
        <v>1992</v>
      </c>
      <c r="L610" t="s">
        <v>20</v>
      </c>
      <c r="M610">
        <v>57959</v>
      </c>
      <c r="N610">
        <v>645</v>
      </c>
    </row>
    <row r="611" spans="1:14" x14ac:dyDescent="0.35">
      <c r="A611" t="s">
        <v>650</v>
      </c>
      <c r="B611" t="s">
        <v>15</v>
      </c>
      <c r="C611" t="s">
        <v>16</v>
      </c>
      <c r="D611">
        <v>351</v>
      </c>
      <c r="E611" t="s">
        <v>643</v>
      </c>
      <c r="F611">
        <v>5419</v>
      </c>
      <c r="G611" t="s">
        <v>18</v>
      </c>
      <c r="H611">
        <v>27</v>
      </c>
      <c r="I611" t="s">
        <v>19</v>
      </c>
      <c r="J611">
        <v>1993</v>
      </c>
      <c r="K611">
        <v>1993</v>
      </c>
      <c r="L611" t="s">
        <v>20</v>
      </c>
      <c r="M611">
        <v>58462</v>
      </c>
      <c r="N611">
        <v>645</v>
      </c>
    </row>
    <row r="612" spans="1:14" x14ac:dyDescent="0.35">
      <c r="A612" t="s">
        <v>651</v>
      </c>
      <c r="B612" t="s">
        <v>15</v>
      </c>
      <c r="C612" t="s">
        <v>16</v>
      </c>
      <c r="D612">
        <v>351</v>
      </c>
      <c r="E612" t="s">
        <v>643</v>
      </c>
      <c r="F612">
        <v>5419</v>
      </c>
      <c r="G612" t="s">
        <v>18</v>
      </c>
      <c r="H612">
        <v>27</v>
      </c>
      <c r="I612" t="s">
        <v>19</v>
      </c>
      <c r="J612">
        <v>1994</v>
      </c>
      <c r="K612">
        <v>1994</v>
      </c>
      <c r="L612" t="s">
        <v>20</v>
      </c>
      <c r="M612">
        <v>58288</v>
      </c>
      <c r="N612">
        <v>645</v>
      </c>
    </row>
    <row r="613" spans="1:14" x14ac:dyDescent="0.35">
      <c r="A613" t="s">
        <v>652</v>
      </c>
      <c r="B613" t="s">
        <v>15</v>
      </c>
      <c r="C613" t="s">
        <v>16</v>
      </c>
      <c r="D613">
        <v>351</v>
      </c>
      <c r="E613" t="s">
        <v>643</v>
      </c>
      <c r="F613">
        <v>5419</v>
      </c>
      <c r="G613" t="s">
        <v>18</v>
      </c>
      <c r="H613">
        <v>27</v>
      </c>
      <c r="I613" t="s">
        <v>19</v>
      </c>
      <c r="J613">
        <v>1995</v>
      </c>
      <c r="K613">
        <v>1995</v>
      </c>
      <c r="L613" t="s">
        <v>20</v>
      </c>
      <c r="M613">
        <v>60210</v>
      </c>
      <c r="N613">
        <v>645</v>
      </c>
    </row>
    <row r="614" spans="1:14" x14ac:dyDescent="0.35">
      <c r="A614" t="s">
        <v>653</v>
      </c>
      <c r="B614" t="s">
        <v>15</v>
      </c>
      <c r="C614" t="s">
        <v>16</v>
      </c>
      <c r="D614">
        <v>351</v>
      </c>
      <c r="E614" t="s">
        <v>643</v>
      </c>
      <c r="F614">
        <v>5419</v>
      </c>
      <c r="G614" t="s">
        <v>18</v>
      </c>
      <c r="H614">
        <v>27</v>
      </c>
      <c r="I614" t="s">
        <v>19</v>
      </c>
      <c r="J614">
        <v>1996</v>
      </c>
      <c r="K614">
        <v>1996</v>
      </c>
      <c r="L614" t="s">
        <v>20</v>
      </c>
      <c r="M614">
        <v>62050</v>
      </c>
      <c r="N614">
        <v>645</v>
      </c>
    </row>
    <row r="615" spans="1:14" x14ac:dyDescent="0.35">
      <c r="A615" t="s">
        <v>654</v>
      </c>
      <c r="B615" t="s">
        <v>15</v>
      </c>
      <c r="C615" t="s">
        <v>16</v>
      </c>
      <c r="D615">
        <v>351</v>
      </c>
      <c r="E615" t="s">
        <v>643</v>
      </c>
      <c r="F615">
        <v>5419</v>
      </c>
      <c r="G615" t="s">
        <v>18</v>
      </c>
      <c r="H615">
        <v>27</v>
      </c>
      <c r="I615" t="s">
        <v>19</v>
      </c>
      <c r="J615">
        <v>1997</v>
      </c>
      <c r="K615">
        <v>1997</v>
      </c>
      <c r="L615" t="s">
        <v>20</v>
      </c>
      <c r="M615">
        <v>63111</v>
      </c>
      <c r="N615">
        <v>645</v>
      </c>
    </row>
    <row r="616" spans="1:14" x14ac:dyDescent="0.35">
      <c r="A616" t="s">
        <v>655</v>
      </c>
      <c r="B616" t="s">
        <v>15</v>
      </c>
      <c r="C616" t="s">
        <v>16</v>
      </c>
      <c r="D616">
        <v>351</v>
      </c>
      <c r="E616" t="s">
        <v>643</v>
      </c>
      <c r="F616">
        <v>5419</v>
      </c>
      <c r="G616" t="s">
        <v>18</v>
      </c>
      <c r="H616">
        <v>27</v>
      </c>
      <c r="I616" t="s">
        <v>19</v>
      </c>
      <c r="J616">
        <v>1998</v>
      </c>
      <c r="K616">
        <v>1998</v>
      </c>
      <c r="L616" t="s">
        <v>20</v>
      </c>
      <c r="M616">
        <v>63529</v>
      </c>
      <c r="N616">
        <v>645</v>
      </c>
    </row>
    <row r="617" spans="1:14" x14ac:dyDescent="0.35">
      <c r="A617" t="s">
        <v>656</v>
      </c>
      <c r="B617" t="s">
        <v>15</v>
      </c>
      <c r="C617" t="s">
        <v>16</v>
      </c>
      <c r="D617">
        <v>351</v>
      </c>
      <c r="E617" t="s">
        <v>643</v>
      </c>
      <c r="F617">
        <v>5419</v>
      </c>
      <c r="G617" t="s">
        <v>18</v>
      </c>
      <c r="H617">
        <v>27</v>
      </c>
      <c r="I617" t="s">
        <v>19</v>
      </c>
      <c r="J617">
        <v>1999</v>
      </c>
      <c r="K617">
        <v>1999</v>
      </c>
      <c r="L617" t="s">
        <v>20</v>
      </c>
      <c r="M617">
        <v>63344</v>
      </c>
      <c r="N617">
        <v>645</v>
      </c>
    </row>
    <row r="618" spans="1:14" x14ac:dyDescent="0.35">
      <c r="A618" t="s">
        <v>657</v>
      </c>
      <c r="B618" t="s">
        <v>15</v>
      </c>
      <c r="C618" t="s">
        <v>16</v>
      </c>
      <c r="D618">
        <v>351</v>
      </c>
      <c r="E618" t="s">
        <v>643</v>
      </c>
      <c r="F618">
        <v>5419</v>
      </c>
      <c r="G618" t="s">
        <v>18</v>
      </c>
      <c r="H618">
        <v>27</v>
      </c>
      <c r="I618" t="s">
        <v>19</v>
      </c>
      <c r="J618">
        <v>2000</v>
      </c>
      <c r="K618">
        <v>2000</v>
      </c>
      <c r="L618" t="s">
        <v>20</v>
      </c>
      <c r="M618">
        <v>62642</v>
      </c>
      <c r="N618">
        <v>645</v>
      </c>
    </row>
    <row r="619" spans="1:14" x14ac:dyDescent="0.35">
      <c r="A619" t="s">
        <v>658</v>
      </c>
      <c r="B619" t="s">
        <v>15</v>
      </c>
      <c r="C619" t="s">
        <v>16</v>
      </c>
      <c r="D619">
        <v>351</v>
      </c>
      <c r="E619" t="s">
        <v>643</v>
      </c>
      <c r="F619">
        <v>5419</v>
      </c>
      <c r="G619" t="s">
        <v>18</v>
      </c>
      <c r="H619">
        <v>27</v>
      </c>
      <c r="I619" t="s">
        <v>19</v>
      </c>
      <c r="J619">
        <v>2001</v>
      </c>
      <c r="K619">
        <v>2001</v>
      </c>
      <c r="L619" t="s">
        <v>20</v>
      </c>
      <c r="M619">
        <v>61524</v>
      </c>
      <c r="N619">
        <v>645</v>
      </c>
    </row>
    <row r="620" spans="1:14" x14ac:dyDescent="0.35">
      <c r="A620" t="s">
        <v>659</v>
      </c>
      <c r="B620" t="s">
        <v>15</v>
      </c>
      <c r="C620" t="s">
        <v>16</v>
      </c>
      <c r="D620">
        <v>351</v>
      </c>
      <c r="E620" t="s">
        <v>643</v>
      </c>
      <c r="F620">
        <v>5419</v>
      </c>
      <c r="G620" t="s">
        <v>18</v>
      </c>
      <c r="H620">
        <v>27</v>
      </c>
      <c r="I620" t="s">
        <v>19</v>
      </c>
      <c r="J620">
        <v>2002</v>
      </c>
      <c r="K620">
        <v>2002</v>
      </c>
      <c r="L620" t="s">
        <v>20</v>
      </c>
      <c r="M620">
        <v>61855</v>
      </c>
      <c r="N620">
        <v>645</v>
      </c>
    </row>
    <row r="621" spans="1:14" x14ac:dyDescent="0.35">
      <c r="A621" t="s">
        <v>660</v>
      </c>
      <c r="B621" t="s">
        <v>15</v>
      </c>
      <c r="C621" t="s">
        <v>16</v>
      </c>
      <c r="D621">
        <v>351</v>
      </c>
      <c r="E621" t="s">
        <v>643</v>
      </c>
      <c r="F621">
        <v>5419</v>
      </c>
      <c r="G621" t="s">
        <v>18</v>
      </c>
      <c r="H621">
        <v>27</v>
      </c>
      <c r="I621" t="s">
        <v>19</v>
      </c>
      <c r="J621">
        <v>2004</v>
      </c>
      <c r="K621">
        <v>2004</v>
      </c>
      <c r="L621" t="s">
        <v>20</v>
      </c>
      <c r="M621">
        <v>63085</v>
      </c>
      <c r="N621">
        <v>645</v>
      </c>
    </row>
    <row r="622" spans="1:14" x14ac:dyDescent="0.35">
      <c r="A622" t="s">
        <v>661</v>
      </c>
      <c r="B622" t="s">
        <v>15</v>
      </c>
      <c r="C622" t="s">
        <v>16</v>
      </c>
      <c r="D622">
        <v>351</v>
      </c>
      <c r="E622" t="s">
        <v>643</v>
      </c>
      <c r="F622">
        <v>5419</v>
      </c>
      <c r="G622" t="s">
        <v>18</v>
      </c>
      <c r="H622">
        <v>27</v>
      </c>
      <c r="I622" t="s">
        <v>19</v>
      </c>
      <c r="J622">
        <v>2005</v>
      </c>
      <c r="K622">
        <v>2005</v>
      </c>
      <c r="L622" t="s">
        <v>20</v>
      </c>
      <c r="M622">
        <v>62527</v>
      </c>
      <c r="N622">
        <v>645</v>
      </c>
    </row>
    <row r="623" spans="1:14" x14ac:dyDescent="0.35">
      <c r="A623" t="s">
        <v>662</v>
      </c>
      <c r="B623" t="s">
        <v>15</v>
      </c>
      <c r="C623" t="s">
        <v>16</v>
      </c>
      <c r="D623">
        <v>351</v>
      </c>
      <c r="E623" t="s">
        <v>643</v>
      </c>
      <c r="F623">
        <v>5419</v>
      </c>
      <c r="G623" t="s">
        <v>18</v>
      </c>
      <c r="H623">
        <v>27</v>
      </c>
      <c r="I623" t="s">
        <v>19</v>
      </c>
      <c r="J623">
        <v>2006</v>
      </c>
      <c r="K623">
        <v>2006</v>
      </c>
      <c r="L623" t="s">
        <v>20</v>
      </c>
      <c r="M623">
        <v>62763</v>
      </c>
      <c r="N623">
        <v>645</v>
      </c>
    </row>
    <row r="624" spans="1:14" x14ac:dyDescent="0.35">
      <c r="A624" t="s">
        <v>663</v>
      </c>
      <c r="B624" t="s">
        <v>15</v>
      </c>
      <c r="C624" t="s">
        <v>16</v>
      </c>
      <c r="D624">
        <v>351</v>
      </c>
      <c r="E624" t="s">
        <v>643</v>
      </c>
      <c r="F624">
        <v>5419</v>
      </c>
      <c r="G624" t="s">
        <v>18</v>
      </c>
      <c r="H624">
        <v>27</v>
      </c>
      <c r="I624" t="s">
        <v>19</v>
      </c>
      <c r="J624">
        <v>2007</v>
      </c>
      <c r="K624">
        <v>2007</v>
      </c>
      <c r="L624" t="s">
        <v>20</v>
      </c>
      <c r="M624">
        <v>64223</v>
      </c>
      <c r="N624">
        <v>645</v>
      </c>
    </row>
    <row r="625" spans="1:14" x14ac:dyDescent="0.35">
      <c r="A625" t="s">
        <v>664</v>
      </c>
      <c r="B625" t="s">
        <v>15</v>
      </c>
      <c r="C625" t="s">
        <v>16</v>
      </c>
      <c r="D625">
        <v>351</v>
      </c>
      <c r="E625" t="s">
        <v>643</v>
      </c>
      <c r="F625">
        <v>5419</v>
      </c>
      <c r="G625" t="s">
        <v>18</v>
      </c>
      <c r="H625">
        <v>27</v>
      </c>
      <c r="I625" t="s">
        <v>19</v>
      </c>
      <c r="J625">
        <v>2008</v>
      </c>
      <c r="K625">
        <v>2008</v>
      </c>
      <c r="L625" t="s">
        <v>20</v>
      </c>
      <c r="M625">
        <v>65558</v>
      </c>
      <c r="N625">
        <v>645</v>
      </c>
    </row>
    <row r="626" spans="1:14" x14ac:dyDescent="0.35">
      <c r="A626" t="s">
        <v>665</v>
      </c>
      <c r="B626" t="s">
        <v>15</v>
      </c>
      <c r="C626" t="s">
        <v>16</v>
      </c>
      <c r="D626">
        <v>351</v>
      </c>
      <c r="E626" t="s">
        <v>643</v>
      </c>
      <c r="F626">
        <v>5419</v>
      </c>
      <c r="G626" t="s">
        <v>18</v>
      </c>
      <c r="H626">
        <v>27</v>
      </c>
      <c r="I626" t="s">
        <v>19</v>
      </c>
      <c r="J626">
        <v>2009</v>
      </c>
      <c r="K626">
        <v>2009</v>
      </c>
      <c r="L626" t="s">
        <v>20</v>
      </c>
      <c r="M626">
        <v>65820</v>
      </c>
      <c r="N626">
        <v>645</v>
      </c>
    </row>
    <row r="627" spans="1:14" x14ac:dyDescent="0.35">
      <c r="A627" t="s">
        <v>666</v>
      </c>
      <c r="B627" t="s">
        <v>15</v>
      </c>
      <c r="C627" t="s">
        <v>16</v>
      </c>
      <c r="D627">
        <v>351</v>
      </c>
      <c r="E627" t="s">
        <v>643</v>
      </c>
      <c r="F627">
        <v>5419</v>
      </c>
      <c r="G627" t="s">
        <v>18</v>
      </c>
      <c r="H627">
        <v>27</v>
      </c>
      <c r="I627" t="s">
        <v>19</v>
      </c>
      <c r="J627">
        <v>2010</v>
      </c>
      <c r="K627">
        <v>2010</v>
      </c>
      <c r="L627" t="s">
        <v>20</v>
      </c>
      <c r="M627">
        <v>65481</v>
      </c>
      <c r="N627">
        <v>645</v>
      </c>
    </row>
    <row r="628" spans="1:14" x14ac:dyDescent="0.35">
      <c r="A628" t="s">
        <v>667</v>
      </c>
      <c r="B628" t="s">
        <v>15</v>
      </c>
      <c r="C628" t="s">
        <v>16</v>
      </c>
      <c r="D628">
        <v>351</v>
      </c>
      <c r="E628" t="s">
        <v>643</v>
      </c>
      <c r="F628">
        <v>5419</v>
      </c>
      <c r="G628" t="s">
        <v>18</v>
      </c>
      <c r="H628">
        <v>27</v>
      </c>
      <c r="I628" t="s">
        <v>19</v>
      </c>
      <c r="J628">
        <v>2011</v>
      </c>
      <c r="K628">
        <v>2011</v>
      </c>
      <c r="L628" t="s">
        <v>20</v>
      </c>
      <c r="M628">
        <v>66862</v>
      </c>
      <c r="N628">
        <v>645</v>
      </c>
    </row>
    <row r="629" spans="1:14" x14ac:dyDescent="0.35">
      <c r="A629" t="s">
        <v>668</v>
      </c>
      <c r="B629" t="s">
        <v>15</v>
      </c>
      <c r="C629" t="s">
        <v>16</v>
      </c>
      <c r="D629">
        <v>351</v>
      </c>
      <c r="E629" t="s">
        <v>643</v>
      </c>
      <c r="F629">
        <v>5419</v>
      </c>
      <c r="G629" t="s">
        <v>18</v>
      </c>
      <c r="H629">
        <v>27</v>
      </c>
      <c r="I629" t="s">
        <v>19</v>
      </c>
      <c r="J629">
        <v>2012</v>
      </c>
      <c r="K629">
        <v>2012</v>
      </c>
      <c r="L629" t="s">
        <v>20</v>
      </c>
      <c r="M629">
        <v>67747</v>
      </c>
      <c r="N629">
        <v>645</v>
      </c>
    </row>
    <row r="630" spans="1:14" x14ac:dyDescent="0.35">
      <c r="A630" t="s">
        <v>669</v>
      </c>
      <c r="B630" t="s">
        <v>15</v>
      </c>
      <c r="C630" t="s">
        <v>16</v>
      </c>
      <c r="D630">
        <v>351</v>
      </c>
      <c r="E630" t="s">
        <v>643</v>
      </c>
      <c r="F630">
        <v>5419</v>
      </c>
      <c r="G630" t="s">
        <v>18</v>
      </c>
      <c r="H630">
        <v>27</v>
      </c>
      <c r="I630" t="s">
        <v>19</v>
      </c>
      <c r="J630">
        <v>2013</v>
      </c>
      <c r="K630">
        <v>2013</v>
      </c>
      <c r="L630" t="s">
        <v>20</v>
      </c>
      <c r="M630">
        <v>67099</v>
      </c>
      <c r="N630">
        <v>645</v>
      </c>
    </row>
    <row r="631" spans="1:14" x14ac:dyDescent="0.35">
      <c r="A631" t="s">
        <v>670</v>
      </c>
      <c r="B631" t="s">
        <v>15</v>
      </c>
      <c r="C631" t="s">
        <v>16</v>
      </c>
      <c r="D631">
        <v>351</v>
      </c>
      <c r="E631" t="s">
        <v>643</v>
      </c>
      <c r="F631">
        <v>5419</v>
      </c>
      <c r="G631" t="s">
        <v>18</v>
      </c>
      <c r="H631">
        <v>27</v>
      </c>
      <c r="I631" t="s">
        <v>19</v>
      </c>
      <c r="J631">
        <v>2014</v>
      </c>
      <c r="K631">
        <v>2014</v>
      </c>
      <c r="L631" t="s">
        <v>20</v>
      </c>
      <c r="M631">
        <v>68095</v>
      </c>
      <c r="N631">
        <v>645</v>
      </c>
    </row>
    <row r="632" spans="1:14" x14ac:dyDescent="0.35">
      <c r="A632" t="s">
        <v>671</v>
      </c>
      <c r="B632" t="s">
        <v>15</v>
      </c>
      <c r="C632" t="s">
        <v>16</v>
      </c>
      <c r="D632">
        <v>351</v>
      </c>
      <c r="E632" t="s">
        <v>643</v>
      </c>
      <c r="F632">
        <v>5419</v>
      </c>
      <c r="G632" t="s">
        <v>18</v>
      </c>
      <c r="H632">
        <v>27</v>
      </c>
      <c r="I632" t="s">
        <v>19</v>
      </c>
      <c r="J632">
        <v>2015</v>
      </c>
      <c r="K632">
        <v>2015</v>
      </c>
      <c r="L632" t="s">
        <v>20</v>
      </c>
      <c r="M632">
        <v>68864</v>
      </c>
      <c r="N632">
        <v>645</v>
      </c>
    </row>
    <row r="633" spans="1:14" x14ac:dyDescent="0.35">
      <c r="A633" t="s">
        <v>672</v>
      </c>
      <c r="B633" t="s">
        <v>15</v>
      </c>
      <c r="C633" t="s">
        <v>16</v>
      </c>
      <c r="D633">
        <v>351</v>
      </c>
      <c r="E633" t="s">
        <v>643</v>
      </c>
      <c r="F633">
        <v>5419</v>
      </c>
      <c r="G633" t="s">
        <v>18</v>
      </c>
      <c r="H633">
        <v>27</v>
      </c>
      <c r="I633" t="s">
        <v>19</v>
      </c>
      <c r="J633">
        <v>2016</v>
      </c>
      <c r="K633">
        <v>2016</v>
      </c>
      <c r="L633" t="s">
        <v>20</v>
      </c>
      <c r="M633">
        <v>69324</v>
      </c>
      <c r="N633">
        <v>645</v>
      </c>
    </row>
    <row r="634" spans="1:14" x14ac:dyDescent="0.35">
      <c r="A634" t="s">
        <v>673</v>
      </c>
      <c r="B634" t="s">
        <v>15</v>
      </c>
      <c r="C634" t="s">
        <v>16</v>
      </c>
      <c r="D634">
        <v>44</v>
      </c>
      <c r="E634" t="s">
        <v>674</v>
      </c>
      <c r="F634">
        <v>5419</v>
      </c>
      <c r="G634" t="s">
        <v>18</v>
      </c>
      <c r="H634">
        <v>27</v>
      </c>
      <c r="I634" t="s">
        <v>19</v>
      </c>
      <c r="J634">
        <v>1985</v>
      </c>
      <c r="K634">
        <v>1985</v>
      </c>
      <c r="L634" t="s">
        <v>20</v>
      </c>
      <c r="M634">
        <v>46994</v>
      </c>
      <c r="N634">
        <v>3240</v>
      </c>
    </row>
    <row r="635" spans="1:14" x14ac:dyDescent="0.35">
      <c r="A635" t="s">
        <v>675</v>
      </c>
      <c r="B635" t="s">
        <v>15</v>
      </c>
      <c r="C635" t="s">
        <v>16</v>
      </c>
      <c r="D635">
        <v>44</v>
      </c>
      <c r="E635" t="s">
        <v>674</v>
      </c>
      <c r="F635">
        <v>5419</v>
      </c>
      <c r="G635" t="s">
        <v>18</v>
      </c>
      <c r="H635">
        <v>27</v>
      </c>
      <c r="I635" t="s">
        <v>19</v>
      </c>
      <c r="J635">
        <v>1986</v>
      </c>
      <c r="K635">
        <v>1986</v>
      </c>
      <c r="L635" t="s">
        <v>20</v>
      </c>
      <c r="M635">
        <v>46774</v>
      </c>
      <c r="N635">
        <v>3240</v>
      </c>
    </row>
    <row r="636" spans="1:14" x14ac:dyDescent="0.35">
      <c r="A636" t="s">
        <v>676</v>
      </c>
      <c r="B636" t="s">
        <v>15</v>
      </c>
      <c r="C636" t="s">
        <v>16</v>
      </c>
      <c r="D636">
        <v>44</v>
      </c>
      <c r="E636" t="s">
        <v>674</v>
      </c>
      <c r="F636">
        <v>5419</v>
      </c>
      <c r="G636" t="s">
        <v>18</v>
      </c>
      <c r="H636">
        <v>27</v>
      </c>
      <c r="I636" t="s">
        <v>19</v>
      </c>
      <c r="J636">
        <v>1987</v>
      </c>
      <c r="K636">
        <v>1987</v>
      </c>
      <c r="L636" t="s">
        <v>20</v>
      </c>
      <c r="M636">
        <v>53501</v>
      </c>
      <c r="N636">
        <v>3240</v>
      </c>
    </row>
    <row r="637" spans="1:14" x14ac:dyDescent="0.35">
      <c r="A637" t="s">
        <v>677</v>
      </c>
      <c r="B637" t="s">
        <v>15</v>
      </c>
      <c r="C637" t="s">
        <v>16</v>
      </c>
      <c r="D637">
        <v>44</v>
      </c>
      <c r="E637" t="s">
        <v>674</v>
      </c>
      <c r="F637">
        <v>5419</v>
      </c>
      <c r="G637" t="s">
        <v>18</v>
      </c>
      <c r="H637">
        <v>27</v>
      </c>
      <c r="I637" t="s">
        <v>19</v>
      </c>
      <c r="J637">
        <v>1989</v>
      </c>
      <c r="K637">
        <v>1989</v>
      </c>
      <c r="L637" t="s">
        <v>20</v>
      </c>
      <c r="M637">
        <v>40748</v>
      </c>
      <c r="N637">
        <v>3240</v>
      </c>
    </row>
    <row r="638" spans="1:14" x14ac:dyDescent="0.35">
      <c r="A638" t="s">
        <v>678</v>
      </c>
      <c r="B638" t="s">
        <v>15</v>
      </c>
      <c r="C638" t="s">
        <v>16</v>
      </c>
      <c r="D638">
        <v>44</v>
      </c>
      <c r="E638" t="s">
        <v>674</v>
      </c>
      <c r="F638">
        <v>5419</v>
      </c>
      <c r="G638" t="s">
        <v>18</v>
      </c>
      <c r="H638">
        <v>27</v>
      </c>
      <c r="I638" t="s">
        <v>19</v>
      </c>
      <c r="J638">
        <v>1990</v>
      </c>
      <c r="K638">
        <v>1990</v>
      </c>
      <c r="L638" t="s">
        <v>20</v>
      </c>
      <c r="M638">
        <v>40618</v>
      </c>
      <c r="N638">
        <v>3240</v>
      </c>
    </row>
    <row r="639" spans="1:14" x14ac:dyDescent="0.35">
      <c r="A639" t="s">
        <v>679</v>
      </c>
      <c r="B639" t="s">
        <v>15</v>
      </c>
      <c r="C639" t="s">
        <v>16</v>
      </c>
      <c r="D639">
        <v>44</v>
      </c>
      <c r="E639" t="s">
        <v>674</v>
      </c>
      <c r="F639">
        <v>5419</v>
      </c>
      <c r="G639" t="s">
        <v>18</v>
      </c>
      <c r="H639">
        <v>27</v>
      </c>
      <c r="I639" t="s">
        <v>19</v>
      </c>
      <c r="J639">
        <v>1991</v>
      </c>
      <c r="K639">
        <v>1991</v>
      </c>
      <c r="L639" t="s">
        <v>20</v>
      </c>
      <c r="M639">
        <v>39959</v>
      </c>
      <c r="N639">
        <v>3240</v>
      </c>
    </row>
    <row r="640" spans="1:14" x14ac:dyDescent="0.35">
      <c r="A640" t="s">
        <v>680</v>
      </c>
      <c r="B640" t="s">
        <v>15</v>
      </c>
      <c r="C640" t="s">
        <v>16</v>
      </c>
      <c r="D640">
        <v>44</v>
      </c>
      <c r="E640" t="s">
        <v>674</v>
      </c>
      <c r="F640">
        <v>5419</v>
      </c>
      <c r="G640" t="s">
        <v>18</v>
      </c>
      <c r="H640">
        <v>27</v>
      </c>
      <c r="I640" t="s">
        <v>19</v>
      </c>
      <c r="J640">
        <v>1992</v>
      </c>
      <c r="K640">
        <v>1992</v>
      </c>
      <c r="L640" t="s">
        <v>20</v>
      </c>
      <c r="M640">
        <v>40960</v>
      </c>
      <c r="N640">
        <v>3240</v>
      </c>
    </row>
    <row r="641" spans="1:14" x14ac:dyDescent="0.35">
      <c r="A641" t="s">
        <v>681</v>
      </c>
      <c r="B641" t="s">
        <v>15</v>
      </c>
      <c r="C641" t="s">
        <v>16</v>
      </c>
      <c r="D641">
        <v>44</v>
      </c>
      <c r="E641" t="s">
        <v>674</v>
      </c>
      <c r="F641">
        <v>5419</v>
      </c>
      <c r="G641" t="s">
        <v>18</v>
      </c>
      <c r="H641">
        <v>27</v>
      </c>
      <c r="I641" t="s">
        <v>19</v>
      </c>
      <c r="J641">
        <v>1993</v>
      </c>
      <c r="K641">
        <v>1993</v>
      </c>
      <c r="L641" t="s">
        <v>20</v>
      </c>
      <c r="M641">
        <v>41202</v>
      </c>
      <c r="N641">
        <v>3240</v>
      </c>
    </row>
    <row r="642" spans="1:14" x14ac:dyDescent="0.35">
      <c r="A642" t="s">
        <v>682</v>
      </c>
      <c r="B642" t="s">
        <v>15</v>
      </c>
      <c r="C642" t="s">
        <v>16</v>
      </c>
      <c r="D642">
        <v>44</v>
      </c>
      <c r="E642" t="s">
        <v>674</v>
      </c>
      <c r="F642">
        <v>5419</v>
      </c>
      <c r="G642" t="s">
        <v>18</v>
      </c>
      <c r="H642">
        <v>27</v>
      </c>
      <c r="I642" t="s">
        <v>19</v>
      </c>
      <c r="J642">
        <v>1994</v>
      </c>
      <c r="K642">
        <v>1994</v>
      </c>
      <c r="L642" t="s">
        <v>20</v>
      </c>
      <c r="M642">
        <v>40590</v>
      </c>
      <c r="N642">
        <v>3240</v>
      </c>
    </row>
    <row r="643" spans="1:14" x14ac:dyDescent="0.35">
      <c r="A643" t="s">
        <v>683</v>
      </c>
      <c r="B643" t="s">
        <v>15</v>
      </c>
      <c r="C643" t="s">
        <v>16</v>
      </c>
      <c r="D643">
        <v>44</v>
      </c>
      <c r="E643" t="s">
        <v>674</v>
      </c>
      <c r="F643">
        <v>5419</v>
      </c>
      <c r="G643" t="s">
        <v>18</v>
      </c>
      <c r="H643">
        <v>27</v>
      </c>
      <c r="I643" t="s">
        <v>19</v>
      </c>
      <c r="J643">
        <v>1995</v>
      </c>
      <c r="K643">
        <v>1995</v>
      </c>
      <c r="L643" t="s">
        <v>20</v>
      </c>
      <c r="M643">
        <v>42840</v>
      </c>
      <c r="N643">
        <v>3240</v>
      </c>
    </row>
    <row r="644" spans="1:14" x14ac:dyDescent="0.35">
      <c r="A644" t="s">
        <v>684</v>
      </c>
      <c r="B644" t="s">
        <v>15</v>
      </c>
      <c r="C644" t="s">
        <v>16</v>
      </c>
      <c r="D644">
        <v>44</v>
      </c>
      <c r="E644" t="s">
        <v>674</v>
      </c>
      <c r="F644">
        <v>5419</v>
      </c>
      <c r="G644" t="s">
        <v>18</v>
      </c>
      <c r="H644">
        <v>27</v>
      </c>
      <c r="I644" t="s">
        <v>19</v>
      </c>
      <c r="J644">
        <v>1996</v>
      </c>
      <c r="K644">
        <v>1996</v>
      </c>
      <c r="L644" t="s">
        <v>20</v>
      </c>
      <c r="M644">
        <v>40794</v>
      </c>
      <c r="N644">
        <v>3240</v>
      </c>
    </row>
    <row r="645" spans="1:14" x14ac:dyDescent="0.35">
      <c r="A645" t="s">
        <v>685</v>
      </c>
      <c r="B645" t="s">
        <v>15</v>
      </c>
      <c r="C645" t="s">
        <v>16</v>
      </c>
      <c r="D645">
        <v>44</v>
      </c>
      <c r="E645" t="s">
        <v>674</v>
      </c>
      <c r="F645">
        <v>5419</v>
      </c>
      <c r="G645" t="s">
        <v>18</v>
      </c>
      <c r="H645">
        <v>27</v>
      </c>
      <c r="I645" t="s">
        <v>19</v>
      </c>
      <c r="J645">
        <v>1997</v>
      </c>
      <c r="K645">
        <v>1997</v>
      </c>
      <c r="L645" t="s">
        <v>20</v>
      </c>
      <c r="M645">
        <v>46445</v>
      </c>
      <c r="N645">
        <v>3240</v>
      </c>
    </row>
    <row r="646" spans="1:14" x14ac:dyDescent="0.35">
      <c r="A646" t="s">
        <v>686</v>
      </c>
      <c r="B646" t="s">
        <v>15</v>
      </c>
      <c r="C646" t="s">
        <v>16</v>
      </c>
      <c r="D646">
        <v>44</v>
      </c>
      <c r="E646" t="s">
        <v>674</v>
      </c>
      <c r="F646">
        <v>5419</v>
      </c>
      <c r="G646" t="s">
        <v>18</v>
      </c>
      <c r="H646">
        <v>27</v>
      </c>
      <c r="I646" t="s">
        <v>19</v>
      </c>
      <c r="J646">
        <v>1998</v>
      </c>
      <c r="K646">
        <v>1998</v>
      </c>
      <c r="L646" t="s">
        <v>20</v>
      </c>
      <c r="M646">
        <v>47116</v>
      </c>
      <c r="N646">
        <v>3240</v>
      </c>
    </row>
    <row r="647" spans="1:14" x14ac:dyDescent="0.35">
      <c r="A647" t="s">
        <v>687</v>
      </c>
      <c r="B647" t="s">
        <v>15</v>
      </c>
      <c r="C647" t="s">
        <v>16</v>
      </c>
      <c r="D647">
        <v>44</v>
      </c>
      <c r="E647" t="s">
        <v>674</v>
      </c>
      <c r="F647">
        <v>5419</v>
      </c>
      <c r="G647" t="s">
        <v>18</v>
      </c>
      <c r="H647">
        <v>27</v>
      </c>
      <c r="I647" t="s">
        <v>19</v>
      </c>
      <c r="J647">
        <v>1999</v>
      </c>
      <c r="K647">
        <v>1999</v>
      </c>
      <c r="L647" t="s">
        <v>20</v>
      </c>
      <c r="M647">
        <v>48009</v>
      </c>
      <c r="N647">
        <v>3240</v>
      </c>
    </row>
    <row r="648" spans="1:14" x14ac:dyDescent="0.35">
      <c r="A648" t="s">
        <v>688</v>
      </c>
      <c r="B648" t="s">
        <v>15</v>
      </c>
      <c r="C648" t="s">
        <v>16</v>
      </c>
      <c r="D648">
        <v>44</v>
      </c>
      <c r="E648" t="s">
        <v>674</v>
      </c>
      <c r="F648">
        <v>5419</v>
      </c>
      <c r="G648" t="s">
        <v>18</v>
      </c>
      <c r="H648">
        <v>27</v>
      </c>
      <c r="I648" t="s">
        <v>19</v>
      </c>
      <c r="J648">
        <v>2000</v>
      </c>
      <c r="K648">
        <v>2000</v>
      </c>
      <c r="L648" t="s">
        <v>20</v>
      </c>
      <c r="M648">
        <v>47324</v>
      </c>
      <c r="N648">
        <v>3240</v>
      </c>
    </row>
    <row r="649" spans="1:14" x14ac:dyDescent="0.35">
      <c r="A649" t="s">
        <v>689</v>
      </c>
      <c r="B649" t="s">
        <v>15</v>
      </c>
      <c r="C649" t="s">
        <v>16</v>
      </c>
      <c r="D649">
        <v>44</v>
      </c>
      <c r="E649" t="s">
        <v>674</v>
      </c>
      <c r="F649">
        <v>5419</v>
      </c>
      <c r="G649" t="s">
        <v>18</v>
      </c>
      <c r="H649">
        <v>27</v>
      </c>
      <c r="I649" t="s">
        <v>19</v>
      </c>
      <c r="J649">
        <v>2001</v>
      </c>
      <c r="K649">
        <v>2001</v>
      </c>
      <c r="L649" t="s">
        <v>20</v>
      </c>
      <c r="M649">
        <v>45472</v>
      </c>
      <c r="N649">
        <v>3240</v>
      </c>
    </row>
    <row r="650" spans="1:14" x14ac:dyDescent="0.35">
      <c r="A650" t="s">
        <v>690</v>
      </c>
      <c r="B650" t="s">
        <v>15</v>
      </c>
      <c r="C650" t="s">
        <v>16</v>
      </c>
      <c r="D650">
        <v>44</v>
      </c>
      <c r="E650" t="s">
        <v>674</v>
      </c>
      <c r="F650">
        <v>5419</v>
      </c>
      <c r="G650" t="s">
        <v>18</v>
      </c>
      <c r="H650">
        <v>27</v>
      </c>
      <c r="I650" t="s">
        <v>19</v>
      </c>
      <c r="J650">
        <v>2002</v>
      </c>
      <c r="K650">
        <v>2002</v>
      </c>
      <c r="L650" t="s">
        <v>20</v>
      </c>
      <c r="M650">
        <v>48001</v>
      </c>
      <c r="N650">
        <v>3240</v>
      </c>
    </row>
    <row r="651" spans="1:14" x14ac:dyDescent="0.35">
      <c r="A651" t="s">
        <v>691</v>
      </c>
      <c r="B651" t="s">
        <v>15</v>
      </c>
      <c r="C651" t="s">
        <v>16</v>
      </c>
      <c r="D651">
        <v>44</v>
      </c>
      <c r="E651" t="s">
        <v>674</v>
      </c>
      <c r="F651">
        <v>5419</v>
      </c>
      <c r="G651" t="s">
        <v>18</v>
      </c>
      <c r="H651">
        <v>27</v>
      </c>
      <c r="I651" t="s">
        <v>19</v>
      </c>
      <c r="J651">
        <v>2004</v>
      </c>
      <c r="K651">
        <v>2004</v>
      </c>
      <c r="L651" t="s">
        <v>20</v>
      </c>
      <c r="M651">
        <v>48038</v>
      </c>
      <c r="N651">
        <v>3240</v>
      </c>
    </row>
    <row r="652" spans="1:14" x14ac:dyDescent="0.35">
      <c r="A652" t="s">
        <v>692</v>
      </c>
      <c r="B652" t="s">
        <v>15</v>
      </c>
      <c r="C652" t="s">
        <v>16</v>
      </c>
      <c r="D652">
        <v>44</v>
      </c>
      <c r="E652" t="s">
        <v>674</v>
      </c>
      <c r="F652">
        <v>5419</v>
      </c>
      <c r="G652" t="s">
        <v>18</v>
      </c>
      <c r="H652">
        <v>27</v>
      </c>
      <c r="I652" t="s">
        <v>19</v>
      </c>
      <c r="J652">
        <v>2005</v>
      </c>
      <c r="K652">
        <v>2005</v>
      </c>
      <c r="L652" t="s">
        <v>20</v>
      </c>
      <c r="M652">
        <v>48388</v>
      </c>
      <c r="N652">
        <v>3240</v>
      </c>
    </row>
    <row r="653" spans="1:14" x14ac:dyDescent="0.35">
      <c r="A653" t="s">
        <v>693</v>
      </c>
      <c r="B653" t="s">
        <v>15</v>
      </c>
      <c r="C653" t="s">
        <v>16</v>
      </c>
      <c r="D653">
        <v>44</v>
      </c>
      <c r="E653" t="s">
        <v>674</v>
      </c>
      <c r="F653">
        <v>5419</v>
      </c>
      <c r="G653" t="s">
        <v>18</v>
      </c>
      <c r="H653">
        <v>27</v>
      </c>
      <c r="I653" t="s">
        <v>19</v>
      </c>
      <c r="J653">
        <v>2006</v>
      </c>
      <c r="K653">
        <v>2006</v>
      </c>
      <c r="L653" t="s">
        <v>20</v>
      </c>
      <c r="M653">
        <v>45717</v>
      </c>
      <c r="N653">
        <v>3240</v>
      </c>
    </row>
    <row r="654" spans="1:14" x14ac:dyDescent="0.35">
      <c r="A654" t="s">
        <v>694</v>
      </c>
      <c r="B654" t="s">
        <v>15</v>
      </c>
      <c r="C654" t="s">
        <v>16</v>
      </c>
      <c r="D654">
        <v>44</v>
      </c>
      <c r="E654" t="s">
        <v>674</v>
      </c>
      <c r="F654">
        <v>5419</v>
      </c>
      <c r="G654" t="s">
        <v>18</v>
      </c>
      <c r="H654">
        <v>27</v>
      </c>
      <c r="I654" t="s">
        <v>19</v>
      </c>
      <c r="J654">
        <v>2007</v>
      </c>
      <c r="K654">
        <v>2007</v>
      </c>
      <c r="L654" t="s">
        <v>20</v>
      </c>
      <c r="M654">
        <v>49020</v>
      </c>
      <c r="N654">
        <v>3240</v>
      </c>
    </row>
    <row r="655" spans="1:14" x14ac:dyDescent="0.35">
      <c r="A655" t="s">
        <v>695</v>
      </c>
      <c r="B655" t="s">
        <v>15</v>
      </c>
      <c r="C655" t="s">
        <v>16</v>
      </c>
      <c r="D655">
        <v>44</v>
      </c>
      <c r="E655" t="s">
        <v>674</v>
      </c>
      <c r="F655">
        <v>5419</v>
      </c>
      <c r="G655" t="s">
        <v>18</v>
      </c>
      <c r="H655">
        <v>27</v>
      </c>
      <c r="I655" t="s">
        <v>19</v>
      </c>
      <c r="J655">
        <v>2008</v>
      </c>
      <c r="K655">
        <v>2008</v>
      </c>
      <c r="L655" t="s">
        <v>20</v>
      </c>
      <c r="M655">
        <v>48887</v>
      </c>
      <c r="N655">
        <v>3240</v>
      </c>
    </row>
    <row r="656" spans="1:14" x14ac:dyDescent="0.35">
      <c r="A656" t="s">
        <v>696</v>
      </c>
      <c r="B656" t="s">
        <v>15</v>
      </c>
      <c r="C656" t="s">
        <v>16</v>
      </c>
      <c r="D656">
        <v>44</v>
      </c>
      <c r="E656" t="s">
        <v>674</v>
      </c>
      <c r="F656">
        <v>5419</v>
      </c>
      <c r="G656" t="s">
        <v>18</v>
      </c>
      <c r="H656">
        <v>27</v>
      </c>
      <c r="I656" t="s">
        <v>19</v>
      </c>
      <c r="J656">
        <v>2009</v>
      </c>
      <c r="K656">
        <v>2009</v>
      </c>
      <c r="L656" t="s">
        <v>20</v>
      </c>
      <c r="M656">
        <v>46956</v>
      </c>
      <c r="N656">
        <v>3240</v>
      </c>
    </row>
    <row r="657" spans="1:14" x14ac:dyDescent="0.35">
      <c r="A657" t="s">
        <v>697</v>
      </c>
      <c r="B657" t="s">
        <v>15</v>
      </c>
      <c r="C657" t="s">
        <v>16</v>
      </c>
      <c r="D657">
        <v>44</v>
      </c>
      <c r="E657" t="s">
        <v>674</v>
      </c>
      <c r="F657">
        <v>5419</v>
      </c>
      <c r="G657" t="s">
        <v>18</v>
      </c>
      <c r="H657">
        <v>27</v>
      </c>
      <c r="I657" t="s">
        <v>19</v>
      </c>
      <c r="J657">
        <v>2010</v>
      </c>
      <c r="K657">
        <v>2010</v>
      </c>
      <c r="L657" t="s">
        <v>20</v>
      </c>
      <c r="M657">
        <v>41223</v>
      </c>
      <c r="N657">
        <v>3240</v>
      </c>
    </row>
    <row r="658" spans="1:14" x14ac:dyDescent="0.35">
      <c r="A658" t="s">
        <v>698</v>
      </c>
      <c r="B658" t="s">
        <v>15</v>
      </c>
      <c r="C658" t="s">
        <v>16</v>
      </c>
      <c r="D658">
        <v>44</v>
      </c>
      <c r="E658" t="s">
        <v>674</v>
      </c>
      <c r="F658">
        <v>5419</v>
      </c>
      <c r="G658" t="s">
        <v>18</v>
      </c>
      <c r="H658">
        <v>27</v>
      </c>
      <c r="I658" t="s">
        <v>19</v>
      </c>
      <c r="J658">
        <v>2011</v>
      </c>
      <c r="K658">
        <v>2011</v>
      </c>
      <c r="L658" t="s">
        <v>20</v>
      </c>
      <c r="M658">
        <v>39589</v>
      </c>
      <c r="N658">
        <v>3240</v>
      </c>
    </row>
    <row r="659" spans="1:14" x14ac:dyDescent="0.35">
      <c r="A659" t="s">
        <v>699</v>
      </c>
      <c r="B659" t="s">
        <v>15</v>
      </c>
      <c r="C659" t="s">
        <v>16</v>
      </c>
      <c r="D659">
        <v>44</v>
      </c>
      <c r="E659" t="s">
        <v>674</v>
      </c>
      <c r="F659">
        <v>5419</v>
      </c>
      <c r="G659" t="s">
        <v>18</v>
      </c>
      <c r="H659">
        <v>27</v>
      </c>
      <c r="I659" t="s">
        <v>19</v>
      </c>
      <c r="J659">
        <v>2012</v>
      </c>
      <c r="K659">
        <v>2012</v>
      </c>
      <c r="L659" t="s">
        <v>20</v>
      </c>
      <c r="M659">
        <v>48066</v>
      </c>
      <c r="N659">
        <v>3240</v>
      </c>
    </row>
    <row r="660" spans="1:14" x14ac:dyDescent="0.35">
      <c r="A660" t="s">
        <v>700</v>
      </c>
      <c r="B660" t="s">
        <v>15</v>
      </c>
      <c r="C660" t="s">
        <v>16</v>
      </c>
      <c r="D660">
        <v>44</v>
      </c>
      <c r="E660" t="s">
        <v>674</v>
      </c>
      <c r="F660">
        <v>5419</v>
      </c>
      <c r="G660" t="s">
        <v>18</v>
      </c>
      <c r="H660">
        <v>27</v>
      </c>
      <c r="I660" t="s">
        <v>19</v>
      </c>
      <c r="J660">
        <v>2013</v>
      </c>
      <c r="K660">
        <v>2013</v>
      </c>
      <c r="L660" t="s">
        <v>20</v>
      </c>
      <c r="M660">
        <v>38371</v>
      </c>
      <c r="N660">
        <v>3240</v>
      </c>
    </row>
    <row r="661" spans="1:14" x14ac:dyDescent="0.35">
      <c r="A661" t="s">
        <v>701</v>
      </c>
      <c r="B661" t="s">
        <v>15</v>
      </c>
      <c r="C661" t="s">
        <v>16</v>
      </c>
      <c r="D661">
        <v>44</v>
      </c>
      <c r="E661" t="s">
        <v>674</v>
      </c>
      <c r="F661">
        <v>5419</v>
      </c>
      <c r="G661" t="s">
        <v>18</v>
      </c>
      <c r="H661">
        <v>27</v>
      </c>
      <c r="I661" t="s">
        <v>19</v>
      </c>
      <c r="J661">
        <v>2014</v>
      </c>
      <c r="K661">
        <v>2014</v>
      </c>
      <c r="L661" t="s">
        <v>20</v>
      </c>
      <c r="M661">
        <v>47836</v>
      </c>
      <c r="N661">
        <v>3240</v>
      </c>
    </row>
    <row r="662" spans="1:14" x14ac:dyDescent="0.35">
      <c r="A662" t="s">
        <v>702</v>
      </c>
      <c r="B662" t="s">
        <v>15</v>
      </c>
      <c r="C662" t="s">
        <v>16</v>
      </c>
      <c r="D662">
        <v>44</v>
      </c>
      <c r="E662" t="s">
        <v>674</v>
      </c>
      <c r="F662">
        <v>5419</v>
      </c>
      <c r="G662" t="s">
        <v>18</v>
      </c>
      <c r="H662">
        <v>27</v>
      </c>
      <c r="I662" t="s">
        <v>19</v>
      </c>
      <c r="J662">
        <v>2015</v>
      </c>
      <c r="K662">
        <v>2015</v>
      </c>
      <c r="L662" t="s">
        <v>20</v>
      </c>
      <c r="M662">
        <v>48709</v>
      </c>
      <c r="N662">
        <v>3240</v>
      </c>
    </row>
    <row r="663" spans="1:14" x14ac:dyDescent="0.35">
      <c r="A663" t="s">
        <v>703</v>
      </c>
      <c r="B663" t="s">
        <v>15</v>
      </c>
      <c r="C663" t="s">
        <v>16</v>
      </c>
      <c r="D663">
        <v>44</v>
      </c>
      <c r="E663" t="s">
        <v>674</v>
      </c>
      <c r="F663">
        <v>5419</v>
      </c>
      <c r="G663" t="s">
        <v>18</v>
      </c>
      <c r="H663">
        <v>27</v>
      </c>
      <c r="I663" t="s">
        <v>19</v>
      </c>
      <c r="J663">
        <v>2016</v>
      </c>
      <c r="K663">
        <v>2016</v>
      </c>
      <c r="L663" t="s">
        <v>20</v>
      </c>
      <c r="M663">
        <v>47109</v>
      </c>
      <c r="N663">
        <v>3240</v>
      </c>
    </row>
    <row r="664" spans="1:14" x14ac:dyDescent="0.35">
      <c r="A664" t="s">
        <v>704</v>
      </c>
      <c r="B664" t="s">
        <v>15</v>
      </c>
      <c r="C664" t="s">
        <v>16</v>
      </c>
      <c r="D664">
        <v>45</v>
      </c>
      <c r="E664" t="s">
        <v>705</v>
      </c>
      <c r="F664">
        <v>5419</v>
      </c>
      <c r="G664" t="s">
        <v>18</v>
      </c>
      <c r="H664">
        <v>27</v>
      </c>
      <c r="I664" t="s">
        <v>19</v>
      </c>
      <c r="J664">
        <v>1985</v>
      </c>
      <c r="K664">
        <v>1985</v>
      </c>
      <c r="L664" t="s">
        <v>20</v>
      </c>
      <c r="M664">
        <v>10156</v>
      </c>
      <c r="N664">
        <v>900</v>
      </c>
    </row>
    <row r="665" spans="1:14" x14ac:dyDescent="0.35">
      <c r="A665" t="s">
        <v>706</v>
      </c>
      <c r="B665" t="s">
        <v>15</v>
      </c>
      <c r="C665" t="s">
        <v>16</v>
      </c>
      <c r="D665">
        <v>45</v>
      </c>
      <c r="E665" t="s">
        <v>705</v>
      </c>
      <c r="F665">
        <v>5419</v>
      </c>
      <c r="G665" t="s">
        <v>18</v>
      </c>
      <c r="H665">
        <v>27</v>
      </c>
      <c r="I665" t="s">
        <v>19</v>
      </c>
      <c r="J665">
        <v>1986</v>
      </c>
      <c r="K665">
        <v>1986</v>
      </c>
      <c r="L665" t="s">
        <v>20</v>
      </c>
      <c r="M665">
        <v>10156</v>
      </c>
      <c r="N665">
        <v>900</v>
      </c>
    </row>
    <row r="666" spans="1:14" x14ac:dyDescent="0.35">
      <c r="A666" t="s">
        <v>707</v>
      </c>
      <c r="B666" t="s">
        <v>15</v>
      </c>
      <c r="C666" t="s">
        <v>16</v>
      </c>
      <c r="D666">
        <v>45</v>
      </c>
      <c r="E666" t="s">
        <v>705</v>
      </c>
      <c r="F666">
        <v>5419</v>
      </c>
      <c r="G666" t="s">
        <v>18</v>
      </c>
      <c r="H666">
        <v>27</v>
      </c>
      <c r="I666" t="s">
        <v>19</v>
      </c>
      <c r="J666">
        <v>1987</v>
      </c>
      <c r="K666">
        <v>1987</v>
      </c>
      <c r="L666" t="s">
        <v>20</v>
      </c>
      <c r="M666">
        <v>10156</v>
      </c>
      <c r="N666">
        <v>900</v>
      </c>
    </row>
    <row r="667" spans="1:14" x14ac:dyDescent="0.35">
      <c r="A667" t="s">
        <v>708</v>
      </c>
      <c r="B667" t="s">
        <v>15</v>
      </c>
      <c r="C667" t="s">
        <v>16</v>
      </c>
      <c r="D667">
        <v>45</v>
      </c>
      <c r="E667" t="s">
        <v>705</v>
      </c>
      <c r="F667">
        <v>5419</v>
      </c>
      <c r="G667" t="s">
        <v>18</v>
      </c>
      <c r="H667">
        <v>27</v>
      </c>
      <c r="I667" t="s">
        <v>19</v>
      </c>
      <c r="J667">
        <v>1989</v>
      </c>
      <c r="K667">
        <v>1989</v>
      </c>
      <c r="L667" t="s">
        <v>20</v>
      </c>
      <c r="M667">
        <v>11538</v>
      </c>
      <c r="N667">
        <v>900</v>
      </c>
    </row>
    <row r="668" spans="1:14" x14ac:dyDescent="0.35">
      <c r="A668" t="s">
        <v>709</v>
      </c>
      <c r="B668" t="s">
        <v>15</v>
      </c>
      <c r="C668" t="s">
        <v>16</v>
      </c>
      <c r="D668">
        <v>45</v>
      </c>
      <c r="E668" t="s">
        <v>705</v>
      </c>
      <c r="F668">
        <v>5419</v>
      </c>
      <c r="G668" t="s">
        <v>18</v>
      </c>
      <c r="H668">
        <v>27</v>
      </c>
      <c r="I668" t="s">
        <v>19</v>
      </c>
      <c r="J668">
        <v>1990</v>
      </c>
      <c r="K668">
        <v>1990</v>
      </c>
      <c r="L668" t="s">
        <v>20</v>
      </c>
      <c r="M668">
        <v>11407</v>
      </c>
      <c r="N668">
        <v>900</v>
      </c>
    </row>
    <row r="669" spans="1:14" x14ac:dyDescent="0.35">
      <c r="A669" t="s">
        <v>710</v>
      </c>
      <c r="B669" t="s">
        <v>15</v>
      </c>
      <c r="C669" t="s">
        <v>16</v>
      </c>
      <c r="D669">
        <v>45</v>
      </c>
      <c r="E669" t="s">
        <v>705</v>
      </c>
      <c r="F669">
        <v>5419</v>
      </c>
      <c r="G669" t="s">
        <v>18</v>
      </c>
      <c r="H669">
        <v>27</v>
      </c>
      <c r="I669" t="s">
        <v>19</v>
      </c>
      <c r="J669">
        <v>1991</v>
      </c>
      <c r="K669">
        <v>1991</v>
      </c>
      <c r="L669" t="s">
        <v>20</v>
      </c>
      <c r="M669">
        <v>11852</v>
      </c>
      <c r="N669">
        <v>900</v>
      </c>
    </row>
    <row r="670" spans="1:14" x14ac:dyDescent="0.35">
      <c r="A670" t="s">
        <v>711</v>
      </c>
      <c r="B670" t="s">
        <v>15</v>
      </c>
      <c r="C670" t="s">
        <v>16</v>
      </c>
      <c r="D670">
        <v>45</v>
      </c>
      <c r="E670" t="s">
        <v>705</v>
      </c>
      <c r="F670">
        <v>5419</v>
      </c>
      <c r="G670" t="s">
        <v>18</v>
      </c>
      <c r="H670">
        <v>27</v>
      </c>
      <c r="I670" t="s">
        <v>19</v>
      </c>
      <c r="J670">
        <v>1992</v>
      </c>
      <c r="K670">
        <v>1992</v>
      </c>
      <c r="L670" t="s">
        <v>20</v>
      </c>
      <c r="M670">
        <v>11786</v>
      </c>
      <c r="N670">
        <v>900</v>
      </c>
    </row>
    <row r="671" spans="1:14" x14ac:dyDescent="0.35">
      <c r="A671" t="s">
        <v>712</v>
      </c>
      <c r="B671" t="s">
        <v>15</v>
      </c>
      <c r="C671" t="s">
        <v>16</v>
      </c>
      <c r="D671">
        <v>45</v>
      </c>
      <c r="E671" t="s">
        <v>705</v>
      </c>
      <c r="F671">
        <v>5419</v>
      </c>
      <c r="G671" t="s">
        <v>18</v>
      </c>
      <c r="H671">
        <v>27</v>
      </c>
      <c r="I671" t="s">
        <v>19</v>
      </c>
      <c r="J671">
        <v>1993</v>
      </c>
      <c r="K671">
        <v>1993</v>
      </c>
      <c r="L671" t="s">
        <v>20</v>
      </c>
      <c r="M671">
        <v>11807</v>
      </c>
      <c r="N671">
        <v>900</v>
      </c>
    </row>
    <row r="672" spans="1:14" x14ac:dyDescent="0.35">
      <c r="A672" t="s">
        <v>713</v>
      </c>
      <c r="B672" t="s">
        <v>15</v>
      </c>
      <c r="C672" t="s">
        <v>16</v>
      </c>
      <c r="D672">
        <v>45</v>
      </c>
      <c r="E672" t="s">
        <v>705</v>
      </c>
      <c r="F672">
        <v>5419</v>
      </c>
      <c r="G672" t="s">
        <v>18</v>
      </c>
      <c r="H672">
        <v>27</v>
      </c>
      <c r="I672" t="s">
        <v>19</v>
      </c>
      <c r="J672">
        <v>1994</v>
      </c>
      <c r="K672">
        <v>1994</v>
      </c>
      <c r="L672" t="s">
        <v>20</v>
      </c>
      <c r="M672">
        <v>11827</v>
      </c>
      <c r="N672">
        <v>900</v>
      </c>
    </row>
    <row r="673" spans="1:14" x14ac:dyDescent="0.35">
      <c r="A673" t="s">
        <v>714</v>
      </c>
      <c r="B673" t="s">
        <v>15</v>
      </c>
      <c r="C673" t="s">
        <v>16</v>
      </c>
      <c r="D673">
        <v>45</v>
      </c>
      <c r="E673" t="s">
        <v>705</v>
      </c>
      <c r="F673">
        <v>5419</v>
      </c>
      <c r="G673" t="s">
        <v>18</v>
      </c>
      <c r="H673">
        <v>27</v>
      </c>
      <c r="I673" t="s">
        <v>19</v>
      </c>
      <c r="J673">
        <v>1995</v>
      </c>
      <c r="K673">
        <v>1995</v>
      </c>
      <c r="L673" t="s">
        <v>20</v>
      </c>
      <c r="M673">
        <v>11850</v>
      </c>
      <c r="N673">
        <v>900</v>
      </c>
    </row>
    <row r="674" spans="1:14" x14ac:dyDescent="0.35">
      <c r="A674" t="s">
        <v>715</v>
      </c>
      <c r="B674" t="s">
        <v>15</v>
      </c>
      <c r="C674" t="s">
        <v>16</v>
      </c>
      <c r="D674">
        <v>45</v>
      </c>
      <c r="E674" t="s">
        <v>705</v>
      </c>
      <c r="F674">
        <v>5419</v>
      </c>
      <c r="G674" t="s">
        <v>18</v>
      </c>
      <c r="H674">
        <v>27</v>
      </c>
      <c r="I674" t="s">
        <v>19</v>
      </c>
      <c r="J674">
        <v>1996</v>
      </c>
      <c r="K674">
        <v>1996</v>
      </c>
      <c r="L674" t="s">
        <v>20</v>
      </c>
      <c r="M674">
        <v>11876</v>
      </c>
      <c r="N674">
        <v>900</v>
      </c>
    </row>
    <row r="675" spans="1:14" x14ac:dyDescent="0.35">
      <c r="A675" t="s">
        <v>716</v>
      </c>
      <c r="B675" t="s">
        <v>15</v>
      </c>
      <c r="C675" t="s">
        <v>16</v>
      </c>
      <c r="D675">
        <v>45</v>
      </c>
      <c r="E675" t="s">
        <v>705</v>
      </c>
      <c r="F675">
        <v>5419</v>
      </c>
      <c r="G675" t="s">
        <v>18</v>
      </c>
      <c r="H675">
        <v>27</v>
      </c>
      <c r="I675" t="s">
        <v>19</v>
      </c>
      <c r="J675">
        <v>1997</v>
      </c>
      <c r="K675">
        <v>1997</v>
      </c>
      <c r="L675" t="s">
        <v>20</v>
      </c>
      <c r="M675">
        <v>11904</v>
      </c>
      <c r="N675">
        <v>900</v>
      </c>
    </row>
    <row r="676" spans="1:14" x14ac:dyDescent="0.35">
      <c r="A676" t="s">
        <v>717</v>
      </c>
      <c r="B676" t="s">
        <v>15</v>
      </c>
      <c r="C676" t="s">
        <v>16</v>
      </c>
      <c r="D676">
        <v>45</v>
      </c>
      <c r="E676" t="s">
        <v>705</v>
      </c>
      <c r="F676">
        <v>5419</v>
      </c>
      <c r="G676" t="s">
        <v>18</v>
      </c>
      <c r="H676">
        <v>27</v>
      </c>
      <c r="I676" t="s">
        <v>19</v>
      </c>
      <c r="J676">
        <v>1998</v>
      </c>
      <c r="K676">
        <v>1998</v>
      </c>
      <c r="L676" t="s">
        <v>20</v>
      </c>
      <c r="M676">
        <v>11931</v>
      </c>
      <c r="N676">
        <v>900</v>
      </c>
    </row>
    <row r="677" spans="1:14" x14ac:dyDescent="0.35">
      <c r="A677" t="s">
        <v>718</v>
      </c>
      <c r="B677" t="s">
        <v>15</v>
      </c>
      <c r="C677" t="s">
        <v>16</v>
      </c>
      <c r="D677">
        <v>45</v>
      </c>
      <c r="E677" t="s">
        <v>705</v>
      </c>
      <c r="F677">
        <v>5419</v>
      </c>
      <c r="G677" t="s">
        <v>18</v>
      </c>
      <c r="H677">
        <v>27</v>
      </c>
      <c r="I677" t="s">
        <v>19</v>
      </c>
      <c r="J677">
        <v>1999</v>
      </c>
      <c r="K677">
        <v>1999</v>
      </c>
      <c r="L677" t="s">
        <v>20</v>
      </c>
      <c r="M677">
        <v>11955</v>
      </c>
      <c r="N677">
        <v>900</v>
      </c>
    </row>
    <row r="678" spans="1:14" x14ac:dyDescent="0.35">
      <c r="A678" t="s">
        <v>719</v>
      </c>
      <c r="B678" t="s">
        <v>15</v>
      </c>
      <c r="C678" t="s">
        <v>16</v>
      </c>
      <c r="D678">
        <v>45</v>
      </c>
      <c r="E678" t="s">
        <v>705</v>
      </c>
      <c r="F678">
        <v>5419</v>
      </c>
      <c r="G678" t="s">
        <v>18</v>
      </c>
      <c r="H678">
        <v>27</v>
      </c>
      <c r="I678" t="s">
        <v>19</v>
      </c>
      <c r="J678">
        <v>2000</v>
      </c>
      <c r="K678">
        <v>2000</v>
      </c>
      <c r="L678" t="s">
        <v>20</v>
      </c>
      <c r="M678">
        <v>12020</v>
      </c>
      <c r="N678">
        <v>900</v>
      </c>
    </row>
    <row r="679" spans="1:14" x14ac:dyDescent="0.35">
      <c r="A679" t="s">
        <v>720</v>
      </c>
      <c r="B679" t="s">
        <v>15</v>
      </c>
      <c r="C679" t="s">
        <v>16</v>
      </c>
      <c r="D679">
        <v>45</v>
      </c>
      <c r="E679" t="s">
        <v>705</v>
      </c>
      <c r="F679">
        <v>5419</v>
      </c>
      <c r="G679" t="s">
        <v>18</v>
      </c>
      <c r="H679">
        <v>27</v>
      </c>
      <c r="I679" t="s">
        <v>19</v>
      </c>
      <c r="J679">
        <v>2001</v>
      </c>
      <c r="K679">
        <v>2001</v>
      </c>
      <c r="L679" t="s">
        <v>20</v>
      </c>
      <c r="M679">
        <v>12026</v>
      </c>
      <c r="N679">
        <v>900</v>
      </c>
    </row>
    <row r="680" spans="1:14" x14ac:dyDescent="0.35">
      <c r="A680" t="s">
        <v>721</v>
      </c>
      <c r="B680" t="s">
        <v>15</v>
      </c>
      <c r="C680" t="s">
        <v>16</v>
      </c>
      <c r="D680">
        <v>45</v>
      </c>
      <c r="E680" t="s">
        <v>705</v>
      </c>
      <c r="F680">
        <v>5419</v>
      </c>
      <c r="G680" t="s">
        <v>18</v>
      </c>
      <c r="H680">
        <v>27</v>
      </c>
      <c r="I680" t="s">
        <v>19</v>
      </c>
      <c r="J680">
        <v>2002</v>
      </c>
      <c r="K680">
        <v>2002</v>
      </c>
      <c r="L680" t="s">
        <v>20</v>
      </c>
      <c r="M680">
        <v>12027</v>
      </c>
      <c r="N680">
        <v>900</v>
      </c>
    </row>
    <row r="681" spans="1:14" x14ac:dyDescent="0.35">
      <c r="A681" t="s">
        <v>722</v>
      </c>
      <c r="B681" t="s">
        <v>15</v>
      </c>
      <c r="C681" t="s">
        <v>16</v>
      </c>
      <c r="D681">
        <v>45</v>
      </c>
      <c r="E681" t="s">
        <v>705</v>
      </c>
      <c r="F681">
        <v>5419</v>
      </c>
      <c r="G681" t="s">
        <v>18</v>
      </c>
      <c r="H681">
        <v>27</v>
      </c>
      <c r="I681" t="s">
        <v>19</v>
      </c>
      <c r="J681">
        <v>2004</v>
      </c>
      <c r="K681">
        <v>2004</v>
      </c>
      <c r="L681" t="s">
        <v>20</v>
      </c>
      <c r="M681">
        <v>12020</v>
      </c>
      <c r="N681">
        <v>900</v>
      </c>
    </row>
    <row r="682" spans="1:14" x14ac:dyDescent="0.35">
      <c r="A682" t="s">
        <v>723</v>
      </c>
      <c r="B682" t="s">
        <v>15</v>
      </c>
      <c r="C682" t="s">
        <v>16</v>
      </c>
      <c r="D682">
        <v>45</v>
      </c>
      <c r="E682" t="s">
        <v>705</v>
      </c>
      <c r="F682">
        <v>5419</v>
      </c>
      <c r="G682" t="s">
        <v>18</v>
      </c>
      <c r="H682">
        <v>27</v>
      </c>
      <c r="I682" t="s">
        <v>19</v>
      </c>
      <c r="J682">
        <v>2005</v>
      </c>
      <c r="K682">
        <v>2005</v>
      </c>
      <c r="L682" t="s">
        <v>20</v>
      </c>
      <c r="M682">
        <v>12000</v>
      </c>
      <c r="N682">
        <v>900</v>
      </c>
    </row>
    <row r="683" spans="1:14" x14ac:dyDescent="0.35">
      <c r="A683" t="s">
        <v>724</v>
      </c>
      <c r="B683" t="s">
        <v>15</v>
      </c>
      <c r="C683" t="s">
        <v>16</v>
      </c>
      <c r="D683">
        <v>45</v>
      </c>
      <c r="E683" t="s">
        <v>705</v>
      </c>
      <c r="F683">
        <v>5419</v>
      </c>
      <c r="G683" t="s">
        <v>18</v>
      </c>
      <c r="H683">
        <v>27</v>
      </c>
      <c r="I683" t="s">
        <v>19</v>
      </c>
      <c r="J683">
        <v>2006</v>
      </c>
      <c r="K683">
        <v>2006</v>
      </c>
      <c r="L683" t="s">
        <v>20</v>
      </c>
      <c r="M683">
        <v>11765</v>
      </c>
      <c r="N683">
        <v>900</v>
      </c>
    </row>
    <row r="684" spans="1:14" x14ac:dyDescent="0.35">
      <c r="A684" t="s">
        <v>725</v>
      </c>
      <c r="B684" t="s">
        <v>15</v>
      </c>
      <c r="C684" t="s">
        <v>16</v>
      </c>
      <c r="D684">
        <v>45</v>
      </c>
      <c r="E684" t="s">
        <v>705</v>
      </c>
      <c r="F684">
        <v>5419</v>
      </c>
      <c r="G684" t="s">
        <v>18</v>
      </c>
      <c r="H684">
        <v>27</v>
      </c>
      <c r="I684" t="s">
        <v>19</v>
      </c>
      <c r="J684">
        <v>2007</v>
      </c>
      <c r="K684">
        <v>2007</v>
      </c>
      <c r="L684" t="s">
        <v>20</v>
      </c>
      <c r="M684">
        <v>12143</v>
      </c>
      <c r="N684">
        <v>900</v>
      </c>
    </row>
    <row r="685" spans="1:14" x14ac:dyDescent="0.35">
      <c r="A685" t="s">
        <v>726</v>
      </c>
      <c r="B685" t="s">
        <v>15</v>
      </c>
      <c r="C685" t="s">
        <v>16</v>
      </c>
      <c r="D685">
        <v>45</v>
      </c>
      <c r="E685" t="s">
        <v>705</v>
      </c>
      <c r="F685">
        <v>5419</v>
      </c>
      <c r="G685" t="s">
        <v>18</v>
      </c>
      <c r="H685">
        <v>27</v>
      </c>
      <c r="I685" t="s">
        <v>19</v>
      </c>
      <c r="J685">
        <v>2008</v>
      </c>
      <c r="K685">
        <v>2008</v>
      </c>
      <c r="L685" t="s">
        <v>20</v>
      </c>
      <c r="M685">
        <v>11765</v>
      </c>
      <c r="N685">
        <v>900</v>
      </c>
    </row>
    <row r="686" spans="1:14" x14ac:dyDescent="0.35">
      <c r="A686" t="s">
        <v>727</v>
      </c>
      <c r="B686" t="s">
        <v>15</v>
      </c>
      <c r="C686" t="s">
        <v>16</v>
      </c>
      <c r="D686">
        <v>45</v>
      </c>
      <c r="E686" t="s">
        <v>705</v>
      </c>
      <c r="F686">
        <v>5419</v>
      </c>
      <c r="G686" t="s">
        <v>18</v>
      </c>
      <c r="H686">
        <v>27</v>
      </c>
      <c r="I686" t="s">
        <v>19</v>
      </c>
      <c r="J686">
        <v>2009</v>
      </c>
      <c r="K686">
        <v>2009</v>
      </c>
      <c r="L686" t="s">
        <v>20</v>
      </c>
      <c r="M686">
        <v>12151</v>
      </c>
      <c r="N686">
        <v>900</v>
      </c>
    </row>
    <row r="687" spans="1:14" x14ac:dyDescent="0.35">
      <c r="A687" t="s">
        <v>728</v>
      </c>
      <c r="B687" t="s">
        <v>15</v>
      </c>
      <c r="C687" t="s">
        <v>16</v>
      </c>
      <c r="D687">
        <v>45</v>
      </c>
      <c r="E687" t="s">
        <v>705</v>
      </c>
      <c r="F687">
        <v>5419</v>
      </c>
      <c r="G687" t="s">
        <v>18</v>
      </c>
      <c r="H687">
        <v>27</v>
      </c>
      <c r="I687" t="s">
        <v>19</v>
      </c>
      <c r="J687">
        <v>2010</v>
      </c>
      <c r="K687">
        <v>2010</v>
      </c>
      <c r="L687" t="s">
        <v>20</v>
      </c>
      <c r="M687">
        <v>12632</v>
      </c>
      <c r="N687">
        <v>900</v>
      </c>
    </row>
    <row r="688" spans="1:14" x14ac:dyDescent="0.35">
      <c r="A688" t="s">
        <v>729</v>
      </c>
      <c r="B688" t="s">
        <v>15</v>
      </c>
      <c r="C688" t="s">
        <v>16</v>
      </c>
      <c r="D688">
        <v>45</v>
      </c>
      <c r="E688" t="s">
        <v>705</v>
      </c>
      <c r="F688">
        <v>5419</v>
      </c>
      <c r="G688" t="s">
        <v>18</v>
      </c>
      <c r="H688">
        <v>27</v>
      </c>
      <c r="I688" t="s">
        <v>19</v>
      </c>
      <c r="J688">
        <v>2011</v>
      </c>
      <c r="K688">
        <v>2011</v>
      </c>
      <c r="L688" t="s">
        <v>20</v>
      </c>
      <c r="M688">
        <v>12619</v>
      </c>
      <c r="N688">
        <v>900</v>
      </c>
    </row>
    <row r="689" spans="1:14" x14ac:dyDescent="0.35">
      <c r="A689" t="s">
        <v>730</v>
      </c>
      <c r="B689" t="s">
        <v>15</v>
      </c>
      <c r="C689" t="s">
        <v>16</v>
      </c>
      <c r="D689">
        <v>45</v>
      </c>
      <c r="E689" t="s">
        <v>705</v>
      </c>
      <c r="F689">
        <v>5419</v>
      </c>
      <c r="G689" t="s">
        <v>18</v>
      </c>
      <c r="H689">
        <v>27</v>
      </c>
      <c r="I689" t="s">
        <v>19</v>
      </c>
      <c r="J689">
        <v>2012</v>
      </c>
      <c r="K689">
        <v>2012</v>
      </c>
      <c r="L689" t="s">
        <v>20</v>
      </c>
      <c r="M689">
        <v>12273</v>
      </c>
      <c r="N689">
        <v>900</v>
      </c>
    </row>
    <row r="690" spans="1:14" x14ac:dyDescent="0.35">
      <c r="A690" t="s">
        <v>731</v>
      </c>
      <c r="B690" t="s">
        <v>15</v>
      </c>
      <c r="C690" t="s">
        <v>16</v>
      </c>
      <c r="D690">
        <v>45</v>
      </c>
      <c r="E690" t="s">
        <v>705</v>
      </c>
      <c r="F690">
        <v>5419</v>
      </c>
      <c r="G690" t="s">
        <v>18</v>
      </c>
      <c r="H690">
        <v>27</v>
      </c>
      <c r="I690" t="s">
        <v>19</v>
      </c>
      <c r="J690">
        <v>2013</v>
      </c>
      <c r="K690">
        <v>2013</v>
      </c>
      <c r="L690" t="s">
        <v>20</v>
      </c>
      <c r="M690">
        <v>12889</v>
      </c>
      <c r="N690">
        <v>900</v>
      </c>
    </row>
    <row r="691" spans="1:14" x14ac:dyDescent="0.35">
      <c r="A691" t="s">
        <v>732</v>
      </c>
      <c r="B691" t="s">
        <v>15</v>
      </c>
      <c r="C691" t="s">
        <v>16</v>
      </c>
      <c r="D691">
        <v>45</v>
      </c>
      <c r="E691" t="s">
        <v>705</v>
      </c>
      <c r="F691">
        <v>5419</v>
      </c>
      <c r="G691" t="s">
        <v>18</v>
      </c>
      <c r="H691">
        <v>27</v>
      </c>
      <c r="I691" t="s">
        <v>19</v>
      </c>
      <c r="J691">
        <v>2014</v>
      </c>
      <c r="K691">
        <v>2014</v>
      </c>
      <c r="L691" t="s">
        <v>20</v>
      </c>
      <c r="M691">
        <v>12758</v>
      </c>
      <c r="N691">
        <v>900</v>
      </c>
    </row>
    <row r="692" spans="1:14" x14ac:dyDescent="0.35">
      <c r="A692" t="s">
        <v>733</v>
      </c>
      <c r="B692" t="s">
        <v>15</v>
      </c>
      <c r="C692" t="s">
        <v>16</v>
      </c>
      <c r="D692">
        <v>45</v>
      </c>
      <c r="E692" t="s">
        <v>705</v>
      </c>
      <c r="F692">
        <v>5419</v>
      </c>
      <c r="G692" t="s">
        <v>18</v>
      </c>
      <c r="H692">
        <v>27</v>
      </c>
      <c r="I692" t="s">
        <v>19</v>
      </c>
      <c r="J692">
        <v>2015</v>
      </c>
      <c r="K692">
        <v>2015</v>
      </c>
      <c r="L692" t="s">
        <v>20</v>
      </c>
      <c r="M692">
        <v>12689</v>
      </c>
      <c r="N692">
        <v>900</v>
      </c>
    </row>
    <row r="693" spans="1:14" x14ac:dyDescent="0.35">
      <c r="A693" t="s">
        <v>734</v>
      </c>
      <c r="B693" t="s">
        <v>15</v>
      </c>
      <c r="C693" t="s">
        <v>16</v>
      </c>
      <c r="D693">
        <v>45</v>
      </c>
      <c r="E693" t="s">
        <v>705</v>
      </c>
      <c r="F693">
        <v>5419</v>
      </c>
      <c r="G693" t="s">
        <v>18</v>
      </c>
      <c r="H693">
        <v>27</v>
      </c>
      <c r="I693" t="s">
        <v>19</v>
      </c>
      <c r="J693">
        <v>2016</v>
      </c>
      <c r="K693">
        <v>2016</v>
      </c>
      <c r="L693" t="s">
        <v>20</v>
      </c>
      <c r="M693">
        <v>12772</v>
      </c>
      <c r="N693">
        <v>900</v>
      </c>
    </row>
    <row r="694" spans="1:14" x14ac:dyDescent="0.35">
      <c r="A694" t="s">
        <v>735</v>
      </c>
      <c r="B694" t="s">
        <v>15</v>
      </c>
      <c r="C694" t="s">
        <v>16</v>
      </c>
      <c r="D694">
        <v>48</v>
      </c>
      <c r="E694" t="s">
        <v>736</v>
      </c>
      <c r="F694">
        <v>5419</v>
      </c>
      <c r="G694" t="s">
        <v>18</v>
      </c>
      <c r="H694">
        <v>27</v>
      </c>
      <c r="I694" t="s">
        <v>19</v>
      </c>
      <c r="J694">
        <v>1985</v>
      </c>
      <c r="K694">
        <v>1985</v>
      </c>
      <c r="L694" t="s">
        <v>20</v>
      </c>
      <c r="M694">
        <v>30352</v>
      </c>
      <c r="N694">
        <v>2926</v>
      </c>
    </row>
    <row r="695" spans="1:14" x14ac:dyDescent="0.35">
      <c r="A695" t="s">
        <v>737</v>
      </c>
      <c r="B695" t="s">
        <v>15</v>
      </c>
      <c r="C695" t="s">
        <v>16</v>
      </c>
      <c r="D695">
        <v>48</v>
      </c>
      <c r="E695" t="s">
        <v>736</v>
      </c>
      <c r="F695">
        <v>5419</v>
      </c>
      <c r="G695" t="s">
        <v>18</v>
      </c>
      <c r="H695">
        <v>27</v>
      </c>
      <c r="I695" t="s">
        <v>19</v>
      </c>
      <c r="J695">
        <v>1986</v>
      </c>
      <c r="K695">
        <v>1986</v>
      </c>
      <c r="L695" t="s">
        <v>20</v>
      </c>
      <c r="M695">
        <v>30638</v>
      </c>
      <c r="N695">
        <v>2926</v>
      </c>
    </row>
    <row r="696" spans="1:14" x14ac:dyDescent="0.35">
      <c r="A696" t="s">
        <v>738</v>
      </c>
      <c r="B696" t="s">
        <v>15</v>
      </c>
      <c r="C696" t="s">
        <v>16</v>
      </c>
      <c r="D696">
        <v>48</v>
      </c>
      <c r="E696" t="s">
        <v>736</v>
      </c>
      <c r="F696">
        <v>5419</v>
      </c>
      <c r="G696" t="s">
        <v>18</v>
      </c>
      <c r="H696">
        <v>27</v>
      </c>
      <c r="I696" t="s">
        <v>19</v>
      </c>
      <c r="J696">
        <v>1987</v>
      </c>
      <c r="K696">
        <v>1987</v>
      </c>
      <c r="L696" t="s">
        <v>20</v>
      </c>
      <c r="M696">
        <v>30281</v>
      </c>
      <c r="N696">
        <v>2926</v>
      </c>
    </row>
    <row r="697" spans="1:14" x14ac:dyDescent="0.35">
      <c r="A697" t="s">
        <v>739</v>
      </c>
      <c r="B697" t="s">
        <v>15</v>
      </c>
      <c r="C697" t="s">
        <v>16</v>
      </c>
      <c r="D697">
        <v>48</v>
      </c>
      <c r="E697" t="s">
        <v>736</v>
      </c>
      <c r="F697">
        <v>5419</v>
      </c>
      <c r="G697" t="s">
        <v>18</v>
      </c>
      <c r="H697">
        <v>27</v>
      </c>
      <c r="I697" t="s">
        <v>19</v>
      </c>
      <c r="J697">
        <v>1989</v>
      </c>
      <c r="K697">
        <v>1989</v>
      </c>
      <c r="L697" t="s">
        <v>20</v>
      </c>
      <c r="M697">
        <v>36313</v>
      </c>
      <c r="N697">
        <v>2926</v>
      </c>
    </row>
    <row r="698" spans="1:14" x14ac:dyDescent="0.35">
      <c r="A698" t="s">
        <v>740</v>
      </c>
      <c r="B698" t="s">
        <v>15</v>
      </c>
      <c r="C698" t="s">
        <v>16</v>
      </c>
      <c r="D698">
        <v>48</v>
      </c>
      <c r="E698" t="s">
        <v>736</v>
      </c>
      <c r="F698">
        <v>5419</v>
      </c>
      <c r="G698" t="s">
        <v>18</v>
      </c>
      <c r="H698">
        <v>27</v>
      </c>
      <c r="I698" t="s">
        <v>19</v>
      </c>
      <c r="J698">
        <v>1990</v>
      </c>
      <c r="K698">
        <v>1990</v>
      </c>
      <c r="L698" t="s">
        <v>20</v>
      </c>
      <c r="M698">
        <v>42823</v>
      </c>
      <c r="N698">
        <v>2926</v>
      </c>
    </row>
    <row r="699" spans="1:14" x14ac:dyDescent="0.35">
      <c r="A699" t="s">
        <v>741</v>
      </c>
      <c r="B699" t="s">
        <v>15</v>
      </c>
      <c r="C699" t="s">
        <v>16</v>
      </c>
      <c r="D699">
        <v>48</v>
      </c>
      <c r="E699" t="s">
        <v>736</v>
      </c>
      <c r="F699">
        <v>5419</v>
      </c>
      <c r="G699" t="s">
        <v>18</v>
      </c>
      <c r="H699">
        <v>27</v>
      </c>
      <c r="I699" t="s">
        <v>19</v>
      </c>
      <c r="J699">
        <v>1991</v>
      </c>
      <c r="K699">
        <v>1991</v>
      </c>
      <c r="L699" t="s">
        <v>20</v>
      </c>
      <c r="M699">
        <v>44019</v>
      </c>
      <c r="N699">
        <v>2926</v>
      </c>
    </row>
    <row r="700" spans="1:14" x14ac:dyDescent="0.35">
      <c r="A700" t="s">
        <v>742</v>
      </c>
      <c r="B700" t="s">
        <v>15</v>
      </c>
      <c r="C700" t="s">
        <v>16</v>
      </c>
      <c r="D700">
        <v>48</v>
      </c>
      <c r="E700" t="s">
        <v>736</v>
      </c>
      <c r="F700">
        <v>5419</v>
      </c>
      <c r="G700" t="s">
        <v>18</v>
      </c>
      <c r="H700">
        <v>27</v>
      </c>
      <c r="I700" t="s">
        <v>19</v>
      </c>
      <c r="J700">
        <v>1992</v>
      </c>
      <c r="K700">
        <v>1992</v>
      </c>
      <c r="L700" t="s">
        <v>20</v>
      </c>
      <c r="M700">
        <v>38418</v>
      </c>
      <c r="N700">
        <v>2926</v>
      </c>
    </row>
    <row r="701" spans="1:14" x14ac:dyDescent="0.35">
      <c r="A701" t="s">
        <v>743</v>
      </c>
      <c r="B701" t="s">
        <v>15</v>
      </c>
      <c r="C701" t="s">
        <v>16</v>
      </c>
      <c r="D701">
        <v>48</v>
      </c>
      <c r="E701" t="s">
        <v>736</v>
      </c>
      <c r="F701">
        <v>5419</v>
      </c>
      <c r="G701" t="s">
        <v>18</v>
      </c>
      <c r="H701">
        <v>27</v>
      </c>
      <c r="I701" t="s">
        <v>19</v>
      </c>
      <c r="J701">
        <v>1993</v>
      </c>
      <c r="K701">
        <v>1993</v>
      </c>
      <c r="L701" t="s">
        <v>20</v>
      </c>
      <c r="M701">
        <v>41264</v>
      </c>
      <c r="N701">
        <v>2926</v>
      </c>
    </row>
    <row r="702" spans="1:14" x14ac:dyDescent="0.35">
      <c r="A702" t="s">
        <v>744</v>
      </c>
      <c r="B702" t="s">
        <v>15</v>
      </c>
      <c r="C702" t="s">
        <v>16</v>
      </c>
      <c r="D702">
        <v>48</v>
      </c>
      <c r="E702" t="s">
        <v>736</v>
      </c>
      <c r="F702">
        <v>5419</v>
      </c>
      <c r="G702" t="s">
        <v>18</v>
      </c>
      <c r="H702">
        <v>27</v>
      </c>
      <c r="I702" t="s">
        <v>19</v>
      </c>
      <c r="J702">
        <v>1994</v>
      </c>
      <c r="K702">
        <v>1994</v>
      </c>
      <c r="L702" t="s">
        <v>20</v>
      </c>
      <c r="M702">
        <v>45875</v>
      </c>
      <c r="N702">
        <v>2926</v>
      </c>
    </row>
    <row r="703" spans="1:14" x14ac:dyDescent="0.35">
      <c r="A703" t="s">
        <v>745</v>
      </c>
      <c r="B703" t="s">
        <v>15</v>
      </c>
      <c r="C703" t="s">
        <v>16</v>
      </c>
      <c r="D703">
        <v>48</v>
      </c>
      <c r="E703" t="s">
        <v>736</v>
      </c>
      <c r="F703">
        <v>5419</v>
      </c>
      <c r="G703" t="s">
        <v>18</v>
      </c>
      <c r="H703">
        <v>27</v>
      </c>
      <c r="I703" t="s">
        <v>19</v>
      </c>
      <c r="J703">
        <v>1995</v>
      </c>
      <c r="K703">
        <v>1995</v>
      </c>
      <c r="L703" t="s">
        <v>20</v>
      </c>
      <c r="M703">
        <v>44518</v>
      </c>
      <c r="N703">
        <v>2926</v>
      </c>
    </row>
    <row r="704" spans="1:14" x14ac:dyDescent="0.35">
      <c r="A704" t="s">
        <v>746</v>
      </c>
      <c r="B704" t="s">
        <v>15</v>
      </c>
      <c r="C704" t="s">
        <v>16</v>
      </c>
      <c r="D704">
        <v>48</v>
      </c>
      <c r="E704" t="s">
        <v>736</v>
      </c>
      <c r="F704">
        <v>5419</v>
      </c>
      <c r="G704" t="s">
        <v>18</v>
      </c>
      <c r="H704">
        <v>27</v>
      </c>
      <c r="I704" t="s">
        <v>19</v>
      </c>
      <c r="J704">
        <v>1996</v>
      </c>
      <c r="K704">
        <v>1996</v>
      </c>
      <c r="L704" t="s">
        <v>20</v>
      </c>
      <c r="M704">
        <v>41102</v>
      </c>
      <c r="N704">
        <v>2926</v>
      </c>
    </row>
    <row r="705" spans="1:14" x14ac:dyDescent="0.35">
      <c r="A705" t="s">
        <v>747</v>
      </c>
      <c r="B705" t="s">
        <v>15</v>
      </c>
      <c r="C705" t="s">
        <v>16</v>
      </c>
      <c r="D705">
        <v>48</v>
      </c>
      <c r="E705" t="s">
        <v>736</v>
      </c>
      <c r="F705">
        <v>5419</v>
      </c>
      <c r="G705" t="s">
        <v>18</v>
      </c>
      <c r="H705">
        <v>27</v>
      </c>
      <c r="I705" t="s">
        <v>19</v>
      </c>
      <c r="J705">
        <v>1997</v>
      </c>
      <c r="K705">
        <v>1997</v>
      </c>
      <c r="L705" t="s">
        <v>20</v>
      </c>
      <c r="M705">
        <v>43652</v>
      </c>
      <c r="N705">
        <v>2926</v>
      </c>
    </row>
    <row r="706" spans="1:14" x14ac:dyDescent="0.35">
      <c r="A706" t="s">
        <v>748</v>
      </c>
      <c r="B706" t="s">
        <v>15</v>
      </c>
      <c r="C706" t="s">
        <v>16</v>
      </c>
      <c r="D706">
        <v>48</v>
      </c>
      <c r="E706" t="s">
        <v>736</v>
      </c>
      <c r="F706">
        <v>5419</v>
      </c>
      <c r="G706" t="s">
        <v>18</v>
      </c>
      <c r="H706">
        <v>27</v>
      </c>
      <c r="I706" t="s">
        <v>19</v>
      </c>
      <c r="J706">
        <v>1998</v>
      </c>
      <c r="K706">
        <v>1998</v>
      </c>
      <c r="L706" t="s">
        <v>20</v>
      </c>
      <c r="M706">
        <v>42668</v>
      </c>
      <c r="N706">
        <v>2926</v>
      </c>
    </row>
    <row r="707" spans="1:14" x14ac:dyDescent="0.35">
      <c r="A707" t="s">
        <v>749</v>
      </c>
      <c r="B707" t="s">
        <v>15</v>
      </c>
      <c r="C707" t="s">
        <v>16</v>
      </c>
      <c r="D707">
        <v>48</v>
      </c>
      <c r="E707" t="s">
        <v>736</v>
      </c>
      <c r="F707">
        <v>5419</v>
      </c>
      <c r="G707" t="s">
        <v>18</v>
      </c>
      <c r="H707">
        <v>27</v>
      </c>
      <c r="I707" t="s">
        <v>19</v>
      </c>
      <c r="J707">
        <v>1999</v>
      </c>
      <c r="K707">
        <v>1999</v>
      </c>
      <c r="L707" t="s">
        <v>20</v>
      </c>
      <c r="M707">
        <v>40875</v>
      </c>
      <c r="N707">
        <v>2926</v>
      </c>
    </row>
    <row r="708" spans="1:14" x14ac:dyDescent="0.35">
      <c r="A708" t="s">
        <v>750</v>
      </c>
      <c r="B708" t="s">
        <v>15</v>
      </c>
      <c r="C708" t="s">
        <v>16</v>
      </c>
      <c r="D708">
        <v>48</v>
      </c>
      <c r="E708" t="s">
        <v>736</v>
      </c>
      <c r="F708">
        <v>5419</v>
      </c>
      <c r="G708" t="s">
        <v>18</v>
      </c>
      <c r="H708">
        <v>27</v>
      </c>
      <c r="I708" t="s">
        <v>19</v>
      </c>
      <c r="J708">
        <v>2000</v>
      </c>
      <c r="K708">
        <v>2000</v>
      </c>
      <c r="L708" t="s">
        <v>20</v>
      </c>
      <c r="M708">
        <v>38975</v>
      </c>
      <c r="N708">
        <v>2926</v>
      </c>
    </row>
    <row r="709" spans="1:14" x14ac:dyDescent="0.35">
      <c r="A709" t="s">
        <v>751</v>
      </c>
      <c r="B709" t="s">
        <v>15</v>
      </c>
      <c r="C709" t="s">
        <v>16</v>
      </c>
      <c r="D709">
        <v>48</v>
      </c>
      <c r="E709" t="s">
        <v>736</v>
      </c>
      <c r="F709">
        <v>5419</v>
      </c>
      <c r="G709" t="s">
        <v>18</v>
      </c>
      <c r="H709">
        <v>27</v>
      </c>
      <c r="I709" t="s">
        <v>19</v>
      </c>
      <c r="J709">
        <v>2001</v>
      </c>
      <c r="K709">
        <v>2001</v>
      </c>
      <c r="L709" t="s">
        <v>20</v>
      </c>
      <c r="M709">
        <v>38039</v>
      </c>
      <c r="N709">
        <v>2926</v>
      </c>
    </row>
    <row r="710" spans="1:14" x14ac:dyDescent="0.35">
      <c r="A710" t="s">
        <v>752</v>
      </c>
      <c r="B710" t="s">
        <v>15</v>
      </c>
      <c r="C710" t="s">
        <v>16</v>
      </c>
      <c r="D710">
        <v>48</v>
      </c>
      <c r="E710" t="s">
        <v>736</v>
      </c>
      <c r="F710">
        <v>5419</v>
      </c>
      <c r="G710" t="s">
        <v>18</v>
      </c>
      <c r="H710">
        <v>27</v>
      </c>
      <c r="I710" t="s">
        <v>19</v>
      </c>
      <c r="J710">
        <v>2002</v>
      </c>
      <c r="K710">
        <v>2002</v>
      </c>
      <c r="L710" t="s">
        <v>20</v>
      </c>
      <c r="M710">
        <v>39623</v>
      </c>
      <c r="N710">
        <v>2926</v>
      </c>
    </row>
    <row r="711" spans="1:14" x14ac:dyDescent="0.35">
      <c r="A711" t="s">
        <v>753</v>
      </c>
      <c r="B711" t="s">
        <v>15</v>
      </c>
      <c r="C711" t="s">
        <v>16</v>
      </c>
      <c r="D711">
        <v>48</v>
      </c>
      <c r="E711" t="s">
        <v>736</v>
      </c>
      <c r="F711">
        <v>5419</v>
      </c>
      <c r="G711" t="s">
        <v>18</v>
      </c>
      <c r="H711">
        <v>27</v>
      </c>
      <c r="I711" t="s">
        <v>19</v>
      </c>
      <c r="J711">
        <v>2004</v>
      </c>
      <c r="K711">
        <v>2004</v>
      </c>
      <c r="L711" t="s">
        <v>20</v>
      </c>
      <c r="M711">
        <v>31749</v>
      </c>
      <c r="N711">
        <v>2926</v>
      </c>
    </row>
    <row r="712" spans="1:14" x14ac:dyDescent="0.35">
      <c r="A712" t="s">
        <v>754</v>
      </c>
      <c r="B712" t="s">
        <v>15</v>
      </c>
      <c r="C712" t="s">
        <v>16</v>
      </c>
      <c r="D712">
        <v>48</v>
      </c>
      <c r="E712" t="s">
        <v>736</v>
      </c>
      <c r="F712">
        <v>5419</v>
      </c>
      <c r="G712" t="s">
        <v>18</v>
      </c>
      <c r="H712">
        <v>27</v>
      </c>
      <c r="I712" t="s">
        <v>19</v>
      </c>
      <c r="J712">
        <v>2005</v>
      </c>
      <c r="K712">
        <v>2005</v>
      </c>
      <c r="L712" t="s">
        <v>20</v>
      </c>
      <c r="M712">
        <v>33169</v>
      </c>
      <c r="N712">
        <v>2926</v>
      </c>
    </row>
    <row r="713" spans="1:14" x14ac:dyDescent="0.35">
      <c r="A713" t="s">
        <v>755</v>
      </c>
      <c r="B713" t="s">
        <v>15</v>
      </c>
      <c r="C713" t="s">
        <v>16</v>
      </c>
      <c r="D713">
        <v>48</v>
      </c>
      <c r="E713" t="s">
        <v>736</v>
      </c>
      <c r="F713">
        <v>5419</v>
      </c>
      <c r="G713" t="s">
        <v>18</v>
      </c>
      <c r="H713">
        <v>27</v>
      </c>
      <c r="I713" t="s">
        <v>19</v>
      </c>
      <c r="J713">
        <v>2006</v>
      </c>
      <c r="K713">
        <v>2006</v>
      </c>
      <c r="L713" t="s">
        <v>20</v>
      </c>
      <c r="M713">
        <v>39744</v>
      </c>
      <c r="N713">
        <v>2926</v>
      </c>
    </row>
    <row r="714" spans="1:14" x14ac:dyDescent="0.35">
      <c r="A714" t="s">
        <v>756</v>
      </c>
      <c r="B714" t="s">
        <v>15</v>
      </c>
      <c r="C714" t="s">
        <v>16</v>
      </c>
      <c r="D714">
        <v>48</v>
      </c>
      <c r="E714" t="s">
        <v>736</v>
      </c>
      <c r="F714">
        <v>5419</v>
      </c>
      <c r="G714" t="s">
        <v>18</v>
      </c>
      <c r="H714">
        <v>27</v>
      </c>
      <c r="I714" t="s">
        <v>19</v>
      </c>
      <c r="J714">
        <v>2007</v>
      </c>
      <c r="K714">
        <v>2007</v>
      </c>
      <c r="L714" t="s">
        <v>20</v>
      </c>
      <c r="M714">
        <v>38036</v>
      </c>
      <c r="N714">
        <v>2926</v>
      </c>
    </row>
    <row r="715" spans="1:14" x14ac:dyDescent="0.35">
      <c r="A715" t="s">
        <v>757</v>
      </c>
      <c r="B715" t="s">
        <v>15</v>
      </c>
      <c r="C715" t="s">
        <v>16</v>
      </c>
      <c r="D715">
        <v>48</v>
      </c>
      <c r="E715" t="s">
        <v>736</v>
      </c>
      <c r="F715">
        <v>5419</v>
      </c>
      <c r="G715" t="s">
        <v>18</v>
      </c>
      <c r="H715">
        <v>27</v>
      </c>
      <c r="I715" t="s">
        <v>19</v>
      </c>
      <c r="J715">
        <v>2008</v>
      </c>
      <c r="K715">
        <v>2008</v>
      </c>
      <c r="L715" t="s">
        <v>20</v>
      </c>
      <c r="M715">
        <v>40974</v>
      </c>
      <c r="N715">
        <v>2926</v>
      </c>
    </row>
    <row r="716" spans="1:14" x14ac:dyDescent="0.35">
      <c r="A716" t="s">
        <v>758</v>
      </c>
      <c r="B716" t="s">
        <v>15</v>
      </c>
      <c r="C716" t="s">
        <v>16</v>
      </c>
      <c r="D716">
        <v>48</v>
      </c>
      <c r="E716" t="s">
        <v>736</v>
      </c>
      <c r="F716">
        <v>5419</v>
      </c>
      <c r="G716" t="s">
        <v>18</v>
      </c>
      <c r="H716">
        <v>27</v>
      </c>
      <c r="I716" t="s">
        <v>19</v>
      </c>
      <c r="J716">
        <v>2009</v>
      </c>
      <c r="K716">
        <v>2009</v>
      </c>
      <c r="L716" t="s">
        <v>20</v>
      </c>
      <c r="M716">
        <v>41001</v>
      </c>
      <c r="N716">
        <v>2926</v>
      </c>
    </row>
    <row r="717" spans="1:14" x14ac:dyDescent="0.35">
      <c r="A717" t="s">
        <v>759</v>
      </c>
      <c r="B717" t="s">
        <v>15</v>
      </c>
      <c r="C717" t="s">
        <v>16</v>
      </c>
      <c r="D717">
        <v>48</v>
      </c>
      <c r="E717" t="s">
        <v>736</v>
      </c>
      <c r="F717">
        <v>5419</v>
      </c>
      <c r="G717" t="s">
        <v>18</v>
      </c>
      <c r="H717">
        <v>27</v>
      </c>
      <c r="I717" t="s">
        <v>19</v>
      </c>
      <c r="J717">
        <v>2010</v>
      </c>
      <c r="K717">
        <v>2010</v>
      </c>
      <c r="L717" t="s">
        <v>20</v>
      </c>
      <c r="M717">
        <v>33485</v>
      </c>
      <c r="N717">
        <v>2926</v>
      </c>
    </row>
    <row r="718" spans="1:14" x14ac:dyDescent="0.35">
      <c r="A718" t="s">
        <v>760</v>
      </c>
      <c r="B718" t="s">
        <v>15</v>
      </c>
      <c r="C718" t="s">
        <v>16</v>
      </c>
      <c r="D718">
        <v>48</v>
      </c>
      <c r="E718" t="s">
        <v>736</v>
      </c>
      <c r="F718">
        <v>5419</v>
      </c>
      <c r="G718" t="s">
        <v>18</v>
      </c>
      <c r="H718">
        <v>27</v>
      </c>
      <c r="I718" t="s">
        <v>19</v>
      </c>
      <c r="J718">
        <v>2011</v>
      </c>
      <c r="K718">
        <v>2011</v>
      </c>
      <c r="L718" t="s">
        <v>20</v>
      </c>
      <c r="M718">
        <v>35402</v>
      </c>
      <c r="N718">
        <v>2926</v>
      </c>
    </row>
    <row r="719" spans="1:14" x14ac:dyDescent="0.35">
      <c r="A719" t="s">
        <v>761</v>
      </c>
      <c r="B719" t="s">
        <v>15</v>
      </c>
      <c r="C719" t="s">
        <v>16</v>
      </c>
      <c r="D719">
        <v>48</v>
      </c>
      <c r="E719" t="s">
        <v>736</v>
      </c>
      <c r="F719">
        <v>5419</v>
      </c>
      <c r="G719" t="s">
        <v>18</v>
      </c>
      <c r="H719">
        <v>27</v>
      </c>
      <c r="I719" t="s">
        <v>19</v>
      </c>
      <c r="J719">
        <v>2012</v>
      </c>
      <c r="K719">
        <v>2012</v>
      </c>
      <c r="L719" t="s">
        <v>20</v>
      </c>
      <c r="M719">
        <v>37933</v>
      </c>
      <c r="N719">
        <v>2926</v>
      </c>
    </row>
    <row r="720" spans="1:14" x14ac:dyDescent="0.35">
      <c r="A720" t="s">
        <v>762</v>
      </c>
      <c r="B720" t="s">
        <v>15</v>
      </c>
      <c r="C720" t="s">
        <v>16</v>
      </c>
      <c r="D720">
        <v>48</v>
      </c>
      <c r="E720" t="s">
        <v>736</v>
      </c>
      <c r="F720">
        <v>5419</v>
      </c>
      <c r="G720" t="s">
        <v>18</v>
      </c>
      <c r="H720">
        <v>27</v>
      </c>
      <c r="I720" t="s">
        <v>19</v>
      </c>
      <c r="J720">
        <v>2013</v>
      </c>
      <c r="K720">
        <v>2013</v>
      </c>
      <c r="L720" t="s">
        <v>20</v>
      </c>
      <c r="M720">
        <v>33822</v>
      </c>
      <c r="N720">
        <v>2926</v>
      </c>
    </row>
    <row r="721" spans="1:14" x14ac:dyDescent="0.35">
      <c r="A721" t="s">
        <v>763</v>
      </c>
      <c r="B721" t="s">
        <v>15</v>
      </c>
      <c r="C721" t="s">
        <v>16</v>
      </c>
      <c r="D721">
        <v>48</v>
      </c>
      <c r="E721" t="s">
        <v>736</v>
      </c>
      <c r="F721">
        <v>5419</v>
      </c>
      <c r="G721" t="s">
        <v>18</v>
      </c>
      <c r="H721">
        <v>27</v>
      </c>
      <c r="I721" t="s">
        <v>19</v>
      </c>
      <c r="J721">
        <v>2014</v>
      </c>
      <c r="K721">
        <v>2014</v>
      </c>
      <c r="L721" t="s">
        <v>20</v>
      </c>
      <c r="M721">
        <v>48799</v>
      </c>
      <c r="N721">
        <v>2926</v>
      </c>
    </row>
    <row r="722" spans="1:14" x14ac:dyDescent="0.35">
      <c r="A722" t="s">
        <v>764</v>
      </c>
      <c r="B722" t="s">
        <v>15</v>
      </c>
      <c r="C722" t="s">
        <v>16</v>
      </c>
      <c r="D722">
        <v>48</v>
      </c>
      <c r="E722" t="s">
        <v>736</v>
      </c>
      <c r="F722">
        <v>5419</v>
      </c>
      <c r="G722" t="s">
        <v>18</v>
      </c>
      <c r="H722">
        <v>27</v>
      </c>
      <c r="I722" t="s">
        <v>19</v>
      </c>
      <c r="J722">
        <v>2015</v>
      </c>
      <c r="K722">
        <v>2015</v>
      </c>
      <c r="L722" t="s">
        <v>20</v>
      </c>
      <c r="M722">
        <v>40029</v>
      </c>
      <c r="N722">
        <v>2926</v>
      </c>
    </row>
    <row r="723" spans="1:14" x14ac:dyDescent="0.35">
      <c r="A723" t="s">
        <v>765</v>
      </c>
      <c r="B723" t="s">
        <v>15</v>
      </c>
      <c r="C723" t="s">
        <v>16</v>
      </c>
      <c r="D723">
        <v>48</v>
      </c>
      <c r="E723" t="s">
        <v>736</v>
      </c>
      <c r="F723">
        <v>5419</v>
      </c>
      <c r="G723" t="s">
        <v>18</v>
      </c>
      <c r="H723">
        <v>27</v>
      </c>
      <c r="I723" t="s">
        <v>19</v>
      </c>
      <c r="J723">
        <v>2016</v>
      </c>
      <c r="K723">
        <v>2016</v>
      </c>
      <c r="L723" t="s">
        <v>20</v>
      </c>
      <c r="M723">
        <v>42396</v>
      </c>
      <c r="N723">
        <v>2926</v>
      </c>
    </row>
    <row r="724" spans="1:14" x14ac:dyDescent="0.35">
      <c r="A724" t="s">
        <v>766</v>
      </c>
      <c r="B724" t="s">
        <v>15</v>
      </c>
      <c r="C724" t="s">
        <v>16</v>
      </c>
      <c r="D724">
        <v>49</v>
      </c>
      <c r="E724" t="s">
        <v>767</v>
      </c>
      <c r="F724">
        <v>5419</v>
      </c>
      <c r="G724" t="s">
        <v>18</v>
      </c>
      <c r="H724">
        <v>27</v>
      </c>
      <c r="I724" t="s">
        <v>19</v>
      </c>
      <c r="J724">
        <v>1985</v>
      </c>
      <c r="K724">
        <v>1985</v>
      </c>
      <c r="L724" t="s">
        <v>20</v>
      </c>
      <c r="M724">
        <v>32935</v>
      </c>
      <c r="N724">
        <v>1335</v>
      </c>
    </row>
    <row r="725" spans="1:14" x14ac:dyDescent="0.35">
      <c r="A725" t="s">
        <v>768</v>
      </c>
      <c r="B725" t="s">
        <v>15</v>
      </c>
      <c r="C725" t="s">
        <v>16</v>
      </c>
      <c r="D725">
        <v>49</v>
      </c>
      <c r="E725" t="s">
        <v>767</v>
      </c>
      <c r="F725">
        <v>5419</v>
      </c>
      <c r="G725" t="s">
        <v>18</v>
      </c>
      <c r="H725">
        <v>27</v>
      </c>
      <c r="I725" t="s">
        <v>19</v>
      </c>
      <c r="J725">
        <v>1986</v>
      </c>
      <c r="K725">
        <v>1986</v>
      </c>
      <c r="L725" t="s">
        <v>20</v>
      </c>
      <c r="M725">
        <v>33442</v>
      </c>
      <c r="N725">
        <v>1335</v>
      </c>
    </row>
    <row r="726" spans="1:14" x14ac:dyDescent="0.35">
      <c r="A726" t="s">
        <v>769</v>
      </c>
      <c r="B726" t="s">
        <v>15</v>
      </c>
      <c r="C726" t="s">
        <v>16</v>
      </c>
      <c r="D726">
        <v>49</v>
      </c>
      <c r="E726" t="s">
        <v>767</v>
      </c>
      <c r="F726">
        <v>5419</v>
      </c>
      <c r="G726" t="s">
        <v>18</v>
      </c>
      <c r="H726">
        <v>27</v>
      </c>
      <c r="I726" t="s">
        <v>19</v>
      </c>
      <c r="J726">
        <v>1987</v>
      </c>
      <c r="K726">
        <v>1987</v>
      </c>
      <c r="L726" t="s">
        <v>20</v>
      </c>
      <c r="M726">
        <v>30401</v>
      </c>
      <c r="N726">
        <v>1335</v>
      </c>
    </row>
    <row r="727" spans="1:14" x14ac:dyDescent="0.35">
      <c r="A727" t="s">
        <v>770</v>
      </c>
      <c r="B727" t="s">
        <v>15</v>
      </c>
      <c r="C727" t="s">
        <v>16</v>
      </c>
      <c r="D727">
        <v>49</v>
      </c>
      <c r="E727" t="s">
        <v>767</v>
      </c>
      <c r="F727">
        <v>5419</v>
      </c>
      <c r="G727" t="s">
        <v>18</v>
      </c>
      <c r="H727">
        <v>27</v>
      </c>
      <c r="I727" t="s">
        <v>19</v>
      </c>
      <c r="J727">
        <v>1989</v>
      </c>
      <c r="K727">
        <v>1989</v>
      </c>
      <c r="L727" t="s">
        <v>20</v>
      </c>
      <c r="M727">
        <v>32038</v>
      </c>
      <c r="N727">
        <v>1335</v>
      </c>
    </row>
    <row r="728" spans="1:14" x14ac:dyDescent="0.35">
      <c r="A728" t="s">
        <v>771</v>
      </c>
      <c r="B728" t="s">
        <v>15</v>
      </c>
      <c r="C728" t="s">
        <v>16</v>
      </c>
      <c r="D728">
        <v>49</v>
      </c>
      <c r="E728" t="s">
        <v>767</v>
      </c>
      <c r="F728">
        <v>5419</v>
      </c>
      <c r="G728" t="s">
        <v>18</v>
      </c>
      <c r="H728">
        <v>27</v>
      </c>
      <c r="I728" t="s">
        <v>19</v>
      </c>
      <c r="J728">
        <v>1990</v>
      </c>
      <c r="K728">
        <v>1990</v>
      </c>
      <c r="L728" t="s">
        <v>20</v>
      </c>
      <c r="M728">
        <v>30580</v>
      </c>
      <c r="N728">
        <v>1335</v>
      </c>
    </row>
    <row r="729" spans="1:14" x14ac:dyDescent="0.35">
      <c r="A729" t="s">
        <v>772</v>
      </c>
      <c r="B729" t="s">
        <v>15</v>
      </c>
      <c r="C729" t="s">
        <v>16</v>
      </c>
      <c r="D729">
        <v>49</v>
      </c>
      <c r="E729" t="s">
        <v>767</v>
      </c>
      <c r="F729">
        <v>5419</v>
      </c>
      <c r="G729" t="s">
        <v>18</v>
      </c>
      <c r="H729">
        <v>27</v>
      </c>
      <c r="I729" t="s">
        <v>19</v>
      </c>
      <c r="J729">
        <v>1991</v>
      </c>
      <c r="K729">
        <v>1991</v>
      </c>
      <c r="L729" t="s">
        <v>20</v>
      </c>
      <c r="M729">
        <v>28105</v>
      </c>
      <c r="N729">
        <v>1335</v>
      </c>
    </row>
    <row r="730" spans="1:14" x14ac:dyDescent="0.35">
      <c r="A730" t="s">
        <v>773</v>
      </c>
      <c r="B730" t="s">
        <v>15</v>
      </c>
      <c r="C730" t="s">
        <v>16</v>
      </c>
      <c r="D730">
        <v>49</v>
      </c>
      <c r="E730" t="s">
        <v>767</v>
      </c>
      <c r="F730">
        <v>5419</v>
      </c>
      <c r="G730" t="s">
        <v>18</v>
      </c>
      <c r="H730">
        <v>27</v>
      </c>
      <c r="I730" t="s">
        <v>19</v>
      </c>
      <c r="J730">
        <v>1992</v>
      </c>
      <c r="K730">
        <v>1992</v>
      </c>
      <c r="L730" t="s">
        <v>20</v>
      </c>
      <c r="M730">
        <v>21902</v>
      </c>
      <c r="N730">
        <v>1335</v>
      </c>
    </row>
    <row r="731" spans="1:14" x14ac:dyDescent="0.35">
      <c r="A731" t="s">
        <v>774</v>
      </c>
      <c r="B731" t="s">
        <v>15</v>
      </c>
      <c r="C731" t="s">
        <v>16</v>
      </c>
      <c r="D731">
        <v>49</v>
      </c>
      <c r="E731" t="s">
        <v>767</v>
      </c>
      <c r="F731">
        <v>5419</v>
      </c>
      <c r="G731" t="s">
        <v>18</v>
      </c>
      <c r="H731">
        <v>27</v>
      </c>
      <c r="I731" t="s">
        <v>19</v>
      </c>
      <c r="J731">
        <v>1993</v>
      </c>
      <c r="K731">
        <v>1993</v>
      </c>
      <c r="L731" t="s">
        <v>20</v>
      </c>
      <c r="M731">
        <v>19113</v>
      </c>
      <c r="N731">
        <v>1335</v>
      </c>
    </row>
    <row r="732" spans="1:14" x14ac:dyDescent="0.35">
      <c r="A732" t="s">
        <v>775</v>
      </c>
      <c r="B732" t="s">
        <v>15</v>
      </c>
      <c r="C732" t="s">
        <v>16</v>
      </c>
      <c r="D732">
        <v>49</v>
      </c>
      <c r="E732" t="s">
        <v>767</v>
      </c>
      <c r="F732">
        <v>5419</v>
      </c>
      <c r="G732" t="s">
        <v>18</v>
      </c>
      <c r="H732">
        <v>27</v>
      </c>
      <c r="I732" t="s">
        <v>19</v>
      </c>
      <c r="J732">
        <v>1994</v>
      </c>
      <c r="K732">
        <v>1994</v>
      </c>
      <c r="L732" t="s">
        <v>20</v>
      </c>
      <c r="M732">
        <v>23247</v>
      </c>
      <c r="N732">
        <v>1335</v>
      </c>
    </row>
    <row r="733" spans="1:14" x14ac:dyDescent="0.35">
      <c r="A733" t="s">
        <v>776</v>
      </c>
      <c r="B733" t="s">
        <v>15</v>
      </c>
      <c r="C733" t="s">
        <v>16</v>
      </c>
      <c r="D733">
        <v>49</v>
      </c>
      <c r="E733" t="s">
        <v>767</v>
      </c>
      <c r="F733">
        <v>5419</v>
      </c>
      <c r="G733" t="s">
        <v>18</v>
      </c>
      <c r="H733">
        <v>27</v>
      </c>
      <c r="I733" t="s">
        <v>19</v>
      </c>
      <c r="J733">
        <v>1995</v>
      </c>
      <c r="K733">
        <v>1995</v>
      </c>
      <c r="L733" t="s">
        <v>20</v>
      </c>
      <c r="M733">
        <v>25604</v>
      </c>
      <c r="N733">
        <v>1335</v>
      </c>
    </row>
    <row r="734" spans="1:14" x14ac:dyDescent="0.35">
      <c r="A734" t="s">
        <v>777</v>
      </c>
      <c r="B734" t="s">
        <v>15</v>
      </c>
      <c r="C734" t="s">
        <v>16</v>
      </c>
      <c r="D734">
        <v>49</v>
      </c>
      <c r="E734" t="s">
        <v>767</v>
      </c>
      <c r="F734">
        <v>5419</v>
      </c>
      <c r="G734" t="s">
        <v>18</v>
      </c>
      <c r="H734">
        <v>27</v>
      </c>
      <c r="I734" t="s">
        <v>19</v>
      </c>
      <c r="J734">
        <v>1996</v>
      </c>
      <c r="K734">
        <v>1996</v>
      </c>
      <c r="L734" t="s">
        <v>20</v>
      </c>
      <c r="M734">
        <v>24574</v>
      </c>
      <c r="N734">
        <v>1335</v>
      </c>
    </row>
    <row r="735" spans="1:14" x14ac:dyDescent="0.35">
      <c r="A735" t="s">
        <v>778</v>
      </c>
      <c r="B735" t="s">
        <v>15</v>
      </c>
      <c r="C735" t="s">
        <v>16</v>
      </c>
      <c r="D735">
        <v>49</v>
      </c>
      <c r="E735" t="s">
        <v>767</v>
      </c>
      <c r="F735">
        <v>5419</v>
      </c>
      <c r="G735" t="s">
        <v>18</v>
      </c>
      <c r="H735">
        <v>27</v>
      </c>
      <c r="I735" t="s">
        <v>19</v>
      </c>
      <c r="J735">
        <v>1997</v>
      </c>
      <c r="K735">
        <v>1997</v>
      </c>
      <c r="L735" t="s">
        <v>20</v>
      </c>
      <c r="M735">
        <v>28781</v>
      </c>
      <c r="N735">
        <v>1335</v>
      </c>
    </row>
    <row r="736" spans="1:14" x14ac:dyDescent="0.35">
      <c r="A736" t="s">
        <v>779</v>
      </c>
      <c r="B736" t="s">
        <v>15</v>
      </c>
      <c r="C736" t="s">
        <v>16</v>
      </c>
      <c r="D736">
        <v>49</v>
      </c>
      <c r="E736" t="s">
        <v>767</v>
      </c>
      <c r="F736">
        <v>5419</v>
      </c>
      <c r="G736" t="s">
        <v>18</v>
      </c>
      <c r="H736">
        <v>27</v>
      </c>
      <c r="I736" t="s">
        <v>19</v>
      </c>
      <c r="J736">
        <v>1998</v>
      </c>
      <c r="K736">
        <v>1998</v>
      </c>
      <c r="L736" t="s">
        <v>20</v>
      </c>
      <c r="M736">
        <v>22772</v>
      </c>
      <c r="N736">
        <v>1335</v>
      </c>
    </row>
    <row r="737" spans="1:14" x14ac:dyDescent="0.35">
      <c r="A737" t="s">
        <v>780</v>
      </c>
      <c r="B737" t="s">
        <v>15</v>
      </c>
      <c r="C737" t="s">
        <v>16</v>
      </c>
      <c r="D737">
        <v>49</v>
      </c>
      <c r="E737" t="s">
        <v>767</v>
      </c>
      <c r="F737">
        <v>5419</v>
      </c>
      <c r="G737" t="s">
        <v>18</v>
      </c>
      <c r="H737">
        <v>27</v>
      </c>
      <c r="I737" t="s">
        <v>19</v>
      </c>
      <c r="J737">
        <v>1999</v>
      </c>
      <c r="K737">
        <v>1999</v>
      </c>
      <c r="L737" t="s">
        <v>20</v>
      </c>
      <c r="M737">
        <v>32673</v>
      </c>
      <c r="N737">
        <v>1335</v>
      </c>
    </row>
    <row r="738" spans="1:14" x14ac:dyDescent="0.35">
      <c r="A738" t="s">
        <v>781</v>
      </c>
      <c r="B738" t="s">
        <v>15</v>
      </c>
      <c r="C738" t="s">
        <v>16</v>
      </c>
      <c r="D738">
        <v>49</v>
      </c>
      <c r="E738" t="s">
        <v>767</v>
      </c>
      <c r="F738">
        <v>5419</v>
      </c>
      <c r="G738" t="s">
        <v>18</v>
      </c>
      <c r="H738">
        <v>27</v>
      </c>
      <c r="I738" t="s">
        <v>19</v>
      </c>
      <c r="J738">
        <v>2000</v>
      </c>
      <c r="K738">
        <v>2000</v>
      </c>
      <c r="L738" t="s">
        <v>20</v>
      </c>
      <c r="M738">
        <v>27625</v>
      </c>
      <c r="N738">
        <v>1335</v>
      </c>
    </row>
    <row r="739" spans="1:14" x14ac:dyDescent="0.35">
      <c r="A739" t="s">
        <v>782</v>
      </c>
      <c r="B739" t="s">
        <v>15</v>
      </c>
      <c r="C739" t="s">
        <v>16</v>
      </c>
      <c r="D739">
        <v>49</v>
      </c>
      <c r="E739" t="s">
        <v>767</v>
      </c>
      <c r="F739">
        <v>5419</v>
      </c>
      <c r="G739" t="s">
        <v>18</v>
      </c>
      <c r="H739">
        <v>27</v>
      </c>
      <c r="I739" t="s">
        <v>19</v>
      </c>
      <c r="J739">
        <v>2001</v>
      </c>
      <c r="K739">
        <v>2001</v>
      </c>
      <c r="L739" t="s">
        <v>20</v>
      </c>
      <c r="M739">
        <v>32689</v>
      </c>
      <c r="N739">
        <v>1335</v>
      </c>
    </row>
    <row r="740" spans="1:14" x14ac:dyDescent="0.35">
      <c r="A740" t="s">
        <v>783</v>
      </c>
      <c r="B740" t="s">
        <v>15</v>
      </c>
      <c r="C740" t="s">
        <v>16</v>
      </c>
      <c r="D740">
        <v>49</v>
      </c>
      <c r="E740" t="s">
        <v>767</v>
      </c>
      <c r="F740">
        <v>5419</v>
      </c>
      <c r="G740" t="s">
        <v>18</v>
      </c>
      <c r="H740">
        <v>27</v>
      </c>
      <c r="I740" t="s">
        <v>19</v>
      </c>
      <c r="J740">
        <v>2002</v>
      </c>
      <c r="K740">
        <v>2002</v>
      </c>
      <c r="L740" t="s">
        <v>20</v>
      </c>
      <c r="M740">
        <v>34959</v>
      </c>
      <c r="N740">
        <v>1335</v>
      </c>
    </row>
    <row r="741" spans="1:14" x14ac:dyDescent="0.35">
      <c r="A741" t="s">
        <v>784</v>
      </c>
      <c r="B741" t="s">
        <v>15</v>
      </c>
      <c r="C741" t="s">
        <v>16</v>
      </c>
      <c r="D741">
        <v>49</v>
      </c>
      <c r="E741" t="s">
        <v>767</v>
      </c>
      <c r="F741">
        <v>5419</v>
      </c>
      <c r="G741" t="s">
        <v>18</v>
      </c>
      <c r="H741">
        <v>27</v>
      </c>
      <c r="I741" t="s">
        <v>19</v>
      </c>
      <c r="J741">
        <v>2004</v>
      </c>
      <c r="K741">
        <v>2004</v>
      </c>
      <c r="L741" t="s">
        <v>20</v>
      </c>
      <c r="M741">
        <v>30977</v>
      </c>
      <c r="N741">
        <v>1335</v>
      </c>
    </row>
    <row r="742" spans="1:14" x14ac:dyDescent="0.35">
      <c r="A742" t="s">
        <v>785</v>
      </c>
      <c r="B742" t="s">
        <v>15</v>
      </c>
      <c r="C742" t="s">
        <v>16</v>
      </c>
      <c r="D742">
        <v>49</v>
      </c>
      <c r="E742" t="s">
        <v>767</v>
      </c>
      <c r="F742">
        <v>5419</v>
      </c>
      <c r="G742" t="s">
        <v>18</v>
      </c>
      <c r="H742">
        <v>27</v>
      </c>
      <c r="I742" t="s">
        <v>19</v>
      </c>
      <c r="J742">
        <v>2005</v>
      </c>
      <c r="K742">
        <v>2005</v>
      </c>
      <c r="L742" t="s">
        <v>20</v>
      </c>
      <c r="M742">
        <v>28900</v>
      </c>
      <c r="N742">
        <v>1335</v>
      </c>
    </row>
    <row r="743" spans="1:14" x14ac:dyDescent="0.35">
      <c r="A743" t="s">
        <v>786</v>
      </c>
      <c r="B743" t="s">
        <v>15</v>
      </c>
      <c r="C743" t="s">
        <v>16</v>
      </c>
      <c r="D743">
        <v>49</v>
      </c>
      <c r="E743" t="s">
        <v>767</v>
      </c>
      <c r="F743">
        <v>5419</v>
      </c>
      <c r="G743" t="s">
        <v>18</v>
      </c>
      <c r="H743">
        <v>27</v>
      </c>
      <c r="I743" t="s">
        <v>19</v>
      </c>
      <c r="J743">
        <v>2006</v>
      </c>
      <c r="K743">
        <v>2006</v>
      </c>
      <c r="L743" t="s">
        <v>20</v>
      </c>
      <c r="M743">
        <v>30400</v>
      </c>
      <c r="N743">
        <v>1335</v>
      </c>
    </row>
    <row r="744" spans="1:14" x14ac:dyDescent="0.35">
      <c r="A744" t="s">
        <v>787</v>
      </c>
      <c r="B744" t="s">
        <v>15</v>
      </c>
      <c r="C744" t="s">
        <v>16</v>
      </c>
      <c r="D744">
        <v>49</v>
      </c>
      <c r="E744" t="s">
        <v>767</v>
      </c>
      <c r="F744">
        <v>5419</v>
      </c>
      <c r="G744" t="s">
        <v>18</v>
      </c>
      <c r="H744">
        <v>27</v>
      </c>
      <c r="I744" t="s">
        <v>19</v>
      </c>
      <c r="J744">
        <v>2007</v>
      </c>
      <c r="K744">
        <v>2007</v>
      </c>
      <c r="L744" t="s">
        <v>20</v>
      </c>
      <c r="M744">
        <v>32300</v>
      </c>
      <c r="N744">
        <v>1335</v>
      </c>
    </row>
    <row r="745" spans="1:14" x14ac:dyDescent="0.35">
      <c r="A745" t="s">
        <v>788</v>
      </c>
      <c r="B745" t="s">
        <v>15</v>
      </c>
      <c r="C745" t="s">
        <v>16</v>
      </c>
      <c r="D745">
        <v>49</v>
      </c>
      <c r="E745" t="s">
        <v>767</v>
      </c>
      <c r="F745">
        <v>5419</v>
      </c>
      <c r="G745" t="s">
        <v>18</v>
      </c>
      <c r="H745">
        <v>27</v>
      </c>
      <c r="I745" t="s">
        <v>19</v>
      </c>
      <c r="J745">
        <v>2008</v>
      </c>
      <c r="K745">
        <v>2008</v>
      </c>
      <c r="L745" t="s">
        <v>20</v>
      </c>
      <c r="M745">
        <v>28036</v>
      </c>
      <c r="N745">
        <v>1335</v>
      </c>
    </row>
    <row r="746" spans="1:14" x14ac:dyDescent="0.35">
      <c r="A746" t="s">
        <v>789</v>
      </c>
      <c r="B746" t="s">
        <v>15</v>
      </c>
      <c r="C746" t="s">
        <v>16</v>
      </c>
      <c r="D746">
        <v>49</v>
      </c>
      <c r="E746" t="s">
        <v>767</v>
      </c>
      <c r="F746">
        <v>5419</v>
      </c>
      <c r="G746" t="s">
        <v>18</v>
      </c>
      <c r="H746">
        <v>27</v>
      </c>
      <c r="I746" t="s">
        <v>19</v>
      </c>
      <c r="J746">
        <v>2009</v>
      </c>
      <c r="K746">
        <v>2009</v>
      </c>
      <c r="L746" t="s">
        <v>20</v>
      </c>
      <c r="M746">
        <v>26123</v>
      </c>
      <c r="N746">
        <v>1335</v>
      </c>
    </row>
    <row r="747" spans="1:14" x14ac:dyDescent="0.35">
      <c r="A747" t="s">
        <v>790</v>
      </c>
      <c r="B747" t="s">
        <v>15</v>
      </c>
      <c r="C747" t="s">
        <v>16</v>
      </c>
      <c r="D747">
        <v>49</v>
      </c>
      <c r="E747" t="s">
        <v>767</v>
      </c>
      <c r="F747">
        <v>5419</v>
      </c>
      <c r="G747" t="s">
        <v>18</v>
      </c>
      <c r="H747">
        <v>27</v>
      </c>
      <c r="I747" t="s">
        <v>19</v>
      </c>
      <c r="J747">
        <v>2010</v>
      </c>
      <c r="K747">
        <v>2010</v>
      </c>
      <c r="L747" t="s">
        <v>20</v>
      </c>
      <c r="M747">
        <v>25755</v>
      </c>
      <c r="N747">
        <v>1335</v>
      </c>
    </row>
    <row r="748" spans="1:14" x14ac:dyDescent="0.35">
      <c r="A748" t="s">
        <v>791</v>
      </c>
      <c r="B748" t="s">
        <v>15</v>
      </c>
      <c r="C748" t="s">
        <v>16</v>
      </c>
      <c r="D748">
        <v>49</v>
      </c>
      <c r="E748" t="s">
        <v>767</v>
      </c>
      <c r="F748">
        <v>5419</v>
      </c>
      <c r="G748" t="s">
        <v>18</v>
      </c>
      <c r="H748">
        <v>27</v>
      </c>
      <c r="I748" t="s">
        <v>19</v>
      </c>
      <c r="J748">
        <v>2011</v>
      </c>
      <c r="K748">
        <v>2011</v>
      </c>
      <c r="L748" t="s">
        <v>20</v>
      </c>
      <c r="M748">
        <v>27225</v>
      </c>
      <c r="N748">
        <v>1335</v>
      </c>
    </row>
    <row r="749" spans="1:14" x14ac:dyDescent="0.35">
      <c r="A749" t="s">
        <v>792</v>
      </c>
      <c r="B749" t="s">
        <v>15</v>
      </c>
      <c r="C749" t="s">
        <v>16</v>
      </c>
      <c r="D749">
        <v>49</v>
      </c>
      <c r="E749" t="s">
        <v>767</v>
      </c>
      <c r="F749">
        <v>5419</v>
      </c>
      <c r="G749" t="s">
        <v>18</v>
      </c>
      <c r="H749">
        <v>27</v>
      </c>
      <c r="I749" t="s">
        <v>19</v>
      </c>
      <c r="J749">
        <v>2012</v>
      </c>
      <c r="K749">
        <v>2012</v>
      </c>
      <c r="L749" t="s">
        <v>20</v>
      </c>
      <c r="M749">
        <v>31651</v>
      </c>
      <c r="N749">
        <v>1335</v>
      </c>
    </row>
    <row r="750" spans="1:14" x14ac:dyDescent="0.35">
      <c r="A750" t="s">
        <v>793</v>
      </c>
      <c r="B750" t="s">
        <v>15</v>
      </c>
      <c r="C750" t="s">
        <v>16</v>
      </c>
      <c r="D750">
        <v>49</v>
      </c>
      <c r="E750" t="s">
        <v>767</v>
      </c>
      <c r="F750">
        <v>5419</v>
      </c>
      <c r="G750" t="s">
        <v>18</v>
      </c>
      <c r="H750">
        <v>27</v>
      </c>
      <c r="I750" t="s">
        <v>19</v>
      </c>
      <c r="J750">
        <v>2013</v>
      </c>
      <c r="K750">
        <v>2013</v>
      </c>
      <c r="L750" t="s">
        <v>20</v>
      </c>
      <c r="M750">
        <v>34000</v>
      </c>
      <c r="N750">
        <v>1335</v>
      </c>
    </row>
    <row r="751" spans="1:14" x14ac:dyDescent="0.35">
      <c r="A751" t="s">
        <v>794</v>
      </c>
      <c r="B751" t="s">
        <v>15</v>
      </c>
      <c r="C751" t="s">
        <v>16</v>
      </c>
      <c r="D751">
        <v>49</v>
      </c>
      <c r="E751" t="s">
        <v>767</v>
      </c>
      <c r="F751">
        <v>5419</v>
      </c>
      <c r="G751" t="s">
        <v>18</v>
      </c>
      <c r="H751">
        <v>27</v>
      </c>
      <c r="I751" t="s">
        <v>19</v>
      </c>
      <c r="J751">
        <v>2014</v>
      </c>
      <c r="K751">
        <v>2014</v>
      </c>
      <c r="L751" t="s">
        <v>20</v>
      </c>
      <c r="M751">
        <v>34085</v>
      </c>
      <c r="N751">
        <v>1335</v>
      </c>
    </row>
    <row r="752" spans="1:14" x14ac:dyDescent="0.35">
      <c r="A752" t="s">
        <v>795</v>
      </c>
      <c r="B752" t="s">
        <v>15</v>
      </c>
      <c r="C752" t="s">
        <v>16</v>
      </c>
      <c r="D752">
        <v>49</v>
      </c>
      <c r="E752" t="s">
        <v>767</v>
      </c>
      <c r="F752">
        <v>5419</v>
      </c>
      <c r="G752" t="s">
        <v>18</v>
      </c>
      <c r="H752">
        <v>27</v>
      </c>
      <c r="I752" t="s">
        <v>19</v>
      </c>
      <c r="J752">
        <v>2015</v>
      </c>
      <c r="K752">
        <v>2015</v>
      </c>
      <c r="L752" t="s">
        <v>20</v>
      </c>
      <c r="M752">
        <v>37269</v>
      </c>
      <c r="N752">
        <v>1335</v>
      </c>
    </row>
    <row r="753" spans="1:14" x14ac:dyDescent="0.35">
      <c r="A753" t="s">
        <v>796</v>
      </c>
      <c r="B753" t="s">
        <v>15</v>
      </c>
      <c r="C753" t="s">
        <v>16</v>
      </c>
      <c r="D753">
        <v>49</v>
      </c>
      <c r="E753" t="s">
        <v>767</v>
      </c>
      <c r="F753">
        <v>5419</v>
      </c>
      <c r="G753" t="s">
        <v>18</v>
      </c>
      <c r="H753">
        <v>27</v>
      </c>
      <c r="I753" t="s">
        <v>19</v>
      </c>
      <c r="J753">
        <v>2016</v>
      </c>
      <c r="K753">
        <v>2016</v>
      </c>
      <c r="L753" t="s">
        <v>20</v>
      </c>
      <c r="M753">
        <v>36713</v>
      </c>
      <c r="N753">
        <v>1335</v>
      </c>
    </row>
    <row r="754" spans="1:14" x14ac:dyDescent="0.35">
      <c r="A754" t="s">
        <v>797</v>
      </c>
      <c r="B754" t="s">
        <v>15</v>
      </c>
      <c r="C754" t="s">
        <v>16</v>
      </c>
      <c r="D754">
        <v>56</v>
      </c>
      <c r="E754" t="s">
        <v>798</v>
      </c>
      <c r="F754">
        <v>5419</v>
      </c>
      <c r="G754" t="s">
        <v>18</v>
      </c>
      <c r="H754">
        <v>27</v>
      </c>
      <c r="I754" t="s">
        <v>19</v>
      </c>
      <c r="J754">
        <v>1985</v>
      </c>
      <c r="K754">
        <v>1985</v>
      </c>
      <c r="L754" t="s">
        <v>20</v>
      </c>
      <c r="M754">
        <v>44764</v>
      </c>
      <c r="N754">
        <v>1410</v>
      </c>
    </row>
    <row r="755" spans="1:14" x14ac:dyDescent="0.35">
      <c r="A755" t="s">
        <v>799</v>
      </c>
      <c r="B755" t="s">
        <v>15</v>
      </c>
      <c r="C755" t="s">
        <v>16</v>
      </c>
      <c r="D755">
        <v>56</v>
      </c>
      <c r="E755" t="s">
        <v>798</v>
      </c>
      <c r="F755">
        <v>5419</v>
      </c>
      <c r="G755" t="s">
        <v>18</v>
      </c>
      <c r="H755">
        <v>27</v>
      </c>
      <c r="I755" t="s">
        <v>19</v>
      </c>
      <c r="J755">
        <v>1986</v>
      </c>
      <c r="K755">
        <v>1986</v>
      </c>
      <c r="L755" t="s">
        <v>20</v>
      </c>
      <c r="M755">
        <v>46592</v>
      </c>
      <c r="N755">
        <v>1410</v>
      </c>
    </row>
    <row r="756" spans="1:14" x14ac:dyDescent="0.35">
      <c r="A756" t="s">
        <v>800</v>
      </c>
      <c r="B756" t="s">
        <v>15</v>
      </c>
      <c r="C756" t="s">
        <v>16</v>
      </c>
      <c r="D756">
        <v>56</v>
      </c>
      <c r="E756" t="s">
        <v>798</v>
      </c>
      <c r="F756">
        <v>5419</v>
      </c>
      <c r="G756" t="s">
        <v>18</v>
      </c>
      <c r="H756">
        <v>27</v>
      </c>
      <c r="I756" t="s">
        <v>19</v>
      </c>
      <c r="J756">
        <v>1987</v>
      </c>
      <c r="K756">
        <v>1987</v>
      </c>
      <c r="L756" t="s">
        <v>20</v>
      </c>
      <c r="M756">
        <v>44775</v>
      </c>
      <c r="N756">
        <v>1410</v>
      </c>
    </row>
    <row r="757" spans="1:14" x14ac:dyDescent="0.35">
      <c r="A757" t="s">
        <v>801</v>
      </c>
      <c r="B757" t="s">
        <v>15</v>
      </c>
      <c r="C757" t="s">
        <v>16</v>
      </c>
      <c r="D757">
        <v>56</v>
      </c>
      <c r="E757" t="s">
        <v>798</v>
      </c>
      <c r="F757">
        <v>5419</v>
      </c>
      <c r="G757" t="s">
        <v>18</v>
      </c>
      <c r="H757">
        <v>27</v>
      </c>
      <c r="I757" t="s">
        <v>19</v>
      </c>
      <c r="J757">
        <v>1989</v>
      </c>
      <c r="K757">
        <v>1989</v>
      </c>
      <c r="L757" t="s">
        <v>20</v>
      </c>
      <c r="M757">
        <v>45350</v>
      </c>
      <c r="N757">
        <v>1410</v>
      </c>
    </row>
    <row r="758" spans="1:14" x14ac:dyDescent="0.35">
      <c r="A758" t="s">
        <v>802</v>
      </c>
      <c r="B758" t="s">
        <v>15</v>
      </c>
      <c r="C758" t="s">
        <v>16</v>
      </c>
      <c r="D758">
        <v>56</v>
      </c>
      <c r="E758" t="s">
        <v>798</v>
      </c>
      <c r="F758">
        <v>5419</v>
      </c>
      <c r="G758" t="s">
        <v>18</v>
      </c>
      <c r="H758">
        <v>27</v>
      </c>
      <c r="I758" t="s">
        <v>19</v>
      </c>
      <c r="J758">
        <v>1990</v>
      </c>
      <c r="K758">
        <v>1990</v>
      </c>
      <c r="L758" t="s">
        <v>20</v>
      </c>
      <c r="M758">
        <v>47851</v>
      </c>
      <c r="N758">
        <v>1410</v>
      </c>
    </row>
    <row r="759" spans="1:14" x14ac:dyDescent="0.35">
      <c r="A759" t="s">
        <v>803</v>
      </c>
      <c r="B759" t="s">
        <v>15</v>
      </c>
      <c r="C759" t="s">
        <v>16</v>
      </c>
      <c r="D759">
        <v>56</v>
      </c>
      <c r="E759" t="s">
        <v>798</v>
      </c>
      <c r="F759">
        <v>5419</v>
      </c>
      <c r="G759" t="s">
        <v>18</v>
      </c>
      <c r="H759">
        <v>27</v>
      </c>
      <c r="I759" t="s">
        <v>19</v>
      </c>
      <c r="J759">
        <v>1991</v>
      </c>
      <c r="K759">
        <v>1991</v>
      </c>
      <c r="L759" t="s">
        <v>20</v>
      </c>
      <c r="M759">
        <v>48092</v>
      </c>
      <c r="N759">
        <v>1410</v>
      </c>
    </row>
    <row r="760" spans="1:14" x14ac:dyDescent="0.35">
      <c r="A760" t="s">
        <v>804</v>
      </c>
      <c r="B760" t="s">
        <v>15</v>
      </c>
      <c r="C760" t="s">
        <v>16</v>
      </c>
      <c r="D760">
        <v>56</v>
      </c>
      <c r="E760" t="s">
        <v>798</v>
      </c>
      <c r="F760">
        <v>5419</v>
      </c>
      <c r="G760" t="s">
        <v>18</v>
      </c>
      <c r="H760">
        <v>27</v>
      </c>
      <c r="I760" t="s">
        <v>19</v>
      </c>
      <c r="J760">
        <v>1992</v>
      </c>
      <c r="K760">
        <v>1992</v>
      </c>
      <c r="L760" t="s">
        <v>20</v>
      </c>
      <c r="M760">
        <v>89767</v>
      </c>
      <c r="N760">
        <v>1410</v>
      </c>
    </row>
    <row r="761" spans="1:14" x14ac:dyDescent="0.35">
      <c r="A761" t="s">
        <v>805</v>
      </c>
      <c r="B761" t="s">
        <v>15</v>
      </c>
      <c r="C761" t="s">
        <v>16</v>
      </c>
      <c r="D761">
        <v>56</v>
      </c>
      <c r="E761" t="s">
        <v>798</v>
      </c>
      <c r="F761">
        <v>5419</v>
      </c>
      <c r="G761" t="s">
        <v>18</v>
      </c>
      <c r="H761">
        <v>27</v>
      </c>
      <c r="I761" t="s">
        <v>19</v>
      </c>
      <c r="J761">
        <v>1993</v>
      </c>
      <c r="K761">
        <v>1993</v>
      </c>
      <c r="L761" t="s">
        <v>20</v>
      </c>
      <c r="M761">
        <v>50096</v>
      </c>
      <c r="N761">
        <v>1410</v>
      </c>
    </row>
    <row r="762" spans="1:14" x14ac:dyDescent="0.35">
      <c r="A762" t="s">
        <v>806</v>
      </c>
      <c r="B762" t="s">
        <v>15</v>
      </c>
      <c r="C762" t="s">
        <v>16</v>
      </c>
      <c r="D762">
        <v>56</v>
      </c>
      <c r="E762" t="s">
        <v>798</v>
      </c>
      <c r="F762">
        <v>5419</v>
      </c>
      <c r="G762" t="s">
        <v>18</v>
      </c>
      <c r="H762">
        <v>27</v>
      </c>
      <c r="I762" t="s">
        <v>19</v>
      </c>
      <c r="J762">
        <v>1994</v>
      </c>
      <c r="K762">
        <v>1994</v>
      </c>
      <c r="L762" t="s">
        <v>20</v>
      </c>
      <c r="M762">
        <v>46589</v>
      </c>
      <c r="N762">
        <v>1410</v>
      </c>
    </row>
    <row r="763" spans="1:14" x14ac:dyDescent="0.35">
      <c r="A763" t="s">
        <v>807</v>
      </c>
      <c r="B763" t="s">
        <v>15</v>
      </c>
      <c r="C763" t="s">
        <v>16</v>
      </c>
      <c r="D763">
        <v>56</v>
      </c>
      <c r="E763" t="s">
        <v>798</v>
      </c>
      <c r="F763">
        <v>5419</v>
      </c>
      <c r="G763" t="s">
        <v>18</v>
      </c>
      <c r="H763">
        <v>27</v>
      </c>
      <c r="I763" t="s">
        <v>19</v>
      </c>
      <c r="J763">
        <v>1995</v>
      </c>
      <c r="K763">
        <v>1995</v>
      </c>
      <c r="L763" t="s">
        <v>20</v>
      </c>
      <c r="M763">
        <v>47722</v>
      </c>
      <c r="N763">
        <v>1410</v>
      </c>
    </row>
    <row r="764" spans="1:14" x14ac:dyDescent="0.35">
      <c r="A764" t="s">
        <v>808</v>
      </c>
      <c r="B764" t="s">
        <v>15</v>
      </c>
      <c r="C764" t="s">
        <v>16</v>
      </c>
      <c r="D764">
        <v>56</v>
      </c>
      <c r="E764" t="s">
        <v>798</v>
      </c>
      <c r="F764">
        <v>5419</v>
      </c>
      <c r="G764" t="s">
        <v>18</v>
      </c>
      <c r="H764">
        <v>27</v>
      </c>
      <c r="I764" t="s">
        <v>19</v>
      </c>
      <c r="J764">
        <v>1996</v>
      </c>
      <c r="K764">
        <v>1996</v>
      </c>
      <c r="L764" t="s">
        <v>20</v>
      </c>
      <c r="M764">
        <v>46016</v>
      </c>
      <c r="N764">
        <v>1410</v>
      </c>
    </row>
    <row r="765" spans="1:14" x14ac:dyDescent="0.35">
      <c r="A765" t="s">
        <v>809</v>
      </c>
      <c r="B765" t="s">
        <v>15</v>
      </c>
      <c r="C765" t="s">
        <v>16</v>
      </c>
      <c r="D765">
        <v>56</v>
      </c>
      <c r="E765" t="s">
        <v>798</v>
      </c>
      <c r="F765">
        <v>5419</v>
      </c>
      <c r="G765" t="s">
        <v>18</v>
      </c>
      <c r="H765">
        <v>27</v>
      </c>
      <c r="I765" t="s">
        <v>19</v>
      </c>
      <c r="J765">
        <v>1997</v>
      </c>
      <c r="K765">
        <v>1997</v>
      </c>
      <c r="L765" t="s">
        <v>20</v>
      </c>
      <c r="M765">
        <v>48213</v>
      </c>
      <c r="N765">
        <v>1410</v>
      </c>
    </row>
    <row r="766" spans="1:14" x14ac:dyDescent="0.35">
      <c r="A766" t="s">
        <v>810</v>
      </c>
      <c r="B766" t="s">
        <v>15</v>
      </c>
      <c r="C766" t="s">
        <v>16</v>
      </c>
      <c r="D766">
        <v>56</v>
      </c>
      <c r="E766" t="s">
        <v>798</v>
      </c>
      <c r="F766">
        <v>5419</v>
      </c>
      <c r="G766" t="s">
        <v>18</v>
      </c>
      <c r="H766">
        <v>27</v>
      </c>
      <c r="I766" t="s">
        <v>19</v>
      </c>
      <c r="J766">
        <v>1998</v>
      </c>
      <c r="K766">
        <v>1998</v>
      </c>
      <c r="L766" t="s">
        <v>20</v>
      </c>
      <c r="M766">
        <v>42709</v>
      </c>
      <c r="N766">
        <v>1410</v>
      </c>
    </row>
    <row r="767" spans="1:14" x14ac:dyDescent="0.35">
      <c r="A767" t="s">
        <v>811</v>
      </c>
      <c r="B767" t="s">
        <v>15</v>
      </c>
      <c r="C767" t="s">
        <v>16</v>
      </c>
      <c r="D767">
        <v>56</v>
      </c>
      <c r="E767" t="s">
        <v>798</v>
      </c>
      <c r="F767">
        <v>5419</v>
      </c>
      <c r="G767" t="s">
        <v>18</v>
      </c>
      <c r="H767">
        <v>27</v>
      </c>
      <c r="I767" t="s">
        <v>19</v>
      </c>
      <c r="J767">
        <v>1999</v>
      </c>
      <c r="K767">
        <v>1999</v>
      </c>
      <c r="L767" t="s">
        <v>20</v>
      </c>
      <c r="M767">
        <v>45422</v>
      </c>
      <c r="N767">
        <v>1410</v>
      </c>
    </row>
    <row r="768" spans="1:14" x14ac:dyDescent="0.35">
      <c r="A768" t="s">
        <v>812</v>
      </c>
      <c r="B768" t="s">
        <v>15</v>
      </c>
      <c r="C768" t="s">
        <v>16</v>
      </c>
      <c r="D768">
        <v>56</v>
      </c>
      <c r="E768" t="s">
        <v>798</v>
      </c>
      <c r="F768">
        <v>5419</v>
      </c>
      <c r="G768" t="s">
        <v>18</v>
      </c>
      <c r="H768">
        <v>27</v>
      </c>
      <c r="I768" t="s">
        <v>19</v>
      </c>
      <c r="J768">
        <v>2000</v>
      </c>
      <c r="K768">
        <v>2000</v>
      </c>
      <c r="L768" t="s">
        <v>20</v>
      </c>
      <c r="M768">
        <v>46372</v>
      </c>
      <c r="N768">
        <v>1410</v>
      </c>
    </row>
    <row r="769" spans="1:14" x14ac:dyDescent="0.35">
      <c r="A769" t="s">
        <v>813</v>
      </c>
      <c r="B769" t="s">
        <v>15</v>
      </c>
      <c r="C769" t="s">
        <v>16</v>
      </c>
      <c r="D769">
        <v>56</v>
      </c>
      <c r="E769" t="s">
        <v>798</v>
      </c>
      <c r="F769">
        <v>5419</v>
      </c>
      <c r="G769" t="s">
        <v>18</v>
      </c>
      <c r="H769">
        <v>27</v>
      </c>
      <c r="I769" t="s">
        <v>19</v>
      </c>
      <c r="J769">
        <v>2001</v>
      </c>
      <c r="K769">
        <v>2001</v>
      </c>
      <c r="L769" t="s">
        <v>20</v>
      </c>
      <c r="M769">
        <v>48950</v>
      </c>
      <c r="N769">
        <v>1410</v>
      </c>
    </row>
    <row r="770" spans="1:14" x14ac:dyDescent="0.35">
      <c r="A770" t="s">
        <v>814</v>
      </c>
      <c r="B770" t="s">
        <v>15</v>
      </c>
      <c r="C770" t="s">
        <v>16</v>
      </c>
      <c r="D770">
        <v>56</v>
      </c>
      <c r="E770" t="s">
        <v>798</v>
      </c>
      <c r="F770">
        <v>5419</v>
      </c>
      <c r="G770" t="s">
        <v>18</v>
      </c>
      <c r="H770">
        <v>27</v>
      </c>
      <c r="I770" t="s">
        <v>19</v>
      </c>
      <c r="J770">
        <v>2002</v>
      </c>
      <c r="K770">
        <v>2002</v>
      </c>
      <c r="L770" t="s">
        <v>20</v>
      </c>
      <c r="M770">
        <v>48593</v>
      </c>
      <c r="N770">
        <v>1410</v>
      </c>
    </row>
    <row r="771" spans="1:14" x14ac:dyDescent="0.35">
      <c r="A771" t="s">
        <v>815</v>
      </c>
      <c r="B771" t="s">
        <v>15</v>
      </c>
      <c r="C771" t="s">
        <v>16</v>
      </c>
      <c r="D771">
        <v>56</v>
      </c>
      <c r="E771" t="s">
        <v>798</v>
      </c>
      <c r="F771">
        <v>5419</v>
      </c>
      <c r="G771" t="s">
        <v>18</v>
      </c>
      <c r="H771">
        <v>27</v>
      </c>
      <c r="I771" t="s">
        <v>19</v>
      </c>
      <c r="J771">
        <v>2004</v>
      </c>
      <c r="K771">
        <v>2004</v>
      </c>
      <c r="L771" t="s">
        <v>20</v>
      </c>
      <c r="M771">
        <v>43044</v>
      </c>
      <c r="N771">
        <v>1410</v>
      </c>
    </row>
    <row r="772" spans="1:14" x14ac:dyDescent="0.35">
      <c r="A772" t="s">
        <v>816</v>
      </c>
      <c r="B772" t="s">
        <v>15</v>
      </c>
      <c r="C772" t="s">
        <v>16</v>
      </c>
      <c r="D772">
        <v>56</v>
      </c>
      <c r="E772" t="s">
        <v>798</v>
      </c>
      <c r="F772">
        <v>5419</v>
      </c>
      <c r="G772" t="s">
        <v>18</v>
      </c>
      <c r="H772">
        <v>27</v>
      </c>
      <c r="I772" t="s">
        <v>19</v>
      </c>
      <c r="J772">
        <v>2005</v>
      </c>
      <c r="K772">
        <v>2005</v>
      </c>
      <c r="L772" t="s">
        <v>20</v>
      </c>
      <c r="M772">
        <v>42047</v>
      </c>
      <c r="N772">
        <v>1410</v>
      </c>
    </row>
    <row r="773" spans="1:14" x14ac:dyDescent="0.35">
      <c r="A773" t="s">
        <v>817</v>
      </c>
      <c r="B773" t="s">
        <v>15</v>
      </c>
      <c r="C773" t="s">
        <v>16</v>
      </c>
      <c r="D773">
        <v>56</v>
      </c>
      <c r="E773" t="s">
        <v>798</v>
      </c>
      <c r="F773">
        <v>5419</v>
      </c>
      <c r="G773" t="s">
        <v>18</v>
      </c>
      <c r="H773">
        <v>27</v>
      </c>
      <c r="I773" t="s">
        <v>19</v>
      </c>
      <c r="J773">
        <v>2006</v>
      </c>
      <c r="K773">
        <v>2006</v>
      </c>
      <c r="L773" t="s">
        <v>20</v>
      </c>
      <c r="M773">
        <v>46865</v>
      </c>
      <c r="N773">
        <v>1410</v>
      </c>
    </row>
    <row r="774" spans="1:14" x14ac:dyDescent="0.35">
      <c r="A774" t="s">
        <v>818</v>
      </c>
      <c r="B774" t="s">
        <v>15</v>
      </c>
      <c r="C774" t="s">
        <v>16</v>
      </c>
      <c r="D774">
        <v>56</v>
      </c>
      <c r="E774" t="s">
        <v>798</v>
      </c>
      <c r="F774">
        <v>5419</v>
      </c>
      <c r="G774" t="s">
        <v>18</v>
      </c>
      <c r="H774">
        <v>27</v>
      </c>
      <c r="I774" t="s">
        <v>19</v>
      </c>
      <c r="J774">
        <v>2007</v>
      </c>
      <c r="K774">
        <v>2007</v>
      </c>
      <c r="L774" t="s">
        <v>20</v>
      </c>
      <c r="M774">
        <v>48112</v>
      </c>
      <c r="N774">
        <v>1410</v>
      </c>
    </row>
    <row r="775" spans="1:14" x14ac:dyDescent="0.35">
      <c r="A775" t="s">
        <v>819</v>
      </c>
      <c r="B775" t="s">
        <v>15</v>
      </c>
      <c r="C775" t="s">
        <v>16</v>
      </c>
      <c r="D775">
        <v>56</v>
      </c>
      <c r="E775" t="s">
        <v>798</v>
      </c>
      <c r="F775">
        <v>5419</v>
      </c>
      <c r="G775" t="s">
        <v>18</v>
      </c>
      <c r="H775">
        <v>27</v>
      </c>
      <c r="I775" t="s">
        <v>19</v>
      </c>
      <c r="J775">
        <v>2008</v>
      </c>
      <c r="K775">
        <v>2008</v>
      </c>
      <c r="L775" t="s">
        <v>20</v>
      </c>
      <c r="M775">
        <v>48268</v>
      </c>
      <c r="N775">
        <v>1410</v>
      </c>
    </row>
    <row r="776" spans="1:14" x14ac:dyDescent="0.35">
      <c r="A776" t="s">
        <v>820</v>
      </c>
      <c r="B776" t="s">
        <v>15</v>
      </c>
      <c r="C776" t="s">
        <v>16</v>
      </c>
      <c r="D776">
        <v>56</v>
      </c>
      <c r="E776" t="s">
        <v>798</v>
      </c>
      <c r="F776">
        <v>5419</v>
      </c>
      <c r="G776" t="s">
        <v>18</v>
      </c>
      <c r="H776">
        <v>27</v>
      </c>
      <c r="I776" t="s">
        <v>19</v>
      </c>
      <c r="J776">
        <v>2009</v>
      </c>
      <c r="K776">
        <v>2009</v>
      </c>
      <c r="L776" t="s">
        <v>20</v>
      </c>
      <c r="M776">
        <v>42862</v>
      </c>
      <c r="N776">
        <v>1410</v>
      </c>
    </row>
    <row r="777" spans="1:14" x14ac:dyDescent="0.35">
      <c r="A777" t="s">
        <v>821</v>
      </c>
      <c r="B777" t="s">
        <v>15</v>
      </c>
      <c r="C777" t="s">
        <v>16</v>
      </c>
      <c r="D777">
        <v>56</v>
      </c>
      <c r="E777" t="s">
        <v>798</v>
      </c>
      <c r="F777">
        <v>5419</v>
      </c>
      <c r="G777" t="s">
        <v>18</v>
      </c>
      <c r="H777">
        <v>27</v>
      </c>
      <c r="I777" t="s">
        <v>19</v>
      </c>
      <c r="J777">
        <v>2010</v>
      </c>
      <c r="K777">
        <v>2010</v>
      </c>
      <c r="L777" t="s">
        <v>20</v>
      </c>
      <c r="M777">
        <v>47651</v>
      </c>
      <c r="N777">
        <v>1410</v>
      </c>
    </row>
    <row r="778" spans="1:14" x14ac:dyDescent="0.35">
      <c r="A778" t="s">
        <v>822</v>
      </c>
      <c r="B778" t="s">
        <v>15</v>
      </c>
      <c r="C778" t="s">
        <v>16</v>
      </c>
      <c r="D778">
        <v>56</v>
      </c>
      <c r="E778" t="s">
        <v>798</v>
      </c>
      <c r="F778">
        <v>5419</v>
      </c>
      <c r="G778" t="s">
        <v>18</v>
      </c>
      <c r="H778">
        <v>27</v>
      </c>
      <c r="I778" t="s">
        <v>19</v>
      </c>
      <c r="J778">
        <v>2011</v>
      </c>
      <c r="K778">
        <v>2011</v>
      </c>
      <c r="L778" t="s">
        <v>20</v>
      </c>
      <c r="M778">
        <v>50057</v>
      </c>
      <c r="N778">
        <v>1410</v>
      </c>
    </row>
    <row r="779" spans="1:14" x14ac:dyDescent="0.35">
      <c r="A779" t="s">
        <v>823</v>
      </c>
      <c r="B779" t="s">
        <v>15</v>
      </c>
      <c r="C779" t="s">
        <v>16</v>
      </c>
      <c r="D779">
        <v>56</v>
      </c>
      <c r="E779" t="s">
        <v>798</v>
      </c>
      <c r="F779">
        <v>5419</v>
      </c>
      <c r="G779" t="s">
        <v>18</v>
      </c>
      <c r="H779">
        <v>27</v>
      </c>
      <c r="I779" t="s">
        <v>19</v>
      </c>
      <c r="J779">
        <v>2012</v>
      </c>
      <c r="K779">
        <v>2012</v>
      </c>
      <c r="L779" t="s">
        <v>20</v>
      </c>
      <c r="M779">
        <v>41266</v>
      </c>
      <c r="N779">
        <v>1410</v>
      </c>
    </row>
    <row r="780" spans="1:14" x14ac:dyDescent="0.35">
      <c r="A780" t="s">
        <v>824</v>
      </c>
      <c r="B780" t="s">
        <v>15</v>
      </c>
      <c r="C780" t="s">
        <v>16</v>
      </c>
      <c r="D780">
        <v>56</v>
      </c>
      <c r="E780" t="s">
        <v>798</v>
      </c>
      <c r="F780">
        <v>5419</v>
      </c>
      <c r="G780" t="s">
        <v>18</v>
      </c>
      <c r="H780">
        <v>27</v>
      </c>
      <c r="I780" t="s">
        <v>19</v>
      </c>
      <c r="J780">
        <v>2013</v>
      </c>
      <c r="K780">
        <v>2013</v>
      </c>
      <c r="L780" t="s">
        <v>20</v>
      </c>
      <c r="M780">
        <v>45123</v>
      </c>
      <c r="N780">
        <v>1410</v>
      </c>
    </row>
    <row r="781" spans="1:14" x14ac:dyDescent="0.35">
      <c r="A781" t="s">
        <v>825</v>
      </c>
      <c r="B781" t="s">
        <v>15</v>
      </c>
      <c r="C781" t="s">
        <v>16</v>
      </c>
      <c r="D781">
        <v>56</v>
      </c>
      <c r="E781" t="s">
        <v>798</v>
      </c>
      <c r="F781">
        <v>5419</v>
      </c>
      <c r="G781" t="s">
        <v>18</v>
      </c>
      <c r="H781">
        <v>27</v>
      </c>
      <c r="I781" t="s">
        <v>19</v>
      </c>
      <c r="J781">
        <v>2014</v>
      </c>
      <c r="K781">
        <v>2014</v>
      </c>
      <c r="L781" t="s">
        <v>20</v>
      </c>
      <c r="M781">
        <v>44021</v>
      </c>
      <c r="N781">
        <v>1410</v>
      </c>
    </row>
    <row r="782" spans="1:14" x14ac:dyDescent="0.35">
      <c r="A782" t="s">
        <v>826</v>
      </c>
      <c r="B782" t="s">
        <v>15</v>
      </c>
      <c r="C782" t="s">
        <v>16</v>
      </c>
      <c r="D782">
        <v>56</v>
      </c>
      <c r="E782" t="s">
        <v>798</v>
      </c>
      <c r="F782">
        <v>5419</v>
      </c>
      <c r="G782" t="s">
        <v>18</v>
      </c>
      <c r="H782">
        <v>27</v>
      </c>
      <c r="I782" t="s">
        <v>19</v>
      </c>
      <c r="J782">
        <v>2015</v>
      </c>
      <c r="K782">
        <v>2015</v>
      </c>
      <c r="L782" t="s">
        <v>20</v>
      </c>
      <c r="M782">
        <v>51680</v>
      </c>
      <c r="N782">
        <v>1410</v>
      </c>
    </row>
    <row r="783" spans="1:14" x14ac:dyDescent="0.35">
      <c r="A783" t="s">
        <v>827</v>
      </c>
      <c r="B783" t="s">
        <v>15</v>
      </c>
      <c r="C783" t="s">
        <v>16</v>
      </c>
      <c r="D783">
        <v>56</v>
      </c>
      <c r="E783" t="s">
        <v>798</v>
      </c>
      <c r="F783">
        <v>5419</v>
      </c>
      <c r="G783" t="s">
        <v>18</v>
      </c>
      <c r="H783">
        <v>27</v>
      </c>
      <c r="I783" t="s">
        <v>19</v>
      </c>
      <c r="J783">
        <v>2016</v>
      </c>
      <c r="K783">
        <v>2016</v>
      </c>
      <c r="L783" t="s">
        <v>20</v>
      </c>
      <c r="M783">
        <v>52563</v>
      </c>
      <c r="N783">
        <v>1410</v>
      </c>
    </row>
    <row r="784" spans="1:14" x14ac:dyDescent="0.35">
      <c r="A784" t="s">
        <v>828</v>
      </c>
      <c r="B784" t="s">
        <v>15</v>
      </c>
      <c r="C784" t="s">
        <v>16</v>
      </c>
      <c r="D784">
        <v>58</v>
      </c>
      <c r="E784" t="s">
        <v>829</v>
      </c>
      <c r="F784">
        <v>5419</v>
      </c>
      <c r="G784" t="s">
        <v>18</v>
      </c>
      <c r="H784">
        <v>27</v>
      </c>
      <c r="I784" t="s">
        <v>19</v>
      </c>
      <c r="J784">
        <v>1985</v>
      </c>
      <c r="K784">
        <v>1985</v>
      </c>
      <c r="L784" t="s">
        <v>20</v>
      </c>
      <c r="M784">
        <v>26508</v>
      </c>
      <c r="N784">
        <v>2274</v>
      </c>
    </row>
    <row r="785" spans="1:14" x14ac:dyDescent="0.35">
      <c r="A785" t="s">
        <v>830</v>
      </c>
      <c r="B785" t="s">
        <v>15</v>
      </c>
      <c r="C785" t="s">
        <v>16</v>
      </c>
      <c r="D785">
        <v>58</v>
      </c>
      <c r="E785" t="s">
        <v>829</v>
      </c>
      <c r="F785">
        <v>5419</v>
      </c>
      <c r="G785" t="s">
        <v>18</v>
      </c>
      <c r="H785">
        <v>27</v>
      </c>
      <c r="I785" t="s">
        <v>19</v>
      </c>
      <c r="J785">
        <v>1986</v>
      </c>
      <c r="K785">
        <v>1986</v>
      </c>
      <c r="L785" t="s">
        <v>20</v>
      </c>
      <c r="M785">
        <v>25275</v>
      </c>
      <c r="N785">
        <v>2274</v>
      </c>
    </row>
    <row r="786" spans="1:14" x14ac:dyDescent="0.35">
      <c r="A786" t="s">
        <v>831</v>
      </c>
      <c r="B786" t="s">
        <v>15</v>
      </c>
      <c r="C786" t="s">
        <v>16</v>
      </c>
      <c r="D786">
        <v>58</v>
      </c>
      <c r="E786" t="s">
        <v>829</v>
      </c>
      <c r="F786">
        <v>5419</v>
      </c>
      <c r="G786" t="s">
        <v>18</v>
      </c>
      <c r="H786">
        <v>27</v>
      </c>
      <c r="I786" t="s">
        <v>19</v>
      </c>
      <c r="J786">
        <v>1987</v>
      </c>
      <c r="K786">
        <v>1987</v>
      </c>
      <c r="L786" t="s">
        <v>20</v>
      </c>
      <c r="M786">
        <v>28299</v>
      </c>
      <c r="N786">
        <v>2274</v>
      </c>
    </row>
    <row r="787" spans="1:14" x14ac:dyDescent="0.35">
      <c r="A787" t="s">
        <v>832</v>
      </c>
      <c r="B787" t="s">
        <v>15</v>
      </c>
      <c r="C787" t="s">
        <v>16</v>
      </c>
      <c r="D787">
        <v>58</v>
      </c>
      <c r="E787" t="s">
        <v>829</v>
      </c>
      <c r="F787">
        <v>5419</v>
      </c>
      <c r="G787" t="s">
        <v>18</v>
      </c>
      <c r="H787">
        <v>27</v>
      </c>
      <c r="I787" t="s">
        <v>19</v>
      </c>
      <c r="J787">
        <v>1989</v>
      </c>
      <c r="K787">
        <v>1989</v>
      </c>
      <c r="L787" t="s">
        <v>20</v>
      </c>
      <c r="M787">
        <v>31247</v>
      </c>
      <c r="N787">
        <v>2274</v>
      </c>
    </row>
    <row r="788" spans="1:14" x14ac:dyDescent="0.35">
      <c r="A788" t="s">
        <v>833</v>
      </c>
      <c r="B788" t="s">
        <v>15</v>
      </c>
      <c r="C788" t="s">
        <v>16</v>
      </c>
      <c r="D788">
        <v>58</v>
      </c>
      <c r="E788" t="s">
        <v>829</v>
      </c>
      <c r="F788">
        <v>5419</v>
      </c>
      <c r="G788" t="s">
        <v>18</v>
      </c>
      <c r="H788">
        <v>27</v>
      </c>
      <c r="I788" t="s">
        <v>19</v>
      </c>
      <c r="J788">
        <v>1990</v>
      </c>
      <c r="K788">
        <v>1990</v>
      </c>
      <c r="L788" t="s">
        <v>20</v>
      </c>
      <c r="M788">
        <v>31218</v>
      </c>
      <c r="N788">
        <v>2274</v>
      </c>
    </row>
    <row r="789" spans="1:14" x14ac:dyDescent="0.35">
      <c r="A789" t="s">
        <v>834</v>
      </c>
      <c r="B789" t="s">
        <v>15</v>
      </c>
      <c r="C789" t="s">
        <v>16</v>
      </c>
      <c r="D789">
        <v>58</v>
      </c>
      <c r="E789" t="s">
        <v>829</v>
      </c>
      <c r="F789">
        <v>5419</v>
      </c>
      <c r="G789" t="s">
        <v>18</v>
      </c>
      <c r="H789">
        <v>27</v>
      </c>
      <c r="I789" t="s">
        <v>19</v>
      </c>
      <c r="J789">
        <v>1991</v>
      </c>
      <c r="K789">
        <v>1991</v>
      </c>
      <c r="L789" t="s">
        <v>20</v>
      </c>
      <c r="M789">
        <v>26921</v>
      </c>
      <c r="N789">
        <v>2274</v>
      </c>
    </row>
    <row r="790" spans="1:14" x14ac:dyDescent="0.35">
      <c r="A790" t="s">
        <v>835</v>
      </c>
      <c r="B790" t="s">
        <v>15</v>
      </c>
      <c r="C790" t="s">
        <v>16</v>
      </c>
      <c r="D790">
        <v>58</v>
      </c>
      <c r="E790" t="s">
        <v>829</v>
      </c>
      <c r="F790">
        <v>5419</v>
      </c>
      <c r="G790" t="s">
        <v>18</v>
      </c>
      <c r="H790">
        <v>27</v>
      </c>
      <c r="I790" t="s">
        <v>19</v>
      </c>
      <c r="J790">
        <v>1992</v>
      </c>
      <c r="K790">
        <v>1992</v>
      </c>
      <c r="L790" t="s">
        <v>20</v>
      </c>
      <c r="M790">
        <v>33254</v>
      </c>
      <c r="N790">
        <v>2274</v>
      </c>
    </row>
    <row r="791" spans="1:14" x14ac:dyDescent="0.35">
      <c r="A791" t="s">
        <v>836</v>
      </c>
      <c r="B791" t="s">
        <v>15</v>
      </c>
      <c r="C791" t="s">
        <v>16</v>
      </c>
      <c r="D791">
        <v>58</v>
      </c>
      <c r="E791" t="s">
        <v>829</v>
      </c>
      <c r="F791">
        <v>5419</v>
      </c>
      <c r="G791" t="s">
        <v>18</v>
      </c>
      <c r="H791">
        <v>27</v>
      </c>
      <c r="I791" t="s">
        <v>19</v>
      </c>
      <c r="J791">
        <v>1993</v>
      </c>
      <c r="K791">
        <v>1993</v>
      </c>
      <c r="L791" t="s">
        <v>20</v>
      </c>
      <c r="M791">
        <v>34804</v>
      </c>
      <c r="N791">
        <v>2274</v>
      </c>
    </row>
    <row r="792" spans="1:14" x14ac:dyDescent="0.35">
      <c r="A792" t="s">
        <v>837</v>
      </c>
      <c r="B792" t="s">
        <v>15</v>
      </c>
      <c r="C792" t="s">
        <v>16</v>
      </c>
      <c r="D792">
        <v>58</v>
      </c>
      <c r="E792" t="s">
        <v>829</v>
      </c>
      <c r="F792">
        <v>5419</v>
      </c>
      <c r="G792" t="s">
        <v>18</v>
      </c>
      <c r="H792">
        <v>27</v>
      </c>
      <c r="I792" t="s">
        <v>19</v>
      </c>
      <c r="J792">
        <v>1994</v>
      </c>
      <c r="K792">
        <v>1994</v>
      </c>
      <c r="L792" t="s">
        <v>20</v>
      </c>
      <c r="M792">
        <v>37385</v>
      </c>
      <c r="N792">
        <v>2274</v>
      </c>
    </row>
    <row r="793" spans="1:14" x14ac:dyDescent="0.35">
      <c r="A793" t="s">
        <v>838</v>
      </c>
      <c r="B793" t="s">
        <v>15</v>
      </c>
      <c r="C793" t="s">
        <v>16</v>
      </c>
      <c r="D793">
        <v>58</v>
      </c>
      <c r="E793" t="s">
        <v>829</v>
      </c>
      <c r="F793">
        <v>5419</v>
      </c>
      <c r="G793" t="s">
        <v>18</v>
      </c>
      <c r="H793">
        <v>27</v>
      </c>
      <c r="I793" t="s">
        <v>19</v>
      </c>
      <c r="J793">
        <v>1995</v>
      </c>
      <c r="K793">
        <v>1995</v>
      </c>
      <c r="L793" t="s">
        <v>20</v>
      </c>
      <c r="M793">
        <v>32622</v>
      </c>
      <c r="N793">
        <v>2274</v>
      </c>
    </row>
    <row r="794" spans="1:14" x14ac:dyDescent="0.35">
      <c r="A794" t="s">
        <v>839</v>
      </c>
      <c r="B794" t="s">
        <v>15</v>
      </c>
      <c r="C794" t="s">
        <v>16</v>
      </c>
      <c r="D794">
        <v>58</v>
      </c>
      <c r="E794" t="s">
        <v>829</v>
      </c>
      <c r="F794">
        <v>5419</v>
      </c>
      <c r="G794" t="s">
        <v>18</v>
      </c>
      <c r="H794">
        <v>27</v>
      </c>
      <c r="I794" t="s">
        <v>19</v>
      </c>
      <c r="J794">
        <v>1996</v>
      </c>
      <c r="K794">
        <v>1996</v>
      </c>
      <c r="L794" t="s">
        <v>20</v>
      </c>
      <c r="M794">
        <v>35620</v>
      </c>
      <c r="N794">
        <v>2274</v>
      </c>
    </row>
    <row r="795" spans="1:14" x14ac:dyDescent="0.35">
      <c r="A795" t="s">
        <v>840</v>
      </c>
      <c r="B795" t="s">
        <v>15</v>
      </c>
      <c r="C795" t="s">
        <v>16</v>
      </c>
      <c r="D795">
        <v>58</v>
      </c>
      <c r="E795" t="s">
        <v>829</v>
      </c>
      <c r="F795">
        <v>5419</v>
      </c>
      <c r="G795" t="s">
        <v>18</v>
      </c>
      <c r="H795">
        <v>27</v>
      </c>
      <c r="I795" t="s">
        <v>19</v>
      </c>
      <c r="J795">
        <v>1997</v>
      </c>
      <c r="K795">
        <v>1997</v>
      </c>
      <c r="L795" t="s">
        <v>20</v>
      </c>
      <c r="M795">
        <v>35876</v>
      </c>
      <c r="N795">
        <v>2274</v>
      </c>
    </row>
    <row r="796" spans="1:14" x14ac:dyDescent="0.35">
      <c r="A796" t="s">
        <v>841</v>
      </c>
      <c r="B796" t="s">
        <v>15</v>
      </c>
      <c r="C796" t="s">
        <v>16</v>
      </c>
      <c r="D796">
        <v>58</v>
      </c>
      <c r="E796" t="s">
        <v>829</v>
      </c>
      <c r="F796">
        <v>5419</v>
      </c>
      <c r="G796" t="s">
        <v>18</v>
      </c>
      <c r="H796">
        <v>27</v>
      </c>
      <c r="I796" t="s">
        <v>19</v>
      </c>
      <c r="J796">
        <v>1998</v>
      </c>
      <c r="K796">
        <v>1998</v>
      </c>
      <c r="L796" t="s">
        <v>20</v>
      </c>
      <c r="M796">
        <v>32060</v>
      </c>
      <c r="N796">
        <v>2274</v>
      </c>
    </row>
    <row r="797" spans="1:14" x14ac:dyDescent="0.35">
      <c r="A797" t="s">
        <v>842</v>
      </c>
      <c r="B797" t="s">
        <v>15</v>
      </c>
      <c r="C797" t="s">
        <v>16</v>
      </c>
      <c r="D797">
        <v>58</v>
      </c>
      <c r="E797" t="s">
        <v>829</v>
      </c>
      <c r="F797">
        <v>5419</v>
      </c>
      <c r="G797" t="s">
        <v>18</v>
      </c>
      <c r="H797">
        <v>27</v>
      </c>
      <c r="I797" t="s">
        <v>19</v>
      </c>
      <c r="J797">
        <v>1999</v>
      </c>
      <c r="K797">
        <v>1999</v>
      </c>
      <c r="L797" t="s">
        <v>20</v>
      </c>
      <c r="M797">
        <v>35225</v>
      </c>
      <c r="N797">
        <v>2274</v>
      </c>
    </row>
    <row r="798" spans="1:14" x14ac:dyDescent="0.35">
      <c r="A798" t="s">
        <v>843</v>
      </c>
      <c r="B798" t="s">
        <v>15</v>
      </c>
      <c r="C798" t="s">
        <v>16</v>
      </c>
      <c r="D798">
        <v>58</v>
      </c>
      <c r="E798" t="s">
        <v>829</v>
      </c>
      <c r="F798">
        <v>5419</v>
      </c>
      <c r="G798" t="s">
        <v>18</v>
      </c>
      <c r="H798">
        <v>27</v>
      </c>
      <c r="I798" t="s">
        <v>19</v>
      </c>
      <c r="J798">
        <v>2000</v>
      </c>
      <c r="K798">
        <v>2000</v>
      </c>
      <c r="L798" t="s">
        <v>20</v>
      </c>
      <c r="M798">
        <v>36812</v>
      </c>
      <c r="N798">
        <v>2274</v>
      </c>
    </row>
    <row r="799" spans="1:14" x14ac:dyDescent="0.35">
      <c r="A799" t="s">
        <v>844</v>
      </c>
      <c r="B799" t="s">
        <v>15</v>
      </c>
      <c r="C799" t="s">
        <v>16</v>
      </c>
      <c r="D799">
        <v>58</v>
      </c>
      <c r="E799" t="s">
        <v>829</v>
      </c>
      <c r="F799">
        <v>5419</v>
      </c>
      <c r="G799" t="s">
        <v>18</v>
      </c>
      <c r="H799">
        <v>27</v>
      </c>
      <c r="I799" t="s">
        <v>19</v>
      </c>
      <c r="J799">
        <v>2001</v>
      </c>
      <c r="K799">
        <v>2001</v>
      </c>
      <c r="L799" t="s">
        <v>20</v>
      </c>
      <c r="M799">
        <v>36000</v>
      </c>
      <c r="N799">
        <v>2274</v>
      </c>
    </row>
    <row r="800" spans="1:14" x14ac:dyDescent="0.35">
      <c r="A800" t="s">
        <v>845</v>
      </c>
      <c r="B800" t="s">
        <v>15</v>
      </c>
      <c r="C800" t="s">
        <v>16</v>
      </c>
      <c r="D800">
        <v>58</v>
      </c>
      <c r="E800" t="s">
        <v>829</v>
      </c>
      <c r="F800">
        <v>5419</v>
      </c>
      <c r="G800" t="s">
        <v>18</v>
      </c>
      <c r="H800">
        <v>27</v>
      </c>
      <c r="I800" t="s">
        <v>19</v>
      </c>
      <c r="J800">
        <v>2002</v>
      </c>
      <c r="K800">
        <v>2002</v>
      </c>
      <c r="L800" t="s">
        <v>20</v>
      </c>
      <c r="M800">
        <v>38746</v>
      </c>
      <c r="N800">
        <v>2274</v>
      </c>
    </row>
    <row r="801" spans="1:14" x14ac:dyDescent="0.35">
      <c r="A801" t="s">
        <v>846</v>
      </c>
      <c r="B801" t="s">
        <v>15</v>
      </c>
      <c r="C801" t="s">
        <v>16</v>
      </c>
      <c r="D801">
        <v>58</v>
      </c>
      <c r="E801" t="s">
        <v>829</v>
      </c>
      <c r="F801">
        <v>5419</v>
      </c>
      <c r="G801" t="s">
        <v>18</v>
      </c>
      <c r="H801">
        <v>27</v>
      </c>
      <c r="I801" t="s">
        <v>19</v>
      </c>
      <c r="J801">
        <v>2004</v>
      </c>
      <c r="K801">
        <v>2004</v>
      </c>
      <c r="L801" t="s">
        <v>20</v>
      </c>
      <c r="M801">
        <v>42187</v>
      </c>
      <c r="N801">
        <v>2274</v>
      </c>
    </row>
    <row r="802" spans="1:14" x14ac:dyDescent="0.35">
      <c r="A802" t="s">
        <v>847</v>
      </c>
      <c r="B802" t="s">
        <v>15</v>
      </c>
      <c r="C802" t="s">
        <v>16</v>
      </c>
      <c r="D802">
        <v>58</v>
      </c>
      <c r="E802" t="s">
        <v>829</v>
      </c>
      <c r="F802">
        <v>5419</v>
      </c>
      <c r="G802" t="s">
        <v>18</v>
      </c>
      <c r="H802">
        <v>27</v>
      </c>
      <c r="I802" t="s">
        <v>19</v>
      </c>
      <c r="J802">
        <v>2005</v>
      </c>
      <c r="K802">
        <v>2005</v>
      </c>
      <c r="L802" t="s">
        <v>20</v>
      </c>
      <c r="M802">
        <v>38989</v>
      </c>
      <c r="N802">
        <v>2274</v>
      </c>
    </row>
    <row r="803" spans="1:14" x14ac:dyDescent="0.35">
      <c r="A803" t="s">
        <v>848</v>
      </c>
      <c r="B803" t="s">
        <v>15</v>
      </c>
      <c r="C803" t="s">
        <v>16</v>
      </c>
      <c r="D803">
        <v>58</v>
      </c>
      <c r="E803" t="s">
        <v>829</v>
      </c>
      <c r="F803">
        <v>5419</v>
      </c>
      <c r="G803" t="s">
        <v>18</v>
      </c>
      <c r="H803">
        <v>27</v>
      </c>
      <c r="I803" t="s">
        <v>19</v>
      </c>
      <c r="J803">
        <v>2006</v>
      </c>
      <c r="K803">
        <v>2006</v>
      </c>
      <c r="L803" t="s">
        <v>20</v>
      </c>
      <c r="M803">
        <v>41986</v>
      </c>
      <c r="N803">
        <v>2274</v>
      </c>
    </row>
    <row r="804" spans="1:14" x14ac:dyDescent="0.35">
      <c r="A804" t="s">
        <v>849</v>
      </c>
      <c r="B804" t="s">
        <v>15</v>
      </c>
      <c r="C804" t="s">
        <v>16</v>
      </c>
      <c r="D804">
        <v>58</v>
      </c>
      <c r="E804" t="s">
        <v>829</v>
      </c>
      <c r="F804">
        <v>5419</v>
      </c>
      <c r="G804" t="s">
        <v>18</v>
      </c>
      <c r="H804">
        <v>27</v>
      </c>
      <c r="I804" t="s">
        <v>19</v>
      </c>
      <c r="J804">
        <v>2007</v>
      </c>
      <c r="K804">
        <v>2007</v>
      </c>
      <c r="L804" t="s">
        <v>20</v>
      </c>
      <c r="M804">
        <v>43555</v>
      </c>
      <c r="N804">
        <v>2274</v>
      </c>
    </row>
    <row r="805" spans="1:14" x14ac:dyDescent="0.35">
      <c r="A805" t="s">
        <v>850</v>
      </c>
      <c r="B805" t="s">
        <v>15</v>
      </c>
      <c r="C805" t="s">
        <v>16</v>
      </c>
      <c r="D805">
        <v>58</v>
      </c>
      <c r="E805" t="s">
        <v>829</v>
      </c>
      <c r="F805">
        <v>5419</v>
      </c>
      <c r="G805" t="s">
        <v>18</v>
      </c>
      <c r="H805">
        <v>27</v>
      </c>
      <c r="I805" t="s">
        <v>19</v>
      </c>
      <c r="J805">
        <v>2008</v>
      </c>
      <c r="K805">
        <v>2008</v>
      </c>
      <c r="L805" t="s">
        <v>20</v>
      </c>
      <c r="M805">
        <v>40639</v>
      </c>
      <c r="N805">
        <v>2274</v>
      </c>
    </row>
    <row r="806" spans="1:14" x14ac:dyDescent="0.35">
      <c r="A806" t="s">
        <v>851</v>
      </c>
      <c r="B806" t="s">
        <v>15</v>
      </c>
      <c r="C806" t="s">
        <v>16</v>
      </c>
      <c r="D806">
        <v>58</v>
      </c>
      <c r="E806" t="s">
        <v>829</v>
      </c>
      <c r="F806">
        <v>5419</v>
      </c>
      <c r="G806" t="s">
        <v>18</v>
      </c>
      <c r="H806">
        <v>27</v>
      </c>
      <c r="I806" t="s">
        <v>19</v>
      </c>
      <c r="J806">
        <v>2009</v>
      </c>
      <c r="K806">
        <v>2009</v>
      </c>
      <c r="L806" t="s">
        <v>20</v>
      </c>
      <c r="M806">
        <v>40004</v>
      </c>
      <c r="N806">
        <v>2274</v>
      </c>
    </row>
    <row r="807" spans="1:14" x14ac:dyDescent="0.35">
      <c r="A807" t="s">
        <v>852</v>
      </c>
      <c r="B807" t="s">
        <v>15</v>
      </c>
      <c r="C807" t="s">
        <v>16</v>
      </c>
      <c r="D807">
        <v>58</v>
      </c>
      <c r="E807" t="s">
        <v>829</v>
      </c>
      <c r="F807">
        <v>5419</v>
      </c>
      <c r="G807" t="s">
        <v>18</v>
      </c>
      <c r="H807">
        <v>27</v>
      </c>
      <c r="I807" t="s">
        <v>19</v>
      </c>
      <c r="J807">
        <v>2010</v>
      </c>
      <c r="K807">
        <v>2010</v>
      </c>
      <c r="L807" t="s">
        <v>20</v>
      </c>
      <c r="M807">
        <v>43399</v>
      </c>
      <c r="N807">
        <v>2274</v>
      </c>
    </row>
    <row r="808" spans="1:14" x14ac:dyDescent="0.35">
      <c r="A808" t="s">
        <v>853</v>
      </c>
      <c r="B808" t="s">
        <v>15</v>
      </c>
      <c r="C808" t="s">
        <v>16</v>
      </c>
      <c r="D808">
        <v>58</v>
      </c>
      <c r="E808" t="s">
        <v>829</v>
      </c>
      <c r="F808">
        <v>5419</v>
      </c>
      <c r="G808" t="s">
        <v>18</v>
      </c>
      <c r="H808">
        <v>27</v>
      </c>
      <c r="I808" t="s">
        <v>19</v>
      </c>
      <c r="J808">
        <v>2011</v>
      </c>
      <c r="K808">
        <v>2011</v>
      </c>
      <c r="L808" t="s">
        <v>20</v>
      </c>
      <c r="M808">
        <v>44792</v>
      </c>
      <c r="N808">
        <v>2274</v>
      </c>
    </row>
    <row r="809" spans="1:14" x14ac:dyDescent="0.35">
      <c r="A809" t="s">
        <v>854</v>
      </c>
      <c r="B809" t="s">
        <v>15</v>
      </c>
      <c r="C809" t="s">
        <v>16</v>
      </c>
      <c r="D809">
        <v>58</v>
      </c>
      <c r="E809" t="s">
        <v>829</v>
      </c>
      <c r="F809">
        <v>5419</v>
      </c>
      <c r="G809" t="s">
        <v>18</v>
      </c>
      <c r="H809">
        <v>27</v>
      </c>
      <c r="I809" t="s">
        <v>19</v>
      </c>
      <c r="J809">
        <v>2012</v>
      </c>
      <c r="K809">
        <v>2012</v>
      </c>
      <c r="L809" t="s">
        <v>20</v>
      </c>
      <c r="M809">
        <v>42178</v>
      </c>
      <c r="N809">
        <v>2274</v>
      </c>
    </row>
    <row r="810" spans="1:14" x14ac:dyDescent="0.35">
      <c r="A810" t="s">
        <v>855</v>
      </c>
      <c r="B810" t="s">
        <v>15</v>
      </c>
      <c r="C810" t="s">
        <v>16</v>
      </c>
      <c r="D810">
        <v>58</v>
      </c>
      <c r="E810" t="s">
        <v>829</v>
      </c>
      <c r="F810">
        <v>5419</v>
      </c>
      <c r="G810" t="s">
        <v>18</v>
      </c>
      <c r="H810">
        <v>27</v>
      </c>
      <c r="I810" t="s">
        <v>19</v>
      </c>
      <c r="J810">
        <v>2013</v>
      </c>
      <c r="K810">
        <v>2013</v>
      </c>
      <c r="L810" t="s">
        <v>20</v>
      </c>
      <c r="M810">
        <v>38210</v>
      </c>
      <c r="N810">
        <v>2274</v>
      </c>
    </row>
    <row r="811" spans="1:14" x14ac:dyDescent="0.35">
      <c r="A811" t="s">
        <v>856</v>
      </c>
      <c r="B811" t="s">
        <v>15</v>
      </c>
      <c r="C811" t="s">
        <v>16</v>
      </c>
      <c r="D811">
        <v>58</v>
      </c>
      <c r="E811" t="s">
        <v>829</v>
      </c>
      <c r="F811">
        <v>5419</v>
      </c>
      <c r="G811" t="s">
        <v>18</v>
      </c>
      <c r="H811">
        <v>27</v>
      </c>
      <c r="I811" t="s">
        <v>19</v>
      </c>
      <c r="J811">
        <v>2014</v>
      </c>
      <c r="K811">
        <v>2014</v>
      </c>
      <c r="L811" t="s">
        <v>20</v>
      </c>
      <c r="M811">
        <v>38967</v>
      </c>
      <c r="N811">
        <v>2274</v>
      </c>
    </row>
    <row r="812" spans="1:14" x14ac:dyDescent="0.35">
      <c r="A812" t="s">
        <v>857</v>
      </c>
      <c r="B812" t="s">
        <v>15</v>
      </c>
      <c r="C812" t="s">
        <v>16</v>
      </c>
      <c r="D812">
        <v>58</v>
      </c>
      <c r="E812" t="s">
        <v>829</v>
      </c>
      <c r="F812">
        <v>5419</v>
      </c>
      <c r="G812" t="s">
        <v>18</v>
      </c>
      <c r="H812">
        <v>27</v>
      </c>
      <c r="I812" t="s">
        <v>19</v>
      </c>
      <c r="J812">
        <v>2015</v>
      </c>
      <c r="K812">
        <v>2015</v>
      </c>
      <c r="L812" t="s">
        <v>20</v>
      </c>
      <c r="M812">
        <v>44061</v>
      </c>
      <c r="N812">
        <v>2274</v>
      </c>
    </row>
    <row r="813" spans="1:14" x14ac:dyDescent="0.35">
      <c r="A813" t="s">
        <v>858</v>
      </c>
      <c r="B813" t="s">
        <v>15</v>
      </c>
      <c r="C813" t="s">
        <v>16</v>
      </c>
      <c r="D813">
        <v>58</v>
      </c>
      <c r="E813" t="s">
        <v>829</v>
      </c>
      <c r="F813">
        <v>5419</v>
      </c>
      <c r="G813" t="s">
        <v>18</v>
      </c>
      <c r="H813">
        <v>27</v>
      </c>
      <c r="I813" t="s">
        <v>19</v>
      </c>
      <c r="J813">
        <v>2016</v>
      </c>
      <c r="K813">
        <v>2016</v>
      </c>
      <c r="L813" t="s">
        <v>20</v>
      </c>
      <c r="M813">
        <v>41905</v>
      </c>
      <c r="N813">
        <v>2274</v>
      </c>
    </row>
    <row r="814" spans="1:14" x14ac:dyDescent="0.35">
      <c r="A814" t="s">
        <v>859</v>
      </c>
      <c r="B814" t="s">
        <v>15</v>
      </c>
      <c r="C814" t="s">
        <v>16</v>
      </c>
      <c r="D814">
        <v>59</v>
      </c>
      <c r="E814" t="s">
        <v>860</v>
      </c>
      <c r="F814">
        <v>5419</v>
      </c>
      <c r="G814" t="s">
        <v>18</v>
      </c>
      <c r="H814">
        <v>27</v>
      </c>
      <c r="I814" t="s">
        <v>19</v>
      </c>
      <c r="J814">
        <v>1985</v>
      </c>
      <c r="K814">
        <v>1985</v>
      </c>
      <c r="L814" t="s">
        <v>20</v>
      </c>
      <c r="M814">
        <v>59478</v>
      </c>
      <c r="N814">
        <v>51</v>
      </c>
    </row>
    <row r="815" spans="1:14" x14ac:dyDescent="0.35">
      <c r="A815" t="s">
        <v>861</v>
      </c>
      <c r="B815" t="s">
        <v>15</v>
      </c>
      <c r="C815" t="s">
        <v>16</v>
      </c>
      <c r="D815">
        <v>59</v>
      </c>
      <c r="E815" t="s">
        <v>860</v>
      </c>
      <c r="F815">
        <v>5419</v>
      </c>
      <c r="G815" t="s">
        <v>18</v>
      </c>
      <c r="H815">
        <v>27</v>
      </c>
      <c r="I815" t="s">
        <v>19</v>
      </c>
      <c r="J815">
        <v>1986</v>
      </c>
      <c r="K815">
        <v>1986</v>
      </c>
      <c r="L815" t="s">
        <v>20</v>
      </c>
      <c r="M815">
        <v>57747</v>
      </c>
      <c r="N815">
        <v>51</v>
      </c>
    </row>
    <row r="816" spans="1:14" x14ac:dyDescent="0.35">
      <c r="A816" t="s">
        <v>862</v>
      </c>
      <c r="B816" t="s">
        <v>15</v>
      </c>
      <c r="C816" t="s">
        <v>16</v>
      </c>
      <c r="D816">
        <v>59</v>
      </c>
      <c r="E816" t="s">
        <v>860</v>
      </c>
      <c r="F816">
        <v>5419</v>
      </c>
      <c r="G816" t="s">
        <v>18</v>
      </c>
      <c r="H816">
        <v>27</v>
      </c>
      <c r="I816" t="s">
        <v>19</v>
      </c>
      <c r="J816">
        <v>1987</v>
      </c>
      <c r="K816">
        <v>1987</v>
      </c>
      <c r="L816" t="s">
        <v>20</v>
      </c>
      <c r="M816">
        <v>58265</v>
      </c>
      <c r="N816">
        <v>51</v>
      </c>
    </row>
    <row r="817" spans="1:14" x14ac:dyDescent="0.35">
      <c r="A817" t="s">
        <v>863</v>
      </c>
      <c r="B817" t="s">
        <v>15</v>
      </c>
      <c r="C817" t="s">
        <v>16</v>
      </c>
      <c r="D817">
        <v>59</v>
      </c>
      <c r="E817" t="s">
        <v>860</v>
      </c>
      <c r="F817">
        <v>5419</v>
      </c>
      <c r="G817" t="s">
        <v>18</v>
      </c>
      <c r="H817">
        <v>27</v>
      </c>
      <c r="I817" t="s">
        <v>19</v>
      </c>
      <c r="J817">
        <v>1989</v>
      </c>
      <c r="K817">
        <v>1989</v>
      </c>
      <c r="L817" t="s">
        <v>20</v>
      </c>
      <c r="M817">
        <v>64825</v>
      </c>
      <c r="N817">
        <v>51</v>
      </c>
    </row>
    <row r="818" spans="1:14" x14ac:dyDescent="0.35">
      <c r="A818" t="s">
        <v>864</v>
      </c>
      <c r="B818" t="s">
        <v>15</v>
      </c>
      <c r="C818" t="s">
        <v>16</v>
      </c>
      <c r="D818">
        <v>59</v>
      </c>
      <c r="E818" t="s">
        <v>860</v>
      </c>
      <c r="F818">
        <v>5419</v>
      </c>
      <c r="G818" t="s">
        <v>18</v>
      </c>
      <c r="H818">
        <v>27</v>
      </c>
      <c r="I818" t="s">
        <v>19</v>
      </c>
      <c r="J818">
        <v>1990</v>
      </c>
      <c r="K818">
        <v>1990</v>
      </c>
      <c r="L818" t="s">
        <v>20</v>
      </c>
      <c r="M818">
        <v>72663</v>
      </c>
      <c r="N818">
        <v>51</v>
      </c>
    </row>
    <row r="819" spans="1:14" x14ac:dyDescent="0.35">
      <c r="A819" t="s">
        <v>865</v>
      </c>
      <c r="B819" t="s">
        <v>15</v>
      </c>
      <c r="C819" t="s">
        <v>16</v>
      </c>
      <c r="D819">
        <v>59</v>
      </c>
      <c r="E819" t="s">
        <v>860</v>
      </c>
      <c r="F819">
        <v>5419</v>
      </c>
      <c r="G819" t="s">
        <v>18</v>
      </c>
      <c r="H819">
        <v>27</v>
      </c>
      <c r="I819" t="s">
        <v>19</v>
      </c>
      <c r="J819">
        <v>1991</v>
      </c>
      <c r="K819">
        <v>1991</v>
      </c>
      <c r="L819" t="s">
        <v>20</v>
      </c>
      <c r="M819">
        <v>74554</v>
      </c>
      <c r="N819">
        <v>51</v>
      </c>
    </row>
    <row r="820" spans="1:14" x14ac:dyDescent="0.35">
      <c r="A820" t="s">
        <v>866</v>
      </c>
      <c r="B820" t="s">
        <v>15</v>
      </c>
      <c r="C820" t="s">
        <v>16</v>
      </c>
      <c r="D820">
        <v>59</v>
      </c>
      <c r="E820" t="s">
        <v>860</v>
      </c>
      <c r="F820">
        <v>5419</v>
      </c>
      <c r="G820" t="s">
        <v>18</v>
      </c>
      <c r="H820">
        <v>27</v>
      </c>
      <c r="I820" t="s">
        <v>19</v>
      </c>
      <c r="J820">
        <v>1992</v>
      </c>
      <c r="K820">
        <v>1992</v>
      </c>
      <c r="L820" t="s">
        <v>20</v>
      </c>
      <c r="M820">
        <v>76511</v>
      </c>
      <c r="N820">
        <v>51</v>
      </c>
    </row>
    <row r="821" spans="1:14" x14ac:dyDescent="0.35">
      <c r="A821" t="s">
        <v>867</v>
      </c>
      <c r="B821" t="s">
        <v>15</v>
      </c>
      <c r="C821" t="s">
        <v>16</v>
      </c>
      <c r="D821">
        <v>59</v>
      </c>
      <c r="E821" t="s">
        <v>860</v>
      </c>
      <c r="F821">
        <v>5419</v>
      </c>
      <c r="G821" t="s">
        <v>18</v>
      </c>
      <c r="H821">
        <v>27</v>
      </c>
      <c r="I821" t="s">
        <v>19</v>
      </c>
      <c r="J821">
        <v>1993</v>
      </c>
      <c r="K821">
        <v>1993</v>
      </c>
      <c r="L821" t="s">
        <v>20</v>
      </c>
      <c r="M821">
        <v>77184</v>
      </c>
      <c r="N821">
        <v>51</v>
      </c>
    </row>
    <row r="822" spans="1:14" x14ac:dyDescent="0.35">
      <c r="A822" t="s">
        <v>868</v>
      </c>
      <c r="B822" t="s">
        <v>15</v>
      </c>
      <c r="C822" t="s">
        <v>16</v>
      </c>
      <c r="D822">
        <v>59</v>
      </c>
      <c r="E822" t="s">
        <v>860</v>
      </c>
      <c r="F822">
        <v>5419</v>
      </c>
      <c r="G822" t="s">
        <v>18</v>
      </c>
      <c r="H822">
        <v>27</v>
      </c>
      <c r="I822" t="s">
        <v>19</v>
      </c>
      <c r="J822">
        <v>1994</v>
      </c>
      <c r="K822">
        <v>1994</v>
      </c>
      <c r="L822" t="s">
        <v>20</v>
      </c>
      <c r="M822">
        <v>79130</v>
      </c>
      <c r="N822">
        <v>51</v>
      </c>
    </row>
    <row r="823" spans="1:14" x14ac:dyDescent="0.35">
      <c r="A823" t="s">
        <v>869</v>
      </c>
      <c r="B823" t="s">
        <v>15</v>
      </c>
      <c r="C823" t="s">
        <v>16</v>
      </c>
      <c r="D823">
        <v>59</v>
      </c>
      <c r="E823" t="s">
        <v>860</v>
      </c>
      <c r="F823">
        <v>5419</v>
      </c>
      <c r="G823" t="s">
        <v>18</v>
      </c>
      <c r="H823">
        <v>27</v>
      </c>
      <c r="I823" t="s">
        <v>19</v>
      </c>
      <c r="J823">
        <v>1995</v>
      </c>
      <c r="K823">
        <v>1995</v>
      </c>
      <c r="L823" t="s">
        <v>20</v>
      </c>
      <c r="M823">
        <v>81356</v>
      </c>
      <c r="N823">
        <v>51</v>
      </c>
    </row>
    <row r="824" spans="1:14" x14ac:dyDescent="0.35">
      <c r="A824" t="s">
        <v>870</v>
      </c>
      <c r="B824" t="s">
        <v>15</v>
      </c>
      <c r="C824" t="s">
        <v>16</v>
      </c>
      <c r="D824">
        <v>59</v>
      </c>
      <c r="E824" t="s">
        <v>860</v>
      </c>
      <c r="F824">
        <v>5419</v>
      </c>
      <c r="G824" t="s">
        <v>18</v>
      </c>
      <c r="H824">
        <v>27</v>
      </c>
      <c r="I824" t="s">
        <v>19</v>
      </c>
      <c r="J824">
        <v>1996</v>
      </c>
      <c r="K824">
        <v>1996</v>
      </c>
      <c r="L824" t="s">
        <v>20</v>
      </c>
      <c r="M824">
        <v>82910</v>
      </c>
      <c r="N824">
        <v>51</v>
      </c>
    </row>
    <row r="825" spans="1:14" x14ac:dyDescent="0.35">
      <c r="A825" t="s">
        <v>871</v>
      </c>
      <c r="B825" t="s">
        <v>15</v>
      </c>
      <c r="C825" t="s">
        <v>16</v>
      </c>
      <c r="D825">
        <v>59</v>
      </c>
      <c r="E825" t="s">
        <v>860</v>
      </c>
      <c r="F825">
        <v>5419</v>
      </c>
      <c r="G825" t="s">
        <v>18</v>
      </c>
      <c r="H825">
        <v>27</v>
      </c>
      <c r="I825" t="s">
        <v>19</v>
      </c>
      <c r="J825">
        <v>1997</v>
      </c>
      <c r="K825">
        <v>1997</v>
      </c>
      <c r="L825" t="s">
        <v>20</v>
      </c>
      <c r="M825">
        <v>84152</v>
      </c>
      <c r="N825">
        <v>51</v>
      </c>
    </row>
    <row r="826" spans="1:14" x14ac:dyDescent="0.35">
      <c r="A826" t="s">
        <v>872</v>
      </c>
      <c r="B826" t="s">
        <v>15</v>
      </c>
      <c r="C826" t="s">
        <v>16</v>
      </c>
      <c r="D826">
        <v>59</v>
      </c>
      <c r="E826" t="s">
        <v>860</v>
      </c>
      <c r="F826">
        <v>5419</v>
      </c>
      <c r="G826" t="s">
        <v>18</v>
      </c>
      <c r="H826">
        <v>27</v>
      </c>
      <c r="I826" t="s">
        <v>19</v>
      </c>
      <c r="J826">
        <v>1998</v>
      </c>
      <c r="K826">
        <v>1998</v>
      </c>
      <c r="L826" t="s">
        <v>20</v>
      </c>
      <c r="M826">
        <v>86401</v>
      </c>
      <c r="N826">
        <v>51</v>
      </c>
    </row>
    <row r="827" spans="1:14" x14ac:dyDescent="0.35">
      <c r="A827" t="s">
        <v>873</v>
      </c>
      <c r="B827" t="s">
        <v>15</v>
      </c>
      <c r="C827" t="s">
        <v>16</v>
      </c>
      <c r="D827">
        <v>59</v>
      </c>
      <c r="E827" t="s">
        <v>860</v>
      </c>
      <c r="F827">
        <v>5419</v>
      </c>
      <c r="G827" t="s">
        <v>18</v>
      </c>
      <c r="H827">
        <v>27</v>
      </c>
      <c r="I827" t="s">
        <v>19</v>
      </c>
      <c r="J827">
        <v>1999</v>
      </c>
      <c r="K827">
        <v>1999</v>
      </c>
      <c r="L827" t="s">
        <v>20</v>
      </c>
      <c r="M827">
        <v>88780</v>
      </c>
      <c r="N827">
        <v>51</v>
      </c>
    </row>
    <row r="828" spans="1:14" x14ac:dyDescent="0.35">
      <c r="A828" t="s">
        <v>874</v>
      </c>
      <c r="B828" t="s">
        <v>15</v>
      </c>
      <c r="C828" t="s">
        <v>16</v>
      </c>
      <c r="D828">
        <v>59</v>
      </c>
      <c r="E828" t="s">
        <v>860</v>
      </c>
      <c r="F828">
        <v>5419</v>
      </c>
      <c r="G828" t="s">
        <v>18</v>
      </c>
      <c r="H828">
        <v>27</v>
      </c>
      <c r="I828" t="s">
        <v>19</v>
      </c>
      <c r="J828">
        <v>2000</v>
      </c>
      <c r="K828">
        <v>2000</v>
      </c>
      <c r="L828" t="s">
        <v>20</v>
      </c>
      <c r="M828">
        <v>91025</v>
      </c>
      <c r="N828">
        <v>51</v>
      </c>
    </row>
    <row r="829" spans="1:14" x14ac:dyDescent="0.35">
      <c r="A829" t="s">
        <v>875</v>
      </c>
      <c r="B829" t="s">
        <v>15</v>
      </c>
      <c r="C829" t="s">
        <v>16</v>
      </c>
      <c r="D829">
        <v>59</v>
      </c>
      <c r="E829" t="s">
        <v>860</v>
      </c>
      <c r="F829">
        <v>5419</v>
      </c>
      <c r="G829" t="s">
        <v>18</v>
      </c>
      <c r="H829">
        <v>27</v>
      </c>
      <c r="I829" t="s">
        <v>19</v>
      </c>
      <c r="J829">
        <v>2001</v>
      </c>
      <c r="K829">
        <v>2001</v>
      </c>
      <c r="L829" t="s">
        <v>20</v>
      </c>
      <c r="M829">
        <v>92833</v>
      </c>
      <c r="N829">
        <v>51</v>
      </c>
    </row>
    <row r="830" spans="1:14" x14ac:dyDescent="0.35">
      <c r="A830" t="s">
        <v>876</v>
      </c>
      <c r="B830" t="s">
        <v>15</v>
      </c>
      <c r="C830" t="s">
        <v>16</v>
      </c>
      <c r="D830">
        <v>59</v>
      </c>
      <c r="E830" t="s">
        <v>860</v>
      </c>
      <c r="F830">
        <v>5419</v>
      </c>
      <c r="G830" t="s">
        <v>18</v>
      </c>
      <c r="H830">
        <v>27</v>
      </c>
      <c r="I830" t="s">
        <v>19</v>
      </c>
      <c r="J830">
        <v>2002</v>
      </c>
      <c r="K830">
        <v>2002</v>
      </c>
      <c r="L830" t="s">
        <v>20</v>
      </c>
      <c r="M830">
        <v>93889</v>
      </c>
      <c r="N830">
        <v>51</v>
      </c>
    </row>
    <row r="831" spans="1:14" x14ac:dyDescent="0.35">
      <c r="A831" t="s">
        <v>877</v>
      </c>
      <c r="B831" t="s">
        <v>15</v>
      </c>
      <c r="C831" t="s">
        <v>16</v>
      </c>
      <c r="D831">
        <v>59</v>
      </c>
      <c r="E831" t="s">
        <v>860</v>
      </c>
      <c r="F831">
        <v>5419</v>
      </c>
      <c r="G831" t="s">
        <v>18</v>
      </c>
      <c r="H831">
        <v>27</v>
      </c>
      <c r="I831" t="s">
        <v>19</v>
      </c>
      <c r="J831">
        <v>2004</v>
      </c>
      <c r="K831">
        <v>2004</v>
      </c>
      <c r="L831" t="s">
        <v>20</v>
      </c>
      <c r="M831">
        <v>98384</v>
      </c>
      <c r="N831">
        <v>51</v>
      </c>
    </row>
    <row r="832" spans="1:14" x14ac:dyDescent="0.35">
      <c r="A832" t="s">
        <v>878</v>
      </c>
      <c r="B832" t="s">
        <v>15</v>
      </c>
      <c r="C832" t="s">
        <v>16</v>
      </c>
      <c r="D832">
        <v>59</v>
      </c>
      <c r="E832" t="s">
        <v>860</v>
      </c>
      <c r="F832">
        <v>5419</v>
      </c>
      <c r="G832" t="s">
        <v>18</v>
      </c>
      <c r="H832">
        <v>27</v>
      </c>
      <c r="I832" t="s">
        <v>19</v>
      </c>
      <c r="J832">
        <v>2005</v>
      </c>
      <c r="K832">
        <v>2005</v>
      </c>
      <c r="L832" t="s">
        <v>20</v>
      </c>
      <c r="M832">
        <v>99874</v>
      </c>
      <c r="N832">
        <v>51</v>
      </c>
    </row>
    <row r="833" spans="1:14" x14ac:dyDescent="0.35">
      <c r="A833" t="s">
        <v>879</v>
      </c>
      <c r="B833" t="s">
        <v>15</v>
      </c>
      <c r="C833" t="s">
        <v>16</v>
      </c>
      <c r="D833">
        <v>59</v>
      </c>
      <c r="E833" t="s">
        <v>860</v>
      </c>
      <c r="F833">
        <v>5419</v>
      </c>
      <c r="G833" t="s">
        <v>18</v>
      </c>
      <c r="H833">
        <v>27</v>
      </c>
      <c r="I833" t="s">
        <v>19</v>
      </c>
      <c r="J833">
        <v>2006</v>
      </c>
      <c r="K833">
        <v>2006</v>
      </c>
      <c r="L833" t="s">
        <v>20</v>
      </c>
      <c r="M833">
        <v>100750</v>
      </c>
      <c r="N833">
        <v>51</v>
      </c>
    </row>
    <row r="834" spans="1:14" x14ac:dyDescent="0.35">
      <c r="A834" t="s">
        <v>880</v>
      </c>
      <c r="B834" t="s">
        <v>15</v>
      </c>
      <c r="C834" t="s">
        <v>16</v>
      </c>
      <c r="D834">
        <v>59</v>
      </c>
      <c r="E834" t="s">
        <v>860</v>
      </c>
      <c r="F834">
        <v>5419</v>
      </c>
      <c r="G834" t="s">
        <v>18</v>
      </c>
      <c r="H834">
        <v>27</v>
      </c>
      <c r="I834" t="s">
        <v>19</v>
      </c>
      <c r="J834">
        <v>2007</v>
      </c>
      <c r="K834">
        <v>2007</v>
      </c>
      <c r="L834" t="s">
        <v>20</v>
      </c>
      <c r="M834">
        <v>97675</v>
      </c>
      <c r="N834">
        <v>51</v>
      </c>
    </row>
    <row r="835" spans="1:14" x14ac:dyDescent="0.35">
      <c r="A835" t="s">
        <v>881</v>
      </c>
      <c r="B835" t="s">
        <v>15</v>
      </c>
      <c r="C835" t="s">
        <v>16</v>
      </c>
      <c r="D835">
        <v>59</v>
      </c>
      <c r="E835" t="s">
        <v>860</v>
      </c>
      <c r="F835">
        <v>5419</v>
      </c>
      <c r="G835" t="s">
        <v>18</v>
      </c>
      <c r="H835">
        <v>27</v>
      </c>
      <c r="I835" t="s">
        <v>19</v>
      </c>
      <c r="J835">
        <v>2008</v>
      </c>
      <c r="K835">
        <v>2008</v>
      </c>
      <c r="L835" t="s">
        <v>20</v>
      </c>
      <c r="M835">
        <v>97349</v>
      </c>
      <c r="N835">
        <v>51</v>
      </c>
    </row>
    <row r="836" spans="1:14" x14ac:dyDescent="0.35">
      <c r="A836" t="s">
        <v>882</v>
      </c>
      <c r="B836" t="s">
        <v>15</v>
      </c>
      <c r="C836" t="s">
        <v>16</v>
      </c>
      <c r="D836">
        <v>59</v>
      </c>
      <c r="E836" t="s">
        <v>860</v>
      </c>
      <c r="F836">
        <v>5419</v>
      </c>
      <c r="G836" t="s">
        <v>18</v>
      </c>
      <c r="H836">
        <v>27</v>
      </c>
      <c r="I836" t="s">
        <v>19</v>
      </c>
      <c r="J836">
        <v>2009</v>
      </c>
      <c r="K836">
        <v>2009</v>
      </c>
      <c r="L836" t="s">
        <v>20</v>
      </c>
      <c r="M836">
        <v>95930</v>
      </c>
      <c r="N836">
        <v>51</v>
      </c>
    </row>
    <row r="837" spans="1:14" x14ac:dyDescent="0.35">
      <c r="A837" t="s">
        <v>883</v>
      </c>
      <c r="B837" t="s">
        <v>15</v>
      </c>
      <c r="C837" t="s">
        <v>16</v>
      </c>
      <c r="D837">
        <v>59</v>
      </c>
      <c r="E837" t="s">
        <v>860</v>
      </c>
      <c r="F837">
        <v>5419</v>
      </c>
      <c r="G837" t="s">
        <v>18</v>
      </c>
      <c r="H837">
        <v>27</v>
      </c>
      <c r="I837" t="s">
        <v>19</v>
      </c>
      <c r="J837">
        <v>2010</v>
      </c>
      <c r="K837">
        <v>2010</v>
      </c>
      <c r="L837" t="s">
        <v>20</v>
      </c>
      <c r="M837">
        <v>94217</v>
      </c>
      <c r="N837">
        <v>51</v>
      </c>
    </row>
    <row r="838" spans="1:14" x14ac:dyDescent="0.35">
      <c r="A838" t="s">
        <v>884</v>
      </c>
      <c r="B838" t="s">
        <v>15</v>
      </c>
      <c r="C838" t="s">
        <v>16</v>
      </c>
      <c r="D838">
        <v>59</v>
      </c>
      <c r="E838" t="s">
        <v>860</v>
      </c>
      <c r="F838">
        <v>5419</v>
      </c>
      <c r="G838" t="s">
        <v>18</v>
      </c>
      <c r="H838">
        <v>27</v>
      </c>
      <c r="I838" t="s">
        <v>19</v>
      </c>
      <c r="J838">
        <v>2011</v>
      </c>
      <c r="K838">
        <v>2011</v>
      </c>
      <c r="L838" t="s">
        <v>20</v>
      </c>
      <c r="M838">
        <v>95670</v>
      </c>
      <c r="N838">
        <v>51</v>
      </c>
    </row>
    <row r="839" spans="1:14" x14ac:dyDescent="0.35">
      <c r="A839" t="s">
        <v>885</v>
      </c>
      <c r="B839" t="s">
        <v>15</v>
      </c>
      <c r="C839" t="s">
        <v>16</v>
      </c>
      <c r="D839">
        <v>59</v>
      </c>
      <c r="E839" t="s">
        <v>860</v>
      </c>
      <c r="F839">
        <v>5419</v>
      </c>
      <c r="G839" t="s">
        <v>18</v>
      </c>
      <c r="H839">
        <v>27</v>
      </c>
      <c r="I839" t="s">
        <v>19</v>
      </c>
      <c r="J839">
        <v>2012</v>
      </c>
      <c r="K839">
        <v>2012</v>
      </c>
      <c r="L839" t="s">
        <v>20</v>
      </c>
      <c r="M839">
        <v>95296</v>
      </c>
      <c r="N839">
        <v>51</v>
      </c>
    </row>
    <row r="840" spans="1:14" x14ac:dyDescent="0.35">
      <c r="A840" t="s">
        <v>886</v>
      </c>
      <c r="B840" t="s">
        <v>15</v>
      </c>
      <c r="C840" t="s">
        <v>16</v>
      </c>
      <c r="D840">
        <v>59</v>
      </c>
      <c r="E840" t="s">
        <v>860</v>
      </c>
      <c r="F840">
        <v>5419</v>
      </c>
      <c r="G840" t="s">
        <v>18</v>
      </c>
      <c r="H840">
        <v>27</v>
      </c>
      <c r="I840" t="s">
        <v>19</v>
      </c>
      <c r="J840">
        <v>2013</v>
      </c>
      <c r="K840">
        <v>2013</v>
      </c>
      <c r="L840" t="s">
        <v>20</v>
      </c>
      <c r="M840">
        <v>95865</v>
      </c>
      <c r="N840">
        <v>51</v>
      </c>
    </row>
    <row r="841" spans="1:14" x14ac:dyDescent="0.35">
      <c r="A841" t="s">
        <v>887</v>
      </c>
      <c r="B841" t="s">
        <v>15</v>
      </c>
      <c r="C841" t="s">
        <v>16</v>
      </c>
      <c r="D841">
        <v>59</v>
      </c>
      <c r="E841" t="s">
        <v>860</v>
      </c>
      <c r="F841">
        <v>5419</v>
      </c>
      <c r="G841" t="s">
        <v>18</v>
      </c>
      <c r="H841">
        <v>27</v>
      </c>
      <c r="I841" t="s">
        <v>19</v>
      </c>
      <c r="J841">
        <v>2014</v>
      </c>
      <c r="K841">
        <v>2014</v>
      </c>
      <c r="L841" t="s">
        <v>20</v>
      </c>
      <c r="M841">
        <v>95300</v>
      </c>
      <c r="N841">
        <v>51</v>
      </c>
    </row>
    <row r="842" spans="1:14" x14ac:dyDescent="0.35">
      <c r="A842" t="s">
        <v>888</v>
      </c>
      <c r="B842" t="s">
        <v>15</v>
      </c>
      <c r="C842" t="s">
        <v>16</v>
      </c>
      <c r="D842">
        <v>59</v>
      </c>
      <c r="E842" t="s">
        <v>860</v>
      </c>
      <c r="F842">
        <v>5419</v>
      </c>
      <c r="G842" t="s">
        <v>18</v>
      </c>
      <c r="H842">
        <v>27</v>
      </c>
      <c r="I842" t="s">
        <v>19</v>
      </c>
      <c r="J842">
        <v>2015</v>
      </c>
      <c r="K842">
        <v>2015</v>
      </c>
      <c r="L842" t="s">
        <v>20</v>
      </c>
      <c r="M842">
        <v>94312</v>
      </c>
      <c r="N842">
        <v>51</v>
      </c>
    </row>
    <row r="843" spans="1:14" x14ac:dyDescent="0.35">
      <c r="A843" t="s">
        <v>889</v>
      </c>
      <c r="B843" t="s">
        <v>15</v>
      </c>
      <c r="C843" t="s">
        <v>16</v>
      </c>
      <c r="D843">
        <v>59</v>
      </c>
      <c r="E843" t="s">
        <v>860</v>
      </c>
      <c r="F843">
        <v>5419</v>
      </c>
      <c r="G843" t="s">
        <v>18</v>
      </c>
      <c r="H843">
        <v>27</v>
      </c>
      <c r="I843" t="s">
        <v>19</v>
      </c>
      <c r="J843">
        <v>2016</v>
      </c>
      <c r="K843">
        <v>2016</v>
      </c>
      <c r="L843" t="s">
        <v>20</v>
      </c>
      <c r="M843">
        <v>93669</v>
      </c>
      <c r="N843">
        <v>51</v>
      </c>
    </row>
    <row r="844" spans="1:14" x14ac:dyDescent="0.35">
      <c r="A844" t="s">
        <v>890</v>
      </c>
      <c r="B844" t="s">
        <v>15</v>
      </c>
      <c r="C844" t="s">
        <v>16</v>
      </c>
      <c r="D844">
        <v>60</v>
      </c>
      <c r="E844" t="s">
        <v>891</v>
      </c>
      <c r="F844">
        <v>5419</v>
      </c>
      <c r="G844" t="s">
        <v>18</v>
      </c>
      <c r="H844">
        <v>27</v>
      </c>
      <c r="I844" t="s">
        <v>19</v>
      </c>
      <c r="J844">
        <v>1985</v>
      </c>
      <c r="K844">
        <v>1985</v>
      </c>
      <c r="L844" t="s">
        <v>20</v>
      </c>
      <c r="M844">
        <v>39844</v>
      </c>
      <c r="N844">
        <v>1784</v>
      </c>
    </row>
    <row r="845" spans="1:14" x14ac:dyDescent="0.35">
      <c r="A845" t="s">
        <v>892</v>
      </c>
      <c r="B845" t="s">
        <v>15</v>
      </c>
      <c r="C845" t="s">
        <v>16</v>
      </c>
      <c r="D845">
        <v>60</v>
      </c>
      <c r="E845" t="s">
        <v>891</v>
      </c>
      <c r="F845">
        <v>5419</v>
      </c>
      <c r="G845" t="s">
        <v>18</v>
      </c>
      <c r="H845">
        <v>27</v>
      </c>
      <c r="I845" t="s">
        <v>19</v>
      </c>
      <c r="J845">
        <v>1986</v>
      </c>
      <c r="K845">
        <v>1986</v>
      </c>
      <c r="L845" t="s">
        <v>20</v>
      </c>
      <c r="M845">
        <v>38985</v>
      </c>
      <c r="N845">
        <v>1784</v>
      </c>
    </row>
    <row r="846" spans="1:14" x14ac:dyDescent="0.35">
      <c r="A846" t="s">
        <v>893</v>
      </c>
      <c r="B846" t="s">
        <v>15</v>
      </c>
      <c r="C846" t="s">
        <v>16</v>
      </c>
      <c r="D846">
        <v>60</v>
      </c>
      <c r="E846" t="s">
        <v>891</v>
      </c>
      <c r="F846">
        <v>5419</v>
      </c>
      <c r="G846" t="s">
        <v>18</v>
      </c>
      <c r="H846">
        <v>27</v>
      </c>
      <c r="I846" t="s">
        <v>19</v>
      </c>
      <c r="J846">
        <v>1987</v>
      </c>
      <c r="K846">
        <v>1987</v>
      </c>
      <c r="L846" t="s">
        <v>20</v>
      </c>
      <c r="M846">
        <v>35987</v>
      </c>
      <c r="N846">
        <v>1784</v>
      </c>
    </row>
    <row r="847" spans="1:14" x14ac:dyDescent="0.35">
      <c r="A847" t="s">
        <v>894</v>
      </c>
      <c r="B847" t="s">
        <v>15</v>
      </c>
      <c r="C847" t="s">
        <v>16</v>
      </c>
      <c r="D847">
        <v>60</v>
      </c>
      <c r="E847" t="s">
        <v>891</v>
      </c>
      <c r="F847">
        <v>5419</v>
      </c>
      <c r="G847" t="s">
        <v>18</v>
      </c>
      <c r="H847">
        <v>27</v>
      </c>
      <c r="I847" t="s">
        <v>19</v>
      </c>
      <c r="J847">
        <v>1989</v>
      </c>
      <c r="K847">
        <v>1989</v>
      </c>
      <c r="L847" t="s">
        <v>20</v>
      </c>
      <c r="M847">
        <v>41069</v>
      </c>
      <c r="N847">
        <v>1784</v>
      </c>
    </row>
    <row r="848" spans="1:14" x14ac:dyDescent="0.35">
      <c r="A848" t="s">
        <v>895</v>
      </c>
      <c r="B848" t="s">
        <v>15</v>
      </c>
      <c r="C848" t="s">
        <v>16</v>
      </c>
      <c r="D848">
        <v>60</v>
      </c>
      <c r="E848" t="s">
        <v>891</v>
      </c>
      <c r="F848">
        <v>5419</v>
      </c>
      <c r="G848" t="s">
        <v>18</v>
      </c>
      <c r="H848">
        <v>27</v>
      </c>
      <c r="I848" t="s">
        <v>19</v>
      </c>
      <c r="J848">
        <v>1990</v>
      </c>
      <c r="K848">
        <v>1990</v>
      </c>
      <c r="L848" t="s">
        <v>20</v>
      </c>
      <c r="M848">
        <v>43271</v>
      </c>
      <c r="N848">
        <v>1784</v>
      </c>
    </row>
    <row r="849" spans="1:14" x14ac:dyDescent="0.35">
      <c r="A849" t="s">
        <v>896</v>
      </c>
      <c r="B849" t="s">
        <v>15</v>
      </c>
      <c r="C849" t="s">
        <v>16</v>
      </c>
      <c r="D849">
        <v>60</v>
      </c>
      <c r="E849" t="s">
        <v>891</v>
      </c>
      <c r="F849">
        <v>5419</v>
      </c>
      <c r="G849" t="s">
        <v>18</v>
      </c>
      <c r="H849">
        <v>27</v>
      </c>
      <c r="I849" t="s">
        <v>19</v>
      </c>
      <c r="J849">
        <v>1991</v>
      </c>
      <c r="K849">
        <v>1991</v>
      </c>
      <c r="L849" t="s">
        <v>20</v>
      </c>
      <c r="M849">
        <v>37669</v>
      </c>
      <c r="N849">
        <v>1784</v>
      </c>
    </row>
    <row r="850" spans="1:14" x14ac:dyDescent="0.35">
      <c r="A850" t="s">
        <v>897</v>
      </c>
      <c r="B850" t="s">
        <v>15</v>
      </c>
      <c r="C850" t="s">
        <v>16</v>
      </c>
      <c r="D850">
        <v>60</v>
      </c>
      <c r="E850" t="s">
        <v>891</v>
      </c>
      <c r="F850">
        <v>5419</v>
      </c>
      <c r="G850" t="s">
        <v>18</v>
      </c>
      <c r="H850">
        <v>27</v>
      </c>
      <c r="I850" t="s">
        <v>19</v>
      </c>
      <c r="J850">
        <v>1992</v>
      </c>
      <c r="K850">
        <v>1992</v>
      </c>
      <c r="L850" t="s">
        <v>20</v>
      </c>
      <c r="M850">
        <v>43561</v>
      </c>
      <c r="N850">
        <v>1784</v>
      </c>
    </row>
    <row r="851" spans="1:14" x14ac:dyDescent="0.35">
      <c r="A851" t="s">
        <v>898</v>
      </c>
      <c r="B851" t="s">
        <v>15</v>
      </c>
      <c r="C851" t="s">
        <v>16</v>
      </c>
      <c r="D851">
        <v>60</v>
      </c>
      <c r="E851" t="s">
        <v>891</v>
      </c>
      <c r="F851">
        <v>5419</v>
      </c>
      <c r="G851" t="s">
        <v>18</v>
      </c>
      <c r="H851">
        <v>27</v>
      </c>
      <c r="I851" t="s">
        <v>19</v>
      </c>
      <c r="J851">
        <v>1993</v>
      </c>
      <c r="K851">
        <v>1993</v>
      </c>
      <c r="L851" t="s">
        <v>20</v>
      </c>
      <c r="M851">
        <v>47076</v>
      </c>
      <c r="N851">
        <v>1784</v>
      </c>
    </row>
    <row r="852" spans="1:14" x14ac:dyDescent="0.35">
      <c r="A852" t="s">
        <v>899</v>
      </c>
      <c r="B852" t="s">
        <v>15</v>
      </c>
      <c r="C852" t="s">
        <v>16</v>
      </c>
      <c r="D852">
        <v>60</v>
      </c>
      <c r="E852" t="s">
        <v>891</v>
      </c>
      <c r="F852">
        <v>5419</v>
      </c>
      <c r="G852" t="s">
        <v>18</v>
      </c>
      <c r="H852">
        <v>27</v>
      </c>
      <c r="I852" t="s">
        <v>19</v>
      </c>
      <c r="J852">
        <v>1994</v>
      </c>
      <c r="K852">
        <v>1994</v>
      </c>
      <c r="L852" t="s">
        <v>20</v>
      </c>
      <c r="M852">
        <v>43353</v>
      </c>
      <c r="N852">
        <v>1784</v>
      </c>
    </row>
    <row r="853" spans="1:14" x14ac:dyDescent="0.35">
      <c r="A853" t="s">
        <v>900</v>
      </c>
      <c r="B853" t="s">
        <v>15</v>
      </c>
      <c r="C853" t="s">
        <v>16</v>
      </c>
      <c r="D853">
        <v>60</v>
      </c>
      <c r="E853" t="s">
        <v>891</v>
      </c>
      <c r="F853">
        <v>5419</v>
      </c>
      <c r="G853" t="s">
        <v>18</v>
      </c>
      <c r="H853">
        <v>27</v>
      </c>
      <c r="I853" t="s">
        <v>19</v>
      </c>
      <c r="J853">
        <v>1995</v>
      </c>
      <c r="K853">
        <v>1995</v>
      </c>
      <c r="L853" t="s">
        <v>20</v>
      </c>
      <c r="M853">
        <v>53291</v>
      </c>
      <c r="N853">
        <v>1784</v>
      </c>
    </row>
    <row r="854" spans="1:14" x14ac:dyDescent="0.35">
      <c r="A854" t="s">
        <v>901</v>
      </c>
      <c r="B854" t="s">
        <v>15</v>
      </c>
      <c r="C854" t="s">
        <v>16</v>
      </c>
      <c r="D854">
        <v>60</v>
      </c>
      <c r="E854" t="s">
        <v>891</v>
      </c>
      <c r="F854">
        <v>5419</v>
      </c>
      <c r="G854" t="s">
        <v>18</v>
      </c>
      <c r="H854">
        <v>27</v>
      </c>
      <c r="I854" t="s">
        <v>19</v>
      </c>
      <c r="J854">
        <v>1996</v>
      </c>
      <c r="K854">
        <v>1996</v>
      </c>
      <c r="L854" t="s">
        <v>20</v>
      </c>
      <c r="M854">
        <v>51627</v>
      </c>
      <c r="N854">
        <v>1784</v>
      </c>
    </row>
    <row r="855" spans="1:14" x14ac:dyDescent="0.35">
      <c r="A855" t="s">
        <v>902</v>
      </c>
      <c r="B855" t="s">
        <v>15</v>
      </c>
      <c r="C855" t="s">
        <v>16</v>
      </c>
      <c r="D855">
        <v>60</v>
      </c>
      <c r="E855" t="s">
        <v>891</v>
      </c>
      <c r="F855">
        <v>5419</v>
      </c>
      <c r="G855" t="s">
        <v>18</v>
      </c>
      <c r="H855">
        <v>27</v>
      </c>
      <c r="I855" t="s">
        <v>19</v>
      </c>
      <c r="J855">
        <v>1997</v>
      </c>
      <c r="K855">
        <v>1997</v>
      </c>
      <c r="L855" t="s">
        <v>20</v>
      </c>
      <c r="M855">
        <v>44419</v>
      </c>
      <c r="N855">
        <v>1784</v>
      </c>
    </row>
    <row r="856" spans="1:14" x14ac:dyDescent="0.35">
      <c r="A856" t="s">
        <v>903</v>
      </c>
      <c r="B856" t="s">
        <v>15</v>
      </c>
      <c r="C856" t="s">
        <v>16</v>
      </c>
      <c r="D856">
        <v>60</v>
      </c>
      <c r="E856" t="s">
        <v>891</v>
      </c>
      <c r="F856">
        <v>5419</v>
      </c>
      <c r="G856" t="s">
        <v>18</v>
      </c>
      <c r="H856">
        <v>27</v>
      </c>
      <c r="I856" t="s">
        <v>19</v>
      </c>
      <c r="J856">
        <v>1998</v>
      </c>
      <c r="K856">
        <v>1998</v>
      </c>
      <c r="L856" t="s">
        <v>20</v>
      </c>
      <c r="M856">
        <v>49760</v>
      </c>
      <c r="N856">
        <v>1784</v>
      </c>
    </row>
    <row r="857" spans="1:14" x14ac:dyDescent="0.35">
      <c r="A857" t="s">
        <v>904</v>
      </c>
      <c r="B857" t="s">
        <v>15</v>
      </c>
      <c r="C857" t="s">
        <v>16</v>
      </c>
      <c r="D857">
        <v>60</v>
      </c>
      <c r="E857" t="s">
        <v>891</v>
      </c>
      <c r="F857">
        <v>5419</v>
      </c>
      <c r="G857" t="s">
        <v>18</v>
      </c>
      <c r="H857">
        <v>27</v>
      </c>
      <c r="I857" t="s">
        <v>19</v>
      </c>
      <c r="J857">
        <v>1999</v>
      </c>
      <c r="K857">
        <v>1999</v>
      </c>
      <c r="L857" t="s">
        <v>20</v>
      </c>
      <c r="M857">
        <v>52531</v>
      </c>
      <c r="N857">
        <v>1784</v>
      </c>
    </row>
    <row r="858" spans="1:14" x14ac:dyDescent="0.35">
      <c r="A858" t="s">
        <v>905</v>
      </c>
      <c r="B858" t="s">
        <v>15</v>
      </c>
      <c r="C858" t="s">
        <v>16</v>
      </c>
      <c r="D858">
        <v>60</v>
      </c>
      <c r="E858" t="s">
        <v>891</v>
      </c>
      <c r="F858">
        <v>5419</v>
      </c>
      <c r="G858" t="s">
        <v>18</v>
      </c>
      <c r="H858">
        <v>27</v>
      </c>
      <c r="I858" t="s">
        <v>19</v>
      </c>
      <c r="J858">
        <v>2000</v>
      </c>
      <c r="K858">
        <v>2000</v>
      </c>
      <c r="L858" t="s">
        <v>20</v>
      </c>
      <c r="M858">
        <v>57884</v>
      </c>
      <c r="N858">
        <v>1784</v>
      </c>
    </row>
    <row r="859" spans="1:14" x14ac:dyDescent="0.35">
      <c r="A859" t="s">
        <v>906</v>
      </c>
      <c r="B859" t="s">
        <v>15</v>
      </c>
      <c r="C859" t="s">
        <v>16</v>
      </c>
      <c r="D859">
        <v>60</v>
      </c>
      <c r="E859" t="s">
        <v>891</v>
      </c>
      <c r="F859">
        <v>5419</v>
      </c>
      <c r="G859" t="s">
        <v>18</v>
      </c>
      <c r="H859">
        <v>27</v>
      </c>
      <c r="I859" t="s">
        <v>19</v>
      </c>
      <c r="J859">
        <v>2001</v>
      </c>
      <c r="K859">
        <v>2001</v>
      </c>
      <c r="L859" t="s">
        <v>20</v>
      </c>
      <c r="M859">
        <v>60284</v>
      </c>
      <c r="N859">
        <v>1784</v>
      </c>
    </row>
    <row r="860" spans="1:14" x14ac:dyDescent="0.35">
      <c r="A860" t="s">
        <v>907</v>
      </c>
      <c r="B860" t="s">
        <v>15</v>
      </c>
      <c r="C860" t="s">
        <v>16</v>
      </c>
      <c r="D860">
        <v>60</v>
      </c>
      <c r="E860" t="s">
        <v>891</v>
      </c>
      <c r="F860">
        <v>5419</v>
      </c>
      <c r="G860" t="s">
        <v>18</v>
      </c>
      <c r="H860">
        <v>27</v>
      </c>
      <c r="I860" t="s">
        <v>19</v>
      </c>
      <c r="J860">
        <v>2002</v>
      </c>
      <c r="K860">
        <v>2002</v>
      </c>
      <c r="L860" t="s">
        <v>20</v>
      </c>
      <c r="M860">
        <v>59384</v>
      </c>
      <c r="N860">
        <v>1784</v>
      </c>
    </row>
    <row r="861" spans="1:14" x14ac:dyDescent="0.35">
      <c r="A861" t="s">
        <v>908</v>
      </c>
      <c r="B861" t="s">
        <v>15</v>
      </c>
      <c r="C861" t="s">
        <v>16</v>
      </c>
      <c r="D861">
        <v>60</v>
      </c>
      <c r="E861" t="s">
        <v>891</v>
      </c>
      <c r="F861">
        <v>5419</v>
      </c>
      <c r="G861" t="s">
        <v>18</v>
      </c>
      <c r="H861">
        <v>27</v>
      </c>
      <c r="I861" t="s">
        <v>19</v>
      </c>
      <c r="J861">
        <v>2004</v>
      </c>
      <c r="K861">
        <v>2004</v>
      </c>
      <c r="L861" t="s">
        <v>20</v>
      </c>
      <c r="M861">
        <v>66430</v>
      </c>
      <c r="N861">
        <v>1784</v>
      </c>
    </row>
    <row r="862" spans="1:14" x14ac:dyDescent="0.35">
      <c r="A862" t="s">
        <v>909</v>
      </c>
      <c r="B862" t="s">
        <v>15</v>
      </c>
      <c r="C862" t="s">
        <v>16</v>
      </c>
      <c r="D862">
        <v>60</v>
      </c>
      <c r="E862" t="s">
        <v>891</v>
      </c>
      <c r="F862">
        <v>5419</v>
      </c>
      <c r="G862" t="s">
        <v>18</v>
      </c>
      <c r="H862">
        <v>27</v>
      </c>
      <c r="I862" t="s">
        <v>19</v>
      </c>
      <c r="J862">
        <v>2005</v>
      </c>
      <c r="K862">
        <v>2005</v>
      </c>
      <c r="L862" t="s">
        <v>20</v>
      </c>
      <c r="M862">
        <v>72118</v>
      </c>
      <c r="N862">
        <v>1784</v>
      </c>
    </row>
    <row r="863" spans="1:14" x14ac:dyDescent="0.35">
      <c r="A863" t="s">
        <v>910</v>
      </c>
      <c r="B863" t="s">
        <v>15</v>
      </c>
      <c r="C863" t="s">
        <v>16</v>
      </c>
      <c r="D863">
        <v>60</v>
      </c>
      <c r="E863" t="s">
        <v>891</v>
      </c>
      <c r="F863">
        <v>5419</v>
      </c>
      <c r="G863" t="s">
        <v>18</v>
      </c>
      <c r="H863">
        <v>27</v>
      </c>
      <c r="I863" t="s">
        <v>19</v>
      </c>
      <c r="J863">
        <v>2006</v>
      </c>
      <c r="K863">
        <v>2006</v>
      </c>
      <c r="L863" t="s">
        <v>20</v>
      </c>
      <c r="M863">
        <v>73941</v>
      </c>
      <c r="N863">
        <v>1784</v>
      </c>
    </row>
    <row r="864" spans="1:14" x14ac:dyDescent="0.35">
      <c r="A864" t="s">
        <v>911</v>
      </c>
      <c r="B864" t="s">
        <v>15</v>
      </c>
      <c r="C864" t="s">
        <v>16</v>
      </c>
      <c r="D864">
        <v>60</v>
      </c>
      <c r="E864" t="s">
        <v>891</v>
      </c>
      <c r="F864">
        <v>5419</v>
      </c>
      <c r="G864" t="s">
        <v>18</v>
      </c>
      <c r="H864">
        <v>27</v>
      </c>
      <c r="I864" t="s">
        <v>19</v>
      </c>
      <c r="J864">
        <v>2007</v>
      </c>
      <c r="K864">
        <v>2007</v>
      </c>
      <c r="L864" t="s">
        <v>20</v>
      </c>
      <c r="M864">
        <v>74651</v>
      </c>
      <c r="N864">
        <v>1784</v>
      </c>
    </row>
    <row r="865" spans="1:14" x14ac:dyDescent="0.35">
      <c r="A865" t="s">
        <v>912</v>
      </c>
      <c r="B865" t="s">
        <v>15</v>
      </c>
      <c r="C865" t="s">
        <v>16</v>
      </c>
      <c r="D865">
        <v>60</v>
      </c>
      <c r="E865" t="s">
        <v>891</v>
      </c>
      <c r="F865">
        <v>5419</v>
      </c>
      <c r="G865" t="s">
        <v>18</v>
      </c>
      <c r="H865">
        <v>27</v>
      </c>
      <c r="I865" t="s">
        <v>19</v>
      </c>
      <c r="J865">
        <v>2008</v>
      </c>
      <c r="K865">
        <v>2008</v>
      </c>
      <c r="L865" t="s">
        <v>20</v>
      </c>
      <c r="M865">
        <v>79373</v>
      </c>
      <c r="N865">
        <v>1784</v>
      </c>
    </row>
    <row r="866" spans="1:14" x14ac:dyDescent="0.35">
      <c r="A866" t="s">
        <v>913</v>
      </c>
      <c r="B866" t="s">
        <v>15</v>
      </c>
      <c r="C866" t="s">
        <v>16</v>
      </c>
      <c r="D866">
        <v>60</v>
      </c>
      <c r="E866" t="s">
        <v>891</v>
      </c>
      <c r="F866">
        <v>5419</v>
      </c>
      <c r="G866" t="s">
        <v>18</v>
      </c>
      <c r="H866">
        <v>27</v>
      </c>
      <c r="I866" t="s">
        <v>19</v>
      </c>
      <c r="J866">
        <v>2009</v>
      </c>
      <c r="K866">
        <v>2009</v>
      </c>
      <c r="L866" t="s">
        <v>20</v>
      </c>
      <c r="M866">
        <v>69016</v>
      </c>
      <c r="N866">
        <v>1784</v>
      </c>
    </row>
    <row r="867" spans="1:14" x14ac:dyDescent="0.35">
      <c r="A867" t="s">
        <v>914</v>
      </c>
      <c r="B867" t="s">
        <v>15</v>
      </c>
      <c r="C867" t="s">
        <v>16</v>
      </c>
      <c r="D867">
        <v>60</v>
      </c>
      <c r="E867" t="s">
        <v>891</v>
      </c>
      <c r="F867">
        <v>5419</v>
      </c>
      <c r="G867" t="s">
        <v>18</v>
      </c>
      <c r="H867">
        <v>27</v>
      </c>
      <c r="I867" t="s">
        <v>19</v>
      </c>
      <c r="J867">
        <v>2010</v>
      </c>
      <c r="K867">
        <v>2010</v>
      </c>
      <c r="L867" t="s">
        <v>20</v>
      </c>
      <c r="M867">
        <v>70136</v>
      </c>
      <c r="N867">
        <v>1784</v>
      </c>
    </row>
    <row r="868" spans="1:14" x14ac:dyDescent="0.35">
      <c r="A868" t="s">
        <v>915</v>
      </c>
      <c r="B868" t="s">
        <v>15</v>
      </c>
      <c r="C868" t="s">
        <v>16</v>
      </c>
      <c r="D868">
        <v>60</v>
      </c>
      <c r="E868" t="s">
        <v>891</v>
      </c>
      <c r="F868">
        <v>5419</v>
      </c>
      <c r="G868" t="s">
        <v>18</v>
      </c>
      <c r="H868">
        <v>27</v>
      </c>
      <c r="I868" t="s">
        <v>19</v>
      </c>
      <c r="J868">
        <v>2011</v>
      </c>
      <c r="K868">
        <v>2011</v>
      </c>
      <c r="L868" t="s">
        <v>20</v>
      </c>
      <c r="M868">
        <v>54783</v>
      </c>
      <c r="N868">
        <v>1784</v>
      </c>
    </row>
    <row r="869" spans="1:14" x14ac:dyDescent="0.35">
      <c r="A869" t="s">
        <v>916</v>
      </c>
      <c r="B869" t="s">
        <v>15</v>
      </c>
      <c r="C869" t="s">
        <v>16</v>
      </c>
      <c r="D869">
        <v>60</v>
      </c>
      <c r="E869" t="s">
        <v>891</v>
      </c>
      <c r="F869">
        <v>5419</v>
      </c>
      <c r="G869" t="s">
        <v>18</v>
      </c>
      <c r="H869">
        <v>27</v>
      </c>
      <c r="I869" t="s">
        <v>19</v>
      </c>
      <c r="J869">
        <v>2012</v>
      </c>
      <c r="K869">
        <v>2012</v>
      </c>
      <c r="L869" t="s">
        <v>20</v>
      </c>
      <c r="M869">
        <v>63968</v>
      </c>
      <c r="N869">
        <v>1784</v>
      </c>
    </row>
    <row r="870" spans="1:14" x14ac:dyDescent="0.35">
      <c r="A870" t="s">
        <v>917</v>
      </c>
      <c r="B870" t="s">
        <v>15</v>
      </c>
      <c r="C870" t="s">
        <v>16</v>
      </c>
      <c r="D870">
        <v>60</v>
      </c>
      <c r="E870" t="s">
        <v>891</v>
      </c>
      <c r="F870">
        <v>5419</v>
      </c>
      <c r="G870" t="s">
        <v>18</v>
      </c>
      <c r="H870">
        <v>27</v>
      </c>
      <c r="I870" t="s">
        <v>19</v>
      </c>
      <c r="J870">
        <v>2013</v>
      </c>
      <c r="K870">
        <v>2013</v>
      </c>
      <c r="L870" t="s">
        <v>20</v>
      </c>
      <c r="M870">
        <v>61615</v>
      </c>
      <c r="N870">
        <v>1784</v>
      </c>
    </row>
    <row r="871" spans="1:14" x14ac:dyDescent="0.35">
      <c r="A871" t="s">
        <v>918</v>
      </c>
      <c r="B871" t="s">
        <v>15</v>
      </c>
      <c r="C871" t="s">
        <v>16</v>
      </c>
      <c r="D871">
        <v>60</v>
      </c>
      <c r="E871" t="s">
        <v>891</v>
      </c>
      <c r="F871">
        <v>5419</v>
      </c>
      <c r="G871" t="s">
        <v>18</v>
      </c>
      <c r="H871">
        <v>27</v>
      </c>
      <c r="I871" t="s">
        <v>19</v>
      </c>
      <c r="J871">
        <v>2014</v>
      </c>
      <c r="K871">
        <v>2014</v>
      </c>
      <c r="L871" t="s">
        <v>20</v>
      </c>
      <c r="M871">
        <v>58935</v>
      </c>
      <c r="N871">
        <v>1784</v>
      </c>
    </row>
    <row r="872" spans="1:14" x14ac:dyDescent="0.35">
      <c r="A872" t="s">
        <v>919</v>
      </c>
      <c r="B872" t="s">
        <v>15</v>
      </c>
      <c r="C872" t="s">
        <v>16</v>
      </c>
      <c r="D872">
        <v>60</v>
      </c>
      <c r="E872" t="s">
        <v>891</v>
      </c>
      <c r="F872">
        <v>5419</v>
      </c>
      <c r="G872" t="s">
        <v>18</v>
      </c>
      <c r="H872">
        <v>27</v>
      </c>
      <c r="I872" t="s">
        <v>19</v>
      </c>
      <c r="J872">
        <v>2015</v>
      </c>
      <c r="K872">
        <v>2015</v>
      </c>
      <c r="L872" t="s">
        <v>20</v>
      </c>
      <c r="M872">
        <v>63986</v>
      </c>
      <c r="N872">
        <v>1784</v>
      </c>
    </row>
    <row r="873" spans="1:14" x14ac:dyDescent="0.35">
      <c r="A873" t="s">
        <v>920</v>
      </c>
      <c r="B873" t="s">
        <v>15</v>
      </c>
      <c r="C873" t="s">
        <v>16</v>
      </c>
      <c r="D873">
        <v>60</v>
      </c>
      <c r="E873" t="s">
        <v>891</v>
      </c>
      <c r="F873">
        <v>5419</v>
      </c>
      <c r="G873" t="s">
        <v>18</v>
      </c>
      <c r="H873">
        <v>27</v>
      </c>
      <c r="I873" t="s">
        <v>19</v>
      </c>
      <c r="J873">
        <v>2016</v>
      </c>
      <c r="K873">
        <v>2016</v>
      </c>
      <c r="L873" t="s">
        <v>20</v>
      </c>
      <c r="M873">
        <v>69302</v>
      </c>
      <c r="N873">
        <v>1784</v>
      </c>
    </row>
    <row r="874" spans="1:14" x14ac:dyDescent="0.35">
      <c r="A874" t="s">
        <v>921</v>
      </c>
      <c r="B874" t="s">
        <v>15</v>
      </c>
      <c r="C874" t="s">
        <v>16</v>
      </c>
      <c r="D874">
        <v>238</v>
      </c>
      <c r="E874" t="s">
        <v>922</v>
      </c>
      <c r="F874">
        <v>5419</v>
      </c>
      <c r="G874" t="s">
        <v>18</v>
      </c>
      <c r="H874">
        <v>27</v>
      </c>
      <c r="I874" t="s">
        <v>19</v>
      </c>
      <c r="J874">
        <v>1993</v>
      </c>
      <c r="K874">
        <v>1993</v>
      </c>
      <c r="L874" t="s">
        <v>20</v>
      </c>
      <c r="M874">
        <v>18519</v>
      </c>
      <c r="N874">
        <v>848</v>
      </c>
    </row>
    <row r="875" spans="1:14" x14ac:dyDescent="0.35">
      <c r="A875" t="s">
        <v>923</v>
      </c>
      <c r="B875" t="s">
        <v>15</v>
      </c>
      <c r="C875" t="s">
        <v>16</v>
      </c>
      <c r="D875">
        <v>238</v>
      </c>
      <c r="E875" t="s">
        <v>922</v>
      </c>
      <c r="F875">
        <v>5419</v>
      </c>
      <c r="G875" t="s">
        <v>18</v>
      </c>
      <c r="H875">
        <v>27</v>
      </c>
      <c r="I875" t="s">
        <v>19</v>
      </c>
      <c r="J875">
        <v>1994</v>
      </c>
      <c r="K875">
        <v>1994</v>
      </c>
      <c r="L875" t="s">
        <v>20</v>
      </c>
      <c r="M875">
        <v>18275</v>
      </c>
      <c r="N875">
        <v>848</v>
      </c>
    </row>
    <row r="876" spans="1:14" x14ac:dyDescent="0.35">
      <c r="A876" t="s">
        <v>924</v>
      </c>
      <c r="B876" t="s">
        <v>15</v>
      </c>
      <c r="C876" t="s">
        <v>16</v>
      </c>
      <c r="D876">
        <v>238</v>
      </c>
      <c r="E876" t="s">
        <v>922</v>
      </c>
      <c r="F876">
        <v>5419</v>
      </c>
      <c r="G876" t="s">
        <v>18</v>
      </c>
      <c r="H876">
        <v>27</v>
      </c>
      <c r="I876" t="s">
        <v>19</v>
      </c>
      <c r="J876">
        <v>1995</v>
      </c>
      <c r="K876">
        <v>1995</v>
      </c>
      <c r="L876" t="s">
        <v>20</v>
      </c>
      <c r="M876">
        <v>18644</v>
      </c>
      <c r="N876">
        <v>848</v>
      </c>
    </row>
    <row r="877" spans="1:14" x14ac:dyDescent="0.35">
      <c r="A877" t="s">
        <v>925</v>
      </c>
      <c r="B877" t="s">
        <v>15</v>
      </c>
      <c r="C877" t="s">
        <v>16</v>
      </c>
      <c r="D877">
        <v>238</v>
      </c>
      <c r="E877" t="s">
        <v>922</v>
      </c>
      <c r="F877">
        <v>5419</v>
      </c>
      <c r="G877" t="s">
        <v>18</v>
      </c>
      <c r="H877">
        <v>27</v>
      </c>
      <c r="I877" t="s">
        <v>19</v>
      </c>
      <c r="J877">
        <v>1996</v>
      </c>
      <c r="K877">
        <v>1996</v>
      </c>
      <c r="L877" t="s">
        <v>20</v>
      </c>
      <c r="M877">
        <v>18372</v>
      </c>
      <c r="N877">
        <v>848</v>
      </c>
    </row>
    <row r="878" spans="1:14" x14ac:dyDescent="0.35">
      <c r="A878" t="s">
        <v>926</v>
      </c>
      <c r="B878" t="s">
        <v>15</v>
      </c>
      <c r="C878" t="s">
        <v>16</v>
      </c>
      <c r="D878">
        <v>238</v>
      </c>
      <c r="E878" t="s">
        <v>922</v>
      </c>
      <c r="F878">
        <v>5419</v>
      </c>
      <c r="G878" t="s">
        <v>18</v>
      </c>
      <c r="H878">
        <v>27</v>
      </c>
      <c r="I878" t="s">
        <v>19</v>
      </c>
      <c r="J878">
        <v>1997</v>
      </c>
      <c r="K878">
        <v>1997</v>
      </c>
      <c r="L878" t="s">
        <v>20</v>
      </c>
      <c r="M878">
        <v>18462</v>
      </c>
      <c r="N878">
        <v>848</v>
      </c>
    </row>
    <row r="879" spans="1:14" x14ac:dyDescent="0.35">
      <c r="A879" t="s">
        <v>927</v>
      </c>
      <c r="B879" t="s">
        <v>15</v>
      </c>
      <c r="C879" t="s">
        <v>16</v>
      </c>
      <c r="D879">
        <v>238</v>
      </c>
      <c r="E879" t="s">
        <v>922</v>
      </c>
      <c r="F879">
        <v>5419</v>
      </c>
      <c r="G879" t="s">
        <v>18</v>
      </c>
      <c r="H879">
        <v>27</v>
      </c>
      <c r="I879" t="s">
        <v>19</v>
      </c>
      <c r="J879">
        <v>1998</v>
      </c>
      <c r="K879">
        <v>1998</v>
      </c>
      <c r="L879" t="s">
        <v>20</v>
      </c>
      <c r="M879">
        <v>18571</v>
      </c>
      <c r="N879">
        <v>848</v>
      </c>
    </row>
    <row r="880" spans="1:14" x14ac:dyDescent="0.35">
      <c r="A880" t="s">
        <v>928</v>
      </c>
      <c r="B880" t="s">
        <v>15</v>
      </c>
      <c r="C880" t="s">
        <v>16</v>
      </c>
      <c r="D880">
        <v>238</v>
      </c>
      <c r="E880" t="s">
        <v>922</v>
      </c>
      <c r="F880">
        <v>5419</v>
      </c>
      <c r="G880" t="s">
        <v>18</v>
      </c>
      <c r="H880">
        <v>27</v>
      </c>
      <c r="I880" t="s">
        <v>19</v>
      </c>
      <c r="J880">
        <v>1999</v>
      </c>
      <c r="K880">
        <v>1999</v>
      </c>
      <c r="L880" t="s">
        <v>20</v>
      </c>
      <c r="M880">
        <v>18667</v>
      </c>
      <c r="N880">
        <v>848</v>
      </c>
    </row>
    <row r="881" spans="1:14" x14ac:dyDescent="0.35">
      <c r="A881" t="s">
        <v>929</v>
      </c>
      <c r="B881" t="s">
        <v>15</v>
      </c>
      <c r="C881" t="s">
        <v>16</v>
      </c>
      <c r="D881">
        <v>238</v>
      </c>
      <c r="E881" t="s">
        <v>922</v>
      </c>
      <c r="F881">
        <v>5419</v>
      </c>
      <c r="G881" t="s">
        <v>18</v>
      </c>
      <c r="H881">
        <v>27</v>
      </c>
      <c r="I881" t="s">
        <v>19</v>
      </c>
      <c r="J881">
        <v>2000</v>
      </c>
      <c r="K881">
        <v>2000</v>
      </c>
      <c r="L881" t="s">
        <v>20</v>
      </c>
      <c r="M881">
        <v>18293</v>
      </c>
      <c r="N881">
        <v>848</v>
      </c>
    </row>
    <row r="882" spans="1:14" x14ac:dyDescent="0.35">
      <c r="A882" t="s">
        <v>930</v>
      </c>
      <c r="B882" t="s">
        <v>15</v>
      </c>
      <c r="C882" t="s">
        <v>16</v>
      </c>
      <c r="D882">
        <v>238</v>
      </c>
      <c r="E882" t="s">
        <v>922</v>
      </c>
      <c r="F882">
        <v>5419</v>
      </c>
      <c r="G882" t="s">
        <v>18</v>
      </c>
      <c r="H882">
        <v>27</v>
      </c>
      <c r="I882" t="s">
        <v>19</v>
      </c>
      <c r="J882">
        <v>2001</v>
      </c>
      <c r="K882">
        <v>2001</v>
      </c>
      <c r="L882" t="s">
        <v>20</v>
      </c>
      <c r="M882">
        <v>18427</v>
      </c>
      <c r="N882">
        <v>848</v>
      </c>
    </row>
    <row r="883" spans="1:14" x14ac:dyDescent="0.35">
      <c r="A883" t="s">
        <v>931</v>
      </c>
      <c r="B883" t="s">
        <v>15</v>
      </c>
      <c r="C883" t="s">
        <v>16</v>
      </c>
      <c r="D883">
        <v>238</v>
      </c>
      <c r="E883" t="s">
        <v>922</v>
      </c>
      <c r="F883">
        <v>5419</v>
      </c>
      <c r="G883" t="s">
        <v>18</v>
      </c>
      <c r="H883">
        <v>27</v>
      </c>
      <c r="I883" t="s">
        <v>19</v>
      </c>
      <c r="J883">
        <v>2002</v>
      </c>
      <c r="K883">
        <v>2002</v>
      </c>
      <c r="L883" t="s">
        <v>20</v>
      </c>
      <c r="M883">
        <v>20016</v>
      </c>
      <c r="N883">
        <v>848</v>
      </c>
    </row>
    <row r="884" spans="1:14" x14ac:dyDescent="0.35">
      <c r="A884" t="s">
        <v>932</v>
      </c>
      <c r="B884" t="s">
        <v>15</v>
      </c>
      <c r="C884" t="s">
        <v>16</v>
      </c>
      <c r="D884">
        <v>238</v>
      </c>
      <c r="E884" t="s">
        <v>922</v>
      </c>
      <c r="F884">
        <v>5419</v>
      </c>
      <c r="G884" t="s">
        <v>18</v>
      </c>
      <c r="H884">
        <v>27</v>
      </c>
      <c r="I884" t="s">
        <v>19</v>
      </c>
      <c r="J884">
        <v>2004</v>
      </c>
      <c r="K884">
        <v>2004</v>
      </c>
      <c r="L884" t="s">
        <v>20</v>
      </c>
      <c r="M884">
        <v>18462</v>
      </c>
      <c r="N884">
        <v>848</v>
      </c>
    </row>
    <row r="885" spans="1:14" x14ac:dyDescent="0.35">
      <c r="A885" t="s">
        <v>933</v>
      </c>
      <c r="B885" t="s">
        <v>15</v>
      </c>
      <c r="C885" t="s">
        <v>16</v>
      </c>
      <c r="D885">
        <v>238</v>
      </c>
      <c r="E885" t="s">
        <v>922</v>
      </c>
      <c r="F885">
        <v>5419</v>
      </c>
      <c r="G885" t="s">
        <v>18</v>
      </c>
      <c r="H885">
        <v>27</v>
      </c>
      <c r="I885" t="s">
        <v>19</v>
      </c>
      <c r="J885">
        <v>2005</v>
      </c>
      <c r="K885">
        <v>2005</v>
      </c>
      <c r="L885" t="s">
        <v>20</v>
      </c>
      <c r="M885">
        <v>18016</v>
      </c>
      <c r="N885">
        <v>848</v>
      </c>
    </row>
    <row r="886" spans="1:14" x14ac:dyDescent="0.35">
      <c r="A886" t="s">
        <v>934</v>
      </c>
      <c r="B886" t="s">
        <v>15</v>
      </c>
      <c r="C886" t="s">
        <v>16</v>
      </c>
      <c r="D886">
        <v>238</v>
      </c>
      <c r="E886" t="s">
        <v>922</v>
      </c>
      <c r="F886">
        <v>5419</v>
      </c>
      <c r="G886" t="s">
        <v>18</v>
      </c>
      <c r="H886">
        <v>27</v>
      </c>
      <c r="I886" t="s">
        <v>19</v>
      </c>
      <c r="J886">
        <v>2006</v>
      </c>
      <c r="K886">
        <v>2006</v>
      </c>
      <c r="L886" t="s">
        <v>20</v>
      </c>
      <c r="M886">
        <v>17511</v>
      </c>
      <c r="N886">
        <v>848</v>
      </c>
    </row>
    <row r="887" spans="1:14" x14ac:dyDescent="0.35">
      <c r="A887" t="s">
        <v>935</v>
      </c>
      <c r="B887" t="s">
        <v>15</v>
      </c>
      <c r="C887" t="s">
        <v>16</v>
      </c>
      <c r="D887">
        <v>238</v>
      </c>
      <c r="E887" t="s">
        <v>922</v>
      </c>
      <c r="F887">
        <v>5419</v>
      </c>
      <c r="G887" t="s">
        <v>18</v>
      </c>
      <c r="H887">
        <v>27</v>
      </c>
      <c r="I887" t="s">
        <v>19</v>
      </c>
      <c r="J887">
        <v>2007</v>
      </c>
      <c r="K887">
        <v>2007</v>
      </c>
      <c r="L887" t="s">
        <v>20</v>
      </c>
      <c r="M887">
        <v>18433</v>
      </c>
      <c r="N887">
        <v>848</v>
      </c>
    </row>
    <row r="888" spans="1:14" x14ac:dyDescent="0.35">
      <c r="A888" t="s">
        <v>936</v>
      </c>
      <c r="B888" t="s">
        <v>15</v>
      </c>
      <c r="C888" t="s">
        <v>16</v>
      </c>
      <c r="D888">
        <v>238</v>
      </c>
      <c r="E888" t="s">
        <v>922</v>
      </c>
      <c r="F888">
        <v>5419</v>
      </c>
      <c r="G888" t="s">
        <v>18</v>
      </c>
      <c r="H888">
        <v>27</v>
      </c>
      <c r="I888" t="s">
        <v>19</v>
      </c>
      <c r="J888">
        <v>2008</v>
      </c>
      <c r="K888">
        <v>2008</v>
      </c>
      <c r="L888" t="s">
        <v>20</v>
      </c>
      <c r="M888">
        <v>20629</v>
      </c>
      <c r="N888">
        <v>848</v>
      </c>
    </row>
    <row r="889" spans="1:14" x14ac:dyDescent="0.35">
      <c r="A889" t="s">
        <v>937</v>
      </c>
      <c r="B889" t="s">
        <v>15</v>
      </c>
      <c r="C889" t="s">
        <v>16</v>
      </c>
      <c r="D889">
        <v>238</v>
      </c>
      <c r="E889" t="s">
        <v>922</v>
      </c>
      <c r="F889">
        <v>5419</v>
      </c>
      <c r="G889" t="s">
        <v>18</v>
      </c>
      <c r="H889">
        <v>27</v>
      </c>
      <c r="I889" t="s">
        <v>19</v>
      </c>
      <c r="J889">
        <v>2009</v>
      </c>
      <c r="K889">
        <v>2009</v>
      </c>
      <c r="L889" t="s">
        <v>20</v>
      </c>
      <c r="M889">
        <v>21602</v>
      </c>
      <c r="N889">
        <v>848</v>
      </c>
    </row>
    <row r="890" spans="1:14" x14ac:dyDescent="0.35">
      <c r="A890" t="s">
        <v>938</v>
      </c>
      <c r="B890" t="s">
        <v>15</v>
      </c>
      <c r="C890" t="s">
        <v>16</v>
      </c>
      <c r="D890">
        <v>238</v>
      </c>
      <c r="E890" t="s">
        <v>922</v>
      </c>
      <c r="F890">
        <v>5419</v>
      </c>
      <c r="G890" t="s">
        <v>18</v>
      </c>
      <c r="H890">
        <v>27</v>
      </c>
      <c r="I890" t="s">
        <v>19</v>
      </c>
      <c r="J890">
        <v>2010</v>
      </c>
      <c r="K890">
        <v>2010</v>
      </c>
      <c r="L890" t="s">
        <v>20</v>
      </c>
      <c r="M890">
        <v>30273</v>
      </c>
      <c r="N890">
        <v>848</v>
      </c>
    </row>
    <row r="891" spans="1:14" x14ac:dyDescent="0.35">
      <c r="A891" t="s">
        <v>939</v>
      </c>
      <c r="B891" t="s">
        <v>15</v>
      </c>
      <c r="C891" t="s">
        <v>16</v>
      </c>
      <c r="D891">
        <v>238</v>
      </c>
      <c r="E891" t="s">
        <v>922</v>
      </c>
      <c r="F891">
        <v>5419</v>
      </c>
      <c r="G891" t="s">
        <v>18</v>
      </c>
      <c r="H891">
        <v>27</v>
      </c>
      <c r="I891" t="s">
        <v>19</v>
      </c>
      <c r="J891">
        <v>2011</v>
      </c>
      <c r="K891">
        <v>2011</v>
      </c>
      <c r="L891" t="s">
        <v>20</v>
      </c>
      <c r="M891">
        <v>28914</v>
      </c>
      <c r="N891">
        <v>848</v>
      </c>
    </row>
    <row r="892" spans="1:14" x14ac:dyDescent="0.35">
      <c r="A892" t="s">
        <v>940</v>
      </c>
      <c r="B892" t="s">
        <v>15</v>
      </c>
      <c r="C892" t="s">
        <v>16</v>
      </c>
      <c r="D892">
        <v>238</v>
      </c>
      <c r="E892" t="s">
        <v>922</v>
      </c>
      <c r="F892">
        <v>5419</v>
      </c>
      <c r="G892" t="s">
        <v>18</v>
      </c>
      <c r="H892">
        <v>27</v>
      </c>
      <c r="I892" t="s">
        <v>19</v>
      </c>
      <c r="J892">
        <v>2012</v>
      </c>
      <c r="K892">
        <v>2012</v>
      </c>
      <c r="L892" t="s">
        <v>20</v>
      </c>
      <c r="M892">
        <v>28950</v>
      </c>
      <c r="N892">
        <v>848</v>
      </c>
    </row>
    <row r="893" spans="1:14" x14ac:dyDescent="0.35">
      <c r="A893" t="s">
        <v>941</v>
      </c>
      <c r="B893" t="s">
        <v>15</v>
      </c>
      <c r="C893" t="s">
        <v>16</v>
      </c>
      <c r="D893">
        <v>238</v>
      </c>
      <c r="E893" t="s">
        <v>922</v>
      </c>
      <c r="F893">
        <v>5419</v>
      </c>
      <c r="G893" t="s">
        <v>18</v>
      </c>
      <c r="H893">
        <v>27</v>
      </c>
      <c r="I893" t="s">
        <v>19</v>
      </c>
      <c r="J893">
        <v>2013</v>
      </c>
      <c r="K893">
        <v>2013</v>
      </c>
      <c r="L893" t="s">
        <v>20</v>
      </c>
      <c r="M893">
        <v>27310</v>
      </c>
      <c r="N893">
        <v>848</v>
      </c>
    </row>
    <row r="894" spans="1:14" x14ac:dyDescent="0.35">
      <c r="A894" t="s">
        <v>942</v>
      </c>
      <c r="B894" t="s">
        <v>15</v>
      </c>
      <c r="C894" t="s">
        <v>16</v>
      </c>
      <c r="D894">
        <v>238</v>
      </c>
      <c r="E894" t="s">
        <v>922</v>
      </c>
      <c r="F894">
        <v>5419</v>
      </c>
      <c r="G894" t="s">
        <v>18</v>
      </c>
      <c r="H894">
        <v>27</v>
      </c>
      <c r="I894" t="s">
        <v>19</v>
      </c>
      <c r="J894">
        <v>2014</v>
      </c>
      <c r="K894">
        <v>2014</v>
      </c>
      <c r="L894" t="s">
        <v>20</v>
      </c>
      <c r="M894">
        <v>28148</v>
      </c>
      <c r="N894">
        <v>848</v>
      </c>
    </row>
    <row r="895" spans="1:14" x14ac:dyDescent="0.35">
      <c r="A895" t="s">
        <v>943</v>
      </c>
      <c r="B895" t="s">
        <v>15</v>
      </c>
      <c r="C895" t="s">
        <v>16</v>
      </c>
      <c r="D895">
        <v>238</v>
      </c>
      <c r="E895" t="s">
        <v>922</v>
      </c>
      <c r="F895">
        <v>5419</v>
      </c>
      <c r="G895" t="s">
        <v>18</v>
      </c>
      <c r="H895">
        <v>27</v>
      </c>
      <c r="I895" t="s">
        <v>19</v>
      </c>
      <c r="J895">
        <v>2015</v>
      </c>
      <c r="K895">
        <v>2015</v>
      </c>
      <c r="L895" t="s">
        <v>20</v>
      </c>
      <c r="M895">
        <v>30752</v>
      </c>
      <c r="N895">
        <v>848</v>
      </c>
    </row>
    <row r="896" spans="1:14" x14ac:dyDescent="0.35">
      <c r="A896" t="s">
        <v>944</v>
      </c>
      <c r="B896" t="s">
        <v>15</v>
      </c>
      <c r="C896" t="s">
        <v>16</v>
      </c>
      <c r="D896">
        <v>238</v>
      </c>
      <c r="E896" t="s">
        <v>922</v>
      </c>
      <c r="F896">
        <v>5419</v>
      </c>
      <c r="G896" t="s">
        <v>18</v>
      </c>
      <c r="H896">
        <v>27</v>
      </c>
      <c r="I896" t="s">
        <v>19</v>
      </c>
      <c r="J896">
        <v>2016</v>
      </c>
      <c r="K896">
        <v>2016</v>
      </c>
      <c r="L896" t="s">
        <v>20</v>
      </c>
      <c r="M896">
        <v>28089</v>
      </c>
      <c r="N896">
        <v>848</v>
      </c>
    </row>
    <row r="897" spans="1:14" x14ac:dyDescent="0.35">
      <c r="A897" t="s">
        <v>945</v>
      </c>
      <c r="B897" t="s">
        <v>15</v>
      </c>
      <c r="C897" t="s">
        <v>16</v>
      </c>
      <c r="D897">
        <v>66</v>
      </c>
      <c r="E897" t="s">
        <v>946</v>
      </c>
      <c r="F897">
        <v>5419</v>
      </c>
      <c r="G897" t="s">
        <v>18</v>
      </c>
      <c r="H897">
        <v>27</v>
      </c>
      <c r="I897" t="s">
        <v>19</v>
      </c>
      <c r="J897">
        <v>1985</v>
      </c>
      <c r="K897">
        <v>1985</v>
      </c>
      <c r="L897" t="s">
        <v>20</v>
      </c>
      <c r="M897">
        <v>23663</v>
      </c>
      <c r="N897">
        <v>2592</v>
      </c>
    </row>
    <row r="898" spans="1:14" x14ac:dyDescent="0.35">
      <c r="A898" t="s">
        <v>947</v>
      </c>
      <c r="B898" t="s">
        <v>15</v>
      </c>
      <c r="C898" t="s">
        <v>16</v>
      </c>
      <c r="D898">
        <v>66</v>
      </c>
      <c r="E898" t="s">
        <v>946</v>
      </c>
      <c r="F898">
        <v>5419</v>
      </c>
      <c r="G898" t="s">
        <v>18</v>
      </c>
      <c r="H898">
        <v>27</v>
      </c>
      <c r="I898" t="s">
        <v>19</v>
      </c>
      <c r="J898">
        <v>1986</v>
      </c>
      <c r="K898">
        <v>1986</v>
      </c>
      <c r="L898" t="s">
        <v>20</v>
      </c>
      <c r="M898">
        <v>21215</v>
      </c>
      <c r="N898">
        <v>2592</v>
      </c>
    </row>
    <row r="899" spans="1:14" x14ac:dyDescent="0.35">
      <c r="A899" t="s">
        <v>948</v>
      </c>
      <c r="B899" t="s">
        <v>15</v>
      </c>
      <c r="C899" t="s">
        <v>16</v>
      </c>
      <c r="D899">
        <v>66</v>
      </c>
      <c r="E899" t="s">
        <v>946</v>
      </c>
      <c r="F899">
        <v>5419</v>
      </c>
      <c r="G899" t="s">
        <v>18</v>
      </c>
      <c r="H899">
        <v>27</v>
      </c>
      <c r="I899" t="s">
        <v>19</v>
      </c>
      <c r="J899">
        <v>1987</v>
      </c>
      <c r="K899">
        <v>1987</v>
      </c>
      <c r="L899" t="s">
        <v>20</v>
      </c>
      <c r="M899">
        <v>19201</v>
      </c>
      <c r="N899">
        <v>2592</v>
      </c>
    </row>
    <row r="900" spans="1:14" x14ac:dyDescent="0.35">
      <c r="A900" t="s">
        <v>949</v>
      </c>
      <c r="B900" t="s">
        <v>15</v>
      </c>
      <c r="C900" t="s">
        <v>16</v>
      </c>
      <c r="D900">
        <v>66</v>
      </c>
      <c r="E900" t="s">
        <v>946</v>
      </c>
      <c r="F900">
        <v>5419</v>
      </c>
      <c r="G900" t="s">
        <v>18</v>
      </c>
      <c r="H900">
        <v>27</v>
      </c>
      <c r="I900" t="s">
        <v>19</v>
      </c>
      <c r="J900">
        <v>1989</v>
      </c>
      <c r="K900">
        <v>1989</v>
      </c>
      <c r="L900" t="s">
        <v>20</v>
      </c>
      <c r="M900">
        <v>24209</v>
      </c>
      <c r="N900">
        <v>2592</v>
      </c>
    </row>
    <row r="901" spans="1:14" x14ac:dyDescent="0.35">
      <c r="A901" t="s">
        <v>950</v>
      </c>
      <c r="B901" t="s">
        <v>15</v>
      </c>
      <c r="C901" t="s">
        <v>16</v>
      </c>
      <c r="D901">
        <v>66</v>
      </c>
      <c r="E901" t="s">
        <v>946</v>
      </c>
      <c r="F901">
        <v>5419</v>
      </c>
      <c r="G901" t="s">
        <v>18</v>
      </c>
      <c r="H901">
        <v>27</v>
      </c>
      <c r="I901" t="s">
        <v>19</v>
      </c>
      <c r="J901">
        <v>1990</v>
      </c>
      <c r="K901">
        <v>1990</v>
      </c>
      <c r="L901" t="s">
        <v>20</v>
      </c>
      <c r="M901">
        <v>21860</v>
      </c>
      <c r="N901">
        <v>2592</v>
      </c>
    </row>
    <row r="902" spans="1:14" x14ac:dyDescent="0.35">
      <c r="A902" t="s">
        <v>951</v>
      </c>
      <c r="B902" t="s">
        <v>15</v>
      </c>
      <c r="C902" t="s">
        <v>16</v>
      </c>
      <c r="D902">
        <v>66</v>
      </c>
      <c r="E902" t="s">
        <v>946</v>
      </c>
      <c r="F902">
        <v>5419</v>
      </c>
      <c r="G902" t="s">
        <v>18</v>
      </c>
      <c r="H902">
        <v>27</v>
      </c>
      <c r="I902" t="s">
        <v>19</v>
      </c>
      <c r="J902">
        <v>1991</v>
      </c>
      <c r="K902">
        <v>1991</v>
      </c>
      <c r="L902" t="s">
        <v>20</v>
      </c>
      <c r="M902">
        <v>23537</v>
      </c>
      <c r="N902">
        <v>2592</v>
      </c>
    </row>
    <row r="903" spans="1:14" x14ac:dyDescent="0.35">
      <c r="A903" t="s">
        <v>952</v>
      </c>
      <c r="B903" t="s">
        <v>15</v>
      </c>
      <c r="C903" t="s">
        <v>16</v>
      </c>
      <c r="D903">
        <v>66</v>
      </c>
      <c r="E903" t="s">
        <v>946</v>
      </c>
      <c r="F903">
        <v>5419</v>
      </c>
      <c r="G903" t="s">
        <v>18</v>
      </c>
      <c r="H903">
        <v>27</v>
      </c>
      <c r="I903" t="s">
        <v>19</v>
      </c>
      <c r="J903">
        <v>1992</v>
      </c>
      <c r="K903">
        <v>1992</v>
      </c>
      <c r="L903" t="s">
        <v>20</v>
      </c>
      <c r="M903">
        <v>21530</v>
      </c>
      <c r="N903">
        <v>2592</v>
      </c>
    </row>
    <row r="904" spans="1:14" x14ac:dyDescent="0.35">
      <c r="A904" t="s">
        <v>953</v>
      </c>
      <c r="B904" t="s">
        <v>15</v>
      </c>
      <c r="C904" t="s">
        <v>16</v>
      </c>
      <c r="D904">
        <v>66</v>
      </c>
      <c r="E904" t="s">
        <v>946</v>
      </c>
      <c r="F904">
        <v>5419</v>
      </c>
      <c r="G904" t="s">
        <v>18</v>
      </c>
      <c r="H904">
        <v>27</v>
      </c>
      <c r="I904" t="s">
        <v>19</v>
      </c>
      <c r="J904">
        <v>1993</v>
      </c>
      <c r="K904">
        <v>1993</v>
      </c>
      <c r="L904" t="s">
        <v>20</v>
      </c>
      <c r="M904">
        <v>23559</v>
      </c>
      <c r="N904">
        <v>2592</v>
      </c>
    </row>
    <row r="905" spans="1:14" x14ac:dyDescent="0.35">
      <c r="A905" t="s">
        <v>954</v>
      </c>
      <c r="B905" t="s">
        <v>15</v>
      </c>
      <c r="C905" t="s">
        <v>16</v>
      </c>
      <c r="D905">
        <v>66</v>
      </c>
      <c r="E905" t="s">
        <v>946</v>
      </c>
      <c r="F905">
        <v>5419</v>
      </c>
      <c r="G905" t="s">
        <v>18</v>
      </c>
      <c r="H905">
        <v>27</v>
      </c>
      <c r="I905" t="s">
        <v>19</v>
      </c>
      <c r="J905">
        <v>1994</v>
      </c>
      <c r="K905">
        <v>1994</v>
      </c>
      <c r="L905" t="s">
        <v>20</v>
      </c>
      <c r="M905">
        <v>22910</v>
      </c>
      <c r="N905">
        <v>2592</v>
      </c>
    </row>
    <row r="906" spans="1:14" x14ac:dyDescent="0.35">
      <c r="A906" t="s">
        <v>955</v>
      </c>
      <c r="B906" t="s">
        <v>15</v>
      </c>
      <c r="C906" t="s">
        <v>16</v>
      </c>
      <c r="D906">
        <v>66</v>
      </c>
      <c r="E906" t="s">
        <v>946</v>
      </c>
      <c r="F906">
        <v>5419</v>
      </c>
      <c r="G906" t="s">
        <v>18</v>
      </c>
      <c r="H906">
        <v>27</v>
      </c>
      <c r="I906" t="s">
        <v>19</v>
      </c>
      <c r="J906">
        <v>1995</v>
      </c>
      <c r="K906">
        <v>1995</v>
      </c>
      <c r="L906" t="s">
        <v>20</v>
      </c>
      <c r="M906">
        <v>26559</v>
      </c>
      <c r="N906">
        <v>2592</v>
      </c>
    </row>
    <row r="907" spans="1:14" x14ac:dyDescent="0.35">
      <c r="A907" t="s">
        <v>956</v>
      </c>
      <c r="B907" t="s">
        <v>15</v>
      </c>
      <c r="C907" t="s">
        <v>16</v>
      </c>
      <c r="D907">
        <v>66</v>
      </c>
      <c r="E907" t="s">
        <v>946</v>
      </c>
      <c r="F907">
        <v>5419</v>
      </c>
      <c r="G907" t="s">
        <v>18</v>
      </c>
      <c r="H907">
        <v>27</v>
      </c>
      <c r="I907" t="s">
        <v>19</v>
      </c>
      <c r="J907">
        <v>1996</v>
      </c>
      <c r="K907">
        <v>1996</v>
      </c>
      <c r="L907" t="s">
        <v>20</v>
      </c>
      <c r="M907">
        <v>20652</v>
      </c>
      <c r="N907">
        <v>2592</v>
      </c>
    </row>
    <row r="908" spans="1:14" x14ac:dyDescent="0.35">
      <c r="A908" t="s">
        <v>957</v>
      </c>
      <c r="B908" t="s">
        <v>15</v>
      </c>
      <c r="C908" t="s">
        <v>16</v>
      </c>
      <c r="D908">
        <v>66</v>
      </c>
      <c r="E908" t="s">
        <v>946</v>
      </c>
      <c r="F908">
        <v>5419</v>
      </c>
      <c r="G908" t="s">
        <v>18</v>
      </c>
      <c r="H908">
        <v>27</v>
      </c>
      <c r="I908" t="s">
        <v>19</v>
      </c>
      <c r="J908">
        <v>1997</v>
      </c>
      <c r="K908">
        <v>1997</v>
      </c>
      <c r="L908" t="s">
        <v>20</v>
      </c>
      <c r="M908">
        <v>21731</v>
      </c>
      <c r="N908">
        <v>2592</v>
      </c>
    </row>
    <row r="909" spans="1:14" x14ac:dyDescent="0.35">
      <c r="A909" t="s">
        <v>958</v>
      </c>
      <c r="B909" t="s">
        <v>15</v>
      </c>
      <c r="C909" t="s">
        <v>16</v>
      </c>
      <c r="D909">
        <v>66</v>
      </c>
      <c r="E909" t="s">
        <v>946</v>
      </c>
      <c r="F909">
        <v>5419</v>
      </c>
      <c r="G909" t="s">
        <v>18</v>
      </c>
      <c r="H909">
        <v>27</v>
      </c>
      <c r="I909" t="s">
        <v>19</v>
      </c>
      <c r="J909">
        <v>1998</v>
      </c>
      <c r="K909">
        <v>1998</v>
      </c>
      <c r="L909" t="s">
        <v>20</v>
      </c>
      <c r="M909">
        <v>6365</v>
      </c>
      <c r="N909">
        <v>2592</v>
      </c>
    </row>
    <row r="910" spans="1:14" x14ac:dyDescent="0.35">
      <c r="A910" t="s">
        <v>959</v>
      </c>
      <c r="B910" t="s">
        <v>15</v>
      </c>
      <c r="C910" t="s">
        <v>16</v>
      </c>
      <c r="D910">
        <v>66</v>
      </c>
      <c r="E910" t="s">
        <v>946</v>
      </c>
      <c r="F910">
        <v>5419</v>
      </c>
      <c r="G910" t="s">
        <v>18</v>
      </c>
      <c r="H910">
        <v>27</v>
      </c>
      <c r="I910" t="s">
        <v>19</v>
      </c>
      <c r="J910">
        <v>1999</v>
      </c>
      <c r="K910">
        <v>1999</v>
      </c>
      <c r="L910" t="s">
        <v>20</v>
      </c>
      <c r="M910">
        <v>27633</v>
      </c>
      <c r="N910">
        <v>2592</v>
      </c>
    </row>
    <row r="911" spans="1:14" x14ac:dyDescent="0.35">
      <c r="A911" t="s">
        <v>960</v>
      </c>
      <c r="B911" t="s">
        <v>15</v>
      </c>
      <c r="C911" t="s">
        <v>16</v>
      </c>
      <c r="D911">
        <v>66</v>
      </c>
      <c r="E911" t="s">
        <v>946</v>
      </c>
      <c r="F911">
        <v>5419</v>
      </c>
      <c r="G911" t="s">
        <v>18</v>
      </c>
      <c r="H911">
        <v>27</v>
      </c>
      <c r="I911" t="s">
        <v>19</v>
      </c>
      <c r="J911">
        <v>2000</v>
      </c>
      <c r="K911">
        <v>2000</v>
      </c>
      <c r="L911" t="s">
        <v>20</v>
      </c>
      <c r="M911">
        <v>24976</v>
      </c>
      <c r="N911">
        <v>2592</v>
      </c>
    </row>
    <row r="912" spans="1:14" x14ac:dyDescent="0.35">
      <c r="A912" t="s">
        <v>961</v>
      </c>
      <c r="B912" t="s">
        <v>15</v>
      </c>
      <c r="C912" t="s">
        <v>16</v>
      </c>
      <c r="D912">
        <v>66</v>
      </c>
      <c r="E912" t="s">
        <v>946</v>
      </c>
      <c r="F912">
        <v>5419</v>
      </c>
      <c r="G912" t="s">
        <v>18</v>
      </c>
      <c r="H912">
        <v>27</v>
      </c>
      <c r="I912" t="s">
        <v>19</v>
      </c>
      <c r="J912">
        <v>2001</v>
      </c>
      <c r="K912">
        <v>2001</v>
      </c>
      <c r="L912" t="s">
        <v>20</v>
      </c>
      <c r="M912">
        <v>24353</v>
      </c>
      <c r="N912">
        <v>2592</v>
      </c>
    </row>
    <row r="913" spans="1:14" x14ac:dyDescent="0.35">
      <c r="A913" t="s">
        <v>962</v>
      </c>
      <c r="B913" t="s">
        <v>15</v>
      </c>
      <c r="C913" t="s">
        <v>16</v>
      </c>
      <c r="D913">
        <v>66</v>
      </c>
      <c r="E913" t="s">
        <v>946</v>
      </c>
      <c r="F913">
        <v>5419</v>
      </c>
      <c r="G913" t="s">
        <v>18</v>
      </c>
      <c r="H913">
        <v>27</v>
      </c>
      <c r="I913" t="s">
        <v>19</v>
      </c>
      <c r="J913">
        <v>2002</v>
      </c>
      <c r="K913">
        <v>2002</v>
      </c>
      <c r="L913" t="s">
        <v>20</v>
      </c>
      <c r="M913">
        <v>24249</v>
      </c>
      <c r="N913">
        <v>2592</v>
      </c>
    </row>
    <row r="914" spans="1:14" x14ac:dyDescent="0.35">
      <c r="A914" t="s">
        <v>963</v>
      </c>
      <c r="B914" t="s">
        <v>15</v>
      </c>
      <c r="C914" t="s">
        <v>16</v>
      </c>
      <c r="D914">
        <v>66</v>
      </c>
      <c r="E914" t="s">
        <v>946</v>
      </c>
      <c r="F914">
        <v>5419</v>
      </c>
      <c r="G914" t="s">
        <v>18</v>
      </c>
      <c r="H914">
        <v>27</v>
      </c>
      <c r="I914" t="s">
        <v>19</v>
      </c>
      <c r="J914">
        <v>2004</v>
      </c>
      <c r="K914">
        <v>2004</v>
      </c>
      <c r="L914" t="s">
        <v>20</v>
      </c>
      <c r="M914">
        <v>23538</v>
      </c>
      <c r="N914">
        <v>2592</v>
      </c>
    </row>
    <row r="915" spans="1:14" x14ac:dyDescent="0.35">
      <c r="A915" t="s">
        <v>964</v>
      </c>
      <c r="B915" t="s">
        <v>15</v>
      </c>
      <c r="C915" t="s">
        <v>16</v>
      </c>
      <c r="D915">
        <v>66</v>
      </c>
      <c r="E915" t="s">
        <v>946</v>
      </c>
      <c r="F915">
        <v>5419</v>
      </c>
      <c r="G915" t="s">
        <v>18</v>
      </c>
      <c r="H915">
        <v>27</v>
      </c>
      <c r="I915" t="s">
        <v>19</v>
      </c>
      <c r="J915">
        <v>2005</v>
      </c>
      <c r="K915">
        <v>2005</v>
      </c>
      <c r="L915" t="s">
        <v>20</v>
      </c>
      <c r="M915">
        <v>23733</v>
      </c>
      <c r="N915">
        <v>2592</v>
      </c>
    </row>
    <row r="916" spans="1:14" x14ac:dyDescent="0.35">
      <c r="A916" t="s">
        <v>965</v>
      </c>
      <c r="B916" t="s">
        <v>15</v>
      </c>
      <c r="C916" t="s">
        <v>16</v>
      </c>
      <c r="D916">
        <v>66</v>
      </c>
      <c r="E916" t="s">
        <v>946</v>
      </c>
      <c r="F916">
        <v>5419</v>
      </c>
      <c r="G916" t="s">
        <v>18</v>
      </c>
      <c r="H916">
        <v>27</v>
      </c>
      <c r="I916" t="s">
        <v>19</v>
      </c>
      <c r="J916">
        <v>2006</v>
      </c>
      <c r="K916">
        <v>2006</v>
      </c>
      <c r="L916" t="s">
        <v>20</v>
      </c>
      <c r="M916">
        <v>23149</v>
      </c>
      <c r="N916">
        <v>2592</v>
      </c>
    </row>
    <row r="917" spans="1:14" x14ac:dyDescent="0.35">
      <c r="A917" t="s">
        <v>966</v>
      </c>
      <c r="B917" t="s">
        <v>15</v>
      </c>
      <c r="C917" t="s">
        <v>16</v>
      </c>
      <c r="D917">
        <v>66</v>
      </c>
      <c r="E917" t="s">
        <v>946</v>
      </c>
      <c r="F917">
        <v>5419</v>
      </c>
      <c r="G917" t="s">
        <v>18</v>
      </c>
      <c r="H917">
        <v>27</v>
      </c>
      <c r="I917" t="s">
        <v>19</v>
      </c>
      <c r="J917">
        <v>2007</v>
      </c>
      <c r="K917">
        <v>2007</v>
      </c>
      <c r="L917" t="s">
        <v>20</v>
      </c>
      <c r="M917">
        <v>26735</v>
      </c>
      <c r="N917">
        <v>2592</v>
      </c>
    </row>
    <row r="918" spans="1:14" x14ac:dyDescent="0.35">
      <c r="A918" t="s">
        <v>967</v>
      </c>
      <c r="B918" t="s">
        <v>15</v>
      </c>
      <c r="C918" t="s">
        <v>16</v>
      </c>
      <c r="D918">
        <v>66</v>
      </c>
      <c r="E918" t="s">
        <v>946</v>
      </c>
      <c r="F918">
        <v>5419</v>
      </c>
      <c r="G918" t="s">
        <v>18</v>
      </c>
      <c r="H918">
        <v>27</v>
      </c>
      <c r="I918" t="s">
        <v>19</v>
      </c>
      <c r="J918">
        <v>2008</v>
      </c>
      <c r="K918">
        <v>2008</v>
      </c>
      <c r="L918" t="s">
        <v>20</v>
      </c>
      <c r="M918">
        <v>22838</v>
      </c>
      <c r="N918">
        <v>2592</v>
      </c>
    </row>
    <row r="919" spans="1:14" x14ac:dyDescent="0.35">
      <c r="A919" t="s">
        <v>968</v>
      </c>
      <c r="B919" t="s">
        <v>15</v>
      </c>
      <c r="C919" t="s">
        <v>16</v>
      </c>
      <c r="D919">
        <v>66</v>
      </c>
      <c r="E919" t="s">
        <v>946</v>
      </c>
      <c r="F919">
        <v>5419</v>
      </c>
      <c r="G919" t="s">
        <v>18</v>
      </c>
      <c r="H919">
        <v>27</v>
      </c>
      <c r="I919" t="s">
        <v>19</v>
      </c>
      <c r="J919">
        <v>2009</v>
      </c>
      <c r="K919">
        <v>2009</v>
      </c>
      <c r="L919" t="s">
        <v>20</v>
      </c>
      <c r="M919">
        <v>28705</v>
      </c>
      <c r="N919">
        <v>2592</v>
      </c>
    </row>
    <row r="920" spans="1:14" x14ac:dyDescent="0.35">
      <c r="A920" t="s">
        <v>969</v>
      </c>
      <c r="B920" t="s">
        <v>15</v>
      </c>
      <c r="C920" t="s">
        <v>16</v>
      </c>
      <c r="D920">
        <v>66</v>
      </c>
      <c r="E920" t="s">
        <v>946</v>
      </c>
      <c r="F920">
        <v>5419</v>
      </c>
      <c r="G920" t="s">
        <v>18</v>
      </c>
      <c r="H920">
        <v>27</v>
      </c>
      <c r="I920" t="s">
        <v>19</v>
      </c>
      <c r="J920">
        <v>2010</v>
      </c>
      <c r="K920">
        <v>2010</v>
      </c>
      <c r="L920" t="s">
        <v>20</v>
      </c>
      <c r="M920">
        <v>30173</v>
      </c>
      <c r="N920">
        <v>2592</v>
      </c>
    </row>
    <row r="921" spans="1:14" x14ac:dyDescent="0.35">
      <c r="A921" t="s">
        <v>970</v>
      </c>
      <c r="B921" t="s">
        <v>15</v>
      </c>
      <c r="C921" t="s">
        <v>16</v>
      </c>
      <c r="D921">
        <v>66</v>
      </c>
      <c r="E921" t="s">
        <v>946</v>
      </c>
      <c r="F921">
        <v>5419</v>
      </c>
      <c r="G921" t="s">
        <v>18</v>
      </c>
      <c r="H921">
        <v>27</v>
      </c>
      <c r="I921" t="s">
        <v>19</v>
      </c>
      <c r="J921">
        <v>2011</v>
      </c>
      <c r="K921">
        <v>2011</v>
      </c>
      <c r="L921" t="s">
        <v>20</v>
      </c>
      <c r="M921">
        <v>28519</v>
      </c>
      <c r="N921">
        <v>2592</v>
      </c>
    </row>
    <row r="922" spans="1:14" x14ac:dyDescent="0.35">
      <c r="A922" t="s">
        <v>971</v>
      </c>
      <c r="B922" t="s">
        <v>15</v>
      </c>
      <c r="C922" t="s">
        <v>16</v>
      </c>
      <c r="D922">
        <v>66</v>
      </c>
      <c r="E922" t="s">
        <v>946</v>
      </c>
      <c r="F922">
        <v>5419</v>
      </c>
      <c r="G922" t="s">
        <v>18</v>
      </c>
      <c r="H922">
        <v>27</v>
      </c>
      <c r="I922" t="s">
        <v>19</v>
      </c>
      <c r="J922">
        <v>2012</v>
      </c>
      <c r="K922">
        <v>2012</v>
      </c>
      <c r="L922" t="s">
        <v>20</v>
      </c>
      <c r="M922">
        <v>24412</v>
      </c>
      <c r="N922">
        <v>2592</v>
      </c>
    </row>
    <row r="923" spans="1:14" x14ac:dyDescent="0.35">
      <c r="A923" t="s">
        <v>972</v>
      </c>
      <c r="B923" t="s">
        <v>15</v>
      </c>
      <c r="C923" t="s">
        <v>16</v>
      </c>
      <c r="D923">
        <v>66</v>
      </c>
      <c r="E923" t="s">
        <v>946</v>
      </c>
      <c r="F923">
        <v>5419</v>
      </c>
      <c r="G923" t="s">
        <v>18</v>
      </c>
      <c r="H923">
        <v>27</v>
      </c>
      <c r="I923" t="s">
        <v>19</v>
      </c>
      <c r="J923">
        <v>2013</v>
      </c>
      <c r="K923">
        <v>2013</v>
      </c>
      <c r="L923" t="s">
        <v>20</v>
      </c>
      <c r="M923">
        <v>31967</v>
      </c>
      <c r="N923">
        <v>2592</v>
      </c>
    </row>
    <row r="924" spans="1:14" x14ac:dyDescent="0.35">
      <c r="A924" t="s">
        <v>973</v>
      </c>
      <c r="B924" t="s">
        <v>15</v>
      </c>
      <c r="C924" t="s">
        <v>16</v>
      </c>
      <c r="D924">
        <v>66</v>
      </c>
      <c r="E924" t="s">
        <v>946</v>
      </c>
      <c r="F924">
        <v>5419</v>
      </c>
      <c r="G924" t="s">
        <v>18</v>
      </c>
      <c r="H924">
        <v>27</v>
      </c>
      <c r="I924" t="s">
        <v>19</v>
      </c>
      <c r="J924">
        <v>2014</v>
      </c>
      <c r="K924">
        <v>2014</v>
      </c>
      <c r="L924" t="s">
        <v>20</v>
      </c>
      <c r="M924">
        <v>54802</v>
      </c>
      <c r="N924">
        <v>2592</v>
      </c>
    </row>
    <row r="925" spans="1:14" x14ac:dyDescent="0.35">
      <c r="A925" t="s">
        <v>974</v>
      </c>
      <c r="B925" t="s">
        <v>15</v>
      </c>
      <c r="C925" t="s">
        <v>16</v>
      </c>
      <c r="D925">
        <v>66</v>
      </c>
      <c r="E925" t="s">
        <v>946</v>
      </c>
      <c r="F925">
        <v>5419</v>
      </c>
      <c r="G925" t="s">
        <v>18</v>
      </c>
      <c r="H925">
        <v>27</v>
      </c>
      <c r="I925" t="s">
        <v>19</v>
      </c>
      <c r="J925">
        <v>2015</v>
      </c>
      <c r="K925">
        <v>2015</v>
      </c>
      <c r="L925" t="s">
        <v>20</v>
      </c>
      <c r="M925">
        <v>47345</v>
      </c>
      <c r="N925">
        <v>2592</v>
      </c>
    </row>
    <row r="926" spans="1:14" x14ac:dyDescent="0.35">
      <c r="A926" t="s">
        <v>975</v>
      </c>
      <c r="B926" t="s">
        <v>15</v>
      </c>
      <c r="C926" t="s">
        <v>16</v>
      </c>
      <c r="D926">
        <v>66</v>
      </c>
      <c r="E926" t="s">
        <v>946</v>
      </c>
      <c r="F926">
        <v>5419</v>
      </c>
      <c r="G926" t="s">
        <v>18</v>
      </c>
      <c r="H926">
        <v>27</v>
      </c>
      <c r="I926" t="s">
        <v>19</v>
      </c>
      <c r="J926">
        <v>2016</v>
      </c>
      <c r="K926">
        <v>2016</v>
      </c>
      <c r="L926" t="s">
        <v>20</v>
      </c>
      <c r="M926">
        <v>35450</v>
      </c>
      <c r="N926">
        <v>2592</v>
      </c>
    </row>
    <row r="927" spans="1:14" x14ac:dyDescent="0.35">
      <c r="A927" t="s">
        <v>976</v>
      </c>
      <c r="B927" t="s">
        <v>15</v>
      </c>
      <c r="C927" t="s">
        <v>16</v>
      </c>
      <c r="D927">
        <v>68</v>
      </c>
      <c r="E927" t="s">
        <v>977</v>
      </c>
      <c r="F927">
        <v>5419</v>
      </c>
      <c r="G927" t="s">
        <v>18</v>
      </c>
      <c r="H927">
        <v>27</v>
      </c>
      <c r="I927" t="s">
        <v>19</v>
      </c>
      <c r="J927">
        <v>1985</v>
      </c>
      <c r="K927">
        <v>1985</v>
      </c>
      <c r="L927" t="s">
        <v>20</v>
      </c>
      <c r="M927">
        <v>54964</v>
      </c>
      <c r="N927">
        <v>867</v>
      </c>
    </row>
    <row r="928" spans="1:14" x14ac:dyDescent="0.35">
      <c r="A928" t="s">
        <v>978</v>
      </c>
      <c r="B928" t="s">
        <v>15</v>
      </c>
      <c r="C928" t="s">
        <v>16</v>
      </c>
      <c r="D928">
        <v>68</v>
      </c>
      <c r="E928" t="s">
        <v>977</v>
      </c>
      <c r="F928">
        <v>5419</v>
      </c>
      <c r="G928" t="s">
        <v>18</v>
      </c>
      <c r="H928">
        <v>27</v>
      </c>
      <c r="I928" t="s">
        <v>19</v>
      </c>
      <c r="J928">
        <v>1986</v>
      </c>
      <c r="K928">
        <v>1986</v>
      </c>
      <c r="L928" t="s">
        <v>20</v>
      </c>
      <c r="M928">
        <v>51299</v>
      </c>
      <c r="N928">
        <v>867</v>
      </c>
    </row>
    <row r="929" spans="1:14" x14ac:dyDescent="0.35">
      <c r="A929" t="s">
        <v>979</v>
      </c>
      <c r="B929" t="s">
        <v>15</v>
      </c>
      <c r="C929" t="s">
        <v>16</v>
      </c>
      <c r="D929">
        <v>68</v>
      </c>
      <c r="E929" t="s">
        <v>977</v>
      </c>
      <c r="F929">
        <v>5419</v>
      </c>
      <c r="G929" t="s">
        <v>18</v>
      </c>
      <c r="H929">
        <v>27</v>
      </c>
      <c r="I929" t="s">
        <v>19</v>
      </c>
      <c r="J929">
        <v>1987</v>
      </c>
      <c r="K929">
        <v>1987</v>
      </c>
      <c r="L929" t="s">
        <v>20</v>
      </c>
      <c r="M929">
        <v>49782</v>
      </c>
      <c r="N929">
        <v>867</v>
      </c>
    </row>
    <row r="930" spans="1:14" x14ac:dyDescent="0.35">
      <c r="A930" t="s">
        <v>980</v>
      </c>
      <c r="B930" t="s">
        <v>15</v>
      </c>
      <c r="C930" t="s">
        <v>16</v>
      </c>
      <c r="D930">
        <v>68</v>
      </c>
      <c r="E930" t="s">
        <v>977</v>
      </c>
      <c r="F930">
        <v>5419</v>
      </c>
      <c r="G930" t="s">
        <v>18</v>
      </c>
      <c r="H930">
        <v>27</v>
      </c>
      <c r="I930" t="s">
        <v>19</v>
      </c>
      <c r="J930">
        <v>1989</v>
      </c>
      <c r="K930">
        <v>1989</v>
      </c>
      <c r="L930" t="s">
        <v>20</v>
      </c>
      <c r="M930">
        <v>60368</v>
      </c>
      <c r="N930">
        <v>867</v>
      </c>
    </row>
    <row r="931" spans="1:14" x14ac:dyDescent="0.35">
      <c r="A931" t="s">
        <v>981</v>
      </c>
      <c r="B931" t="s">
        <v>15</v>
      </c>
      <c r="C931" t="s">
        <v>16</v>
      </c>
      <c r="D931">
        <v>68</v>
      </c>
      <c r="E931" t="s">
        <v>977</v>
      </c>
      <c r="F931">
        <v>5419</v>
      </c>
      <c r="G931" t="s">
        <v>18</v>
      </c>
      <c r="H931">
        <v>27</v>
      </c>
      <c r="I931" t="s">
        <v>19</v>
      </c>
      <c r="J931">
        <v>1990</v>
      </c>
      <c r="K931">
        <v>1990</v>
      </c>
      <c r="L931" t="s">
        <v>20</v>
      </c>
      <c r="M931">
        <v>59461</v>
      </c>
      <c r="N931">
        <v>867</v>
      </c>
    </row>
    <row r="932" spans="1:14" x14ac:dyDescent="0.35">
      <c r="A932" t="s">
        <v>982</v>
      </c>
      <c r="B932" t="s">
        <v>15</v>
      </c>
      <c r="C932" t="s">
        <v>16</v>
      </c>
      <c r="D932">
        <v>68</v>
      </c>
      <c r="E932" t="s">
        <v>977</v>
      </c>
      <c r="F932">
        <v>5419</v>
      </c>
      <c r="G932" t="s">
        <v>18</v>
      </c>
      <c r="H932">
        <v>27</v>
      </c>
      <c r="I932" t="s">
        <v>19</v>
      </c>
      <c r="J932">
        <v>1991</v>
      </c>
      <c r="K932">
        <v>1991</v>
      </c>
      <c r="L932" t="s">
        <v>20</v>
      </c>
      <c r="M932">
        <v>53273</v>
      </c>
      <c r="N932">
        <v>867</v>
      </c>
    </row>
    <row r="933" spans="1:14" x14ac:dyDescent="0.35">
      <c r="A933" t="s">
        <v>983</v>
      </c>
      <c r="B933" t="s">
        <v>15</v>
      </c>
      <c r="C933" t="s">
        <v>16</v>
      </c>
      <c r="D933">
        <v>68</v>
      </c>
      <c r="E933" t="s">
        <v>977</v>
      </c>
      <c r="F933">
        <v>5419</v>
      </c>
      <c r="G933" t="s">
        <v>18</v>
      </c>
      <c r="H933">
        <v>27</v>
      </c>
      <c r="I933" t="s">
        <v>19</v>
      </c>
      <c r="J933">
        <v>1992</v>
      </c>
      <c r="K933">
        <v>1992</v>
      </c>
      <c r="L933" t="s">
        <v>20</v>
      </c>
      <c r="M933">
        <v>52448</v>
      </c>
      <c r="N933">
        <v>867</v>
      </c>
    </row>
    <row r="934" spans="1:14" x14ac:dyDescent="0.35">
      <c r="A934" t="s">
        <v>984</v>
      </c>
      <c r="B934" t="s">
        <v>15</v>
      </c>
      <c r="C934" t="s">
        <v>16</v>
      </c>
      <c r="D934">
        <v>68</v>
      </c>
      <c r="E934" t="s">
        <v>977</v>
      </c>
      <c r="F934">
        <v>5419</v>
      </c>
      <c r="G934" t="s">
        <v>18</v>
      </c>
      <c r="H934">
        <v>27</v>
      </c>
      <c r="I934" t="s">
        <v>19</v>
      </c>
      <c r="J934">
        <v>1993</v>
      </c>
      <c r="K934">
        <v>1993</v>
      </c>
      <c r="L934" t="s">
        <v>20</v>
      </c>
      <c r="M934">
        <v>49628</v>
      </c>
      <c r="N934">
        <v>867</v>
      </c>
    </row>
    <row r="935" spans="1:14" x14ac:dyDescent="0.35">
      <c r="A935" t="s">
        <v>985</v>
      </c>
      <c r="B935" t="s">
        <v>15</v>
      </c>
      <c r="C935" t="s">
        <v>16</v>
      </c>
      <c r="D935">
        <v>68</v>
      </c>
      <c r="E935" t="s">
        <v>977</v>
      </c>
      <c r="F935">
        <v>5419</v>
      </c>
      <c r="G935" t="s">
        <v>18</v>
      </c>
      <c r="H935">
        <v>27</v>
      </c>
      <c r="I935" t="s">
        <v>19</v>
      </c>
      <c r="J935">
        <v>1994</v>
      </c>
      <c r="K935">
        <v>1994</v>
      </c>
      <c r="L935" t="s">
        <v>20</v>
      </c>
      <c r="M935">
        <v>45700</v>
      </c>
      <c r="N935">
        <v>867</v>
      </c>
    </row>
    <row r="936" spans="1:14" x14ac:dyDescent="0.35">
      <c r="A936" t="s">
        <v>986</v>
      </c>
      <c r="B936" t="s">
        <v>15</v>
      </c>
      <c r="C936" t="s">
        <v>16</v>
      </c>
      <c r="D936">
        <v>68</v>
      </c>
      <c r="E936" t="s">
        <v>977</v>
      </c>
      <c r="F936">
        <v>5419</v>
      </c>
      <c r="G936" t="s">
        <v>18</v>
      </c>
      <c r="H936">
        <v>27</v>
      </c>
      <c r="I936" t="s">
        <v>19</v>
      </c>
      <c r="J936">
        <v>1995</v>
      </c>
      <c r="K936">
        <v>1995</v>
      </c>
      <c r="L936" t="s">
        <v>20</v>
      </c>
      <c r="M936">
        <v>48627</v>
      </c>
      <c r="N936">
        <v>867</v>
      </c>
    </row>
    <row r="937" spans="1:14" x14ac:dyDescent="0.35">
      <c r="A937" t="s">
        <v>987</v>
      </c>
      <c r="B937" t="s">
        <v>15</v>
      </c>
      <c r="C937" t="s">
        <v>16</v>
      </c>
      <c r="D937">
        <v>68</v>
      </c>
      <c r="E937" t="s">
        <v>977</v>
      </c>
      <c r="F937">
        <v>5419</v>
      </c>
      <c r="G937" t="s">
        <v>18</v>
      </c>
      <c r="H937">
        <v>27</v>
      </c>
      <c r="I937" t="s">
        <v>19</v>
      </c>
      <c r="J937">
        <v>1996</v>
      </c>
      <c r="K937">
        <v>1996</v>
      </c>
      <c r="L937" t="s">
        <v>20</v>
      </c>
      <c r="M937">
        <v>52455</v>
      </c>
      <c r="N937">
        <v>867</v>
      </c>
    </row>
    <row r="938" spans="1:14" x14ac:dyDescent="0.35">
      <c r="A938" t="s">
        <v>988</v>
      </c>
      <c r="B938" t="s">
        <v>15</v>
      </c>
      <c r="C938" t="s">
        <v>16</v>
      </c>
      <c r="D938">
        <v>68</v>
      </c>
      <c r="E938" t="s">
        <v>977</v>
      </c>
      <c r="F938">
        <v>5419</v>
      </c>
      <c r="G938" t="s">
        <v>18</v>
      </c>
      <c r="H938">
        <v>27</v>
      </c>
      <c r="I938" t="s">
        <v>19</v>
      </c>
      <c r="J938">
        <v>1997</v>
      </c>
      <c r="K938">
        <v>1997</v>
      </c>
      <c r="L938" t="s">
        <v>20</v>
      </c>
      <c r="M938">
        <v>58919</v>
      </c>
      <c r="N938">
        <v>867</v>
      </c>
    </row>
    <row r="939" spans="1:14" x14ac:dyDescent="0.35">
      <c r="A939" t="s">
        <v>989</v>
      </c>
      <c r="B939" t="s">
        <v>15</v>
      </c>
      <c r="C939" t="s">
        <v>16</v>
      </c>
      <c r="D939">
        <v>68</v>
      </c>
      <c r="E939" t="s">
        <v>977</v>
      </c>
      <c r="F939">
        <v>5419</v>
      </c>
      <c r="G939" t="s">
        <v>18</v>
      </c>
      <c r="H939">
        <v>27</v>
      </c>
      <c r="I939" t="s">
        <v>19</v>
      </c>
      <c r="J939">
        <v>1998</v>
      </c>
      <c r="K939">
        <v>1998</v>
      </c>
      <c r="L939" t="s">
        <v>20</v>
      </c>
      <c r="M939">
        <v>58281</v>
      </c>
      <c r="N939">
        <v>867</v>
      </c>
    </row>
    <row r="940" spans="1:14" x14ac:dyDescent="0.35">
      <c r="A940" t="s">
        <v>990</v>
      </c>
      <c r="B940" t="s">
        <v>15</v>
      </c>
      <c r="C940" t="s">
        <v>16</v>
      </c>
      <c r="D940">
        <v>68</v>
      </c>
      <c r="E940" t="s">
        <v>977</v>
      </c>
      <c r="F940">
        <v>5419</v>
      </c>
      <c r="G940" t="s">
        <v>18</v>
      </c>
      <c r="H940">
        <v>27</v>
      </c>
      <c r="I940" t="s">
        <v>19</v>
      </c>
      <c r="J940">
        <v>1999</v>
      </c>
      <c r="K940">
        <v>1999</v>
      </c>
      <c r="L940" t="s">
        <v>20</v>
      </c>
      <c r="M940">
        <v>60915</v>
      </c>
      <c r="N940">
        <v>867</v>
      </c>
    </row>
    <row r="941" spans="1:14" x14ac:dyDescent="0.35">
      <c r="A941" t="s">
        <v>991</v>
      </c>
      <c r="B941" t="s">
        <v>15</v>
      </c>
      <c r="C941" t="s">
        <v>16</v>
      </c>
      <c r="D941">
        <v>68</v>
      </c>
      <c r="E941" t="s">
        <v>977</v>
      </c>
      <c r="F941">
        <v>5419</v>
      </c>
      <c r="G941" t="s">
        <v>18</v>
      </c>
      <c r="H941">
        <v>27</v>
      </c>
      <c r="I941" t="s">
        <v>19</v>
      </c>
      <c r="J941">
        <v>2000</v>
      </c>
      <c r="K941">
        <v>2000</v>
      </c>
      <c r="L941" t="s">
        <v>20</v>
      </c>
      <c r="M941">
        <v>58358</v>
      </c>
      <c r="N941">
        <v>867</v>
      </c>
    </row>
    <row r="942" spans="1:14" x14ac:dyDescent="0.35">
      <c r="A942" t="s">
        <v>992</v>
      </c>
      <c r="B942" t="s">
        <v>15</v>
      </c>
      <c r="C942" t="s">
        <v>16</v>
      </c>
      <c r="D942">
        <v>68</v>
      </c>
      <c r="E942" t="s">
        <v>977</v>
      </c>
      <c r="F942">
        <v>5419</v>
      </c>
      <c r="G942" t="s">
        <v>18</v>
      </c>
      <c r="H942">
        <v>27</v>
      </c>
      <c r="I942" t="s">
        <v>19</v>
      </c>
      <c r="J942">
        <v>2001</v>
      </c>
      <c r="K942">
        <v>2001</v>
      </c>
      <c r="L942" t="s">
        <v>20</v>
      </c>
      <c r="M942">
        <v>53603</v>
      </c>
      <c r="N942">
        <v>867</v>
      </c>
    </row>
    <row r="943" spans="1:14" x14ac:dyDescent="0.35">
      <c r="A943" t="s">
        <v>993</v>
      </c>
      <c r="B943" t="s">
        <v>15</v>
      </c>
      <c r="C943" t="s">
        <v>16</v>
      </c>
      <c r="D943">
        <v>68</v>
      </c>
      <c r="E943" t="s">
        <v>977</v>
      </c>
      <c r="F943">
        <v>5419</v>
      </c>
      <c r="G943" t="s">
        <v>18</v>
      </c>
      <c r="H943">
        <v>27</v>
      </c>
      <c r="I943" t="s">
        <v>19</v>
      </c>
      <c r="J943">
        <v>2002</v>
      </c>
      <c r="K943">
        <v>2002</v>
      </c>
      <c r="L943" t="s">
        <v>20</v>
      </c>
      <c r="M943">
        <v>56910</v>
      </c>
      <c r="N943">
        <v>867</v>
      </c>
    </row>
    <row r="944" spans="1:14" x14ac:dyDescent="0.35">
      <c r="A944" t="s">
        <v>994</v>
      </c>
      <c r="B944" t="s">
        <v>15</v>
      </c>
      <c r="C944" t="s">
        <v>16</v>
      </c>
      <c r="D944">
        <v>68</v>
      </c>
      <c r="E944" t="s">
        <v>977</v>
      </c>
      <c r="F944">
        <v>5419</v>
      </c>
      <c r="G944" t="s">
        <v>18</v>
      </c>
      <c r="H944">
        <v>27</v>
      </c>
      <c r="I944" t="s">
        <v>19</v>
      </c>
      <c r="J944">
        <v>2004</v>
      </c>
      <c r="K944">
        <v>2004</v>
      </c>
      <c r="L944" t="s">
        <v>20</v>
      </c>
      <c r="M944">
        <v>57098</v>
      </c>
      <c r="N944">
        <v>867</v>
      </c>
    </row>
    <row r="945" spans="1:14" x14ac:dyDescent="0.35">
      <c r="A945" t="s">
        <v>995</v>
      </c>
      <c r="B945" t="s">
        <v>15</v>
      </c>
      <c r="C945" t="s">
        <v>16</v>
      </c>
      <c r="D945">
        <v>68</v>
      </c>
      <c r="E945" t="s">
        <v>977</v>
      </c>
      <c r="F945">
        <v>5419</v>
      </c>
      <c r="G945" t="s">
        <v>18</v>
      </c>
      <c r="H945">
        <v>27</v>
      </c>
      <c r="I945" t="s">
        <v>19</v>
      </c>
      <c r="J945">
        <v>2005</v>
      </c>
      <c r="K945">
        <v>2005</v>
      </c>
      <c r="L945" t="s">
        <v>20</v>
      </c>
      <c r="M945">
        <v>57314</v>
      </c>
      <c r="N945">
        <v>867</v>
      </c>
    </row>
    <row r="946" spans="1:14" x14ac:dyDescent="0.35">
      <c r="A946" t="s">
        <v>996</v>
      </c>
      <c r="B946" t="s">
        <v>15</v>
      </c>
      <c r="C946" t="s">
        <v>16</v>
      </c>
      <c r="D946">
        <v>68</v>
      </c>
      <c r="E946" t="s">
        <v>977</v>
      </c>
      <c r="F946">
        <v>5419</v>
      </c>
      <c r="G946" t="s">
        <v>18</v>
      </c>
      <c r="H946">
        <v>27</v>
      </c>
      <c r="I946" t="s">
        <v>19</v>
      </c>
      <c r="J946">
        <v>2006</v>
      </c>
      <c r="K946">
        <v>2006</v>
      </c>
      <c r="L946" t="s">
        <v>20</v>
      </c>
      <c r="M946">
        <v>54756</v>
      </c>
      <c r="N946">
        <v>867</v>
      </c>
    </row>
    <row r="947" spans="1:14" x14ac:dyDescent="0.35">
      <c r="A947" t="s">
        <v>997</v>
      </c>
      <c r="B947" t="s">
        <v>15</v>
      </c>
      <c r="C947" t="s">
        <v>16</v>
      </c>
      <c r="D947">
        <v>68</v>
      </c>
      <c r="E947" t="s">
        <v>977</v>
      </c>
      <c r="F947">
        <v>5419</v>
      </c>
      <c r="G947" t="s">
        <v>18</v>
      </c>
      <c r="H947">
        <v>27</v>
      </c>
      <c r="I947" t="s">
        <v>19</v>
      </c>
      <c r="J947">
        <v>2007</v>
      </c>
      <c r="K947">
        <v>2007</v>
      </c>
      <c r="L947" t="s">
        <v>20</v>
      </c>
      <c r="M947">
        <v>46354</v>
      </c>
      <c r="N947">
        <v>867</v>
      </c>
    </row>
    <row r="948" spans="1:14" x14ac:dyDescent="0.35">
      <c r="A948" t="s">
        <v>998</v>
      </c>
      <c r="B948" t="s">
        <v>15</v>
      </c>
      <c r="C948" t="s">
        <v>16</v>
      </c>
      <c r="D948">
        <v>68</v>
      </c>
      <c r="E948" t="s">
        <v>977</v>
      </c>
      <c r="F948">
        <v>5419</v>
      </c>
      <c r="G948" t="s">
        <v>18</v>
      </c>
      <c r="H948">
        <v>27</v>
      </c>
      <c r="I948" t="s">
        <v>19</v>
      </c>
      <c r="J948">
        <v>2008</v>
      </c>
      <c r="K948">
        <v>2008</v>
      </c>
      <c r="L948" t="s">
        <v>20</v>
      </c>
      <c r="M948">
        <v>57599</v>
      </c>
      <c r="N948">
        <v>867</v>
      </c>
    </row>
    <row r="949" spans="1:14" x14ac:dyDescent="0.35">
      <c r="A949" t="s">
        <v>999</v>
      </c>
      <c r="B949" t="s">
        <v>15</v>
      </c>
      <c r="C949" t="s">
        <v>16</v>
      </c>
      <c r="D949">
        <v>68</v>
      </c>
      <c r="E949" t="s">
        <v>977</v>
      </c>
      <c r="F949">
        <v>5419</v>
      </c>
      <c r="G949" t="s">
        <v>18</v>
      </c>
      <c r="H949">
        <v>27</v>
      </c>
      <c r="I949" t="s">
        <v>19</v>
      </c>
      <c r="J949">
        <v>2009</v>
      </c>
      <c r="K949">
        <v>2009</v>
      </c>
      <c r="L949" t="s">
        <v>20</v>
      </c>
      <c r="M949">
        <v>57406</v>
      </c>
      <c r="N949">
        <v>867</v>
      </c>
    </row>
    <row r="950" spans="1:14" x14ac:dyDescent="0.35">
      <c r="A950" t="s">
        <v>1000</v>
      </c>
      <c r="B950" t="s">
        <v>15</v>
      </c>
      <c r="C950" t="s">
        <v>16</v>
      </c>
      <c r="D950">
        <v>68</v>
      </c>
      <c r="E950" t="s">
        <v>977</v>
      </c>
      <c r="F950">
        <v>5419</v>
      </c>
      <c r="G950" t="s">
        <v>18</v>
      </c>
      <c r="H950">
        <v>27</v>
      </c>
      <c r="I950" t="s">
        <v>19</v>
      </c>
      <c r="J950">
        <v>2010</v>
      </c>
      <c r="K950">
        <v>2010</v>
      </c>
      <c r="L950" t="s">
        <v>20</v>
      </c>
      <c r="M950">
        <v>50432</v>
      </c>
      <c r="N950">
        <v>867</v>
      </c>
    </row>
    <row r="951" spans="1:14" x14ac:dyDescent="0.35">
      <c r="A951" t="s">
        <v>1001</v>
      </c>
      <c r="B951" t="s">
        <v>15</v>
      </c>
      <c r="C951" t="s">
        <v>16</v>
      </c>
      <c r="D951">
        <v>68</v>
      </c>
      <c r="E951" t="s">
        <v>977</v>
      </c>
      <c r="F951">
        <v>5419</v>
      </c>
      <c r="G951" t="s">
        <v>18</v>
      </c>
      <c r="H951">
        <v>27</v>
      </c>
      <c r="I951" t="s">
        <v>19</v>
      </c>
      <c r="J951">
        <v>2011</v>
      </c>
      <c r="K951">
        <v>2011</v>
      </c>
      <c r="L951" t="s">
        <v>20</v>
      </c>
      <c r="M951">
        <v>56263</v>
      </c>
      <c r="N951">
        <v>867</v>
      </c>
    </row>
    <row r="952" spans="1:14" x14ac:dyDescent="0.35">
      <c r="A952" t="s">
        <v>1002</v>
      </c>
      <c r="B952" t="s">
        <v>15</v>
      </c>
      <c r="C952" t="s">
        <v>16</v>
      </c>
      <c r="D952">
        <v>68</v>
      </c>
      <c r="E952" t="s">
        <v>977</v>
      </c>
      <c r="F952">
        <v>5419</v>
      </c>
      <c r="G952" t="s">
        <v>18</v>
      </c>
      <c r="H952">
        <v>27</v>
      </c>
      <c r="I952" t="s">
        <v>19</v>
      </c>
      <c r="J952">
        <v>2012</v>
      </c>
      <c r="K952">
        <v>2012</v>
      </c>
      <c r="L952" t="s">
        <v>20</v>
      </c>
      <c r="M952">
        <v>55947</v>
      </c>
      <c r="N952">
        <v>867</v>
      </c>
    </row>
    <row r="953" spans="1:14" x14ac:dyDescent="0.35">
      <c r="A953" t="s">
        <v>1003</v>
      </c>
      <c r="B953" t="s">
        <v>15</v>
      </c>
      <c r="C953" t="s">
        <v>16</v>
      </c>
      <c r="D953">
        <v>68</v>
      </c>
      <c r="E953" t="s">
        <v>977</v>
      </c>
      <c r="F953">
        <v>5419</v>
      </c>
      <c r="G953" t="s">
        <v>18</v>
      </c>
      <c r="H953">
        <v>27</v>
      </c>
      <c r="I953" t="s">
        <v>19</v>
      </c>
      <c r="J953">
        <v>2013</v>
      </c>
      <c r="K953">
        <v>2013</v>
      </c>
      <c r="L953" t="s">
        <v>20</v>
      </c>
      <c r="M953">
        <v>39400</v>
      </c>
      <c r="N953">
        <v>867</v>
      </c>
    </row>
    <row r="954" spans="1:14" x14ac:dyDescent="0.35">
      <c r="A954" t="s">
        <v>1004</v>
      </c>
      <c r="B954" t="s">
        <v>15</v>
      </c>
      <c r="C954" t="s">
        <v>16</v>
      </c>
      <c r="D954">
        <v>68</v>
      </c>
      <c r="E954" t="s">
        <v>977</v>
      </c>
      <c r="F954">
        <v>5419</v>
      </c>
      <c r="G954" t="s">
        <v>18</v>
      </c>
      <c r="H954">
        <v>27</v>
      </c>
      <c r="I954" t="s">
        <v>19</v>
      </c>
      <c r="J954">
        <v>2014</v>
      </c>
      <c r="K954">
        <v>2014</v>
      </c>
      <c r="L954" t="s">
        <v>20</v>
      </c>
      <c r="M954">
        <v>49784</v>
      </c>
      <c r="N954">
        <v>867</v>
      </c>
    </row>
    <row r="955" spans="1:14" x14ac:dyDescent="0.35">
      <c r="A955" t="s">
        <v>1005</v>
      </c>
      <c r="B955" t="s">
        <v>15</v>
      </c>
      <c r="C955" t="s">
        <v>16</v>
      </c>
      <c r="D955">
        <v>68</v>
      </c>
      <c r="E955" t="s">
        <v>977</v>
      </c>
      <c r="F955">
        <v>5419</v>
      </c>
      <c r="G955" t="s">
        <v>18</v>
      </c>
      <c r="H955">
        <v>27</v>
      </c>
      <c r="I955" t="s">
        <v>19</v>
      </c>
      <c r="J955">
        <v>2015</v>
      </c>
      <c r="K955">
        <v>2015</v>
      </c>
      <c r="L955" t="s">
        <v>20</v>
      </c>
      <c r="M955">
        <v>50014</v>
      </c>
      <c r="N955">
        <v>867</v>
      </c>
    </row>
    <row r="956" spans="1:14" x14ac:dyDescent="0.35">
      <c r="A956" t="s">
        <v>1006</v>
      </c>
      <c r="B956" t="s">
        <v>15</v>
      </c>
      <c r="C956" t="s">
        <v>16</v>
      </c>
      <c r="D956">
        <v>68</v>
      </c>
      <c r="E956" t="s">
        <v>977</v>
      </c>
      <c r="F956">
        <v>5419</v>
      </c>
      <c r="G956" t="s">
        <v>18</v>
      </c>
      <c r="H956">
        <v>27</v>
      </c>
      <c r="I956" t="s">
        <v>19</v>
      </c>
      <c r="J956">
        <v>2016</v>
      </c>
      <c r="K956">
        <v>2016</v>
      </c>
      <c r="L956" t="s">
        <v>20</v>
      </c>
      <c r="M956">
        <v>47499</v>
      </c>
      <c r="N956">
        <v>867</v>
      </c>
    </row>
    <row r="957" spans="1:14" x14ac:dyDescent="0.35">
      <c r="A957" t="s">
        <v>1007</v>
      </c>
      <c r="B957" t="s">
        <v>15</v>
      </c>
      <c r="C957" t="s">
        <v>16</v>
      </c>
      <c r="D957">
        <v>74</v>
      </c>
      <c r="E957" t="s">
        <v>1008</v>
      </c>
      <c r="F957">
        <v>5419</v>
      </c>
      <c r="G957" t="s">
        <v>18</v>
      </c>
      <c r="H957">
        <v>27</v>
      </c>
      <c r="I957" t="s">
        <v>19</v>
      </c>
      <c r="J957">
        <v>1985</v>
      </c>
      <c r="K957">
        <v>1985</v>
      </c>
      <c r="L957" t="s">
        <v>20</v>
      </c>
      <c r="M957">
        <v>17241</v>
      </c>
      <c r="N957">
        <v>1831</v>
      </c>
    </row>
    <row r="958" spans="1:14" x14ac:dyDescent="0.35">
      <c r="A958" t="s">
        <v>1009</v>
      </c>
      <c r="B958" t="s">
        <v>15</v>
      </c>
      <c r="C958" t="s">
        <v>16</v>
      </c>
      <c r="D958">
        <v>74</v>
      </c>
      <c r="E958" t="s">
        <v>1008</v>
      </c>
      <c r="F958">
        <v>5419</v>
      </c>
      <c r="G958" t="s">
        <v>18</v>
      </c>
      <c r="H958">
        <v>27</v>
      </c>
      <c r="I958" t="s">
        <v>19</v>
      </c>
      <c r="J958">
        <v>1986</v>
      </c>
      <c r="K958">
        <v>1986</v>
      </c>
      <c r="L958" t="s">
        <v>20</v>
      </c>
      <c r="M958">
        <v>25724</v>
      </c>
      <c r="N958">
        <v>1831</v>
      </c>
    </row>
    <row r="959" spans="1:14" x14ac:dyDescent="0.35">
      <c r="A959" t="s">
        <v>1010</v>
      </c>
      <c r="B959" t="s">
        <v>15</v>
      </c>
      <c r="C959" t="s">
        <v>16</v>
      </c>
      <c r="D959">
        <v>74</v>
      </c>
      <c r="E959" t="s">
        <v>1008</v>
      </c>
      <c r="F959">
        <v>5419</v>
      </c>
      <c r="G959" t="s">
        <v>18</v>
      </c>
      <c r="H959">
        <v>27</v>
      </c>
      <c r="I959" t="s">
        <v>19</v>
      </c>
      <c r="J959">
        <v>1987</v>
      </c>
      <c r="K959">
        <v>1987</v>
      </c>
      <c r="L959" t="s">
        <v>20</v>
      </c>
      <c r="M959">
        <v>20900</v>
      </c>
      <c r="N959">
        <v>1831</v>
      </c>
    </row>
    <row r="960" spans="1:14" x14ac:dyDescent="0.35">
      <c r="A960" t="s">
        <v>1011</v>
      </c>
      <c r="B960" t="s">
        <v>15</v>
      </c>
      <c r="C960" t="s">
        <v>16</v>
      </c>
      <c r="D960">
        <v>74</v>
      </c>
      <c r="E960" t="s">
        <v>1008</v>
      </c>
      <c r="F960">
        <v>5419</v>
      </c>
      <c r="G960" t="s">
        <v>18</v>
      </c>
      <c r="H960">
        <v>27</v>
      </c>
      <c r="I960" t="s">
        <v>19</v>
      </c>
      <c r="J960">
        <v>1989</v>
      </c>
      <c r="K960">
        <v>1989</v>
      </c>
      <c r="L960" t="s">
        <v>20</v>
      </c>
      <c r="M960">
        <v>20000</v>
      </c>
      <c r="N960">
        <v>1831</v>
      </c>
    </row>
    <row r="961" spans="1:14" x14ac:dyDescent="0.35">
      <c r="A961" t="s">
        <v>1012</v>
      </c>
      <c r="B961" t="s">
        <v>15</v>
      </c>
      <c r="C961" t="s">
        <v>16</v>
      </c>
      <c r="D961">
        <v>74</v>
      </c>
      <c r="E961" t="s">
        <v>1008</v>
      </c>
      <c r="F961">
        <v>5419</v>
      </c>
      <c r="G961" t="s">
        <v>18</v>
      </c>
      <c r="H961">
        <v>27</v>
      </c>
      <c r="I961" t="s">
        <v>19</v>
      </c>
      <c r="J961">
        <v>1990</v>
      </c>
      <c r="K961">
        <v>1990</v>
      </c>
      <c r="L961" t="s">
        <v>20</v>
      </c>
      <c r="M961">
        <v>20000</v>
      </c>
      <c r="N961">
        <v>1831</v>
      </c>
    </row>
    <row r="962" spans="1:14" x14ac:dyDescent="0.35">
      <c r="A962" t="s">
        <v>1013</v>
      </c>
      <c r="B962" t="s">
        <v>15</v>
      </c>
      <c r="C962" t="s">
        <v>16</v>
      </c>
      <c r="D962">
        <v>74</v>
      </c>
      <c r="E962" t="s">
        <v>1008</v>
      </c>
      <c r="F962">
        <v>5419</v>
      </c>
      <c r="G962" t="s">
        <v>18</v>
      </c>
      <c r="H962">
        <v>27</v>
      </c>
      <c r="I962" t="s">
        <v>19</v>
      </c>
      <c r="J962">
        <v>1991</v>
      </c>
      <c r="K962">
        <v>1991</v>
      </c>
      <c r="L962" t="s">
        <v>20</v>
      </c>
      <c r="M962">
        <v>19886</v>
      </c>
      <c r="N962">
        <v>1831</v>
      </c>
    </row>
    <row r="963" spans="1:14" x14ac:dyDescent="0.35">
      <c r="A963" t="s">
        <v>1014</v>
      </c>
      <c r="B963" t="s">
        <v>15</v>
      </c>
      <c r="C963" t="s">
        <v>16</v>
      </c>
      <c r="D963">
        <v>74</v>
      </c>
      <c r="E963" t="s">
        <v>1008</v>
      </c>
      <c r="F963">
        <v>5419</v>
      </c>
      <c r="G963" t="s">
        <v>18</v>
      </c>
      <c r="H963">
        <v>27</v>
      </c>
      <c r="I963" t="s">
        <v>19</v>
      </c>
      <c r="J963">
        <v>1992</v>
      </c>
      <c r="K963">
        <v>1992</v>
      </c>
      <c r="L963" t="s">
        <v>20</v>
      </c>
      <c r="M963">
        <v>19995</v>
      </c>
      <c r="N963">
        <v>1831</v>
      </c>
    </row>
    <row r="964" spans="1:14" x14ac:dyDescent="0.35">
      <c r="A964" t="s">
        <v>1015</v>
      </c>
      <c r="B964" t="s">
        <v>15</v>
      </c>
      <c r="C964" t="s">
        <v>16</v>
      </c>
      <c r="D964">
        <v>74</v>
      </c>
      <c r="E964" t="s">
        <v>1008</v>
      </c>
      <c r="F964">
        <v>5419</v>
      </c>
      <c r="G964" t="s">
        <v>18</v>
      </c>
      <c r="H964">
        <v>27</v>
      </c>
      <c r="I964" t="s">
        <v>19</v>
      </c>
      <c r="J964">
        <v>1993</v>
      </c>
      <c r="K964">
        <v>1993</v>
      </c>
      <c r="L964" t="s">
        <v>20</v>
      </c>
      <c r="M964">
        <v>20106</v>
      </c>
      <c r="N964">
        <v>1831</v>
      </c>
    </row>
    <row r="965" spans="1:14" x14ac:dyDescent="0.35">
      <c r="A965" t="s">
        <v>1016</v>
      </c>
      <c r="B965" t="s">
        <v>15</v>
      </c>
      <c r="C965" t="s">
        <v>16</v>
      </c>
      <c r="D965">
        <v>74</v>
      </c>
      <c r="E965" t="s">
        <v>1008</v>
      </c>
      <c r="F965">
        <v>5419</v>
      </c>
      <c r="G965" t="s">
        <v>18</v>
      </c>
      <c r="H965">
        <v>27</v>
      </c>
      <c r="I965" t="s">
        <v>19</v>
      </c>
      <c r="J965">
        <v>1994</v>
      </c>
      <c r="K965">
        <v>1994</v>
      </c>
      <c r="L965" t="s">
        <v>20</v>
      </c>
      <c r="M965">
        <v>20218</v>
      </c>
      <c r="N965">
        <v>1831</v>
      </c>
    </row>
    <row r="966" spans="1:14" x14ac:dyDescent="0.35">
      <c r="A966" t="s">
        <v>1017</v>
      </c>
      <c r="B966" t="s">
        <v>15</v>
      </c>
      <c r="C966" t="s">
        <v>16</v>
      </c>
      <c r="D966">
        <v>74</v>
      </c>
      <c r="E966" t="s">
        <v>1008</v>
      </c>
      <c r="F966">
        <v>5419</v>
      </c>
      <c r="G966" t="s">
        <v>18</v>
      </c>
      <c r="H966">
        <v>27</v>
      </c>
      <c r="I966" t="s">
        <v>19</v>
      </c>
      <c r="J966">
        <v>1995</v>
      </c>
      <c r="K966">
        <v>1995</v>
      </c>
      <c r="L966" t="s">
        <v>20</v>
      </c>
      <c r="M966">
        <v>20332</v>
      </c>
      <c r="N966">
        <v>1831</v>
      </c>
    </row>
    <row r="967" spans="1:14" x14ac:dyDescent="0.35">
      <c r="A967" t="s">
        <v>1018</v>
      </c>
      <c r="B967" t="s">
        <v>15</v>
      </c>
      <c r="C967" t="s">
        <v>16</v>
      </c>
      <c r="D967">
        <v>74</v>
      </c>
      <c r="E967" t="s">
        <v>1008</v>
      </c>
      <c r="F967">
        <v>5419</v>
      </c>
      <c r="G967" t="s">
        <v>18</v>
      </c>
      <c r="H967">
        <v>27</v>
      </c>
      <c r="I967" t="s">
        <v>19</v>
      </c>
      <c r="J967">
        <v>1996</v>
      </c>
      <c r="K967">
        <v>1996</v>
      </c>
      <c r="L967" t="s">
        <v>20</v>
      </c>
      <c r="M967">
        <v>20447</v>
      </c>
      <c r="N967">
        <v>1831</v>
      </c>
    </row>
    <row r="968" spans="1:14" x14ac:dyDescent="0.35">
      <c r="A968" t="s">
        <v>1019</v>
      </c>
      <c r="B968" t="s">
        <v>15</v>
      </c>
      <c r="C968" t="s">
        <v>16</v>
      </c>
      <c r="D968">
        <v>74</v>
      </c>
      <c r="E968" t="s">
        <v>1008</v>
      </c>
      <c r="F968">
        <v>5419</v>
      </c>
      <c r="G968" t="s">
        <v>18</v>
      </c>
      <c r="H968">
        <v>27</v>
      </c>
      <c r="I968" t="s">
        <v>19</v>
      </c>
      <c r="J968">
        <v>1997</v>
      </c>
      <c r="K968">
        <v>1997</v>
      </c>
      <c r="L968" t="s">
        <v>20</v>
      </c>
      <c r="M968">
        <v>20565</v>
      </c>
      <c r="N968">
        <v>1831</v>
      </c>
    </row>
    <row r="969" spans="1:14" x14ac:dyDescent="0.35">
      <c r="A969" t="s">
        <v>1020</v>
      </c>
      <c r="B969" t="s">
        <v>15</v>
      </c>
      <c r="C969" t="s">
        <v>16</v>
      </c>
      <c r="D969">
        <v>74</v>
      </c>
      <c r="E969" t="s">
        <v>1008</v>
      </c>
      <c r="F969">
        <v>5419</v>
      </c>
      <c r="G969" t="s">
        <v>18</v>
      </c>
      <c r="H969">
        <v>27</v>
      </c>
      <c r="I969" t="s">
        <v>19</v>
      </c>
      <c r="J969">
        <v>1998</v>
      </c>
      <c r="K969">
        <v>1998</v>
      </c>
      <c r="L969" t="s">
        <v>20</v>
      </c>
      <c r="M969">
        <v>20686</v>
      </c>
      <c r="N969">
        <v>1831</v>
      </c>
    </row>
    <row r="970" spans="1:14" x14ac:dyDescent="0.35">
      <c r="A970" t="s">
        <v>1021</v>
      </c>
      <c r="B970" t="s">
        <v>15</v>
      </c>
      <c r="C970" t="s">
        <v>16</v>
      </c>
      <c r="D970">
        <v>74</v>
      </c>
      <c r="E970" t="s">
        <v>1008</v>
      </c>
      <c r="F970">
        <v>5419</v>
      </c>
      <c r="G970" t="s">
        <v>18</v>
      </c>
      <c r="H970">
        <v>27</v>
      </c>
      <c r="I970" t="s">
        <v>19</v>
      </c>
      <c r="J970">
        <v>1999</v>
      </c>
      <c r="K970">
        <v>1999</v>
      </c>
      <c r="L970" t="s">
        <v>20</v>
      </c>
      <c r="M970">
        <v>20810</v>
      </c>
      <c r="N970">
        <v>1831</v>
      </c>
    </row>
    <row r="971" spans="1:14" x14ac:dyDescent="0.35">
      <c r="A971" t="s">
        <v>1022</v>
      </c>
      <c r="B971" t="s">
        <v>15</v>
      </c>
      <c r="C971" t="s">
        <v>16</v>
      </c>
      <c r="D971">
        <v>74</v>
      </c>
      <c r="E971" t="s">
        <v>1008</v>
      </c>
      <c r="F971">
        <v>5419</v>
      </c>
      <c r="G971" t="s">
        <v>18</v>
      </c>
      <c r="H971">
        <v>27</v>
      </c>
      <c r="I971" t="s">
        <v>19</v>
      </c>
      <c r="J971">
        <v>2000</v>
      </c>
      <c r="K971">
        <v>2000</v>
      </c>
      <c r="L971" t="s">
        <v>20</v>
      </c>
      <c r="M971">
        <v>20000</v>
      </c>
      <c r="N971">
        <v>1831</v>
      </c>
    </row>
    <row r="972" spans="1:14" x14ac:dyDescent="0.35">
      <c r="A972" t="s">
        <v>1023</v>
      </c>
      <c r="B972" t="s">
        <v>15</v>
      </c>
      <c r="C972" t="s">
        <v>16</v>
      </c>
      <c r="D972">
        <v>74</v>
      </c>
      <c r="E972" t="s">
        <v>1008</v>
      </c>
      <c r="F972">
        <v>5419</v>
      </c>
      <c r="G972" t="s">
        <v>18</v>
      </c>
      <c r="H972">
        <v>27</v>
      </c>
      <c r="I972" t="s">
        <v>19</v>
      </c>
      <c r="J972">
        <v>2001</v>
      </c>
      <c r="K972">
        <v>2001</v>
      </c>
      <c r="L972" t="s">
        <v>20</v>
      </c>
      <c r="M972">
        <v>21295</v>
      </c>
      <c r="N972">
        <v>1831</v>
      </c>
    </row>
    <row r="973" spans="1:14" x14ac:dyDescent="0.35">
      <c r="A973" t="s">
        <v>1024</v>
      </c>
      <c r="B973" t="s">
        <v>15</v>
      </c>
      <c r="C973" t="s">
        <v>16</v>
      </c>
      <c r="D973">
        <v>74</v>
      </c>
      <c r="E973" t="s">
        <v>1008</v>
      </c>
      <c r="F973">
        <v>5419</v>
      </c>
      <c r="G973" t="s">
        <v>18</v>
      </c>
      <c r="H973">
        <v>27</v>
      </c>
      <c r="I973" t="s">
        <v>19</v>
      </c>
      <c r="J973">
        <v>2002</v>
      </c>
      <c r="K973">
        <v>2002</v>
      </c>
      <c r="L973" t="s">
        <v>20</v>
      </c>
      <c r="M973">
        <v>21657</v>
      </c>
      <c r="N973">
        <v>1831</v>
      </c>
    </row>
    <row r="974" spans="1:14" x14ac:dyDescent="0.35">
      <c r="A974" t="s">
        <v>1025</v>
      </c>
      <c r="B974" t="s">
        <v>15</v>
      </c>
      <c r="C974" t="s">
        <v>16</v>
      </c>
      <c r="D974">
        <v>74</v>
      </c>
      <c r="E974" t="s">
        <v>1008</v>
      </c>
      <c r="F974">
        <v>5419</v>
      </c>
      <c r="G974" t="s">
        <v>18</v>
      </c>
      <c r="H974">
        <v>27</v>
      </c>
      <c r="I974" t="s">
        <v>19</v>
      </c>
      <c r="J974">
        <v>2004</v>
      </c>
      <c r="K974">
        <v>2004</v>
      </c>
      <c r="L974" t="s">
        <v>20</v>
      </c>
      <c r="M974">
        <v>22554</v>
      </c>
      <c r="N974">
        <v>1831</v>
      </c>
    </row>
    <row r="975" spans="1:14" x14ac:dyDescent="0.35">
      <c r="A975" t="s">
        <v>1026</v>
      </c>
      <c r="B975" t="s">
        <v>15</v>
      </c>
      <c r="C975" t="s">
        <v>16</v>
      </c>
      <c r="D975">
        <v>74</v>
      </c>
      <c r="E975" t="s">
        <v>1008</v>
      </c>
      <c r="F975">
        <v>5419</v>
      </c>
      <c r="G975" t="s">
        <v>18</v>
      </c>
      <c r="H975">
        <v>27</v>
      </c>
      <c r="I975" t="s">
        <v>19</v>
      </c>
      <c r="J975">
        <v>2005</v>
      </c>
      <c r="K975">
        <v>2005</v>
      </c>
      <c r="L975" t="s">
        <v>20</v>
      </c>
      <c r="M975">
        <v>23088</v>
      </c>
      <c r="N975">
        <v>1831</v>
      </c>
    </row>
    <row r="976" spans="1:14" x14ac:dyDescent="0.35">
      <c r="A976" t="s">
        <v>1027</v>
      </c>
      <c r="B976" t="s">
        <v>15</v>
      </c>
      <c r="C976" t="s">
        <v>16</v>
      </c>
      <c r="D976">
        <v>74</v>
      </c>
      <c r="E976" t="s">
        <v>1008</v>
      </c>
      <c r="F976">
        <v>5419</v>
      </c>
      <c r="G976" t="s">
        <v>18</v>
      </c>
      <c r="H976">
        <v>27</v>
      </c>
      <c r="I976" t="s">
        <v>19</v>
      </c>
      <c r="J976">
        <v>2006</v>
      </c>
      <c r="K976">
        <v>2006</v>
      </c>
      <c r="L976" t="s">
        <v>20</v>
      </c>
      <c r="M976">
        <v>23622</v>
      </c>
      <c r="N976">
        <v>1831</v>
      </c>
    </row>
    <row r="977" spans="1:14" x14ac:dyDescent="0.35">
      <c r="A977" t="s">
        <v>1028</v>
      </c>
      <c r="B977" t="s">
        <v>15</v>
      </c>
      <c r="C977" t="s">
        <v>16</v>
      </c>
      <c r="D977">
        <v>74</v>
      </c>
      <c r="E977" t="s">
        <v>1008</v>
      </c>
      <c r="F977">
        <v>5419</v>
      </c>
      <c r="G977" t="s">
        <v>18</v>
      </c>
      <c r="H977">
        <v>27</v>
      </c>
      <c r="I977" t="s">
        <v>19</v>
      </c>
      <c r="J977">
        <v>2007</v>
      </c>
      <c r="K977">
        <v>2007</v>
      </c>
      <c r="L977" t="s">
        <v>20</v>
      </c>
      <c r="M977">
        <v>24155</v>
      </c>
      <c r="N977">
        <v>1831</v>
      </c>
    </row>
    <row r="978" spans="1:14" x14ac:dyDescent="0.35">
      <c r="A978" t="s">
        <v>1029</v>
      </c>
      <c r="B978" t="s">
        <v>15</v>
      </c>
      <c r="C978" t="s">
        <v>16</v>
      </c>
      <c r="D978">
        <v>74</v>
      </c>
      <c r="E978" t="s">
        <v>1008</v>
      </c>
      <c r="F978">
        <v>5419</v>
      </c>
      <c r="G978" t="s">
        <v>18</v>
      </c>
      <c r="H978">
        <v>27</v>
      </c>
      <c r="I978" t="s">
        <v>19</v>
      </c>
      <c r="J978">
        <v>2008</v>
      </c>
      <c r="K978">
        <v>2008</v>
      </c>
      <c r="L978" t="s">
        <v>20</v>
      </c>
      <c r="M978">
        <v>24688</v>
      </c>
      <c r="N978">
        <v>1831</v>
      </c>
    </row>
    <row r="979" spans="1:14" x14ac:dyDescent="0.35">
      <c r="A979" t="s">
        <v>1030</v>
      </c>
      <c r="B979" t="s">
        <v>15</v>
      </c>
      <c r="C979" t="s">
        <v>16</v>
      </c>
      <c r="D979">
        <v>74</v>
      </c>
      <c r="E979" t="s">
        <v>1008</v>
      </c>
      <c r="F979">
        <v>5419</v>
      </c>
      <c r="G979" t="s">
        <v>18</v>
      </c>
      <c r="H979">
        <v>27</v>
      </c>
      <c r="I979" t="s">
        <v>19</v>
      </c>
      <c r="J979">
        <v>2009</v>
      </c>
      <c r="K979">
        <v>2009</v>
      </c>
      <c r="L979" t="s">
        <v>20</v>
      </c>
      <c r="M979">
        <v>25219</v>
      </c>
      <c r="N979">
        <v>1831</v>
      </c>
    </row>
    <row r="980" spans="1:14" x14ac:dyDescent="0.35">
      <c r="A980" t="s">
        <v>1031</v>
      </c>
      <c r="B980" t="s">
        <v>15</v>
      </c>
      <c r="C980" t="s">
        <v>16</v>
      </c>
      <c r="D980">
        <v>74</v>
      </c>
      <c r="E980" t="s">
        <v>1008</v>
      </c>
      <c r="F980">
        <v>5419</v>
      </c>
      <c r="G980" t="s">
        <v>18</v>
      </c>
      <c r="H980">
        <v>27</v>
      </c>
      <c r="I980" t="s">
        <v>19</v>
      </c>
      <c r="J980">
        <v>2010</v>
      </c>
      <c r="K980">
        <v>2010</v>
      </c>
      <c r="L980" t="s">
        <v>20</v>
      </c>
      <c r="M980">
        <v>25748</v>
      </c>
      <c r="N980">
        <v>1831</v>
      </c>
    </row>
    <row r="981" spans="1:14" x14ac:dyDescent="0.35">
      <c r="A981" t="s">
        <v>1032</v>
      </c>
      <c r="B981" t="s">
        <v>15</v>
      </c>
      <c r="C981" t="s">
        <v>16</v>
      </c>
      <c r="D981">
        <v>74</v>
      </c>
      <c r="E981" t="s">
        <v>1008</v>
      </c>
      <c r="F981">
        <v>5419</v>
      </c>
      <c r="G981" t="s">
        <v>18</v>
      </c>
      <c r="H981">
        <v>27</v>
      </c>
      <c r="I981" t="s">
        <v>19</v>
      </c>
      <c r="J981">
        <v>2011</v>
      </c>
      <c r="K981">
        <v>2011</v>
      </c>
      <c r="L981" t="s">
        <v>20</v>
      </c>
      <c r="M981">
        <v>26273</v>
      </c>
      <c r="N981">
        <v>1831</v>
      </c>
    </row>
    <row r="982" spans="1:14" x14ac:dyDescent="0.35">
      <c r="A982" t="s">
        <v>1033</v>
      </c>
      <c r="B982" t="s">
        <v>15</v>
      </c>
      <c r="C982" t="s">
        <v>16</v>
      </c>
      <c r="D982">
        <v>74</v>
      </c>
      <c r="E982" t="s">
        <v>1008</v>
      </c>
      <c r="F982">
        <v>5419</v>
      </c>
      <c r="G982" t="s">
        <v>18</v>
      </c>
      <c r="H982">
        <v>27</v>
      </c>
      <c r="I982" t="s">
        <v>19</v>
      </c>
      <c r="J982">
        <v>2012</v>
      </c>
      <c r="K982">
        <v>2012</v>
      </c>
      <c r="L982" t="s">
        <v>20</v>
      </c>
      <c r="M982">
        <v>27419</v>
      </c>
      <c r="N982">
        <v>1831</v>
      </c>
    </row>
    <row r="983" spans="1:14" x14ac:dyDescent="0.35">
      <c r="A983" t="s">
        <v>1034</v>
      </c>
      <c r="B983" t="s">
        <v>15</v>
      </c>
      <c r="C983" t="s">
        <v>16</v>
      </c>
      <c r="D983">
        <v>74</v>
      </c>
      <c r="E983" t="s">
        <v>1008</v>
      </c>
      <c r="F983">
        <v>5419</v>
      </c>
      <c r="G983" t="s">
        <v>18</v>
      </c>
      <c r="H983">
        <v>27</v>
      </c>
      <c r="I983" t="s">
        <v>19</v>
      </c>
      <c r="J983">
        <v>2013</v>
      </c>
      <c r="K983">
        <v>2013</v>
      </c>
      <c r="L983" t="s">
        <v>20</v>
      </c>
      <c r="M983">
        <v>27419</v>
      </c>
      <c r="N983">
        <v>1831</v>
      </c>
    </row>
    <row r="984" spans="1:14" x14ac:dyDescent="0.35">
      <c r="A984" t="s">
        <v>1035</v>
      </c>
      <c r="B984" t="s">
        <v>15</v>
      </c>
      <c r="C984" t="s">
        <v>16</v>
      </c>
      <c r="D984">
        <v>74</v>
      </c>
      <c r="E984" t="s">
        <v>1008</v>
      </c>
      <c r="F984">
        <v>5419</v>
      </c>
      <c r="G984" t="s">
        <v>18</v>
      </c>
      <c r="H984">
        <v>27</v>
      </c>
      <c r="I984" t="s">
        <v>19</v>
      </c>
      <c r="J984">
        <v>2014</v>
      </c>
      <c r="K984">
        <v>2014</v>
      </c>
      <c r="L984" t="s">
        <v>20</v>
      </c>
      <c r="M984">
        <v>27450</v>
      </c>
      <c r="N984">
        <v>1831</v>
      </c>
    </row>
    <row r="985" spans="1:14" x14ac:dyDescent="0.35">
      <c r="A985" t="s">
        <v>1036</v>
      </c>
      <c r="B985" t="s">
        <v>15</v>
      </c>
      <c r="C985" t="s">
        <v>16</v>
      </c>
      <c r="D985">
        <v>74</v>
      </c>
      <c r="E985" t="s">
        <v>1008</v>
      </c>
      <c r="F985">
        <v>5419</v>
      </c>
      <c r="G985" t="s">
        <v>18</v>
      </c>
      <c r="H985">
        <v>27</v>
      </c>
      <c r="I985" t="s">
        <v>19</v>
      </c>
      <c r="J985">
        <v>2015</v>
      </c>
      <c r="K985">
        <v>2015</v>
      </c>
      <c r="L985" t="s">
        <v>20</v>
      </c>
      <c r="M985">
        <v>27935</v>
      </c>
      <c r="N985">
        <v>1831</v>
      </c>
    </row>
    <row r="986" spans="1:14" x14ac:dyDescent="0.35">
      <c r="A986" t="s">
        <v>1037</v>
      </c>
      <c r="B986" t="s">
        <v>15</v>
      </c>
      <c r="C986" t="s">
        <v>16</v>
      </c>
      <c r="D986">
        <v>74</v>
      </c>
      <c r="E986" t="s">
        <v>1008</v>
      </c>
      <c r="F986">
        <v>5419</v>
      </c>
      <c r="G986" t="s">
        <v>18</v>
      </c>
      <c r="H986">
        <v>27</v>
      </c>
      <c r="I986" t="s">
        <v>19</v>
      </c>
      <c r="J986">
        <v>2016</v>
      </c>
      <c r="K986">
        <v>2016</v>
      </c>
      <c r="L986" t="s">
        <v>20</v>
      </c>
      <c r="M986">
        <v>28453</v>
      </c>
      <c r="N986">
        <v>1831</v>
      </c>
    </row>
    <row r="987" spans="1:14" x14ac:dyDescent="0.35">
      <c r="A987" t="s">
        <v>1038</v>
      </c>
      <c r="B987" t="s">
        <v>15</v>
      </c>
      <c r="C987" t="s">
        <v>16</v>
      </c>
      <c r="D987">
        <v>75</v>
      </c>
      <c r="E987" t="s">
        <v>1039</v>
      </c>
      <c r="F987">
        <v>5419</v>
      </c>
      <c r="G987" t="s">
        <v>18</v>
      </c>
      <c r="H987">
        <v>27</v>
      </c>
      <c r="I987" t="s">
        <v>19</v>
      </c>
      <c r="J987">
        <v>1985</v>
      </c>
      <c r="K987">
        <v>1985</v>
      </c>
      <c r="L987" t="s">
        <v>20</v>
      </c>
      <c r="M987">
        <v>19091</v>
      </c>
      <c r="N987">
        <v>836</v>
      </c>
    </row>
    <row r="988" spans="1:14" x14ac:dyDescent="0.35">
      <c r="A988" t="s">
        <v>1040</v>
      </c>
      <c r="B988" t="s">
        <v>15</v>
      </c>
      <c r="C988" t="s">
        <v>16</v>
      </c>
      <c r="D988">
        <v>75</v>
      </c>
      <c r="E988" t="s">
        <v>1039</v>
      </c>
      <c r="F988">
        <v>5419</v>
      </c>
      <c r="G988" t="s">
        <v>18</v>
      </c>
      <c r="H988">
        <v>27</v>
      </c>
      <c r="I988" t="s">
        <v>19</v>
      </c>
      <c r="J988">
        <v>1986</v>
      </c>
      <c r="K988">
        <v>1986</v>
      </c>
      <c r="L988" t="s">
        <v>20</v>
      </c>
      <c r="M988">
        <v>16071</v>
      </c>
      <c r="N988">
        <v>836</v>
      </c>
    </row>
    <row r="989" spans="1:14" x14ac:dyDescent="0.35">
      <c r="A989" t="s">
        <v>1041</v>
      </c>
      <c r="B989" t="s">
        <v>15</v>
      </c>
      <c r="C989" t="s">
        <v>16</v>
      </c>
      <c r="D989">
        <v>75</v>
      </c>
      <c r="E989" t="s">
        <v>1039</v>
      </c>
      <c r="F989">
        <v>5419</v>
      </c>
      <c r="G989" t="s">
        <v>18</v>
      </c>
      <c r="H989">
        <v>27</v>
      </c>
      <c r="I989" t="s">
        <v>19</v>
      </c>
      <c r="J989">
        <v>1987</v>
      </c>
      <c r="K989">
        <v>1987</v>
      </c>
      <c r="L989" t="s">
        <v>20</v>
      </c>
      <c r="M989">
        <v>12825</v>
      </c>
      <c r="N989">
        <v>836</v>
      </c>
    </row>
    <row r="990" spans="1:14" x14ac:dyDescent="0.35">
      <c r="A990" t="s">
        <v>1042</v>
      </c>
      <c r="B990" t="s">
        <v>15</v>
      </c>
      <c r="C990" t="s">
        <v>16</v>
      </c>
      <c r="D990">
        <v>75</v>
      </c>
      <c r="E990" t="s">
        <v>1039</v>
      </c>
      <c r="F990">
        <v>5419</v>
      </c>
      <c r="G990" t="s">
        <v>18</v>
      </c>
      <c r="H990">
        <v>27</v>
      </c>
      <c r="I990" t="s">
        <v>19</v>
      </c>
      <c r="J990">
        <v>1989</v>
      </c>
      <c r="K990">
        <v>1989</v>
      </c>
      <c r="L990" t="s">
        <v>20</v>
      </c>
      <c r="M990">
        <v>15111</v>
      </c>
      <c r="N990">
        <v>836</v>
      </c>
    </row>
    <row r="991" spans="1:14" x14ac:dyDescent="0.35">
      <c r="A991" t="s">
        <v>1043</v>
      </c>
      <c r="B991" t="s">
        <v>15</v>
      </c>
      <c r="C991" t="s">
        <v>16</v>
      </c>
      <c r="D991">
        <v>75</v>
      </c>
      <c r="E991" t="s">
        <v>1039</v>
      </c>
      <c r="F991">
        <v>5419</v>
      </c>
      <c r="G991" t="s">
        <v>18</v>
      </c>
      <c r="H991">
        <v>27</v>
      </c>
      <c r="I991" t="s">
        <v>19</v>
      </c>
      <c r="J991">
        <v>1990</v>
      </c>
      <c r="K991">
        <v>1990</v>
      </c>
      <c r="L991" t="s">
        <v>20</v>
      </c>
      <c r="M991">
        <v>14671</v>
      </c>
      <c r="N991">
        <v>836</v>
      </c>
    </row>
    <row r="992" spans="1:14" x14ac:dyDescent="0.35">
      <c r="A992" t="s">
        <v>1044</v>
      </c>
      <c r="B992" t="s">
        <v>15</v>
      </c>
      <c r="C992" t="s">
        <v>16</v>
      </c>
      <c r="D992">
        <v>75</v>
      </c>
      <c r="E992" t="s">
        <v>1039</v>
      </c>
      <c r="F992">
        <v>5419</v>
      </c>
      <c r="G992" t="s">
        <v>18</v>
      </c>
      <c r="H992">
        <v>27</v>
      </c>
      <c r="I992" t="s">
        <v>19</v>
      </c>
      <c r="J992">
        <v>1991</v>
      </c>
      <c r="K992">
        <v>1991</v>
      </c>
      <c r="L992" t="s">
        <v>20</v>
      </c>
      <c r="M992">
        <v>15265</v>
      </c>
      <c r="N992">
        <v>836</v>
      </c>
    </row>
    <row r="993" spans="1:14" x14ac:dyDescent="0.35">
      <c r="A993" t="s">
        <v>1045</v>
      </c>
      <c r="B993" t="s">
        <v>15</v>
      </c>
      <c r="C993" t="s">
        <v>16</v>
      </c>
      <c r="D993">
        <v>75</v>
      </c>
      <c r="E993" t="s">
        <v>1039</v>
      </c>
      <c r="F993">
        <v>5419</v>
      </c>
      <c r="G993" t="s">
        <v>18</v>
      </c>
      <c r="H993">
        <v>27</v>
      </c>
      <c r="I993" t="s">
        <v>19</v>
      </c>
      <c r="J993">
        <v>1992</v>
      </c>
      <c r="K993">
        <v>1992</v>
      </c>
      <c r="L993" t="s">
        <v>20</v>
      </c>
      <c r="M993">
        <v>17298</v>
      </c>
      <c r="N993">
        <v>836</v>
      </c>
    </row>
    <row r="994" spans="1:14" x14ac:dyDescent="0.35">
      <c r="A994" t="s">
        <v>1046</v>
      </c>
      <c r="B994" t="s">
        <v>15</v>
      </c>
      <c r="C994" t="s">
        <v>16</v>
      </c>
      <c r="D994">
        <v>75</v>
      </c>
      <c r="E994" t="s">
        <v>1039</v>
      </c>
      <c r="F994">
        <v>5419</v>
      </c>
      <c r="G994" t="s">
        <v>18</v>
      </c>
      <c r="H994">
        <v>27</v>
      </c>
      <c r="I994" t="s">
        <v>19</v>
      </c>
      <c r="J994">
        <v>1993</v>
      </c>
      <c r="K994">
        <v>1993</v>
      </c>
      <c r="L994" t="s">
        <v>20</v>
      </c>
      <c r="M994">
        <v>14601</v>
      </c>
      <c r="N994">
        <v>836</v>
      </c>
    </row>
    <row r="995" spans="1:14" x14ac:dyDescent="0.35">
      <c r="A995" t="s">
        <v>1047</v>
      </c>
      <c r="B995" t="s">
        <v>15</v>
      </c>
      <c r="C995" t="s">
        <v>16</v>
      </c>
      <c r="D995">
        <v>75</v>
      </c>
      <c r="E995" t="s">
        <v>1039</v>
      </c>
      <c r="F995">
        <v>5419</v>
      </c>
      <c r="G995" t="s">
        <v>18</v>
      </c>
      <c r="H995">
        <v>27</v>
      </c>
      <c r="I995" t="s">
        <v>19</v>
      </c>
      <c r="J995">
        <v>1994</v>
      </c>
      <c r="K995">
        <v>1994</v>
      </c>
      <c r="L995" t="s">
        <v>20</v>
      </c>
      <c r="M995">
        <v>15390</v>
      </c>
      <c r="N995">
        <v>836</v>
      </c>
    </row>
    <row r="996" spans="1:14" x14ac:dyDescent="0.35">
      <c r="A996" t="s">
        <v>1048</v>
      </c>
      <c r="B996" t="s">
        <v>15</v>
      </c>
      <c r="C996" t="s">
        <v>16</v>
      </c>
      <c r="D996">
        <v>75</v>
      </c>
      <c r="E996" t="s">
        <v>1039</v>
      </c>
      <c r="F996">
        <v>5419</v>
      </c>
      <c r="G996" t="s">
        <v>18</v>
      </c>
      <c r="H996">
        <v>27</v>
      </c>
      <c r="I996" t="s">
        <v>19</v>
      </c>
      <c r="J996">
        <v>1995</v>
      </c>
      <c r="K996">
        <v>1995</v>
      </c>
      <c r="L996" t="s">
        <v>20</v>
      </c>
      <c r="M996">
        <v>12304</v>
      </c>
      <c r="N996">
        <v>836</v>
      </c>
    </row>
    <row r="997" spans="1:14" x14ac:dyDescent="0.35">
      <c r="A997" t="s">
        <v>1049</v>
      </c>
      <c r="B997" t="s">
        <v>15</v>
      </c>
      <c r="C997" t="s">
        <v>16</v>
      </c>
      <c r="D997">
        <v>75</v>
      </c>
      <c r="E997" t="s">
        <v>1039</v>
      </c>
      <c r="F997">
        <v>5419</v>
      </c>
      <c r="G997" t="s">
        <v>18</v>
      </c>
      <c r="H997">
        <v>27</v>
      </c>
      <c r="I997" t="s">
        <v>19</v>
      </c>
      <c r="J997">
        <v>1996</v>
      </c>
      <c r="K997">
        <v>1996</v>
      </c>
      <c r="L997" t="s">
        <v>20</v>
      </c>
      <c r="M997">
        <v>10676</v>
      </c>
      <c r="N997">
        <v>836</v>
      </c>
    </row>
    <row r="998" spans="1:14" x14ac:dyDescent="0.35">
      <c r="A998" t="s">
        <v>1050</v>
      </c>
      <c r="B998" t="s">
        <v>15</v>
      </c>
      <c r="C998" t="s">
        <v>16</v>
      </c>
      <c r="D998">
        <v>75</v>
      </c>
      <c r="E998" t="s">
        <v>1039</v>
      </c>
      <c r="F998">
        <v>5419</v>
      </c>
      <c r="G998" t="s">
        <v>18</v>
      </c>
      <c r="H998">
        <v>27</v>
      </c>
      <c r="I998" t="s">
        <v>19</v>
      </c>
      <c r="J998">
        <v>1997</v>
      </c>
      <c r="K998">
        <v>1997</v>
      </c>
      <c r="L998" t="s">
        <v>20</v>
      </c>
      <c r="M998">
        <v>10236</v>
      </c>
      <c r="N998">
        <v>836</v>
      </c>
    </row>
    <row r="999" spans="1:14" x14ac:dyDescent="0.35">
      <c r="A999" t="s">
        <v>1051</v>
      </c>
      <c r="B999" t="s">
        <v>15</v>
      </c>
      <c r="C999" t="s">
        <v>16</v>
      </c>
      <c r="D999">
        <v>75</v>
      </c>
      <c r="E999" t="s">
        <v>1039</v>
      </c>
      <c r="F999">
        <v>5419</v>
      </c>
      <c r="G999" t="s">
        <v>18</v>
      </c>
      <c r="H999">
        <v>27</v>
      </c>
      <c r="I999" t="s">
        <v>19</v>
      </c>
      <c r="J999">
        <v>1998</v>
      </c>
      <c r="K999">
        <v>1998</v>
      </c>
      <c r="L999" t="s">
        <v>20</v>
      </c>
      <c r="M999">
        <v>13429</v>
      </c>
      <c r="N999">
        <v>836</v>
      </c>
    </row>
    <row r="1000" spans="1:14" x14ac:dyDescent="0.35">
      <c r="A1000" t="s">
        <v>1052</v>
      </c>
      <c r="B1000" t="s">
        <v>15</v>
      </c>
      <c r="C1000" t="s">
        <v>16</v>
      </c>
      <c r="D1000">
        <v>75</v>
      </c>
      <c r="E1000" t="s">
        <v>1039</v>
      </c>
      <c r="F1000">
        <v>5419</v>
      </c>
      <c r="G1000" t="s">
        <v>18</v>
      </c>
      <c r="H1000">
        <v>27</v>
      </c>
      <c r="I1000" t="s">
        <v>19</v>
      </c>
      <c r="J1000">
        <v>1999</v>
      </c>
      <c r="K1000">
        <v>1999</v>
      </c>
      <c r="L1000" t="s">
        <v>20</v>
      </c>
      <c r="M1000">
        <v>21712</v>
      </c>
      <c r="N1000">
        <v>836</v>
      </c>
    </row>
    <row r="1001" spans="1:14" x14ac:dyDescent="0.35">
      <c r="A1001" t="s">
        <v>1053</v>
      </c>
      <c r="B1001" t="s">
        <v>15</v>
      </c>
      <c r="C1001" t="s">
        <v>16</v>
      </c>
      <c r="D1001">
        <v>75</v>
      </c>
      <c r="E1001" t="s">
        <v>1039</v>
      </c>
      <c r="F1001">
        <v>5419</v>
      </c>
      <c r="G1001" t="s">
        <v>18</v>
      </c>
      <c r="H1001">
        <v>27</v>
      </c>
      <c r="I1001" t="s">
        <v>19</v>
      </c>
      <c r="J1001">
        <v>2000</v>
      </c>
      <c r="K1001">
        <v>2000</v>
      </c>
      <c r="L1001" t="s">
        <v>20</v>
      </c>
      <c r="M1001">
        <v>22143</v>
      </c>
      <c r="N1001">
        <v>836</v>
      </c>
    </row>
    <row r="1002" spans="1:14" x14ac:dyDescent="0.35">
      <c r="A1002" t="s">
        <v>1054</v>
      </c>
      <c r="B1002" t="s">
        <v>15</v>
      </c>
      <c r="C1002" t="s">
        <v>16</v>
      </c>
      <c r="D1002">
        <v>75</v>
      </c>
      <c r="E1002" t="s">
        <v>1039</v>
      </c>
      <c r="F1002">
        <v>5419</v>
      </c>
      <c r="G1002" t="s">
        <v>18</v>
      </c>
      <c r="H1002">
        <v>27</v>
      </c>
      <c r="I1002" t="s">
        <v>19</v>
      </c>
      <c r="J1002">
        <v>2001</v>
      </c>
      <c r="K1002">
        <v>2001</v>
      </c>
      <c r="L1002" t="s">
        <v>20</v>
      </c>
      <c r="M1002">
        <v>23286</v>
      </c>
      <c r="N1002">
        <v>836</v>
      </c>
    </row>
    <row r="1003" spans="1:14" x14ac:dyDescent="0.35">
      <c r="A1003" t="s">
        <v>1055</v>
      </c>
      <c r="B1003" t="s">
        <v>15</v>
      </c>
      <c r="C1003" t="s">
        <v>16</v>
      </c>
      <c r="D1003">
        <v>75</v>
      </c>
      <c r="E1003" t="s">
        <v>1039</v>
      </c>
      <c r="F1003">
        <v>5419</v>
      </c>
      <c r="G1003" t="s">
        <v>18</v>
      </c>
      <c r="H1003">
        <v>27</v>
      </c>
      <c r="I1003" t="s">
        <v>19</v>
      </c>
      <c r="J1003">
        <v>2002</v>
      </c>
      <c r="K1003">
        <v>2002</v>
      </c>
      <c r="L1003" t="s">
        <v>20</v>
      </c>
      <c r="M1003">
        <v>20452</v>
      </c>
      <c r="N1003">
        <v>836</v>
      </c>
    </row>
    <row r="1004" spans="1:14" x14ac:dyDescent="0.35">
      <c r="A1004" t="s">
        <v>1056</v>
      </c>
      <c r="B1004" t="s">
        <v>15</v>
      </c>
      <c r="C1004" t="s">
        <v>16</v>
      </c>
      <c r="D1004">
        <v>75</v>
      </c>
      <c r="E1004" t="s">
        <v>1039</v>
      </c>
      <c r="F1004">
        <v>5419</v>
      </c>
      <c r="G1004" t="s">
        <v>18</v>
      </c>
      <c r="H1004">
        <v>27</v>
      </c>
      <c r="I1004" t="s">
        <v>19</v>
      </c>
      <c r="J1004">
        <v>2004</v>
      </c>
      <c r="K1004">
        <v>2004</v>
      </c>
      <c r="L1004" t="s">
        <v>20</v>
      </c>
      <c r="M1004">
        <v>20375</v>
      </c>
      <c r="N1004">
        <v>836</v>
      </c>
    </row>
    <row r="1005" spans="1:14" x14ac:dyDescent="0.35">
      <c r="A1005" t="s">
        <v>1057</v>
      </c>
      <c r="B1005" t="s">
        <v>15</v>
      </c>
      <c r="C1005" t="s">
        <v>16</v>
      </c>
      <c r="D1005">
        <v>75</v>
      </c>
      <c r="E1005" t="s">
        <v>1039</v>
      </c>
      <c r="F1005">
        <v>5419</v>
      </c>
      <c r="G1005" t="s">
        <v>18</v>
      </c>
      <c r="H1005">
        <v>27</v>
      </c>
      <c r="I1005" t="s">
        <v>19</v>
      </c>
      <c r="J1005">
        <v>2005</v>
      </c>
      <c r="K1005">
        <v>2005</v>
      </c>
      <c r="L1005" t="s">
        <v>20</v>
      </c>
      <c r="M1005">
        <v>10034</v>
      </c>
      <c r="N1005">
        <v>836</v>
      </c>
    </row>
    <row r="1006" spans="1:14" x14ac:dyDescent="0.35">
      <c r="A1006" t="s">
        <v>1058</v>
      </c>
      <c r="B1006" t="s">
        <v>15</v>
      </c>
      <c r="C1006" t="s">
        <v>16</v>
      </c>
      <c r="D1006">
        <v>75</v>
      </c>
      <c r="E1006" t="s">
        <v>1039</v>
      </c>
      <c r="F1006">
        <v>5419</v>
      </c>
      <c r="G1006" t="s">
        <v>18</v>
      </c>
      <c r="H1006">
        <v>27</v>
      </c>
      <c r="I1006" t="s">
        <v>19</v>
      </c>
      <c r="J1006">
        <v>2006</v>
      </c>
      <c r="K1006">
        <v>2006</v>
      </c>
      <c r="L1006" t="s">
        <v>20</v>
      </c>
      <c r="M1006">
        <v>16910</v>
      </c>
      <c r="N1006">
        <v>836</v>
      </c>
    </row>
    <row r="1007" spans="1:14" x14ac:dyDescent="0.35">
      <c r="A1007" t="s">
        <v>1059</v>
      </c>
      <c r="B1007" t="s">
        <v>15</v>
      </c>
      <c r="C1007" t="s">
        <v>16</v>
      </c>
      <c r="D1007">
        <v>75</v>
      </c>
      <c r="E1007" t="s">
        <v>1039</v>
      </c>
      <c r="F1007">
        <v>5419</v>
      </c>
      <c r="G1007" t="s">
        <v>18</v>
      </c>
      <c r="H1007">
        <v>27</v>
      </c>
      <c r="I1007" t="s">
        <v>19</v>
      </c>
      <c r="J1007">
        <v>2007</v>
      </c>
      <c r="K1007">
        <v>2007</v>
      </c>
      <c r="L1007" t="s">
        <v>20</v>
      </c>
      <c r="M1007">
        <v>6861</v>
      </c>
      <c r="N1007">
        <v>836</v>
      </c>
    </row>
    <row r="1008" spans="1:14" x14ac:dyDescent="0.35">
      <c r="A1008" t="s">
        <v>1060</v>
      </c>
      <c r="B1008" t="s">
        <v>15</v>
      </c>
      <c r="C1008" t="s">
        <v>16</v>
      </c>
      <c r="D1008">
        <v>75</v>
      </c>
      <c r="E1008" t="s">
        <v>1039</v>
      </c>
      <c r="F1008">
        <v>5419</v>
      </c>
      <c r="G1008" t="s">
        <v>18</v>
      </c>
      <c r="H1008">
        <v>27</v>
      </c>
      <c r="I1008" t="s">
        <v>19</v>
      </c>
      <c r="J1008">
        <v>2008</v>
      </c>
      <c r="K1008">
        <v>2008</v>
      </c>
      <c r="L1008" t="s">
        <v>20</v>
      </c>
      <c r="M1008">
        <v>11265</v>
      </c>
      <c r="N1008">
        <v>836</v>
      </c>
    </row>
    <row r="1009" spans="1:14" x14ac:dyDescent="0.35">
      <c r="A1009" t="s">
        <v>1061</v>
      </c>
      <c r="B1009" t="s">
        <v>15</v>
      </c>
      <c r="C1009" t="s">
        <v>16</v>
      </c>
      <c r="D1009">
        <v>75</v>
      </c>
      <c r="E1009" t="s">
        <v>1039</v>
      </c>
      <c r="F1009">
        <v>5419</v>
      </c>
      <c r="G1009" t="s">
        <v>18</v>
      </c>
      <c r="H1009">
        <v>27</v>
      </c>
      <c r="I1009" t="s">
        <v>19</v>
      </c>
      <c r="J1009">
        <v>2009</v>
      </c>
      <c r="K1009">
        <v>2009</v>
      </c>
      <c r="L1009" t="s">
        <v>20</v>
      </c>
      <c r="M1009">
        <v>10822</v>
      </c>
      <c r="N1009">
        <v>836</v>
      </c>
    </row>
    <row r="1010" spans="1:14" x14ac:dyDescent="0.35">
      <c r="A1010" t="s">
        <v>1062</v>
      </c>
      <c r="B1010" t="s">
        <v>15</v>
      </c>
      <c r="C1010" t="s">
        <v>16</v>
      </c>
      <c r="D1010">
        <v>75</v>
      </c>
      <c r="E1010" t="s">
        <v>1039</v>
      </c>
      <c r="F1010">
        <v>5419</v>
      </c>
      <c r="G1010" t="s">
        <v>18</v>
      </c>
      <c r="H1010">
        <v>27</v>
      </c>
      <c r="I1010" t="s">
        <v>19</v>
      </c>
      <c r="J1010">
        <v>2010</v>
      </c>
      <c r="K1010">
        <v>2010</v>
      </c>
      <c r="L1010" t="s">
        <v>20</v>
      </c>
      <c r="M1010">
        <v>11595</v>
      </c>
      <c r="N1010">
        <v>836</v>
      </c>
    </row>
    <row r="1011" spans="1:14" x14ac:dyDescent="0.35">
      <c r="A1011" t="s">
        <v>1063</v>
      </c>
      <c r="B1011" t="s">
        <v>15</v>
      </c>
      <c r="C1011" t="s">
        <v>16</v>
      </c>
      <c r="D1011">
        <v>75</v>
      </c>
      <c r="E1011" t="s">
        <v>1039</v>
      </c>
      <c r="F1011">
        <v>5419</v>
      </c>
      <c r="G1011" t="s">
        <v>18</v>
      </c>
      <c r="H1011">
        <v>27</v>
      </c>
      <c r="I1011" t="s">
        <v>19</v>
      </c>
      <c r="J1011">
        <v>2011</v>
      </c>
      <c r="K1011">
        <v>2011</v>
      </c>
      <c r="L1011" t="s">
        <v>20</v>
      </c>
      <c r="M1011">
        <v>12168</v>
      </c>
      <c r="N1011">
        <v>836</v>
      </c>
    </row>
    <row r="1012" spans="1:14" x14ac:dyDescent="0.35">
      <c r="A1012" t="s">
        <v>1064</v>
      </c>
      <c r="B1012" t="s">
        <v>15</v>
      </c>
      <c r="C1012" t="s">
        <v>16</v>
      </c>
      <c r="D1012">
        <v>75</v>
      </c>
      <c r="E1012" t="s">
        <v>1039</v>
      </c>
      <c r="F1012">
        <v>5419</v>
      </c>
      <c r="G1012" t="s">
        <v>18</v>
      </c>
      <c r="H1012">
        <v>27</v>
      </c>
      <c r="I1012" t="s">
        <v>19</v>
      </c>
      <c r="J1012">
        <v>2012</v>
      </c>
      <c r="K1012">
        <v>2012</v>
      </c>
      <c r="L1012" t="s">
        <v>20</v>
      </c>
      <c r="M1012">
        <v>8526</v>
      </c>
      <c r="N1012">
        <v>836</v>
      </c>
    </row>
    <row r="1013" spans="1:14" x14ac:dyDescent="0.35">
      <c r="A1013" t="s">
        <v>1065</v>
      </c>
      <c r="B1013" t="s">
        <v>15</v>
      </c>
      <c r="C1013" t="s">
        <v>16</v>
      </c>
      <c r="D1013">
        <v>75</v>
      </c>
      <c r="E1013" t="s">
        <v>1039</v>
      </c>
      <c r="F1013">
        <v>5419</v>
      </c>
      <c r="G1013" t="s">
        <v>18</v>
      </c>
      <c r="H1013">
        <v>27</v>
      </c>
      <c r="I1013" t="s">
        <v>19</v>
      </c>
      <c r="J1013">
        <v>2013</v>
      </c>
      <c r="K1013">
        <v>2013</v>
      </c>
      <c r="L1013" t="s">
        <v>20</v>
      </c>
      <c r="M1013">
        <v>10501</v>
      </c>
      <c r="N1013">
        <v>836</v>
      </c>
    </row>
    <row r="1014" spans="1:14" x14ac:dyDescent="0.35">
      <c r="A1014" t="s">
        <v>1066</v>
      </c>
      <c r="B1014" t="s">
        <v>15</v>
      </c>
      <c r="C1014" t="s">
        <v>16</v>
      </c>
      <c r="D1014">
        <v>75</v>
      </c>
      <c r="E1014" t="s">
        <v>1039</v>
      </c>
      <c r="F1014">
        <v>5419</v>
      </c>
      <c r="G1014" t="s">
        <v>18</v>
      </c>
      <c r="H1014">
        <v>27</v>
      </c>
      <c r="I1014" t="s">
        <v>19</v>
      </c>
      <c r="J1014">
        <v>2014</v>
      </c>
      <c r="K1014">
        <v>2014</v>
      </c>
      <c r="L1014" t="s">
        <v>20</v>
      </c>
      <c r="M1014">
        <v>7041</v>
      </c>
      <c r="N1014">
        <v>836</v>
      </c>
    </row>
    <row r="1015" spans="1:14" x14ac:dyDescent="0.35">
      <c r="A1015" t="s">
        <v>1067</v>
      </c>
      <c r="B1015" t="s">
        <v>15</v>
      </c>
      <c r="C1015" t="s">
        <v>16</v>
      </c>
      <c r="D1015">
        <v>75</v>
      </c>
      <c r="E1015" t="s">
        <v>1039</v>
      </c>
      <c r="F1015">
        <v>5419</v>
      </c>
      <c r="G1015" t="s">
        <v>18</v>
      </c>
      <c r="H1015">
        <v>27</v>
      </c>
      <c r="I1015" t="s">
        <v>19</v>
      </c>
      <c r="J1015">
        <v>2015</v>
      </c>
      <c r="K1015">
        <v>2015</v>
      </c>
      <c r="L1015" t="s">
        <v>20</v>
      </c>
      <c r="M1015">
        <v>7717</v>
      </c>
      <c r="N1015">
        <v>836</v>
      </c>
    </row>
    <row r="1016" spans="1:14" x14ac:dyDescent="0.35">
      <c r="A1016" t="s">
        <v>1068</v>
      </c>
      <c r="B1016" t="s">
        <v>15</v>
      </c>
      <c r="C1016" t="s">
        <v>16</v>
      </c>
      <c r="D1016">
        <v>75</v>
      </c>
      <c r="E1016" t="s">
        <v>1039</v>
      </c>
      <c r="F1016">
        <v>5419</v>
      </c>
      <c r="G1016" t="s">
        <v>18</v>
      </c>
      <c r="H1016">
        <v>27</v>
      </c>
      <c r="I1016" t="s">
        <v>19</v>
      </c>
      <c r="J1016">
        <v>2016</v>
      </c>
      <c r="K1016">
        <v>2016</v>
      </c>
      <c r="L1016" t="s">
        <v>20</v>
      </c>
      <c r="M1016">
        <v>7424</v>
      </c>
      <c r="N1016">
        <v>836</v>
      </c>
    </row>
    <row r="1017" spans="1:14" x14ac:dyDescent="0.35">
      <c r="A1017" t="s">
        <v>1069</v>
      </c>
      <c r="B1017" t="s">
        <v>15</v>
      </c>
      <c r="C1017" t="s">
        <v>16</v>
      </c>
      <c r="D1017">
        <v>81</v>
      </c>
      <c r="E1017" t="s">
        <v>1070</v>
      </c>
      <c r="F1017">
        <v>5419</v>
      </c>
      <c r="G1017" t="s">
        <v>18</v>
      </c>
      <c r="H1017">
        <v>27</v>
      </c>
      <c r="I1017" t="s">
        <v>19</v>
      </c>
      <c r="J1017">
        <v>1985</v>
      </c>
      <c r="K1017">
        <v>1985</v>
      </c>
      <c r="L1017" t="s">
        <v>20</v>
      </c>
      <c r="M1017">
        <v>11765</v>
      </c>
      <c r="N1017">
        <v>1187</v>
      </c>
    </row>
    <row r="1018" spans="1:14" x14ac:dyDescent="0.35">
      <c r="A1018" t="s">
        <v>1071</v>
      </c>
      <c r="B1018" t="s">
        <v>15</v>
      </c>
      <c r="C1018" t="s">
        <v>16</v>
      </c>
      <c r="D1018">
        <v>81</v>
      </c>
      <c r="E1018" t="s">
        <v>1070</v>
      </c>
      <c r="F1018">
        <v>5419</v>
      </c>
      <c r="G1018" t="s">
        <v>18</v>
      </c>
      <c r="H1018">
        <v>27</v>
      </c>
      <c r="I1018" t="s">
        <v>19</v>
      </c>
      <c r="J1018">
        <v>1986</v>
      </c>
      <c r="K1018">
        <v>1986</v>
      </c>
      <c r="L1018" t="s">
        <v>20</v>
      </c>
      <c r="M1018">
        <v>9146</v>
      </c>
      <c r="N1018">
        <v>1187</v>
      </c>
    </row>
    <row r="1019" spans="1:14" x14ac:dyDescent="0.35">
      <c r="A1019" t="s">
        <v>1072</v>
      </c>
      <c r="B1019" t="s">
        <v>15</v>
      </c>
      <c r="C1019" t="s">
        <v>16</v>
      </c>
      <c r="D1019">
        <v>81</v>
      </c>
      <c r="E1019" t="s">
        <v>1070</v>
      </c>
      <c r="F1019">
        <v>5419</v>
      </c>
      <c r="G1019" t="s">
        <v>18</v>
      </c>
      <c r="H1019">
        <v>27</v>
      </c>
      <c r="I1019" t="s">
        <v>19</v>
      </c>
      <c r="J1019">
        <v>1987</v>
      </c>
      <c r="K1019">
        <v>1987</v>
      </c>
      <c r="L1019" t="s">
        <v>20</v>
      </c>
      <c r="M1019">
        <v>11208</v>
      </c>
      <c r="N1019">
        <v>1187</v>
      </c>
    </row>
    <row r="1020" spans="1:14" x14ac:dyDescent="0.35">
      <c r="A1020" t="s">
        <v>1073</v>
      </c>
      <c r="B1020" t="s">
        <v>15</v>
      </c>
      <c r="C1020" t="s">
        <v>16</v>
      </c>
      <c r="D1020">
        <v>81</v>
      </c>
      <c r="E1020" t="s">
        <v>1070</v>
      </c>
      <c r="F1020">
        <v>5419</v>
      </c>
      <c r="G1020" t="s">
        <v>18</v>
      </c>
      <c r="H1020">
        <v>27</v>
      </c>
      <c r="I1020" t="s">
        <v>19</v>
      </c>
      <c r="J1020">
        <v>1989</v>
      </c>
      <c r="K1020">
        <v>1989</v>
      </c>
      <c r="L1020" t="s">
        <v>20</v>
      </c>
      <c r="M1020">
        <v>10293</v>
      </c>
      <c r="N1020">
        <v>1187</v>
      </c>
    </row>
    <row r="1021" spans="1:14" x14ac:dyDescent="0.35">
      <c r="A1021" t="s">
        <v>1074</v>
      </c>
      <c r="B1021" t="s">
        <v>15</v>
      </c>
      <c r="C1021" t="s">
        <v>16</v>
      </c>
      <c r="D1021">
        <v>81</v>
      </c>
      <c r="E1021" t="s">
        <v>1070</v>
      </c>
      <c r="F1021">
        <v>5419</v>
      </c>
      <c r="G1021" t="s">
        <v>18</v>
      </c>
      <c r="H1021">
        <v>27</v>
      </c>
      <c r="I1021" t="s">
        <v>19</v>
      </c>
      <c r="J1021">
        <v>1990</v>
      </c>
      <c r="K1021">
        <v>1990</v>
      </c>
      <c r="L1021" t="s">
        <v>20</v>
      </c>
      <c r="M1021">
        <v>16510</v>
      </c>
      <c r="N1021">
        <v>1187</v>
      </c>
    </row>
    <row r="1022" spans="1:14" x14ac:dyDescent="0.35">
      <c r="A1022" t="s">
        <v>1075</v>
      </c>
      <c r="B1022" t="s">
        <v>15</v>
      </c>
      <c r="C1022" t="s">
        <v>16</v>
      </c>
      <c r="D1022">
        <v>81</v>
      </c>
      <c r="E1022" t="s">
        <v>1070</v>
      </c>
      <c r="F1022">
        <v>5419</v>
      </c>
      <c r="G1022" t="s">
        <v>18</v>
      </c>
      <c r="H1022">
        <v>27</v>
      </c>
      <c r="I1022" t="s">
        <v>19</v>
      </c>
      <c r="J1022">
        <v>1991</v>
      </c>
      <c r="K1022">
        <v>1991</v>
      </c>
      <c r="L1022" t="s">
        <v>20</v>
      </c>
      <c r="M1022">
        <v>15901</v>
      </c>
      <c r="N1022">
        <v>1187</v>
      </c>
    </row>
    <row r="1023" spans="1:14" x14ac:dyDescent="0.35">
      <c r="A1023" t="s">
        <v>1076</v>
      </c>
      <c r="B1023" t="s">
        <v>15</v>
      </c>
      <c r="C1023" t="s">
        <v>16</v>
      </c>
      <c r="D1023">
        <v>81</v>
      </c>
      <c r="E1023" t="s">
        <v>1070</v>
      </c>
      <c r="F1023">
        <v>5419</v>
      </c>
      <c r="G1023" t="s">
        <v>18</v>
      </c>
      <c r="H1023">
        <v>27</v>
      </c>
      <c r="I1023" t="s">
        <v>19</v>
      </c>
      <c r="J1023">
        <v>1992</v>
      </c>
      <c r="K1023">
        <v>1992</v>
      </c>
      <c r="L1023" t="s">
        <v>20</v>
      </c>
      <c r="M1023">
        <v>16499</v>
      </c>
      <c r="N1023">
        <v>1187</v>
      </c>
    </row>
    <row r="1024" spans="1:14" x14ac:dyDescent="0.35">
      <c r="A1024" t="s">
        <v>1077</v>
      </c>
      <c r="B1024" t="s">
        <v>15</v>
      </c>
      <c r="C1024" t="s">
        <v>16</v>
      </c>
      <c r="D1024">
        <v>81</v>
      </c>
      <c r="E1024" t="s">
        <v>1070</v>
      </c>
      <c r="F1024">
        <v>5419</v>
      </c>
      <c r="G1024" t="s">
        <v>18</v>
      </c>
      <c r="H1024">
        <v>27</v>
      </c>
      <c r="I1024" t="s">
        <v>19</v>
      </c>
      <c r="J1024">
        <v>1993</v>
      </c>
      <c r="K1024">
        <v>1993</v>
      </c>
      <c r="L1024" t="s">
        <v>20</v>
      </c>
      <c r="M1024">
        <v>20389</v>
      </c>
      <c r="N1024">
        <v>1187</v>
      </c>
    </row>
    <row r="1025" spans="1:14" x14ac:dyDescent="0.35">
      <c r="A1025" t="s">
        <v>1078</v>
      </c>
      <c r="B1025" t="s">
        <v>15</v>
      </c>
      <c r="C1025" t="s">
        <v>16</v>
      </c>
      <c r="D1025">
        <v>81</v>
      </c>
      <c r="E1025" t="s">
        <v>1070</v>
      </c>
      <c r="F1025">
        <v>5419</v>
      </c>
      <c r="G1025" t="s">
        <v>18</v>
      </c>
      <c r="H1025">
        <v>27</v>
      </c>
      <c r="I1025" t="s">
        <v>19</v>
      </c>
      <c r="J1025">
        <v>1994</v>
      </c>
      <c r="K1025">
        <v>1994</v>
      </c>
      <c r="L1025" t="s">
        <v>20</v>
      </c>
      <c r="M1025">
        <v>20062</v>
      </c>
      <c r="N1025">
        <v>1187</v>
      </c>
    </row>
    <row r="1026" spans="1:14" x14ac:dyDescent="0.35">
      <c r="A1026" t="s">
        <v>1079</v>
      </c>
      <c r="B1026" t="s">
        <v>15</v>
      </c>
      <c r="C1026" t="s">
        <v>16</v>
      </c>
      <c r="D1026">
        <v>81</v>
      </c>
      <c r="E1026" t="s">
        <v>1070</v>
      </c>
      <c r="F1026">
        <v>5419</v>
      </c>
      <c r="G1026" t="s">
        <v>18</v>
      </c>
      <c r="H1026">
        <v>27</v>
      </c>
      <c r="I1026" t="s">
        <v>19</v>
      </c>
      <c r="J1026">
        <v>1995</v>
      </c>
      <c r="K1026">
        <v>1995</v>
      </c>
      <c r="L1026" t="s">
        <v>20</v>
      </c>
      <c r="M1026">
        <v>20192</v>
      </c>
      <c r="N1026">
        <v>1187</v>
      </c>
    </row>
    <row r="1027" spans="1:14" x14ac:dyDescent="0.35">
      <c r="A1027" t="s">
        <v>1080</v>
      </c>
      <c r="B1027" t="s">
        <v>15</v>
      </c>
      <c r="C1027" t="s">
        <v>16</v>
      </c>
      <c r="D1027">
        <v>81</v>
      </c>
      <c r="E1027" t="s">
        <v>1070</v>
      </c>
      <c r="F1027">
        <v>5419</v>
      </c>
      <c r="G1027" t="s">
        <v>18</v>
      </c>
      <c r="H1027">
        <v>27</v>
      </c>
      <c r="I1027" t="s">
        <v>19</v>
      </c>
      <c r="J1027">
        <v>1996</v>
      </c>
      <c r="K1027">
        <v>1996</v>
      </c>
      <c r="L1027" t="s">
        <v>20</v>
      </c>
      <c r="M1027">
        <v>20496</v>
      </c>
      <c r="N1027">
        <v>1187</v>
      </c>
    </row>
    <row r="1028" spans="1:14" x14ac:dyDescent="0.35">
      <c r="A1028" t="s">
        <v>1081</v>
      </c>
      <c r="B1028" t="s">
        <v>15</v>
      </c>
      <c r="C1028" t="s">
        <v>16</v>
      </c>
      <c r="D1028">
        <v>81</v>
      </c>
      <c r="E1028" t="s">
        <v>1070</v>
      </c>
      <c r="F1028">
        <v>5419</v>
      </c>
      <c r="G1028" t="s">
        <v>18</v>
      </c>
      <c r="H1028">
        <v>27</v>
      </c>
      <c r="I1028" t="s">
        <v>19</v>
      </c>
      <c r="J1028">
        <v>1997</v>
      </c>
      <c r="K1028">
        <v>1997</v>
      </c>
      <c r="L1028" t="s">
        <v>20</v>
      </c>
      <c r="M1028">
        <v>16746</v>
      </c>
      <c r="N1028">
        <v>1187</v>
      </c>
    </row>
    <row r="1029" spans="1:14" x14ac:dyDescent="0.35">
      <c r="A1029" t="s">
        <v>1082</v>
      </c>
      <c r="B1029" t="s">
        <v>15</v>
      </c>
      <c r="C1029" t="s">
        <v>16</v>
      </c>
      <c r="D1029">
        <v>81</v>
      </c>
      <c r="E1029" t="s">
        <v>1070</v>
      </c>
      <c r="F1029">
        <v>5419</v>
      </c>
      <c r="G1029" t="s">
        <v>18</v>
      </c>
      <c r="H1029">
        <v>27</v>
      </c>
      <c r="I1029" t="s">
        <v>19</v>
      </c>
      <c r="J1029">
        <v>1998</v>
      </c>
      <c r="K1029">
        <v>1998</v>
      </c>
      <c r="L1029" t="s">
        <v>20</v>
      </c>
      <c r="M1029">
        <v>14847</v>
      </c>
      <c r="N1029">
        <v>1187</v>
      </c>
    </row>
    <row r="1030" spans="1:14" x14ac:dyDescent="0.35">
      <c r="A1030" t="s">
        <v>1083</v>
      </c>
      <c r="B1030" t="s">
        <v>15</v>
      </c>
      <c r="C1030" t="s">
        <v>16</v>
      </c>
      <c r="D1030">
        <v>81</v>
      </c>
      <c r="E1030" t="s">
        <v>1070</v>
      </c>
      <c r="F1030">
        <v>5419</v>
      </c>
      <c r="G1030" t="s">
        <v>18</v>
      </c>
      <c r="H1030">
        <v>27</v>
      </c>
      <c r="I1030" t="s">
        <v>19</v>
      </c>
      <c r="J1030">
        <v>1999</v>
      </c>
      <c r="K1030">
        <v>1999</v>
      </c>
      <c r="L1030" t="s">
        <v>20</v>
      </c>
      <c r="M1030">
        <v>19919</v>
      </c>
      <c r="N1030">
        <v>1187</v>
      </c>
    </row>
    <row r="1031" spans="1:14" x14ac:dyDescent="0.35">
      <c r="A1031" t="s">
        <v>1084</v>
      </c>
      <c r="B1031" t="s">
        <v>15</v>
      </c>
      <c r="C1031" t="s">
        <v>16</v>
      </c>
      <c r="D1031">
        <v>81</v>
      </c>
      <c r="E1031" t="s">
        <v>1070</v>
      </c>
      <c r="F1031">
        <v>5419</v>
      </c>
      <c r="G1031" t="s">
        <v>18</v>
      </c>
      <c r="H1031">
        <v>27</v>
      </c>
      <c r="I1031" t="s">
        <v>19</v>
      </c>
      <c r="J1031">
        <v>2000</v>
      </c>
      <c r="K1031">
        <v>2000</v>
      </c>
      <c r="L1031" t="s">
        <v>20</v>
      </c>
      <c r="M1031">
        <v>21589</v>
      </c>
      <c r="N1031">
        <v>1187</v>
      </c>
    </row>
    <row r="1032" spans="1:14" x14ac:dyDescent="0.35">
      <c r="A1032" t="s">
        <v>1085</v>
      </c>
      <c r="B1032" t="s">
        <v>15</v>
      </c>
      <c r="C1032" t="s">
        <v>16</v>
      </c>
      <c r="D1032">
        <v>81</v>
      </c>
      <c r="E1032" t="s">
        <v>1070</v>
      </c>
      <c r="F1032">
        <v>5419</v>
      </c>
      <c r="G1032" t="s">
        <v>18</v>
      </c>
      <c r="H1032">
        <v>27</v>
      </c>
      <c r="I1032" t="s">
        <v>19</v>
      </c>
      <c r="J1032">
        <v>2001</v>
      </c>
      <c r="K1032">
        <v>2001</v>
      </c>
      <c r="L1032" t="s">
        <v>20</v>
      </c>
      <c r="M1032">
        <v>20185</v>
      </c>
      <c r="N1032">
        <v>1187</v>
      </c>
    </row>
    <row r="1033" spans="1:14" x14ac:dyDescent="0.35">
      <c r="A1033" t="s">
        <v>1086</v>
      </c>
      <c r="B1033" t="s">
        <v>15</v>
      </c>
      <c r="C1033" t="s">
        <v>16</v>
      </c>
      <c r="D1033">
        <v>81</v>
      </c>
      <c r="E1033" t="s">
        <v>1070</v>
      </c>
      <c r="F1033">
        <v>5419</v>
      </c>
      <c r="G1033" t="s">
        <v>18</v>
      </c>
      <c r="H1033">
        <v>27</v>
      </c>
      <c r="I1033" t="s">
        <v>19</v>
      </c>
      <c r="J1033">
        <v>2002</v>
      </c>
      <c r="K1033">
        <v>2002</v>
      </c>
      <c r="L1033" t="s">
        <v>20</v>
      </c>
      <c r="M1033">
        <v>22799</v>
      </c>
      <c r="N1033">
        <v>1187</v>
      </c>
    </row>
    <row r="1034" spans="1:14" x14ac:dyDescent="0.35">
      <c r="A1034" t="s">
        <v>1087</v>
      </c>
      <c r="B1034" t="s">
        <v>15</v>
      </c>
      <c r="C1034" t="s">
        <v>16</v>
      </c>
      <c r="D1034">
        <v>81</v>
      </c>
      <c r="E1034" t="s">
        <v>1070</v>
      </c>
      <c r="F1034">
        <v>5419</v>
      </c>
      <c r="G1034" t="s">
        <v>18</v>
      </c>
      <c r="H1034">
        <v>27</v>
      </c>
      <c r="I1034" t="s">
        <v>19</v>
      </c>
      <c r="J1034">
        <v>2004</v>
      </c>
      <c r="K1034">
        <v>2004</v>
      </c>
      <c r="L1034" t="s">
        <v>20</v>
      </c>
      <c r="M1034">
        <v>20253</v>
      </c>
      <c r="N1034">
        <v>1187</v>
      </c>
    </row>
    <row r="1035" spans="1:14" x14ac:dyDescent="0.35">
      <c r="A1035" t="s">
        <v>1088</v>
      </c>
      <c r="B1035" t="s">
        <v>15</v>
      </c>
      <c r="C1035" t="s">
        <v>16</v>
      </c>
      <c r="D1035">
        <v>81</v>
      </c>
      <c r="E1035" t="s">
        <v>1070</v>
      </c>
      <c r="F1035">
        <v>5419</v>
      </c>
      <c r="G1035" t="s">
        <v>18</v>
      </c>
      <c r="H1035">
        <v>27</v>
      </c>
      <c r="I1035" t="s">
        <v>19</v>
      </c>
      <c r="J1035">
        <v>2005</v>
      </c>
      <c r="K1035">
        <v>2005</v>
      </c>
      <c r="L1035" t="s">
        <v>20</v>
      </c>
      <c r="M1035">
        <v>23917</v>
      </c>
      <c r="N1035">
        <v>1187</v>
      </c>
    </row>
    <row r="1036" spans="1:14" x14ac:dyDescent="0.35">
      <c r="A1036" t="s">
        <v>1089</v>
      </c>
      <c r="B1036" t="s">
        <v>15</v>
      </c>
      <c r="C1036" t="s">
        <v>16</v>
      </c>
      <c r="D1036">
        <v>81</v>
      </c>
      <c r="E1036" t="s">
        <v>1070</v>
      </c>
      <c r="F1036">
        <v>5419</v>
      </c>
      <c r="G1036" t="s">
        <v>18</v>
      </c>
      <c r="H1036">
        <v>27</v>
      </c>
      <c r="I1036" t="s">
        <v>19</v>
      </c>
      <c r="J1036">
        <v>2006</v>
      </c>
      <c r="K1036">
        <v>2006</v>
      </c>
      <c r="L1036" t="s">
        <v>20</v>
      </c>
      <c r="M1036">
        <v>20000</v>
      </c>
      <c r="N1036">
        <v>1187</v>
      </c>
    </row>
    <row r="1037" spans="1:14" x14ac:dyDescent="0.35">
      <c r="A1037" t="s">
        <v>1090</v>
      </c>
      <c r="B1037" t="s">
        <v>15</v>
      </c>
      <c r="C1037" t="s">
        <v>16</v>
      </c>
      <c r="D1037">
        <v>81</v>
      </c>
      <c r="E1037" t="s">
        <v>1070</v>
      </c>
      <c r="F1037">
        <v>5419</v>
      </c>
      <c r="G1037" t="s">
        <v>18</v>
      </c>
      <c r="H1037">
        <v>27</v>
      </c>
      <c r="I1037" t="s">
        <v>19</v>
      </c>
      <c r="J1037">
        <v>2007</v>
      </c>
      <c r="K1037">
        <v>2007</v>
      </c>
      <c r="L1037" t="s">
        <v>20</v>
      </c>
      <c r="M1037">
        <v>17015</v>
      </c>
      <c r="N1037">
        <v>1187</v>
      </c>
    </row>
    <row r="1038" spans="1:14" x14ac:dyDescent="0.35">
      <c r="A1038" t="s">
        <v>1091</v>
      </c>
      <c r="B1038" t="s">
        <v>15</v>
      </c>
      <c r="C1038" t="s">
        <v>16</v>
      </c>
      <c r="D1038">
        <v>81</v>
      </c>
      <c r="E1038" t="s">
        <v>1070</v>
      </c>
      <c r="F1038">
        <v>5419</v>
      </c>
      <c r="G1038" t="s">
        <v>18</v>
      </c>
      <c r="H1038">
        <v>27</v>
      </c>
      <c r="I1038" t="s">
        <v>19</v>
      </c>
      <c r="J1038">
        <v>2008</v>
      </c>
      <c r="K1038">
        <v>2008</v>
      </c>
      <c r="L1038" t="s">
        <v>20</v>
      </c>
      <c r="M1038">
        <v>22735</v>
      </c>
      <c r="N1038">
        <v>1187</v>
      </c>
    </row>
    <row r="1039" spans="1:14" x14ac:dyDescent="0.35">
      <c r="A1039" t="s">
        <v>1092</v>
      </c>
      <c r="B1039" t="s">
        <v>15</v>
      </c>
      <c r="C1039" t="s">
        <v>16</v>
      </c>
      <c r="D1039">
        <v>81</v>
      </c>
      <c r="E1039" t="s">
        <v>1070</v>
      </c>
      <c r="F1039">
        <v>5419</v>
      </c>
      <c r="G1039" t="s">
        <v>18</v>
      </c>
      <c r="H1039">
        <v>27</v>
      </c>
      <c r="I1039" t="s">
        <v>19</v>
      </c>
      <c r="J1039">
        <v>2009</v>
      </c>
      <c r="K1039">
        <v>2009</v>
      </c>
      <c r="L1039" t="s">
        <v>20</v>
      </c>
      <c r="M1039">
        <v>24109</v>
      </c>
      <c r="N1039">
        <v>1187</v>
      </c>
    </row>
    <row r="1040" spans="1:14" x14ac:dyDescent="0.35">
      <c r="A1040" t="s">
        <v>1093</v>
      </c>
      <c r="B1040" t="s">
        <v>15</v>
      </c>
      <c r="C1040" t="s">
        <v>16</v>
      </c>
      <c r="D1040">
        <v>81</v>
      </c>
      <c r="E1040" t="s">
        <v>1070</v>
      </c>
      <c r="F1040">
        <v>5419</v>
      </c>
      <c r="G1040" t="s">
        <v>18</v>
      </c>
      <c r="H1040">
        <v>27</v>
      </c>
      <c r="I1040" t="s">
        <v>19</v>
      </c>
      <c r="J1040">
        <v>2010</v>
      </c>
      <c r="K1040">
        <v>2010</v>
      </c>
      <c r="L1040" t="s">
        <v>20</v>
      </c>
      <c r="M1040">
        <v>27126</v>
      </c>
      <c r="N1040">
        <v>1187</v>
      </c>
    </row>
    <row r="1041" spans="1:14" x14ac:dyDescent="0.35">
      <c r="A1041" t="s">
        <v>1094</v>
      </c>
      <c r="B1041" t="s">
        <v>15</v>
      </c>
      <c r="C1041" t="s">
        <v>16</v>
      </c>
      <c r="D1041">
        <v>81</v>
      </c>
      <c r="E1041" t="s">
        <v>1070</v>
      </c>
      <c r="F1041">
        <v>5419</v>
      </c>
      <c r="G1041" t="s">
        <v>18</v>
      </c>
      <c r="H1041">
        <v>27</v>
      </c>
      <c r="I1041" t="s">
        <v>19</v>
      </c>
      <c r="J1041">
        <v>2011</v>
      </c>
      <c r="K1041">
        <v>2011</v>
      </c>
      <c r="L1041" t="s">
        <v>20</v>
      </c>
      <c r="M1041">
        <v>23495</v>
      </c>
      <c r="N1041">
        <v>1187</v>
      </c>
    </row>
    <row r="1042" spans="1:14" x14ac:dyDescent="0.35">
      <c r="A1042" t="s">
        <v>1095</v>
      </c>
      <c r="B1042" t="s">
        <v>15</v>
      </c>
      <c r="C1042" t="s">
        <v>16</v>
      </c>
      <c r="D1042">
        <v>81</v>
      </c>
      <c r="E1042" t="s">
        <v>1070</v>
      </c>
      <c r="F1042">
        <v>5419</v>
      </c>
      <c r="G1042" t="s">
        <v>18</v>
      </c>
      <c r="H1042">
        <v>27</v>
      </c>
      <c r="I1042" t="s">
        <v>19</v>
      </c>
      <c r="J1042">
        <v>2012</v>
      </c>
      <c r="K1042">
        <v>2012</v>
      </c>
      <c r="L1042" t="s">
        <v>20</v>
      </c>
      <c r="M1042">
        <v>25386</v>
      </c>
      <c r="N1042">
        <v>1187</v>
      </c>
    </row>
    <row r="1043" spans="1:14" x14ac:dyDescent="0.35">
      <c r="A1043" t="s">
        <v>1096</v>
      </c>
      <c r="B1043" t="s">
        <v>15</v>
      </c>
      <c r="C1043" t="s">
        <v>16</v>
      </c>
      <c r="D1043">
        <v>81</v>
      </c>
      <c r="E1043" t="s">
        <v>1070</v>
      </c>
      <c r="F1043">
        <v>5419</v>
      </c>
      <c r="G1043" t="s">
        <v>18</v>
      </c>
      <c r="H1043">
        <v>27</v>
      </c>
      <c r="I1043" t="s">
        <v>19</v>
      </c>
      <c r="J1043">
        <v>2013</v>
      </c>
      <c r="K1043">
        <v>2013</v>
      </c>
      <c r="L1043" t="s">
        <v>20</v>
      </c>
      <c r="M1043">
        <v>26378</v>
      </c>
      <c r="N1043">
        <v>1187</v>
      </c>
    </row>
    <row r="1044" spans="1:14" x14ac:dyDescent="0.35">
      <c r="A1044" t="s">
        <v>1097</v>
      </c>
      <c r="B1044" t="s">
        <v>15</v>
      </c>
      <c r="C1044" t="s">
        <v>16</v>
      </c>
      <c r="D1044">
        <v>81</v>
      </c>
      <c r="E1044" t="s">
        <v>1070</v>
      </c>
      <c r="F1044">
        <v>5419</v>
      </c>
      <c r="G1044" t="s">
        <v>18</v>
      </c>
      <c r="H1044">
        <v>27</v>
      </c>
      <c r="I1044" t="s">
        <v>19</v>
      </c>
      <c r="J1044">
        <v>2014</v>
      </c>
      <c r="K1044">
        <v>2014</v>
      </c>
      <c r="L1044" t="s">
        <v>20</v>
      </c>
      <c r="M1044">
        <v>26964</v>
      </c>
      <c r="N1044">
        <v>1187</v>
      </c>
    </row>
    <row r="1045" spans="1:14" x14ac:dyDescent="0.35">
      <c r="A1045" t="s">
        <v>1098</v>
      </c>
      <c r="B1045" t="s">
        <v>15</v>
      </c>
      <c r="C1045" t="s">
        <v>16</v>
      </c>
      <c r="D1045">
        <v>81</v>
      </c>
      <c r="E1045" t="s">
        <v>1070</v>
      </c>
      <c r="F1045">
        <v>5419</v>
      </c>
      <c r="G1045" t="s">
        <v>18</v>
      </c>
      <c r="H1045">
        <v>27</v>
      </c>
      <c r="I1045" t="s">
        <v>19</v>
      </c>
      <c r="J1045">
        <v>2015</v>
      </c>
      <c r="K1045">
        <v>2015</v>
      </c>
      <c r="L1045" t="s">
        <v>20</v>
      </c>
      <c r="M1045">
        <v>27500</v>
      </c>
      <c r="N1045">
        <v>1187</v>
      </c>
    </row>
    <row r="1046" spans="1:14" x14ac:dyDescent="0.35">
      <c r="A1046" t="s">
        <v>1099</v>
      </c>
      <c r="B1046" t="s">
        <v>15</v>
      </c>
      <c r="C1046" t="s">
        <v>16</v>
      </c>
      <c r="D1046">
        <v>81</v>
      </c>
      <c r="E1046" t="s">
        <v>1070</v>
      </c>
      <c r="F1046">
        <v>5419</v>
      </c>
      <c r="G1046" t="s">
        <v>18</v>
      </c>
      <c r="H1046">
        <v>27</v>
      </c>
      <c r="I1046" t="s">
        <v>19</v>
      </c>
      <c r="J1046">
        <v>2016</v>
      </c>
      <c r="K1046">
        <v>2016</v>
      </c>
      <c r="L1046" t="s">
        <v>20</v>
      </c>
      <c r="M1046">
        <v>28200</v>
      </c>
      <c r="N1046">
        <v>1187</v>
      </c>
    </row>
    <row r="1047" spans="1:14" x14ac:dyDescent="0.35">
      <c r="A1047" t="s">
        <v>1100</v>
      </c>
      <c r="B1047" t="s">
        <v>15</v>
      </c>
      <c r="C1047" t="s">
        <v>16</v>
      </c>
      <c r="D1047">
        <v>84</v>
      </c>
      <c r="E1047" t="s">
        <v>1101</v>
      </c>
      <c r="F1047">
        <v>5419</v>
      </c>
      <c r="G1047" t="s">
        <v>18</v>
      </c>
      <c r="H1047">
        <v>27</v>
      </c>
      <c r="I1047" t="s">
        <v>19</v>
      </c>
      <c r="J1047">
        <v>1985</v>
      </c>
      <c r="K1047">
        <v>1985</v>
      </c>
      <c r="L1047" t="s">
        <v>20</v>
      </c>
      <c r="M1047">
        <v>61549</v>
      </c>
      <c r="N1047">
        <v>652</v>
      </c>
    </row>
    <row r="1048" spans="1:14" x14ac:dyDescent="0.35">
      <c r="A1048" t="s">
        <v>1102</v>
      </c>
      <c r="B1048" t="s">
        <v>15</v>
      </c>
      <c r="C1048" t="s">
        <v>16</v>
      </c>
      <c r="D1048">
        <v>84</v>
      </c>
      <c r="E1048" t="s">
        <v>1101</v>
      </c>
      <c r="F1048">
        <v>5419</v>
      </c>
      <c r="G1048" t="s">
        <v>18</v>
      </c>
      <c r="H1048">
        <v>27</v>
      </c>
      <c r="I1048" t="s">
        <v>19</v>
      </c>
      <c r="J1048">
        <v>1986</v>
      </c>
      <c r="K1048">
        <v>1986</v>
      </c>
      <c r="L1048" t="s">
        <v>20</v>
      </c>
      <c r="M1048">
        <v>67222</v>
      </c>
      <c r="N1048">
        <v>652</v>
      </c>
    </row>
    <row r="1049" spans="1:14" x14ac:dyDescent="0.35">
      <c r="A1049" t="s">
        <v>1103</v>
      </c>
      <c r="B1049" t="s">
        <v>15</v>
      </c>
      <c r="C1049" t="s">
        <v>16</v>
      </c>
      <c r="D1049">
        <v>84</v>
      </c>
      <c r="E1049" t="s">
        <v>1101</v>
      </c>
      <c r="F1049">
        <v>5419</v>
      </c>
      <c r="G1049" t="s">
        <v>18</v>
      </c>
      <c r="H1049">
        <v>27</v>
      </c>
      <c r="I1049" t="s">
        <v>19</v>
      </c>
      <c r="J1049">
        <v>1987</v>
      </c>
      <c r="K1049">
        <v>1987</v>
      </c>
      <c r="L1049" t="s">
        <v>20</v>
      </c>
      <c r="M1049">
        <v>68500</v>
      </c>
      <c r="N1049">
        <v>652</v>
      </c>
    </row>
    <row r="1050" spans="1:14" x14ac:dyDescent="0.35">
      <c r="A1050" t="s">
        <v>1104</v>
      </c>
      <c r="B1050" t="s">
        <v>15</v>
      </c>
      <c r="C1050" t="s">
        <v>16</v>
      </c>
      <c r="D1050">
        <v>84</v>
      </c>
      <c r="E1050" t="s">
        <v>1101</v>
      </c>
      <c r="F1050">
        <v>5419</v>
      </c>
      <c r="G1050" t="s">
        <v>18</v>
      </c>
      <c r="H1050">
        <v>27</v>
      </c>
      <c r="I1050" t="s">
        <v>19</v>
      </c>
      <c r="J1050">
        <v>1989</v>
      </c>
      <c r="K1050">
        <v>1989</v>
      </c>
      <c r="L1050" t="s">
        <v>20</v>
      </c>
      <c r="M1050">
        <v>65964</v>
      </c>
      <c r="N1050">
        <v>652</v>
      </c>
    </row>
    <row r="1051" spans="1:14" x14ac:dyDescent="0.35">
      <c r="A1051" t="s">
        <v>1105</v>
      </c>
      <c r="B1051" t="s">
        <v>15</v>
      </c>
      <c r="C1051" t="s">
        <v>16</v>
      </c>
      <c r="D1051">
        <v>84</v>
      </c>
      <c r="E1051" t="s">
        <v>1101</v>
      </c>
      <c r="F1051">
        <v>5419</v>
      </c>
      <c r="G1051" t="s">
        <v>18</v>
      </c>
      <c r="H1051">
        <v>27</v>
      </c>
      <c r="I1051" t="s">
        <v>19</v>
      </c>
      <c r="J1051">
        <v>1990</v>
      </c>
      <c r="K1051">
        <v>1990</v>
      </c>
      <c r="L1051" t="s">
        <v>20</v>
      </c>
      <c r="M1051">
        <v>60000</v>
      </c>
      <c r="N1051">
        <v>652</v>
      </c>
    </row>
    <row r="1052" spans="1:14" x14ac:dyDescent="0.35">
      <c r="A1052" t="s">
        <v>1106</v>
      </c>
      <c r="B1052" t="s">
        <v>15</v>
      </c>
      <c r="C1052" t="s">
        <v>16</v>
      </c>
      <c r="D1052">
        <v>84</v>
      </c>
      <c r="E1052" t="s">
        <v>1101</v>
      </c>
      <c r="F1052">
        <v>5419</v>
      </c>
      <c r="G1052" t="s">
        <v>18</v>
      </c>
      <c r="H1052">
        <v>27</v>
      </c>
      <c r="I1052" t="s">
        <v>19</v>
      </c>
      <c r="J1052">
        <v>1991</v>
      </c>
      <c r="K1052">
        <v>1991</v>
      </c>
      <c r="L1052" t="s">
        <v>20</v>
      </c>
      <c r="M1052">
        <v>54938</v>
      </c>
      <c r="N1052">
        <v>652</v>
      </c>
    </row>
    <row r="1053" spans="1:14" x14ac:dyDescent="0.35">
      <c r="A1053" t="s">
        <v>1107</v>
      </c>
      <c r="B1053" t="s">
        <v>15</v>
      </c>
      <c r="C1053" t="s">
        <v>16</v>
      </c>
      <c r="D1053">
        <v>84</v>
      </c>
      <c r="E1053" t="s">
        <v>1101</v>
      </c>
      <c r="F1053">
        <v>5419</v>
      </c>
      <c r="G1053" t="s">
        <v>18</v>
      </c>
      <c r="H1053">
        <v>27</v>
      </c>
      <c r="I1053" t="s">
        <v>19</v>
      </c>
      <c r="J1053">
        <v>1992</v>
      </c>
      <c r="K1053">
        <v>1992</v>
      </c>
      <c r="L1053" t="s">
        <v>20</v>
      </c>
      <c r="M1053">
        <v>73611</v>
      </c>
      <c r="N1053">
        <v>652</v>
      </c>
    </row>
    <row r="1054" spans="1:14" x14ac:dyDescent="0.35">
      <c r="A1054" t="s">
        <v>1108</v>
      </c>
      <c r="B1054" t="s">
        <v>15</v>
      </c>
      <c r="C1054" t="s">
        <v>16</v>
      </c>
      <c r="D1054">
        <v>84</v>
      </c>
      <c r="E1054" t="s">
        <v>1101</v>
      </c>
      <c r="F1054">
        <v>5419</v>
      </c>
      <c r="G1054" t="s">
        <v>18</v>
      </c>
      <c r="H1054">
        <v>27</v>
      </c>
      <c r="I1054" t="s">
        <v>19</v>
      </c>
      <c r="J1054">
        <v>1993</v>
      </c>
      <c r="K1054">
        <v>1993</v>
      </c>
      <c r="L1054" t="s">
        <v>20</v>
      </c>
      <c r="M1054">
        <v>73904</v>
      </c>
      <c r="N1054">
        <v>652</v>
      </c>
    </row>
    <row r="1055" spans="1:14" x14ac:dyDescent="0.35">
      <c r="A1055" t="s">
        <v>1109</v>
      </c>
      <c r="B1055" t="s">
        <v>15</v>
      </c>
      <c r="C1055" t="s">
        <v>16</v>
      </c>
      <c r="D1055">
        <v>84</v>
      </c>
      <c r="E1055" t="s">
        <v>1101</v>
      </c>
      <c r="F1055">
        <v>5419</v>
      </c>
      <c r="G1055" t="s">
        <v>18</v>
      </c>
      <c r="H1055">
        <v>27</v>
      </c>
      <c r="I1055" t="s">
        <v>19</v>
      </c>
      <c r="J1055">
        <v>1994</v>
      </c>
      <c r="K1055">
        <v>1994</v>
      </c>
      <c r="L1055" t="s">
        <v>20</v>
      </c>
      <c r="M1055">
        <v>80813</v>
      </c>
      <c r="N1055">
        <v>652</v>
      </c>
    </row>
    <row r="1056" spans="1:14" x14ac:dyDescent="0.35">
      <c r="A1056" t="s">
        <v>1110</v>
      </c>
      <c r="B1056" t="s">
        <v>15</v>
      </c>
      <c r="C1056" t="s">
        <v>16</v>
      </c>
      <c r="D1056">
        <v>84</v>
      </c>
      <c r="E1056" t="s">
        <v>1101</v>
      </c>
      <c r="F1056">
        <v>5419</v>
      </c>
      <c r="G1056" t="s">
        <v>18</v>
      </c>
      <c r="H1056">
        <v>27</v>
      </c>
      <c r="I1056" t="s">
        <v>19</v>
      </c>
      <c r="J1056">
        <v>1995</v>
      </c>
      <c r="K1056">
        <v>1995</v>
      </c>
      <c r="L1056" t="s">
        <v>20</v>
      </c>
      <c r="M1056">
        <v>81057</v>
      </c>
      <c r="N1056">
        <v>652</v>
      </c>
    </row>
    <row r="1057" spans="1:14" x14ac:dyDescent="0.35">
      <c r="A1057" t="s">
        <v>1111</v>
      </c>
      <c r="B1057" t="s">
        <v>15</v>
      </c>
      <c r="C1057" t="s">
        <v>16</v>
      </c>
      <c r="D1057">
        <v>84</v>
      </c>
      <c r="E1057" t="s">
        <v>1101</v>
      </c>
      <c r="F1057">
        <v>5419</v>
      </c>
      <c r="G1057" t="s">
        <v>18</v>
      </c>
      <c r="H1057">
        <v>27</v>
      </c>
      <c r="I1057" t="s">
        <v>19</v>
      </c>
      <c r="J1057">
        <v>1996</v>
      </c>
      <c r="K1057">
        <v>1996</v>
      </c>
      <c r="L1057" t="s">
        <v>20</v>
      </c>
      <c r="M1057">
        <v>77561</v>
      </c>
      <c r="N1057">
        <v>652</v>
      </c>
    </row>
    <row r="1058" spans="1:14" x14ac:dyDescent="0.35">
      <c r="A1058" t="s">
        <v>1112</v>
      </c>
      <c r="B1058" t="s">
        <v>15</v>
      </c>
      <c r="C1058" t="s">
        <v>16</v>
      </c>
      <c r="D1058">
        <v>84</v>
      </c>
      <c r="E1058" t="s">
        <v>1101</v>
      </c>
      <c r="F1058">
        <v>5419</v>
      </c>
      <c r="G1058" t="s">
        <v>18</v>
      </c>
      <c r="H1058">
        <v>27</v>
      </c>
      <c r="I1058" t="s">
        <v>19</v>
      </c>
      <c r="J1058">
        <v>1997</v>
      </c>
      <c r="K1058">
        <v>1997</v>
      </c>
      <c r="L1058" t="s">
        <v>20</v>
      </c>
      <c r="M1058">
        <v>74739</v>
      </c>
      <c r="N1058">
        <v>652</v>
      </c>
    </row>
    <row r="1059" spans="1:14" x14ac:dyDescent="0.35">
      <c r="A1059" t="s">
        <v>1113</v>
      </c>
      <c r="B1059" t="s">
        <v>15</v>
      </c>
      <c r="C1059" t="s">
        <v>16</v>
      </c>
      <c r="D1059">
        <v>84</v>
      </c>
      <c r="E1059" t="s">
        <v>1101</v>
      </c>
      <c r="F1059">
        <v>5419</v>
      </c>
      <c r="G1059" t="s">
        <v>18</v>
      </c>
      <c r="H1059">
        <v>27</v>
      </c>
      <c r="I1059" t="s">
        <v>19</v>
      </c>
      <c r="J1059">
        <v>1998</v>
      </c>
      <c r="K1059">
        <v>1998</v>
      </c>
      <c r="L1059" t="s">
        <v>20</v>
      </c>
      <c r="M1059">
        <v>72195</v>
      </c>
      <c r="N1059">
        <v>652</v>
      </c>
    </row>
    <row r="1060" spans="1:14" x14ac:dyDescent="0.35">
      <c r="A1060" t="s">
        <v>1114</v>
      </c>
      <c r="B1060" t="s">
        <v>15</v>
      </c>
      <c r="C1060" t="s">
        <v>16</v>
      </c>
      <c r="D1060">
        <v>84</v>
      </c>
      <c r="E1060" t="s">
        <v>1101</v>
      </c>
      <c r="F1060">
        <v>5419</v>
      </c>
      <c r="G1060" t="s">
        <v>18</v>
      </c>
      <c r="H1060">
        <v>27</v>
      </c>
      <c r="I1060" t="s">
        <v>19</v>
      </c>
      <c r="J1060">
        <v>1999</v>
      </c>
      <c r="K1060">
        <v>1999</v>
      </c>
      <c r="L1060" t="s">
        <v>20</v>
      </c>
      <c r="M1060">
        <v>73028</v>
      </c>
      <c r="N1060">
        <v>652</v>
      </c>
    </row>
    <row r="1061" spans="1:14" x14ac:dyDescent="0.35">
      <c r="A1061" t="s">
        <v>1115</v>
      </c>
      <c r="B1061" t="s">
        <v>15</v>
      </c>
      <c r="C1061" t="s">
        <v>16</v>
      </c>
      <c r="D1061">
        <v>84</v>
      </c>
      <c r="E1061" t="s">
        <v>1101</v>
      </c>
      <c r="F1061">
        <v>5419</v>
      </c>
      <c r="G1061" t="s">
        <v>18</v>
      </c>
      <c r="H1061">
        <v>27</v>
      </c>
      <c r="I1061" t="s">
        <v>19</v>
      </c>
      <c r="J1061">
        <v>2000</v>
      </c>
      <c r="K1061">
        <v>2000</v>
      </c>
      <c r="L1061" t="s">
        <v>20</v>
      </c>
      <c r="M1061">
        <v>70098</v>
      </c>
      <c r="N1061">
        <v>652</v>
      </c>
    </row>
    <row r="1062" spans="1:14" x14ac:dyDescent="0.35">
      <c r="A1062" t="s">
        <v>1116</v>
      </c>
      <c r="B1062" t="s">
        <v>15</v>
      </c>
      <c r="C1062" t="s">
        <v>16</v>
      </c>
      <c r="D1062">
        <v>84</v>
      </c>
      <c r="E1062" t="s">
        <v>1101</v>
      </c>
      <c r="F1062">
        <v>5419</v>
      </c>
      <c r="G1062" t="s">
        <v>18</v>
      </c>
      <c r="H1062">
        <v>27</v>
      </c>
      <c r="I1062" t="s">
        <v>19</v>
      </c>
      <c r="J1062">
        <v>2001</v>
      </c>
      <c r="K1062">
        <v>2001</v>
      </c>
      <c r="L1062" t="s">
        <v>20</v>
      </c>
      <c r="M1062">
        <v>71151</v>
      </c>
      <c r="N1062">
        <v>652</v>
      </c>
    </row>
    <row r="1063" spans="1:14" x14ac:dyDescent="0.35">
      <c r="A1063" t="s">
        <v>1117</v>
      </c>
      <c r="B1063" t="s">
        <v>15</v>
      </c>
      <c r="C1063" t="s">
        <v>16</v>
      </c>
      <c r="D1063">
        <v>84</v>
      </c>
      <c r="E1063" t="s">
        <v>1101</v>
      </c>
      <c r="F1063">
        <v>5419</v>
      </c>
      <c r="G1063" t="s">
        <v>18</v>
      </c>
      <c r="H1063">
        <v>27</v>
      </c>
      <c r="I1063" t="s">
        <v>19</v>
      </c>
      <c r="J1063">
        <v>2002</v>
      </c>
      <c r="K1063">
        <v>2002</v>
      </c>
      <c r="L1063" t="s">
        <v>20</v>
      </c>
      <c r="M1063">
        <v>73683</v>
      </c>
      <c r="N1063">
        <v>652</v>
      </c>
    </row>
    <row r="1064" spans="1:14" x14ac:dyDescent="0.35">
      <c r="A1064" t="s">
        <v>1118</v>
      </c>
      <c r="B1064" t="s">
        <v>15</v>
      </c>
      <c r="C1064" t="s">
        <v>16</v>
      </c>
      <c r="D1064">
        <v>84</v>
      </c>
      <c r="E1064" t="s">
        <v>1101</v>
      </c>
      <c r="F1064">
        <v>5419</v>
      </c>
      <c r="G1064" t="s">
        <v>18</v>
      </c>
      <c r="H1064">
        <v>27</v>
      </c>
      <c r="I1064" t="s">
        <v>19</v>
      </c>
      <c r="J1064">
        <v>2004</v>
      </c>
      <c r="K1064">
        <v>2004</v>
      </c>
      <c r="L1064" t="s">
        <v>20</v>
      </c>
      <c r="M1064">
        <v>71038</v>
      </c>
      <c r="N1064">
        <v>652</v>
      </c>
    </row>
    <row r="1065" spans="1:14" x14ac:dyDescent="0.35">
      <c r="A1065" t="s">
        <v>1119</v>
      </c>
      <c r="B1065" t="s">
        <v>15</v>
      </c>
      <c r="C1065" t="s">
        <v>16</v>
      </c>
      <c r="D1065">
        <v>84</v>
      </c>
      <c r="E1065" t="s">
        <v>1101</v>
      </c>
      <c r="F1065">
        <v>5419</v>
      </c>
      <c r="G1065" t="s">
        <v>18</v>
      </c>
      <c r="H1065">
        <v>27</v>
      </c>
      <c r="I1065" t="s">
        <v>19</v>
      </c>
      <c r="J1065">
        <v>2005</v>
      </c>
      <c r="K1065">
        <v>2005</v>
      </c>
      <c r="L1065" t="s">
        <v>20</v>
      </c>
      <c r="M1065">
        <v>74059</v>
      </c>
      <c r="N1065">
        <v>652</v>
      </c>
    </row>
    <row r="1066" spans="1:14" x14ac:dyDescent="0.35">
      <c r="A1066" t="s">
        <v>1120</v>
      </c>
      <c r="B1066" t="s">
        <v>15</v>
      </c>
      <c r="C1066" t="s">
        <v>16</v>
      </c>
      <c r="D1066">
        <v>84</v>
      </c>
      <c r="E1066" t="s">
        <v>1101</v>
      </c>
      <c r="F1066">
        <v>5419</v>
      </c>
      <c r="G1066" t="s">
        <v>18</v>
      </c>
      <c r="H1066">
        <v>27</v>
      </c>
      <c r="I1066" t="s">
        <v>19</v>
      </c>
      <c r="J1066">
        <v>2006</v>
      </c>
      <c r="K1066">
        <v>2006</v>
      </c>
      <c r="L1066" t="s">
        <v>20</v>
      </c>
      <c r="M1066">
        <v>77137</v>
      </c>
      <c r="N1066">
        <v>652</v>
      </c>
    </row>
    <row r="1067" spans="1:14" x14ac:dyDescent="0.35">
      <c r="A1067" t="s">
        <v>1121</v>
      </c>
      <c r="B1067" t="s">
        <v>15</v>
      </c>
      <c r="C1067" t="s">
        <v>16</v>
      </c>
      <c r="D1067">
        <v>84</v>
      </c>
      <c r="E1067" t="s">
        <v>1101</v>
      </c>
      <c r="F1067">
        <v>5419</v>
      </c>
      <c r="G1067" t="s">
        <v>18</v>
      </c>
      <c r="H1067">
        <v>27</v>
      </c>
      <c r="I1067" t="s">
        <v>19</v>
      </c>
      <c r="J1067">
        <v>2007</v>
      </c>
      <c r="K1067">
        <v>2007</v>
      </c>
      <c r="L1067" t="s">
        <v>20</v>
      </c>
      <c r="M1067">
        <v>76337</v>
      </c>
      <c r="N1067">
        <v>652</v>
      </c>
    </row>
    <row r="1068" spans="1:14" x14ac:dyDescent="0.35">
      <c r="A1068" t="s">
        <v>1122</v>
      </c>
      <c r="B1068" t="s">
        <v>15</v>
      </c>
      <c r="C1068" t="s">
        <v>16</v>
      </c>
      <c r="D1068">
        <v>84</v>
      </c>
      <c r="E1068" t="s">
        <v>1101</v>
      </c>
      <c r="F1068">
        <v>5419</v>
      </c>
      <c r="G1068" t="s">
        <v>18</v>
      </c>
      <c r="H1068">
        <v>27</v>
      </c>
      <c r="I1068" t="s">
        <v>19</v>
      </c>
      <c r="J1068">
        <v>2008</v>
      </c>
      <c r="K1068">
        <v>2008</v>
      </c>
      <c r="L1068" t="s">
        <v>20</v>
      </c>
      <c r="M1068">
        <v>73731</v>
      </c>
      <c r="N1068">
        <v>652</v>
      </c>
    </row>
    <row r="1069" spans="1:14" x14ac:dyDescent="0.35">
      <c r="A1069" t="s">
        <v>1123</v>
      </c>
      <c r="B1069" t="s">
        <v>15</v>
      </c>
      <c r="C1069" t="s">
        <v>16</v>
      </c>
      <c r="D1069">
        <v>84</v>
      </c>
      <c r="E1069" t="s">
        <v>1101</v>
      </c>
      <c r="F1069">
        <v>5419</v>
      </c>
      <c r="G1069" t="s">
        <v>18</v>
      </c>
      <c r="H1069">
        <v>27</v>
      </c>
      <c r="I1069" t="s">
        <v>19</v>
      </c>
      <c r="J1069">
        <v>2009</v>
      </c>
      <c r="K1069">
        <v>2009</v>
      </c>
      <c r="L1069" t="s">
        <v>20</v>
      </c>
      <c r="M1069">
        <v>76682</v>
      </c>
      <c r="N1069">
        <v>652</v>
      </c>
    </row>
    <row r="1070" spans="1:14" x14ac:dyDescent="0.35">
      <c r="A1070" t="s">
        <v>1124</v>
      </c>
      <c r="B1070" t="s">
        <v>15</v>
      </c>
      <c r="C1070" t="s">
        <v>16</v>
      </c>
      <c r="D1070">
        <v>84</v>
      </c>
      <c r="E1070" t="s">
        <v>1101</v>
      </c>
      <c r="F1070">
        <v>5419</v>
      </c>
      <c r="G1070" t="s">
        <v>18</v>
      </c>
      <c r="H1070">
        <v>27</v>
      </c>
      <c r="I1070" t="s">
        <v>19</v>
      </c>
      <c r="J1070">
        <v>2010</v>
      </c>
      <c r="K1070">
        <v>2010</v>
      </c>
      <c r="L1070" t="s">
        <v>20</v>
      </c>
      <c r="M1070">
        <v>69283</v>
      </c>
      <c r="N1070">
        <v>652</v>
      </c>
    </row>
    <row r="1071" spans="1:14" x14ac:dyDescent="0.35">
      <c r="A1071" t="s">
        <v>1125</v>
      </c>
      <c r="B1071" t="s">
        <v>15</v>
      </c>
      <c r="C1071" t="s">
        <v>16</v>
      </c>
      <c r="D1071">
        <v>84</v>
      </c>
      <c r="E1071" t="s">
        <v>1101</v>
      </c>
      <c r="F1071">
        <v>5419</v>
      </c>
      <c r="G1071" t="s">
        <v>18</v>
      </c>
      <c r="H1071">
        <v>27</v>
      </c>
      <c r="I1071" t="s">
        <v>19</v>
      </c>
      <c r="J1071">
        <v>2011</v>
      </c>
      <c r="K1071">
        <v>2011</v>
      </c>
      <c r="L1071" t="s">
        <v>20</v>
      </c>
      <c r="M1071">
        <v>81086</v>
      </c>
      <c r="N1071">
        <v>652</v>
      </c>
    </row>
    <row r="1072" spans="1:14" x14ac:dyDescent="0.35">
      <c r="A1072" t="s">
        <v>1126</v>
      </c>
      <c r="B1072" t="s">
        <v>15</v>
      </c>
      <c r="C1072" t="s">
        <v>16</v>
      </c>
      <c r="D1072">
        <v>84</v>
      </c>
      <c r="E1072" t="s">
        <v>1101</v>
      </c>
      <c r="F1072">
        <v>5419</v>
      </c>
      <c r="G1072" t="s">
        <v>18</v>
      </c>
      <c r="H1072">
        <v>27</v>
      </c>
      <c r="I1072" t="s">
        <v>19</v>
      </c>
      <c r="J1072">
        <v>2012</v>
      </c>
      <c r="K1072">
        <v>2012</v>
      </c>
      <c r="L1072" t="s">
        <v>20</v>
      </c>
      <c r="M1072">
        <v>74926</v>
      </c>
      <c r="N1072">
        <v>652</v>
      </c>
    </row>
    <row r="1073" spans="1:14" x14ac:dyDescent="0.35">
      <c r="A1073" t="s">
        <v>1127</v>
      </c>
      <c r="B1073" t="s">
        <v>15</v>
      </c>
      <c r="C1073" t="s">
        <v>16</v>
      </c>
      <c r="D1073">
        <v>84</v>
      </c>
      <c r="E1073" t="s">
        <v>1101</v>
      </c>
      <c r="F1073">
        <v>5419</v>
      </c>
      <c r="G1073" t="s">
        <v>18</v>
      </c>
      <c r="H1073">
        <v>27</v>
      </c>
      <c r="I1073" t="s">
        <v>19</v>
      </c>
      <c r="J1073">
        <v>2013</v>
      </c>
      <c r="K1073">
        <v>2013</v>
      </c>
      <c r="L1073" t="s">
        <v>20</v>
      </c>
      <c r="M1073">
        <v>83964</v>
      </c>
      <c r="N1073">
        <v>652</v>
      </c>
    </row>
    <row r="1074" spans="1:14" x14ac:dyDescent="0.35">
      <c r="A1074" t="s">
        <v>1128</v>
      </c>
      <c r="B1074" t="s">
        <v>15</v>
      </c>
      <c r="C1074" t="s">
        <v>16</v>
      </c>
      <c r="D1074">
        <v>84</v>
      </c>
      <c r="E1074" t="s">
        <v>1101</v>
      </c>
      <c r="F1074">
        <v>5419</v>
      </c>
      <c r="G1074" t="s">
        <v>18</v>
      </c>
      <c r="H1074">
        <v>27</v>
      </c>
      <c r="I1074" t="s">
        <v>19</v>
      </c>
      <c r="J1074">
        <v>2014</v>
      </c>
      <c r="K1074">
        <v>2014</v>
      </c>
      <c r="L1074" t="s">
        <v>20</v>
      </c>
      <c r="M1074">
        <v>84659</v>
      </c>
      <c r="N1074">
        <v>652</v>
      </c>
    </row>
    <row r="1075" spans="1:14" x14ac:dyDescent="0.35">
      <c r="A1075" t="s">
        <v>1129</v>
      </c>
      <c r="B1075" t="s">
        <v>15</v>
      </c>
      <c r="C1075" t="s">
        <v>16</v>
      </c>
      <c r="D1075">
        <v>84</v>
      </c>
      <c r="E1075" t="s">
        <v>1101</v>
      </c>
      <c r="F1075">
        <v>5419</v>
      </c>
      <c r="G1075" t="s">
        <v>18</v>
      </c>
      <c r="H1075">
        <v>27</v>
      </c>
      <c r="I1075" t="s">
        <v>19</v>
      </c>
      <c r="J1075">
        <v>2015</v>
      </c>
      <c r="K1075">
        <v>2015</v>
      </c>
      <c r="L1075" t="s">
        <v>20</v>
      </c>
      <c r="M1075">
        <v>77093</v>
      </c>
      <c r="N1075">
        <v>652</v>
      </c>
    </row>
    <row r="1076" spans="1:14" x14ac:dyDescent="0.35">
      <c r="A1076" t="s">
        <v>1130</v>
      </c>
      <c r="B1076" t="s">
        <v>15</v>
      </c>
      <c r="C1076" t="s">
        <v>16</v>
      </c>
      <c r="D1076">
        <v>84</v>
      </c>
      <c r="E1076" t="s">
        <v>1101</v>
      </c>
      <c r="F1076">
        <v>5419</v>
      </c>
      <c r="G1076" t="s">
        <v>18</v>
      </c>
      <c r="H1076">
        <v>27</v>
      </c>
      <c r="I1076" t="s">
        <v>19</v>
      </c>
      <c r="J1076">
        <v>2016</v>
      </c>
      <c r="K1076">
        <v>2016</v>
      </c>
      <c r="L1076" t="s">
        <v>20</v>
      </c>
      <c r="M1076">
        <v>77299</v>
      </c>
      <c r="N1076">
        <v>652</v>
      </c>
    </row>
    <row r="1077" spans="1:14" x14ac:dyDescent="0.35">
      <c r="A1077" t="s">
        <v>1131</v>
      </c>
      <c r="B1077" t="s">
        <v>15</v>
      </c>
      <c r="C1077" t="s">
        <v>16</v>
      </c>
      <c r="D1077">
        <v>89</v>
      </c>
      <c r="E1077" t="s">
        <v>1132</v>
      </c>
      <c r="F1077">
        <v>5419</v>
      </c>
      <c r="G1077" t="s">
        <v>18</v>
      </c>
      <c r="H1077">
        <v>27</v>
      </c>
      <c r="I1077" t="s">
        <v>19</v>
      </c>
      <c r="J1077">
        <v>1985</v>
      </c>
      <c r="K1077">
        <v>1985</v>
      </c>
      <c r="L1077" t="s">
        <v>20</v>
      </c>
      <c r="M1077">
        <v>26374</v>
      </c>
      <c r="N1077">
        <v>1996</v>
      </c>
    </row>
    <row r="1078" spans="1:14" x14ac:dyDescent="0.35">
      <c r="A1078" t="s">
        <v>1133</v>
      </c>
      <c r="B1078" t="s">
        <v>15</v>
      </c>
      <c r="C1078" t="s">
        <v>16</v>
      </c>
      <c r="D1078">
        <v>89</v>
      </c>
      <c r="E1078" t="s">
        <v>1132</v>
      </c>
      <c r="F1078">
        <v>5419</v>
      </c>
      <c r="G1078" t="s">
        <v>18</v>
      </c>
      <c r="H1078">
        <v>27</v>
      </c>
      <c r="I1078" t="s">
        <v>19</v>
      </c>
      <c r="J1078">
        <v>1986</v>
      </c>
      <c r="K1078">
        <v>1986</v>
      </c>
      <c r="L1078" t="s">
        <v>20</v>
      </c>
      <c r="M1078">
        <v>33402</v>
      </c>
      <c r="N1078">
        <v>1996</v>
      </c>
    </row>
    <row r="1079" spans="1:14" x14ac:dyDescent="0.35">
      <c r="A1079" t="s">
        <v>1134</v>
      </c>
      <c r="B1079" t="s">
        <v>15</v>
      </c>
      <c r="C1079" t="s">
        <v>16</v>
      </c>
      <c r="D1079">
        <v>89</v>
      </c>
      <c r="E1079" t="s">
        <v>1132</v>
      </c>
      <c r="F1079">
        <v>5419</v>
      </c>
      <c r="G1079" t="s">
        <v>18</v>
      </c>
      <c r="H1079">
        <v>27</v>
      </c>
      <c r="I1079" t="s">
        <v>19</v>
      </c>
      <c r="J1079">
        <v>1987</v>
      </c>
      <c r="K1079">
        <v>1987</v>
      </c>
      <c r="L1079" t="s">
        <v>20</v>
      </c>
      <c r="M1079">
        <v>25283</v>
      </c>
      <c r="N1079">
        <v>1996</v>
      </c>
    </row>
    <row r="1080" spans="1:14" x14ac:dyDescent="0.35">
      <c r="A1080" t="s">
        <v>1135</v>
      </c>
      <c r="B1080" t="s">
        <v>15</v>
      </c>
      <c r="C1080" t="s">
        <v>16</v>
      </c>
      <c r="D1080">
        <v>89</v>
      </c>
      <c r="E1080" t="s">
        <v>1132</v>
      </c>
      <c r="F1080">
        <v>5419</v>
      </c>
      <c r="G1080" t="s">
        <v>18</v>
      </c>
      <c r="H1080">
        <v>27</v>
      </c>
      <c r="I1080" t="s">
        <v>19</v>
      </c>
      <c r="J1080">
        <v>1989</v>
      </c>
      <c r="K1080">
        <v>1989</v>
      </c>
      <c r="L1080" t="s">
        <v>20</v>
      </c>
      <c r="M1080">
        <v>29693</v>
      </c>
      <c r="N1080">
        <v>1996</v>
      </c>
    </row>
    <row r="1081" spans="1:14" x14ac:dyDescent="0.35">
      <c r="A1081" t="s">
        <v>1136</v>
      </c>
      <c r="B1081" t="s">
        <v>15</v>
      </c>
      <c r="C1081" t="s">
        <v>16</v>
      </c>
      <c r="D1081">
        <v>89</v>
      </c>
      <c r="E1081" t="s">
        <v>1132</v>
      </c>
      <c r="F1081">
        <v>5419</v>
      </c>
      <c r="G1081" t="s">
        <v>18</v>
      </c>
      <c r="H1081">
        <v>27</v>
      </c>
      <c r="I1081" t="s">
        <v>19</v>
      </c>
      <c r="J1081">
        <v>1990</v>
      </c>
      <c r="K1081">
        <v>1990</v>
      </c>
      <c r="L1081" t="s">
        <v>20</v>
      </c>
      <c r="M1081">
        <v>31111</v>
      </c>
      <c r="N1081">
        <v>1996</v>
      </c>
    </row>
    <row r="1082" spans="1:14" x14ac:dyDescent="0.35">
      <c r="A1082" t="s">
        <v>1137</v>
      </c>
      <c r="B1082" t="s">
        <v>15</v>
      </c>
      <c r="C1082" t="s">
        <v>16</v>
      </c>
      <c r="D1082">
        <v>89</v>
      </c>
      <c r="E1082" t="s">
        <v>1132</v>
      </c>
      <c r="F1082">
        <v>5419</v>
      </c>
      <c r="G1082" t="s">
        <v>18</v>
      </c>
      <c r="H1082">
        <v>27</v>
      </c>
      <c r="I1082" t="s">
        <v>19</v>
      </c>
      <c r="J1082">
        <v>1991</v>
      </c>
      <c r="K1082">
        <v>1991</v>
      </c>
      <c r="L1082" t="s">
        <v>20</v>
      </c>
      <c r="M1082">
        <v>28745</v>
      </c>
      <c r="N1082">
        <v>1996</v>
      </c>
    </row>
    <row r="1083" spans="1:14" x14ac:dyDescent="0.35">
      <c r="A1083" t="s">
        <v>1138</v>
      </c>
      <c r="B1083" t="s">
        <v>15</v>
      </c>
      <c r="C1083" t="s">
        <v>16</v>
      </c>
      <c r="D1083">
        <v>89</v>
      </c>
      <c r="E1083" t="s">
        <v>1132</v>
      </c>
      <c r="F1083">
        <v>5419</v>
      </c>
      <c r="G1083" t="s">
        <v>18</v>
      </c>
      <c r="H1083">
        <v>27</v>
      </c>
      <c r="I1083" t="s">
        <v>19</v>
      </c>
      <c r="J1083">
        <v>1992</v>
      </c>
      <c r="K1083">
        <v>1992</v>
      </c>
      <c r="L1083" t="s">
        <v>20</v>
      </c>
      <c r="M1083">
        <v>26021</v>
      </c>
      <c r="N1083">
        <v>1996</v>
      </c>
    </row>
    <row r="1084" spans="1:14" x14ac:dyDescent="0.35">
      <c r="A1084" t="s">
        <v>1139</v>
      </c>
      <c r="B1084" t="s">
        <v>15</v>
      </c>
      <c r="C1084" t="s">
        <v>16</v>
      </c>
      <c r="D1084">
        <v>89</v>
      </c>
      <c r="E1084" t="s">
        <v>1132</v>
      </c>
      <c r="F1084">
        <v>5419</v>
      </c>
      <c r="G1084" t="s">
        <v>18</v>
      </c>
      <c r="H1084">
        <v>27</v>
      </c>
      <c r="I1084" t="s">
        <v>19</v>
      </c>
      <c r="J1084">
        <v>1993</v>
      </c>
      <c r="K1084">
        <v>1993</v>
      </c>
      <c r="L1084" t="s">
        <v>20</v>
      </c>
      <c r="M1084">
        <v>27338</v>
      </c>
      <c r="N1084">
        <v>1996</v>
      </c>
    </row>
    <row r="1085" spans="1:14" x14ac:dyDescent="0.35">
      <c r="A1085" t="s">
        <v>1140</v>
      </c>
      <c r="B1085" t="s">
        <v>15</v>
      </c>
      <c r="C1085" t="s">
        <v>16</v>
      </c>
      <c r="D1085">
        <v>89</v>
      </c>
      <c r="E1085" t="s">
        <v>1132</v>
      </c>
      <c r="F1085">
        <v>5419</v>
      </c>
      <c r="G1085" t="s">
        <v>18</v>
      </c>
      <c r="H1085">
        <v>27</v>
      </c>
      <c r="I1085" t="s">
        <v>19</v>
      </c>
      <c r="J1085">
        <v>1994</v>
      </c>
      <c r="K1085">
        <v>1994</v>
      </c>
      <c r="L1085" t="s">
        <v>20</v>
      </c>
      <c r="M1085">
        <v>30022</v>
      </c>
      <c r="N1085">
        <v>1996</v>
      </c>
    </row>
    <row r="1086" spans="1:14" x14ac:dyDescent="0.35">
      <c r="A1086" t="s">
        <v>1141</v>
      </c>
      <c r="B1086" t="s">
        <v>15</v>
      </c>
      <c r="C1086" t="s">
        <v>16</v>
      </c>
      <c r="D1086">
        <v>89</v>
      </c>
      <c r="E1086" t="s">
        <v>1132</v>
      </c>
      <c r="F1086">
        <v>5419</v>
      </c>
      <c r="G1086" t="s">
        <v>18</v>
      </c>
      <c r="H1086">
        <v>27</v>
      </c>
      <c r="I1086" t="s">
        <v>19</v>
      </c>
      <c r="J1086">
        <v>1995</v>
      </c>
      <c r="K1086">
        <v>1995</v>
      </c>
      <c r="L1086" t="s">
        <v>20</v>
      </c>
      <c r="M1086">
        <v>27877</v>
      </c>
      <c r="N1086">
        <v>1996</v>
      </c>
    </row>
    <row r="1087" spans="1:14" x14ac:dyDescent="0.35">
      <c r="A1087" t="s">
        <v>1142</v>
      </c>
      <c r="B1087" t="s">
        <v>15</v>
      </c>
      <c r="C1087" t="s">
        <v>16</v>
      </c>
      <c r="D1087">
        <v>89</v>
      </c>
      <c r="E1087" t="s">
        <v>1132</v>
      </c>
      <c r="F1087">
        <v>5419</v>
      </c>
      <c r="G1087" t="s">
        <v>18</v>
      </c>
      <c r="H1087">
        <v>27</v>
      </c>
      <c r="I1087" t="s">
        <v>19</v>
      </c>
      <c r="J1087">
        <v>1996</v>
      </c>
      <c r="K1087">
        <v>1996</v>
      </c>
      <c r="L1087" t="s">
        <v>20</v>
      </c>
      <c r="M1087">
        <v>18086</v>
      </c>
      <c r="N1087">
        <v>1996</v>
      </c>
    </row>
    <row r="1088" spans="1:14" x14ac:dyDescent="0.35">
      <c r="A1088" t="s">
        <v>1143</v>
      </c>
      <c r="B1088" t="s">
        <v>15</v>
      </c>
      <c r="C1088" t="s">
        <v>16</v>
      </c>
      <c r="D1088">
        <v>89</v>
      </c>
      <c r="E1088" t="s">
        <v>1132</v>
      </c>
      <c r="F1088">
        <v>5419</v>
      </c>
      <c r="G1088" t="s">
        <v>18</v>
      </c>
      <c r="H1088">
        <v>27</v>
      </c>
      <c r="I1088" t="s">
        <v>19</v>
      </c>
      <c r="J1088">
        <v>1997</v>
      </c>
      <c r="K1088">
        <v>1997</v>
      </c>
      <c r="L1088" t="s">
        <v>20</v>
      </c>
      <c r="M1088">
        <v>18548</v>
      </c>
      <c r="N1088">
        <v>1996</v>
      </c>
    </row>
    <row r="1089" spans="1:14" x14ac:dyDescent="0.35">
      <c r="A1089" t="s">
        <v>1144</v>
      </c>
      <c r="B1089" t="s">
        <v>15</v>
      </c>
      <c r="C1089" t="s">
        <v>16</v>
      </c>
      <c r="D1089">
        <v>89</v>
      </c>
      <c r="E1089" t="s">
        <v>1132</v>
      </c>
      <c r="F1089">
        <v>5419</v>
      </c>
      <c r="G1089" t="s">
        <v>18</v>
      </c>
      <c r="H1089">
        <v>27</v>
      </c>
      <c r="I1089" t="s">
        <v>19</v>
      </c>
      <c r="J1089">
        <v>1998</v>
      </c>
      <c r="K1089">
        <v>1998</v>
      </c>
      <c r="L1089" t="s">
        <v>20</v>
      </c>
      <c r="M1089">
        <v>22581</v>
      </c>
      <c r="N1089">
        <v>1996</v>
      </c>
    </row>
    <row r="1090" spans="1:14" x14ac:dyDescent="0.35">
      <c r="A1090" t="s">
        <v>1145</v>
      </c>
      <c r="B1090" t="s">
        <v>15</v>
      </c>
      <c r="C1090" t="s">
        <v>16</v>
      </c>
      <c r="D1090">
        <v>89</v>
      </c>
      <c r="E1090" t="s">
        <v>1132</v>
      </c>
      <c r="F1090">
        <v>5419</v>
      </c>
      <c r="G1090" t="s">
        <v>18</v>
      </c>
      <c r="H1090">
        <v>27</v>
      </c>
      <c r="I1090" t="s">
        <v>19</v>
      </c>
      <c r="J1090">
        <v>1999</v>
      </c>
      <c r="K1090">
        <v>1999</v>
      </c>
      <c r="L1090" t="s">
        <v>20</v>
      </c>
      <c r="M1090">
        <v>32924</v>
      </c>
      <c r="N1090">
        <v>1996</v>
      </c>
    </row>
    <row r="1091" spans="1:14" x14ac:dyDescent="0.35">
      <c r="A1091" t="s">
        <v>1146</v>
      </c>
      <c r="B1091" t="s">
        <v>15</v>
      </c>
      <c r="C1091" t="s">
        <v>16</v>
      </c>
      <c r="D1091">
        <v>89</v>
      </c>
      <c r="E1091" t="s">
        <v>1132</v>
      </c>
      <c r="F1091">
        <v>5419</v>
      </c>
      <c r="G1091" t="s">
        <v>18</v>
      </c>
      <c r="H1091">
        <v>27</v>
      </c>
      <c r="I1091" t="s">
        <v>19</v>
      </c>
      <c r="J1091">
        <v>2000</v>
      </c>
      <c r="K1091">
        <v>2000</v>
      </c>
      <c r="L1091" t="s">
        <v>20</v>
      </c>
      <c r="M1091">
        <v>30764</v>
      </c>
      <c r="N1091">
        <v>1996</v>
      </c>
    </row>
    <row r="1092" spans="1:14" x14ac:dyDescent="0.35">
      <c r="A1092" t="s">
        <v>1147</v>
      </c>
      <c r="B1092" t="s">
        <v>15</v>
      </c>
      <c r="C1092" t="s">
        <v>16</v>
      </c>
      <c r="D1092">
        <v>89</v>
      </c>
      <c r="E1092" t="s">
        <v>1132</v>
      </c>
      <c r="F1092">
        <v>5419</v>
      </c>
      <c r="G1092" t="s">
        <v>18</v>
      </c>
      <c r="H1092">
        <v>27</v>
      </c>
      <c r="I1092" t="s">
        <v>19</v>
      </c>
      <c r="J1092">
        <v>2001</v>
      </c>
      <c r="K1092">
        <v>2001</v>
      </c>
      <c r="L1092" t="s">
        <v>20</v>
      </c>
      <c r="M1092">
        <v>19229</v>
      </c>
      <c r="N1092">
        <v>1996</v>
      </c>
    </row>
    <row r="1093" spans="1:14" x14ac:dyDescent="0.35">
      <c r="A1093" t="s">
        <v>1148</v>
      </c>
      <c r="B1093" t="s">
        <v>15</v>
      </c>
      <c r="C1093" t="s">
        <v>16</v>
      </c>
      <c r="D1093">
        <v>89</v>
      </c>
      <c r="E1093" t="s">
        <v>1132</v>
      </c>
      <c r="F1093">
        <v>5419</v>
      </c>
      <c r="G1093" t="s">
        <v>18</v>
      </c>
      <c r="H1093">
        <v>27</v>
      </c>
      <c r="I1093" t="s">
        <v>19</v>
      </c>
      <c r="J1093">
        <v>2002</v>
      </c>
      <c r="K1093">
        <v>2002</v>
      </c>
      <c r="L1093" t="s">
        <v>20</v>
      </c>
      <c r="M1093">
        <v>11989</v>
      </c>
      <c r="N1093">
        <v>1996</v>
      </c>
    </row>
    <row r="1094" spans="1:14" x14ac:dyDescent="0.35">
      <c r="A1094" t="s">
        <v>1149</v>
      </c>
      <c r="B1094" t="s">
        <v>15</v>
      </c>
      <c r="C1094" t="s">
        <v>16</v>
      </c>
      <c r="D1094">
        <v>89</v>
      </c>
      <c r="E1094" t="s">
        <v>1132</v>
      </c>
      <c r="F1094">
        <v>5419</v>
      </c>
      <c r="G1094" t="s">
        <v>18</v>
      </c>
      <c r="H1094">
        <v>27</v>
      </c>
      <c r="I1094" t="s">
        <v>19</v>
      </c>
      <c r="J1094">
        <v>2004</v>
      </c>
      <c r="K1094">
        <v>2004</v>
      </c>
      <c r="L1094" t="s">
        <v>20</v>
      </c>
      <c r="M1094">
        <v>26236</v>
      </c>
      <c r="N1094">
        <v>1996</v>
      </c>
    </row>
    <row r="1095" spans="1:14" x14ac:dyDescent="0.35">
      <c r="A1095" t="s">
        <v>1150</v>
      </c>
      <c r="B1095" t="s">
        <v>15</v>
      </c>
      <c r="C1095" t="s">
        <v>16</v>
      </c>
      <c r="D1095">
        <v>89</v>
      </c>
      <c r="E1095" t="s">
        <v>1132</v>
      </c>
      <c r="F1095">
        <v>5419</v>
      </c>
      <c r="G1095" t="s">
        <v>18</v>
      </c>
      <c r="H1095">
        <v>27</v>
      </c>
      <c r="I1095" t="s">
        <v>19</v>
      </c>
      <c r="J1095">
        <v>2005</v>
      </c>
      <c r="K1095">
        <v>2005</v>
      </c>
      <c r="L1095" t="s">
        <v>20</v>
      </c>
      <c r="M1095">
        <v>27463</v>
      </c>
      <c r="N1095">
        <v>1996</v>
      </c>
    </row>
    <row r="1096" spans="1:14" x14ac:dyDescent="0.35">
      <c r="A1096" t="s">
        <v>1151</v>
      </c>
      <c r="B1096" t="s">
        <v>15</v>
      </c>
      <c r="C1096" t="s">
        <v>16</v>
      </c>
      <c r="D1096">
        <v>89</v>
      </c>
      <c r="E1096" t="s">
        <v>1132</v>
      </c>
      <c r="F1096">
        <v>5419</v>
      </c>
      <c r="G1096" t="s">
        <v>18</v>
      </c>
      <c r="H1096">
        <v>27</v>
      </c>
      <c r="I1096" t="s">
        <v>19</v>
      </c>
      <c r="J1096">
        <v>2006</v>
      </c>
      <c r="K1096">
        <v>2006</v>
      </c>
      <c r="L1096" t="s">
        <v>20</v>
      </c>
      <c r="M1096">
        <v>24662</v>
      </c>
      <c r="N1096">
        <v>1996</v>
      </c>
    </row>
    <row r="1097" spans="1:14" x14ac:dyDescent="0.35">
      <c r="A1097" t="s">
        <v>1152</v>
      </c>
      <c r="B1097" t="s">
        <v>15</v>
      </c>
      <c r="C1097" t="s">
        <v>16</v>
      </c>
      <c r="D1097">
        <v>89</v>
      </c>
      <c r="E1097" t="s">
        <v>1132</v>
      </c>
      <c r="F1097">
        <v>5419</v>
      </c>
      <c r="G1097" t="s">
        <v>18</v>
      </c>
      <c r="H1097">
        <v>27</v>
      </c>
      <c r="I1097" t="s">
        <v>19</v>
      </c>
      <c r="J1097">
        <v>2007</v>
      </c>
      <c r="K1097">
        <v>2007</v>
      </c>
      <c r="L1097" t="s">
        <v>20</v>
      </c>
      <c r="M1097">
        <v>28203</v>
      </c>
      <c r="N1097">
        <v>1996</v>
      </c>
    </row>
    <row r="1098" spans="1:14" x14ac:dyDescent="0.35">
      <c r="A1098" t="s">
        <v>1153</v>
      </c>
      <c r="B1098" t="s">
        <v>15</v>
      </c>
      <c r="C1098" t="s">
        <v>16</v>
      </c>
      <c r="D1098">
        <v>89</v>
      </c>
      <c r="E1098" t="s">
        <v>1132</v>
      </c>
      <c r="F1098">
        <v>5419</v>
      </c>
      <c r="G1098" t="s">
        <v>18</v>
      </c>
      <c r="H1098">
        <v>27</v>
      </c>
      <c r="I1098" t="s">
        <v>19</v>
      </c>
      <c r="J1098">
        <v>2008</v>
      </c>
      <c r="K1098">
        <v>2008</v>
      </c>
      <c r="L1098" t="s">
        <v>20</v>
      </c>
      <c r="M1098">
        <v>30625</v>
      </c>
      <c r="N1098">
        <v>1996</v>
      </c>
    </row>
    <row r="1099" spans="1:14" x14ac:dyDescent="0.35">
      <c r="A1099" t="s">
        <v>1154</v>
      </c>
      <c r="B1099" t="s">
        <v>15</v>
      </c>
      <c r="C1099" t="s">
        <v>16</v>
      </c>
      <c r="D1099">
        <v>89</v>
      </c>
      <c r="E1099" t="s">
        <v>1132</v>
      </c>
      <c r="F1099">
        <v>5419</v>
      </c>
      <c r="G1099" t="s">
        <v>18</v>
      </c>
      <c r="H1099">
        <v>27</v>
      </c>
      <c r="I1099" t="s">
        <v>19</v>
      </c>
      <c r="J1099">
        <v>2009</v>
      </c>
      <c r="K1099">
        <v>2009</v>
      </c>
      <c r="L1099" t="s">
        <v>20</v>
      </c>
      <c r="M1099">
        <v>28922</v>
      </c>
      <c r="N1099">
        <v>1996</v>
      </c>
    </row>
    <row r="1100" spans="1:14" x14ac:dyDescent="0.35">
      <c r="A1100" t="s">
        <v>1155</v>
      </c>
      <c r="B1100" t="s">
        <v>15</v>
      </c>
      <c r="C1100" t="s">
        <v>16</v>
      </c>
      <c r="D1100">
        <v>89</v>
      </c>
      <c r="E1100" t="s">
        <v>1132</v>
      </c>
      <c r="F1100">
        <v>5419</v>
      </c>
      <c r="G1100" t="s">
        <v>18</v>
      </c>
      <c r="H1100">
        <v>27</v>
      </c>
      <c r="I1100" t="s">
        <v>19</v>
      </c>
      <c r="J1100">
        <v>2010</v>
      </c>
      <c r="K1100">
        <v>2010</v>
      </c>
      <c r="L1100" t="s">
        <v>20</v>
      </c>
      <c r="M1100">
        <v>28258</v>
      </c>
      <c r="N1100">
        <v>1996</v>
      </c>
    </row>
    <row r="1101" spans="1:14" x14ac:dyDescent="0.35">
      <c r="A1101" t="s">
        <v>1156</v>
      </c>
      <c r="B1101" t="s">
        <v>15</v>
      </c>
      <c r="C1101" t="s">
        <v>16</v>
      </c>
      <c r="D1101">
        <v>89</v>
      </c>
      <c r="E1101" t="s">
        <v>1132</v>
      </c>
      <c r="F1101">
        <v>5419</v>
      </c>
      <c r="G1101" t="s">
        <v>18</v>
      </c>
      <c r="H1101">
        <v>27</v>
      </c>
      <c r="I1101" t="s">
        <v>19</v>
      </c>
      <c r="J1101">
        <v>2011</v>
      </c>
      <c r="K1101">
        <v>2011</v>
      </c>
      <c r="L1101" t="s">
        <v>20</v>
      </c>
      <c r="M1101">
        <v>28621</v>
      </c>
      <c r="N1101">
        <v>1996</v>
      </c>
    </row>
    <row r="1102" spans="1:14" x14ac:dyDescent="0.35">
      <c r="A1102" t="s">
        <v>1157</v>
      </c>
      <c r="B1102" t="s">
        <v>15</v>
      </c>
      <c r="C1102" t="s">
        <v>16</v>
      </c>
      <c r="D1102">
        <v>89</v>
      </c>
      <c r="E1102" t="s">
        <v>1132</v>
      </c>
      <c r="F1102">
        <v>5419</v>
      </c>
      <c r="G1102" t="s">
        <v>18</v>
      </c>
      <c r="H1102">
        <v>27</v>
      </c>
      <c r="I1102" t="s">
        <v>19</v>
      </c>
      <c r="J1102">
        <v>2012</v>
      </c>
      <c r="K1102">
        <v>2012</v>
      </c>
      <c r="L1102" t="s">
        <v>20</v>
      </c>
      <c r="M1102">
        <v>28928</v>
      </c>
      <c r="N1102">
        <v>1996</v>
      </c>
    </row>
    <row r="1103" spans="1:14" x14ac:dyDescent="0.35">
      <c r="A1103" t="s">
        <v>1158</v>
      </c>
      <c r="B1103" t="s">
        <v>15</v>
      </c>
      <c r="C1103" t="s">
        <v>16</v>
      </c>
      <c r="D1103">
        <v>89</v>
      </c>
      <c r="E1103" t="s">
        <v>1132</v>
      </c>
      <c r="F1103">
        <v>5419</v>
      </c>
      <c r="G1103" t="s">
        <v>18</v>
      </c>
      <c r="H1103">
        <v>27</v>
      </c>
      <c r="I1103" t="s">
        <v>19</v>
      </c>
      <c r="J1103">
        <v>2013</v>
      </c>
      <c r="K1103">
        <v>2013</v>
      </c>
      <c r="L1103" t="s">
        <v>20</v>
      </c>
      <c r="M1103">
        <v>29387</v>
      </c>
      <c r="N1103">
        <v>1996</v>
      </c>
    </row>
    <row r="1104" spans="1:14" x14ac:dyDescent="0.35">
      <c r="A1104" t="s">
        <v>1159</v>
      </c>
      <c r="B1104" t="s">
        <v>15</v>
      </c>
      <c r="C1104" t="s">
        <v>16</v>
      </c>
      <c r="D1104">
        <v>89</v>
      </c>
      <c r="E1104" t="s">
        <v>1132</v>
      </c>
      <c r="F1104">
        <v>5419</v>
      </c>
      <c r="G1104" t="s">
        <v>18</v>
      </c>
      <c r="H1104">
        <v>27</v>
      </c>
      <c r="I1104" t="s">
        <v>19</v>
      </c>
      <c r="J1104">
        <v>2014</v>
      </c>
      <c r="K1104">
        <v>2014</v>
      </c>
      <c r="L1104" t="s">
        <v>20</v>
      </c>
      <c r="M1104">
        <v>30061</v>
      </c>
      <c r="N1104">
        <v>1996</v>
      </c>
    </row>
    <row r="1105" spans="1:14" x14ac:dyDescent="0.35">
      <c r="A1105" t="s">
        <v>1160</v>
      </c>
      <c r="B1105" t="s">
        <v>15</v>
      </c>
      <c r="C1105" t="s">
        <v>16</v>
      </c>
      <c r="D1105">
        <v>89</v>
      </c>
      <c r="E1105" t="s">
        <v>1132</v>
      </c>
      <c r="F1105">
        <v>5419</v>
      </c>
      <c r="G1105" t="s">
        <v>18</v>
      </c>
      <c r="H1105">
        <v>27</v>
      </c>
      <c r="I1105" t="s">
        <v>19</v>
      </c>
      <c r="J1105">
        <v>2015</v>
      </c>
      <c r="K1105">
        <v>2015</v>
      </c>
      <c r="L1105" t="s">
        <v>20</v>
      </c>
      <c r="M1105">
        <v>29356</v>
      </c>
      <c r="N1105">
        <v>1996</v>
      </c>
    </row>
    <row r="1106" spans="1:14" x14ac:dyDescent="0.35">
      <c r="A1106" t="s">
        <v>1161</v>
      </c>
      <c r="B1106" t="s">
        <v>15</v>
      </c>
      <c r="C1106" t="s">
        <v>16</v>
      </c>
      <c r="D1106">
        <v>89</v>
      </c>
      <c r="E1106" t="s">
        <v>1132</v>
      </c>
      <c r="F1106">
        <v>5419</v>
      </c>
      <c r="G1106" t="s">
        <v>18</v>
      </c>
      <c r="H1106">
        <v>27</v>
      </c>
      <c r="I1106" t="s">
        <v>19</v>
      </c>
      <c r="J1106">
        <v>2016</v>
      </c>
      <c r="K1106">
        <v>2016</v>
      </c>
      <c r="L1106" t="s">
        <v>20</v>
      </c>
      <c r="M1106">
        <v>29807</v>
      </c>
      <c r="N1106">
        <v>1996</v>
      </c>
    </row>
    <row r="1107" spans="1:14" x14ac:dyDescent="0.35">
      <c r="A1107" t="s">
        <v>1162</v>
      </c>
      <c r="B1107" t="s">
        <v>15</v>
      </c>
      <c r="C1107" t="s">
        <v>16</v>
      </c>
      <c r="D1107">
        <v>90</v>
      </c>
      <c r="E1107" t="s">
        <v>1163</v>
      </c>
      <c r="F1107">
        <v>5419</v>
      </c>
      <c r="G1107" t="s">
        <v>18</v>
      </c>
      <c r="H1107">
        <v>27</v>
      </c>
      <c r="I1107" t="s">
        <v>19</v>
      </c>
      <c r="J1107">
        <v>1985</v>
      </c>
      <c r="K1107">
        <v>1985</v>
      </c>
      <c r="L1107" t="s">
        <v>20</v>
      </c>
      <c r="M1107">
        <v>17090</v>
      </c>
      <c r="N1107">
        <v>1651</v>
      </c>
    </row>
    <row r="1108" spans="1:14" x14ac:dyDescent="0.35">
      <c r="A1108" t="s">
        <v>1164</v>
      </c>
      <c r="B1108" t="s">
        <v>15</v>
      </c>
      <c r="C1108" t="s">
        <v>16</v>
      </c>
      <c r="D1108">
        <v>90</v>
      </c>
      <c r="E1108" t="s">
        <v>1163</v>
      </c>
      <c r="F1108">
        <v>5419</v>
      </c>
      <c r="G1108" t="s">
        <v>18</v>
      </c>
      <c r="H1108">
        <v>27</v>
      </c>
      <c r="I1108" t="s">
        <v>19</v>
      </c>
      <c r="J1108">
        <v>1986</v>
      </c>
      <c r="K1108">
        <v>1986</v>
      </c>
      <c r="L1108" t="s">
        <v>20</v>
      </c>
      <c r="M1108">
        <v>17094</v>
      </c>
      <c r="N1108">
        <v>1651</v>
      </c>
    </row>
    <row r="1109" spans="1:14" x14ac:dyDescent="0.35">
      <c r="A1109" t="s">
        <v>1165</v>
      </c>
      <c r="B1109" t="s">
        <v>15</v>
      </c>
      <c r="C1109" t="s">
        <v>16</v>
      </c>
      <c r="D1109">
        <v>90</v>
      </c>
      <c r="E1109" t="s">
        <v>1163</v>
      </c>
      <c r="F1109">
        <v>5419</v>
      </c>
      <c r="G1109" t="s">
        <v>18</v>
      </c>
      <c r="H1109">
        <v>27</v>
      </c>
      <c r="I1109" t="s">
        <v>19</v>
      </c>
      <c r="J1109">
        <v>1987</v>
      </c>
      <c r="K1109">
        <v>1987</v>
      </c>
      <c r="L1109" t="s">
        <v>20</v>
      </c>
      <c r="M1109">
        <v>17097</v>
      </c>
      <c r="N1109">
        <v>1651</v>
      </c>
    </row>
    <row r="1110" spans="1:14" x14ac:dyDescent="0.35">
      <c r="A1110" t="s">
        <v>1166</v>
      </c>
      <c r="B1110" t="s">
        <v>15</v>
      </c>
      <c r="C1110" t="s">
        <v>16</v>
      </c>
      <c r="D1110">
        <v>90</v>
      </c>
      <c r="E1110" t="s">
        <v>1163</v>
      </c>
      <c r="F1110">
        <v>5419</v>
      </c>
      <c r="G1110" t="s">
        <v>18</v>
      </c>
      <c r="H1110">
        <v>27</v>
      </c>
      <c r="I1110" t="s">
        <v>19</v>
      </c>
      <c r="J1110">
        <v>1989</v>
      </c>
      <c r="K1110">
        <v>1989</v>
      </c>
      <c r="L1110" t="s">
        <v>20</v>
      </c>
      <c r="M1110">
        <v>17103</v>
      </c>
      <c r="N1110">
        <v>1651</v>
      </c>
    </row>
    <row r="1111" spans="1:14" x14ac:dyDescent="0.35">
      <c r="A1111" t="s">
        <v>1167</v>
      </c>
      <c r="B1111" t="s">
        <v>15</v>
      </c>
      <c r="C1111" t="s">
        <v>16</v>
      </c>
      <c r="D1111">
        <v>90</v>
      </c>
      <c r="E1111" t="s">
        <v>1163</v>
      </c>
      <c r="F1111">
        <v>5419</v>
      </c>
      <c r="G1111" t="s">
        <v>18</v>
      </c>
      <c r="H1111">
        <v>27</v>
      </c>
      <c r="I1111" t="s">
        <v>19</v>
      </c>
      <c r="J1111">
        <v>1990</v>
      </c>
      <c r="K1111">
        <v>1990</v>
      </c>
      <c r="L1111" t="s">
        <v>20</v>
      </c>
      <c r="M1111">
        <v>17106</v>
      </c>
      <c r="N1111">
        <v>1651</v>
      </c>
    </row>
    <row r="1112" spans="1:14" x14ac:dyDescent="0.35">
      <c r="A1112" t="s">
        <v>1168</v>
      </c>
      <c r="B1112" t="s">
        <v>15</v>
      </c>
      <c r="C1112" t="s">
        <v>16</v>
      </c>
      <c r="D1112">
        <v>90</v>
      </c>
      <c r="E1112" t="s">
        <v>1163</v>
      </c>
      <c r="F1112">
        <v>5419</v>
      </c>
      <c r="G1112" t="s">
        <v>18</v>
      </c>
      <c r="H1112">
        <v>27</v>
      </c>
      <c r="I1112" t="s">
        <v>19</v>
      </c>
      <c r="J1112">
        <v>1991</v>
      </c>
      <c r="K1112">
        <v>1991</v>
      </c>
      <c r="L1112" t="s">
        <v>20</v>
      </c>
      <c r="M1112">
        <v>17110</v>
      </c>
      <c r="N1112">
        <v>1651</v>
      </c>
    </row>
    <row r="1113" spans="1:14" x14ac:dyDescent="0.35">
      <c r="A1113" t="s">
        <v>1169</v>
      </c>
      <c r="B1113" t="s">
        <v>15</v>
      </c>
      <c r="C1113" t="s">
        <v>16</v>
      </c>
      <c r="D1113">
        <v>90</v>
      </c>
      <c r="E1113" t="s">
        <v>1163</v>
      </c>
      <c r="F1113">
        <v>5419</v>
      </c>
      <c r="G1113" t="s">
        <v>18</v>
      </c>
      <c r="H1113">
        <v>27</v>
      </c>
      <c r="I1113" t="s">
        <v>19</v>
      </c>
      <c r="J1113">
        <v>1992</v>
      </c>
      <c r="K1113">
        <v>1992</v>
      </c>
      <c r="L1113" t="s">
        <v>20</v>
      </c>
      <c r="M1113">
        <v>17113</v>
      </c>
      <c r="N1113">
        <v>1651</v>
      </c>
    </row>
    <row r="1114" spans="1:14" x14ac:dyDescent="0.35">
      <c r="A1114" t="s">
        <v>1170</v>
      </c>
      <c r="B1114" t="s">
        <v>15</v>
      </c>
      <c r="C1114" t="s">
        <v>16</v>
      </c>
      <c r="D1114">
        <v>90</v>
      </c>
      <c r="E1114" t="s">
        <v>1163</v>
      </c>
      <c r="F1114">
        <v>5419</v>
      </c>
      <c r="G1114" t="s">
        <v>18</v>
      </c>
      <c r="H1114">
        <v>27</v>
      </c>
      <c r="I1114" t="s">
        <v>19</v>
      </c>
      <c r="J1114">
        <v>1993</v>
      </c>
      <c r="K1114">
        <v>1993</v>
      </c>
      <c r="L1114" t="s">
        <v>20</v>
      </c>
      <c r="M1114">
        <v>17116</v>
      </c>
      <c r="N1114">
        <v>1651</v>
      </c>
    </row>
    <row r="1115" spans="1:14" x14ac:dyDescent="0.35">
      <c r="A1115" t="s">
        <v>1171</v>
      </c>
      <c r="B1115" t="s">
        <v>15</v>
      </c>
      <c r="C1115" t="s">
        <v>16</v>
      </c>
      <c r="D1115">
        <v>90</v>
      </c>
      <c r="E1115" t="s">
        <v>1163</v>
      </c>
      <c r="F1115">
        <v>5419</v>
      </c>
      <c r="G1115" t="s">
        <v>18</v>
      </c>
      <c r="H1115">
        <v>27</v>
      </c>
      <c r="I1115" t="s">
        <v>19</v>
      </c>
      <c r="J1115">
        <v>1994</v>
      </c>
      <c r="K1115">
        <v>1994</v>
      </c>
      <c r="L1115" t="s">
        <v>20</v>
      </c>
      <c r="M1115">
        <v>17119</v>
      </c>
      <c r="N1115">
        <v>1651</v>
      </c>
    </row>
    <row r="1116" spans="1:14" x14ac:dyDescent="0.35">
      <c r="A1116" t="s">
        <v>1172</v>
      </c>
      <c r="B1116" t="s">
        <v>15</v>
      </c>
      <c r="C1116" t="s">
        <v>16</v>
      </c>
      <c r="D1116">
        <v>90</v>
      </c>
      <c r="E1116" t="s">
        <v>1163</v>
      </c>
      <c r="F1116">
        <v>5419</v>
      </c>
      <c r="G1116" t="s">
        <v>18</v>
      </c>
      <c r="H1116">
        <v>27</v>
      </c>
      <c r="I1116" t="s">
        <v>19</v>
      </c>
      <c r="J1116">
        <v>1995</v>
      </c>
      <c r="K1116">
        <v>1995</v>
      </c>
      <c r="L1116" t="s">
        <v>20</v>
      </c>
      <c r="M1116">
        <v>17122</v>
      </c>
      <c r="N1116">
        <v>1651</v>
      </c>
    </row>
    <row r="1117" spans="1:14" x14ac:dyDescent="0.35">
      <c r="A1117" t="s">
        <v>1173</v>
      </c>
      <c r="B1117" t="s">
        <v>15</v>
      </c>
      <c r="C1117" t="s">
        <v>16</v>
      </c>
      <c r="D1117">
        <v>90</v>
      </c>
      <c r="E1117" t="s">
        <v>1163</v>
      </c>
      <c r="F1117">
        <v>5419</v>
      </c>
      <c r="G1117" t="s">
        <v>18</v>
      </c>
      <c r="H1117">
        <v>27</v>
      </c>
      <c r="I1117" t="s">
        <v>19</v>
      </c>
      <c r="J1117">
        <v>1996</v>
      </c>
      <c r="K1117">
        <v>1996</v>
      </c>
      <c r="L1117" t="s">
        <v>20</v>
      </c>
      <c r="M1117">
        <v>17126</v>
      </c>
      <c r="N1117">
        <v>1651</v>
      </c>
    </row>
    <row r="1118" spans="1:14" x14ac:dyDescent="0.35">
      <c r="A1118" t="s">
        <v>1174</v>
      </c>
      <c r="B1118" t="s">
        <v>15</v>
      </c>
      <c r="C1118" t="s">
        <v>16</v>
      </c>
      <c r="D1118">
        <v>90</v>
      </c>
      <c r="E1118" t="s">
        <v>1163</v>
      </c>
      <c r="F1118">
        <v>5419</v>
      </c>
      <c r="G1118" t="s">
        <v>18</v>
      </c>
      <c r="H1118">
        <v>27</v>
      </c>
      <c r="I1118" t="s">
        <v>19</v>
      </c>
      <c r="J1118">
        <v>1997</v>
      </c>
      <c r="K1118">
        <v>1997</v>
      </c>
      <c r="L1118" t="s">
        <v>20</v>
      </c>
      <c r="M1118">
        <v>17129</v>
      </c>
      <c r="N1118">
        <v>1651</v>
      </c>
    </row>
    <row r="1119" spans="1:14" x14ac:dyDescent="0.35">
      <c r="A1119" t="s">
        <v>1175</v>
      </c>
      <c r="B1119" t="s">
        <v>15</v>
      </c>
      <c r="C1119" t="s">
        <v>16</v>
      </c>
      <c r="D1119">
        <v>90</v>
      </c>
      <c r="E1119" t="s">
        <v>1163</v>
      </c>
      <c r="F1119">
        <v>5419</v>
      </c>
      <c r="G1119" t="s">
        <v>18</v>
      </c>
      <c r="H1119">
        <v>27</v>
      </c>
      <c r="I1119" t="s">
        <v>19</v>
      </c>
      <c r="J1119">
        <v>1998</v>
      </c>
      <c r="K1119">
        <v>1998</v>
      </c>
      <c r="L1119" t="s">
        <v>20</v>
      </c>
      <c r="M1119">
        <v>17132</v>
      </c>
      <c r="N1119">
        <v>1651</v>
      </c>
    </row>
    <row r="1120" spans="1:14" x14ac:dyDescent="0.35">
      <c r="A1120" t="s">
        <v>1176</v>
      </c>
      <c r="B1120" t="s">
        <v>15</v>
      </c>
      <c r="C1120" t="s">
        <v>16</v>
      </c>
      <c r="D1120">
        <v>90</v>
      </c>
      <c r="E1120" t="s">
        <v>1163</v>
      </c>
      <c r="F1120">
        <v>5419</v>
      </c>
      <c r="G1120" t="s">
        <v>18</v>
      </c>
      <c r="H1120">
        <v>27</v>
      </c>
      <c r="I1120" t="s">
        <v>19</v>
      </c>
      <c r="J1120">
        <v>1999</v>
      </c>
      <c r="K1120">
        <v>1999</v>
      </c>
      <c r="L1120" t="s">
        <v>20</v>
      </c>
      <c r="M1120">
        <v>17135</v>
      </c>
      <c r="N1120">
        <v>1651</v>
      </c>
    </row>
    <row r="1121" spans="1:14" x14ac:dyDescent="0.35">
      <c r="A1121" t="s">
        <v>1177</v>
      </c>
      <c r="B1121" t="s">
        <v>15</v>
      </c>
      <c r="C1121" t="s">
        <v>16</v>
      </c>
      <c r="D1121">
        <v>90</v>
      </c>
      <c r="E1121" t="s">
        <v>1163</v>
      </c>
      <c r="F1121">
        <v>5419</v>
      </c>
      <c r="G1121" t="s">
        <v>18</v>
      </c>
      <c r="H1121">
        <v>27</v>
      </c>
      <c r="I1121" t="s">
        <v>19</v>
      </c>
      <c r="J1121">
        <v>2000</v>
      </c>
      <c r="K1121">
        <v>2000</v>
      </c>
      <c r="L1121" t="s">
        <v>20</v>
      </c>
      <c r="M1121">
        <v>17139</v>
      </c>
      <c r="N1121">
        <v>1651</v>
      </c>
    </row>
    <row r="1122" spans="1:14" x14ac:dyDescent="0.35">
      <c r="A1122" t="s">
        <v>1178</v>
      </c>
      <c r="B1122" t="s">
        <v>15</v>
      </c>
      <c r="C1122" t="s">
        <v>16</v>
      </c>
      <c r="D1122">
        <v>90</v>
      </c>
      <c r="E1122" t="s">
        <v>1163</v>
      </c>
      <c r="F1122">
        <v>5419</v>
      </c>
      <c r="G1122" t="s">
        <v>18</v>
      </c>
      <c r="H1122">
        <v>27</v>
      </c>
      <c r="I1122" t="s">
        <v>19</v>
      </c>
      <c r="J1122">
        <v>2001</v>
      </c>
      <c r="K1122">
        <v>2001</v>
      </c>
      <c r="L1122" t="s">
        <v>20</v>
      </c>
      <c r="M1122">
        <v>17194</v>
      </c>
      <c r="N1122">
        <v>1651</v>
      </c>
    </row>
    <row r="1123" spans="1:14" x14ac:dyDescent="0.35">
      <c r="A1123" t="s">
        <v>1179</v>
      </c>
      <c r="B1123" t="s">
        <v>15</v>
      </c>
      <c r="C1123" t="s">
        <v>16</v>
      </c>
      <c r="D1123">
        <v>90</v>
      </c>
      <c r="E1123" t="s">
        <v>1163</v>
      </c>
      <c r="F1123">
        <v>5419</v>
      </c>
      <c r="G1123" t="s">
        <v>18</v>
      </c>
      <c r="H1123">
        <v>27</v>
      </c>
      <c r="I1123" t="s">
        <v>19</v>
      </c>
      <c r="J1123">
        <v>2002</v>
      </c>
      <c r="K1123">
        <v>2002</v>
      </c>
      <c r="L1123" t="s">
        <v>20</v>
      </c>
      <c r="M1123">
        <v>17289</v>
      </c>
      <c r="N1123">
        <v>1651</v>
      </c>
    </row>
    <row r="1124" spans="1:14" x14ac:dyDescent="0.35">
      <c r="A1124" t="s">
        <v>1180</v>
      </c>
      <c r="B1124" t="s">
        <v>15</v>
      </c>
      <c r="C1124" t="s">
        <v>16</v>
      </c>
      <c r="D1124">
        <v>90</v>
      </c>
      <c r="E1124" t="s">
        <v>1163</v>
      </c>
      <c r="F1124">
        <v>5419</v>
      </c>
      <c r="G1124" t="s">
        <v>18</v>
      </c>
      <c r="H1124">
        <v>27</v>
      </c>
      <c r="I1124" t="s">
        <v>19</v>
      </c>
      <c r="J1124">
        <v>2004</v>
      </c>
      <c r="K1124">
        <v>2004</v>
      </c>
      <c r="L1124" t="s">
        <v>20</v>
      </c>
      <c r="M1124">
        <v>17479</v>
      </c>
      <c r="N1124">
        <v>1651</v>
      </c>
    </row>
    <row r="1125" spans="1:14" x14ac:dyDescent="0.35">
      <c r="A1125" t="s">
        <v>1181</v>
      </c>
      <c r="B1125" t="s">
        <v>15</v>
      </c>
      <c r="C1125" t="s">
        <v>16</v>
      </c>
      <c r="D1125">
        <v>90</v>
      </c>
      <c r="E1125" t="s">
        <v>1163</v>
      </c>
      <c r="F1125">
        <v>5419</v>
      </c>
      <c r="G1125" t="s">
        <v>18</v>
      </c>
      <c r="H1125">
        <v>27</v>
      </c>
      <c r="I1125" t="s">
        <v>19</v>
      </c>
      <c r="J1125">
        <v>2005</v>
      </c>
      <c r="K1125">
        <v>2005</v>
      </c>
      <c r="L1125" t="s">
        <v>20</v>
      </c>
      <c r="M1125">
        <v>17575</v>
      </c>
      <c r="N1125">
        <v>1651</v>
      </c>
    </row>
    <row r="1126" spans="1:14" x14ac:dyDescent="0.35">
      <c r="A1126" t="s">
        <v>1182</v>
      </c>
      <c r="B1126" t="s">
        <v>15</v>
      </c>
      <c r="C1126" t="s">
        <v>16</v>
      </c>
      <c r="D1126">
        <v>90</v>
      </c>
      <c r="E1126" t="s">
        <v>1163</v>
      </c>
      <c r="F1126">
        <v>5419</v>
      </c>
      <c r="G1126" t="s">
        <v>18</v>
      </c>
      <c r="H1126">
        <v>27</v>
      </c>
      <c r="I1126" t="s">
        <v>19</v>
      </c>
      <c r="J1126">
        <v>2006</v>
      </c>
      <c r="K1126">
        <v>2006</v>
      </c>
      <c r="L1126" t="s">
        <v>20</v>
      </c>
      <c r="M1126">
        <v>17672</v>
      </c>
      <c r="N1126">
        <v>1651</v>
      </c>
    </row>
    <row r="1127" spans="1:14" x14ac:dyDescent="0.35">
      <c r="A1127" t="s">
        <v>1183</v>
      </c>
      <c r="B1127" t="s">
        <v>15</v>
      </c>
      <c r="C1127" t="s">
        <v>16</v>
      </c>
      <c r="D1127">
        <v>90</v>
      </c>
      <c r="E1127" t="s">
        <v>1163</v>
      </c>
      <c r="F1127">
        <v>5419</v>
      </c>
      <c r="G1127" t="s">
        <v>18</v>
      </c>
      <c r="H1127">
        <v>27</v>
      </c>
      <c r="I1127" t="s">
        <v>19</v>
      </c>
      <c r="J1127">
        <v>2007</v>
      </c>
      <c r="K1127">
        <v>2007</v>
      </c>
      <c r="L1127" t="s">
        <v>20</v>
      </c>
      <c r="M1127">
        <v>17769</v>
      </c>
      <c r="N1127">
        <v>1651</v>
      </c>
    </row>
    <row r="1128" spans="1:14" x14ac:dyDescent="0.35">
      <c r="A1128" t="s">
        <v>1184</v>
      </c>
      <c r="B1128" t="s">
        <v>15</v>
      </c>
      <c r="C1128" t="s">
        <v>16</v>
      </c>
      <c r="D1128">
        <v>90</v>
      </c>
      <c r="E1128" t="s">
        <v>1163</v>
      </c>
      <c r="F1128">
        <v>5419</v>
      </c>
      <c r="G1128" t="s">
        <v>18</v>
      </c>
      <c r="H1128">
        <v>27</v>
      </c>
      <c r="I1128" t="s">
        <v>19</v>
      </c>
      <c r="J1128">
        <v>2008</v>
      </c>
      <c r="K1128">
        <v>2008</v>
      </c>
      <c r="L1128" t="s">
        <v>20</v>
      </c>
      <c r="M1128">
        <v>19308</v>
      </c>
      <c r="N1128">
        <v>1651</v>
      </c>
    </row>
    <row r="1129" spans="1:14" x14ac:dyDescent="0.35">
      <c r="A1129" t="s">
        <v>1185</v>
      </c>
      <c r="B1129" t="s">
        <v>15</v>
      </c>
      <c r="C1129" t="s">
        <v>16</v>
      </c>
      <c r="D1129">
        <v>90</v>
      </c>
      <c r="E1129" t="s">
        <v>1163</v>
      </c>
      <c r="F1129">
        <v>5419</v>
      </c>
      <c r="G1129" t="s">
        <v>18</v>
      </c>
      <c r="H1129">
        <v>27</v>
      </c>
      <c r="I1129" t="s">
        <v>19</v>
      </c>
      <c r="J1129">
        <v>2009</v>
      </c>
      <c r="K1129">
        <v>2009</v>
      </c>
      <c r="L1129" t="s">
        <v>20</v>
      </c>
      <c r="M1129">
        <v>16705</v>
      </c>
      <c r="N1129">
        <v>1651</v>
      </c>
    </row>
    <row r="1130" spans="1:14" x14ac:dyDescent="0.35">
      <c r="A1130" t="s">
        <v>1186</v>
      </c>
      <c r="B1130" t="s">
        <v>15</v>
      </c>
      <c r="C1130" t="s">
        <v>16</v>
      </c>
      <c r="D1130">
        <v>90</v>
      </c>
      <c r="E1130" t="s">
        <v>1163</v>
      </c>
      <c r="F1130">
        <v>5419</v>
      </c>
      <c r="G1130" t="s">
        <v>18</v>
      </c>
      <c r="H1130">
        <v>27</v>
      </c>
      <c r="I1130" t="s">
        <v>19</v>
      </c>
      <c r="J1130">
        <v>2010</v>
      </c>
      <c r="K1130">
        <v>2010</v>
      </c>
      <c r="L1130" t="s">
        <v>20</v>
      </c>
      <c r="M1130">
        <v>11008</v>
      </c>
      <c r="N1130">
        <v>1651</v>
      </c>
    </row>
    <row r="1131" spans="1:14" x14ac:dyDescent="0.35">
      <c r="A1131" t="s">
        <v>1187</v>
      </c>
      <c r="B1131" t="s">
        <v>15</v>
      </c>
      <c r="C1131" t="s">
        <v>16</v>
      </c>
      <c r="D1131">
        <v>90</v>
      </c>
      <c r="E1131" t="s">
        <v>1163</v>
      </c>
      <c r="F1131">
        <v>5419</v>
      </c>
      <c r="G1131" t="s">
        <v>18</v>
      </c>
      <c r="H1131">
        <v>27</v>
      </c>
      <c r="I1131" t="s">
        <v>19</v>
      </c>
      <c r="J1131">
        <v>2011</v>
      </c>
      <c r="K1131">
        <v>2011</v>
      </c>
      <c r="L1131" t="s">
        <v>20</v>
      </c>
      <c r="M1131">
        <v>11567</v>
      </c>
      <c r="N1131">
        <v>1651</v>
      </c>
    </row>
    <row r="1132" spans="1:14" x14ac:dyDescent="0.35">
      <c r="A1132" t="s">
        <v>1188</v>
      </c>
      <c r="B1132" t="s">
        <v>15</v>
      </c>
      <c r="C1132" t="s">
        <v>16</v>
      </c>
      <c r="D1132">
        <v>90</v>
      </c>
      <c r="E1132" t="s">
        <v>1163</v>
      </c>
      <c r="F1132">
        <v>5419</v>
      </c>
      <c r="G1132" t="s">
        <v>18</v>
      </c>
      <c r="H1132">
        <v>27</v>
      </c>
      <c r="I1132" t="s">
        <v>19</v>
      </c>
      <c r="J1132">
        <v>2012</v>
      </c>
      <c r="K1132">
        <v>2012</v>
      </c>
      <c r="L1132" t="s">
        <v>20</v>
      </c>
      <c r="M1132">
        <v>12000</v>
      </c>
      <c r="N1132">
        <v>1651</v>
      </c>
    </row>
    <row r="1133" spans="1:14" x14ac:dyDescent="0.35">
      <c r="A1133" t="s">
        <v>1189</v>
      </c>
      <c r="B1133" t="s">
        <v>15</v>
      </c>
      <c r="C1133" t="s">
        <v>16</v>
      </c>
      <c r="D1133">
        <v>90</v>
      </c>
      <c r="E1133" t="s">
        <v>1163</v>
      </c>
      <c r="F1133">
        <v>5419</v>
      </c>
      <c r="G1133" t="s">
        <v>18</v>
      </c>
      <c r="H1133">
        <v>27</v>
      </c>
      <c r="I1133" t="s">
        <v>19</v>
      </c>
      <c r="J1133">
        <v>2013</v>
      </c>
      <c r="K1133">
        <v>2013</v>
      </c>
      <c r="L1133" t="s">
        <v>20</v>
      </c>
      <c r="M1133">
        <v>12500</v>
      </c>
      <c r="N1133">
        <v>1651</v>
      </c>
    </row>
    <row r="1134" spans="1:14" x14ac:dyDescent="0.35">
      <c r="A1134" t="s">
        <v>1190</v>
      </c>
      <c r="B1134" t="s">
        <v>15</v>
      </c>
      <c r="C1134" t="s">
        <v>16</v>
      </c>
      <c r="D1134">
        <v>90</v>
      </c>
      <c r="E1134" t="s">
        <v>1163</v>
      </c>
      <c r="F1134">
        <v>5419</v>
      </c>
      <c r="G1134" t="s">
        <v>18</v>
      </c>
      <c r="H1134">
        <v>27</v>
      </c>
      <c r="I1134" t="s">
        <v>19</v>
      </c>
      <c r="J1134">
        <v>2014</v>
      </c>
      <c r="K1134">
        <v>2014</v>
      </c>
      <c r="L1134" t="s">
        <v>20</v>
      </c>
      <c r="M1134">
        <v>13016</v>
      </c>
      <c r="N1134">
        <v>1651</v>
      </c>
    </row>
    <row r="1135" spans="1:14" x14ac:dyDescent="0.35">
      <c r="A1135" t="s">
        <v>1191</v>
      </c>
      <c r="B1135" t="s">
        <v>15</v>
      </c>
      <c r="C1135" t="s">
        <v>16</v>
      </c>
      <c r="D1135">
        <v>90</v>
      </c>
      <c r="E1135" t="s">
        <v>1163</v>
      </c>
      <c r="F1135">
        <v>5419</v>
      </c>
      <c r="G1135" t="s">
        <v>18</v>
      </c>
      <c r="H1135">
        <v>27</v>
      </c>
      <c r="I1135" t="s">
        <v>19</v>
      </c>
      <c r="J1135">
        <v>2015</v>
      </c>
      <c r="K1135">
        <v>2015</v>
      </c>
      <c r="L1135" t="s">
        <v>20</v>
      </c>
      <c r="M1135">
        <v>12193</v>
      </c>
      <c r="N1135">
        <v>1651</v>
      </c>
    </row>
    <row r="1136" spans="1:14" x14ac:dyDescent="0.35">
      <c r="A1136" t="s">
        <v>1192</v>
      </c>
      <c r="B1136" t="s">
        <v>15</v>
      </c>
      <c r="C1136" t="s">
        <v>16</v>
      </c>
      <c r="D1136">
        <v>90</v>
      </c>
      <c r="E1136" t="s">
        <v>1163</v>
      </c>
      <c r="F1136">
        <v>5419</v>
      </c>
      <c r="G1136" t="s">
        <v>18</v>
      </c>
      <c r="H1136">
        <v>27</v>
      </c>
      <c r="I1136" t="s">
        <v>19</v>
      </c>
      <c r="J1136">
        <v>2016</v>
      </c>
      <c r="K1136">
        <v>2016</v>
      </c>
      <c r="L1136" t="s">
        <v>20</v>
      </c>
      <c r="M1136">
        <v>11769</v>
      </c>
      <c r="N1136">
        <v>1651</v>
      </c>
    </row>
    <row r="1137" spans="1:14" x14ac:dyDescent="0.35">
      <c r="A1137" t="s">
        <v>1193</v>
      </c>
      <c r="B1137" t="s">
        <v>15</v>
      </c>
      <c r="C1137" t="s">
        <v>16</v>
      </c>
      <c r="D1137">
        <v>175</v>
      </c>
      <c r="E1137" t="s">
        <v>1194</v>
      </c>
      <c r="F1137">
        <v>5419</v>
      </c>
      <c r="G1137" t="s">
        <v>18</v>
      </c>
      <c r="H1137">
        <v>27</v>
      </c>
      <c r="I1137" t="s">
        <v>19</v>
      </c>
      <c r="J1137">
        <v>1985</v>
      </c>
      <c r="K1137">
        <v>1985</v>
      </c>
      <c r="L1137" t="s">
        <v>20</v>
      </c>
      <c r="M1137">
        <v>17500</v>
      </c>
      <c r="N1137">
        <v>1577</v>
      </c>
    </row>
    <row r="1138" spans="1:14" x14ac:dyDescent="0.35">
      <c r="A1138" t="s">
        <v>1195</v>
      </c>
      <c r="B1138" t="s">
        <v>15</v>
      </c>
      <c r="C1138" t="s">
        <v>16</v>
      </c>
      <c r="D1138">
        <v>175</v>
      </c>
      <c r="E1138" t="s">
        <v>1194</v>
      </c>
      <c r="F1138">
        <v>5419</v>
      </c>
      <c r="G1138" t="s">
        <v>18</v>
      </c>
      <c r="H1138">
        <v>27</v>
      </c>
      <c r="I1138" t="s">
        <v>19</v>
      </c>
      <c r="J1138">
        <v>1986</v>
      </c>
      <c r="K1138">
        <v>1986</v>
      </c>
      <c r="L1138" t="s">
        <v>20</v>
      </c>
      <c r="M1138">
        <v>20000</v>
      </c>
      <c r="N1138">
        <v>1577</v>
      </c>
    </row>
    <row r="1139" spans="1:14" x14ac:dyDescent="0.35">
      <c r="A1139" t="s">
        <v>1196</v>
      </c>
      <c r="B1139" t="s">
        <v>15</v>
      </c>
      <c r="C1139" t="s">
        <v>16</v>
      </c>
      <c r="D1139">
        <v>175</v>
      </c>
      <c r="E1139" t="s">
        <v>1194</v>
      </c>
      <c r="F1139">
        <v>5419</v>
      </c>
      <c r="G1139" t="s">
        <v>18</v>
      </c>
      <c r="H1139">
        <v>27</v>
      </c>
      <c r="I1139" t="s">
        <v>19</v>
      </c>
      <c r="J1139">
        <v>1987</v>
      </c>
      <c r="K1139">
        <v>1987</v>
      </c>
      <c r="L1139" t="s">
        <v>20</v>
      </c>
      <c r="M1139">
        <v>21000</v>
      </c>
      <c r="N1139">
        <v>1577</v>
      </c>
    </row>
    <row r="1140" spans="1:14" x14ac:dyDescent="0.35">
      <c r="A1140" t="s">
        <v>1197</v>
      </c>
      <c r="B1140" t="s">
        <v>15</v>
      </c>
      <c r="C1140" t="s">
        <v>16</v>
      </c>
      <c r="D1140">
        <v>175</v>
      </c>
      <c r="E1140" t="s">
        <v>1194</v>
      </c>
      <c r="F1140">
        <v>5419</v>
      </c>
      <c r="G1140" t="s">
        <v>18</v>
      </c>
      <c r="H1140">
        <v>27</v>
      </c>
      <c r="I1140" t="s">
        <v>19</v>
      </c>
      <c r="J1140">
        <v>1989</v>
      </c>
      <c r="K1140">
        <v>1989</v>
      </c>
      <c r="L1140" t="s">
        <v>20</v>
      </c>
      <c r="M1140">
        <v>20176</v>
      </c>
      <c r="N1140">
        <v>1577</v>
      </c>
    </row>
    <row r="1141" spans="1:14" x14ac:dyDescent="0.35">
      <c r="A1141" t="s">
        <v>1198</v>
      </c>
      <c r="B1141" t="s">
        <v>15</v>
      </c>
      <c r="C1141" t="s">
        <v>16</v>
      </c>
      <c r="D1141">
        <v>175</v>
      </c>
      <c r="E1141" t="s">
        <v>1194</v>
      </c>
      <c r="F1141">
        <v>5419</v>
      </c>
      <c r="G1141" t="s">
        <v>18</v>
      </c>
      <c r="H1141">
        <v>27</v>
      </c>
      <c r="I1141" t="s">
        <v>19</v>
      </c>
      <c r="J1141">
        <v>1990</v>
      </c>
      <c r="K1141">
        <v>1990</v>
      </c>
      <c r="L1141" t="s">
        <v>20</v>
      </c>
      <c r="M1141">
        <v>20518</v>
      </c>
      <c r="N1141">
        <v>1577</v>
      </c>
    </row>
    <row r="1142" spans="1:14" x14ac:dyDescent="0.35">
      <c r="A1142" t="s">
        <v>1199</v>
      </c>
      <c r="B1142" t="s">
        <v>15</v>
      </c>
      <c r="C1142" t="s">
        <v>16</v>
      </c>
      <c r="D1142">
        <v>175</v>
      </c>
      <c r="E1142" t="s">
        <v>1194</v>
      </c>
      <c r="F1142">
        <v>5419</v>
      </c>
      <c r="G1142" t="s">
        <v>18</v>
      </c>
      <c r="H1142">
        <v>27</v>
      </c>
      <c r="I1142" t="s">
        <v>19</v>
      </c>
      <c r="J1142">
        <v>1991</v>
      </c>
      <c r="K1142">
        <v>1991</v>
      </c>
      <c r="L1142" t="s">
        <v>20</v>
      </c>
      <c r="M1142">
        <v>20064</v>
      </c>
      <c r="N1142">
        <v>1577</v>
      </c>
    </row>
    <row r="1143" spans="1:14" x14ac:dyDescent="0.35">
      <c r="A1143" t="s">
        <v>1200</v>
      </c>
      <c r="B1143" t="s">
        <v>15</v>
      </c>
      <c r="C1143" t="s">
        <v>16</v>
      </c>
      <c r="D1143">
        <v>175</v>
      </c>
      <c r="E1143" t="s">
        <v>1194</v>
      </c>
      <c r="F1143">
        <v>5419</v>
      </c>
      <c r="G1143" t="s">
        <v>18</v>
      </c>
      <c r="H1143">
        <v>27</v>
      </c>
      <c r="I1143" t="s">
        <v>19</v>
      </c>
      <c r="J1143">
        <v>1992</v>
      </c>
      <c r="K1143">
        <v>1992</v>
      </c>
      <c r="L1143" t="s">
        <v>20</v>
      </c>
      <c r="M1143">
        <v>19011</v>
      </c>
      <c r="N1143">
        <v>1577</v>
      </c>
    </row>
    <row r="1144" spans="1:14" x14ac:dyDescent="0.35">
      <c r="A1144" t="s">
        <v>1201</v>
      </c>
      <c r="B1144" t="s">
        <v>15</v>
      </c>
      <c r="C1144" t="s">
        <v>16</v>
      </c>
      <c r="D1144">
        <v>175</v>
      </c>
      <c r="E1144" t="s">
        <v>1194</v>
      </c>
      <c r="F1144">
        <v>5419</v>
      </c>
      <c r="G1144" t="s">
        <v>18</v>
      </c>
      <c r="H1144">
        <v>27</v>
      </c>
      <c r="I1144" t="s">
        <v>19</v>
      </c>
      <c r="J1144">
        <v>1993</v>
      </c>
      <c r="K1144">
        <v>1993</v>
      </c>
      <c r="L1144" t="s">
        <v>20</v>
      </c>
      <c r="M1144">
        <v>19738</v>
      </c>
      <c r="N1144">
        <v>1577</v>
      </c>
    </row>
    <row r="1145" spans="1:14" x14ac:dyDescent="0.35">
      <c r="A1145" t="s">
        <v>1202</v>
      </c>
      <c r="B1145" t="s">
        <v>15</v>
      </c>
      <c r="C1145" t="s">
        <v>16</v>
      </c>
      <c r="D1145">
        <v>175</v>
      </c>
      <c r="E1145" t="s">
        <v>1194</v>
      </c>
      <c r="F1145">
        <v>5419</v>
      </c>
      <c r="G1145" t="s">
        <v>18</v>
      </c>
      <c r="H1145">
        <v>27</v>
      </c>
      <c r="I1145" t="s">
        <v>19</v>
      </c>
      <c r="J1145">
        <v>1994</v>
      </c>
      <c r="K1145">
        <v>1994</v>
      </c>
      <c r="L1145" t="s">
        <v>20</v>
      </c>
      <c r="M1145">
        <v>20067</v>
      </c>
      <c r="N1145">
        <v>1577</v>
      </c>
    </row>
    <row r="1146" spans="1:14" x14ac:dyDescent="0.35">
      <c r="A1146" t="s">
        <v>1203</v>
      </c>
      <c r="B1146" t="s">
        <v>15</v>
      </c>
      <c r="C1146" t="s">
        <v>16</v>
      </c>
      <c r="D1146">
        <v>175</v>
      </c>
      <c r="E1146" t="s">
        <v>1194</v>
      </c>
      <c r="F1146">
        <v>5419</v>
      </c>
      <c r="G1146" t="s">
        <v>18</v>
      </c>
      <c r="H1146">
        <v>27</v>
      </c>
      <c r="I1146" t="s">
        <v>19</v>
      </c>
      <c r="J1146">
        <v>1995</v>
      </c>
      <c r="K1146">
        <v>1995</v>
      </c>
      <c r="L1146" t="s">
        <v>20</v>
      </c>
      <c r="M1146">
        <v>19070</v>
      </c>
      <c r="N1146">
        <v>1577</v>
      </c>
    </row>
    <row r="1147" spans="1:14" x14ac:dyDescent="0.35">
      <c r="A1147" t="s">
        <v>1204</v>
      </c>
      <c r="B1147" t="s">
        <v>15</v>
      </c>
      <c r="C1147" t="s">
        <v>16</v>
      </c>
      <c r="D1147">
        <v>175</v>
      </c>
      <c r="E1147" t="s">
        <v>1194</v>
      </c>
      <c r="F1147">
        <v>5419</v>
      </c>
      <c r="G1147" t="s">
        <v>18</v>
      </c>
      <c r="H1147">
        <v>27</v>
      </c>
      <c r="I1147" t="s">
        <v>19</v>
      </c>
      <c r="J1147">
        <v>1996</v>
      </c>
      <c r="K1147">
        <v>1996</v>
      </c>
      <c r="L1147" t="s">
        <v>20</v>
      </c>
      <c r="M1147">
        <v>18375</v>
      </c>
      <c r="N1147">
        <v>1577</v>
      </c>
    </row>
    <row r="1148" spans="1:14" x14ac:dyDescent="0.35">
      <c r="A1148" t="s">
        <v>1205</v>
      </c>
      <c r="B1148" t="s">
        <v>15</v>
      </c>
      <c r="C1148" t="s">
        <v>16</v>
      </c>
      <c r="D1148">
        <v>175</v>
      </c>
      <c r="E1148" t="s">
        <v>1194</v>
      </c>
      <c r="F1148">
        <v>5419</v>
      </c>
      <c r="G1148" t="s">
        <v>18</v>
      </c>
      <c r="H1148">
        <v>27</v>
      </c>
      <c r="I1148" t="s">
        <v>19</v>
      </c>
      <c r="J1148">
        <v>1997</v>
      </c>
      <c r="K1148">
        <v>1997</v>
      </c>
      <c r="L1148" t="s">
        <v>20</v>
      </c>
      <c r="M1148">
        <v>16657</v>
      </c>
      <c r="N1148">
        <v>1577</v>
      </c>
    </row>
    <row r="1149" spans="1:14" x14ac:dyDescent="0.35">
      <c r="A1149" t="s">
        <v>1206</v>
      </c>
      <c r="B1149" t="s">
        <v>15</v>
      </c>
      <c r="C1149" t="s">
        <v>16</v>
      </c>
      <c r="D1149">
        <v>175</v>
      </c>
      <c r="E1149" t="s">
        <v>1194</v>
      </c>
      <c r="F1149">
        <v>5419</v>
      </c>
      <c r="G1149" t="s">
        <v>18</v>
      </c>
      <c r="H1149">
        <v>27</v>
      </c>
      <c r="I1149" t="s">
        <v>19</v>
      </c>
      <c r="J1149">
        <v>1998</v>
      </c>
      <c r="K1149">
        <v>1998</v>
      </c>
      <c r="L1149" t="s">
        <v>20</v>
      </c>
      <c r="M1149">
        <v>14282</v>
      </c>
      <c r="N1149">
        <v>1577</v>
      </c>
    </row>
    <row r="1150" spans="1:14" x14ac:dyDescent="0.35">
      <c r="A1150" t="s">
        <v>1207</v>
      </c>
      <c r="B1150" t="s">
        <v>15</v>
      </c>
      <c r="C1150" t="s">
        <v>16</v>
      </c>
      <c r="D1150">
        <v>175</v>
      </c>
      <c r="E1150" t="s">
        <v>1194</v>
      </c>
      <c r="F1150">
        <v>5419</v>
      </c>
      <c r="G1150" t="s">
        <v>18</v>
      </c>
      <c r="H1150">
        <v>27</v>
      </c>
      <c r="I1150" t="s">
        <v>19</v>
      </c>
      <c r="J1150">
        <v>1999</v>
      </c>
      <c r="K1150">
        <v>1999</v>
      </c>
      <c r="L1150" t="s">
        <v>20</v>
      </c>
      <c r="M1150">
        <v>11809</v>
      </c>
      <c r="N1150">
        <v>1577</v>
      </c>
    </row>
    <row r="1151" spans="1:14" x14ac:dyDescent="0.35">
      <c r="A1151" t="s">
        <v>1208</v>
      </c>
      <c r="B1151" t="s">
        <v>15</v>
      </c>
      <c r="C1151" t="s">
        <v>16</v>
      </c>
      <c r="D1151">
        <v>175</v>
      </c>
      <c r="E1151" t="s">
        <v>1194</v>
      </c>
      <c r="F1151">
        <v>5419</v>
      </c>
      <c r="G1151" t="s">
        <v>18</v>
      </c>
      <c r="H1151">
        <v>27</v>
      </c>
      <c r="I1151" t="s">
        <v>19</v>
      </c>
      <c r="J1151">
        <v>2000</v>
      </c>
      <c r="K1151">
        <v>2000</v>
      </c>
      <c r="L1151" t="s">
        <v>20</v>
      </c>
      <c r="M1151">
        <v>14210</v>
      </c>
      <c r="N1151">
        <v>1577</v>
      </c>
    </row>
    <row r="1152" spans="1:14" x14ac:dyDescent="0.35">
      <c r="A1152" t="s">
        <v>1209</v>
      </c>
      <c r="B1152" t="s">
        <v>15</v>
      </c>
      <c r="C1152" t="s">
        <v>16</v>
      </c>
      <c r="D1152">
        <v>175</v>
      </c>
      <c r="E1152" t="s">
        <v>1194</v>
      </c>
      <c r="F1152">
        <v>5419</v>
      </c>
      <c r="G1152" t="s">
        <v>18</v>
      </c>
      <c r="H1152">
        <v>27</v>
      </c>
      <c r="I1152" t="s">
        <v>19</v>
      </c>
      <c r="J1152">
        <v>2001</v>
      </c>
      <c r="K1152">
        <v>2001</v>
      </c>
      <c r="L1152" t="s">
        <v>20</v>
      </c>
      <c r="M1152">
        <v>12341</v>
      </c>
      <c r="N1152">
        <v>1577</v>
      </c>
    </row>
    <row r="1153" spans="1:14" x14ac:dyDescent="0.35">
      <c r="A1153" t="s">
        <v>1210</v>
      </c>
      <c r="B1153" t="s">
        <v>15</v>
      </c>
      <c r="C1153" t="s">
        <v>16</v>
      </c>
      <c r="D1153">
        <v>175</v>
      </c>
      <c r="E1153" t="s">
        <v>1194</v>
      </c>
      <c r="F1153">
        <v>5419</v>
      </c>
      <c r="G1153" t="s">
        <v>18</v>
      </c>
      <c r="H1153">
        <v>27</v>
      </c>
      <c r="I1153" t="s">
        <v>19</v>
      </c>
      <c r="J1153">
        <v>2002</v>
      </c>
      <c r="K1153">
        <v>2002</v>
      </c>
      <c r="L1153" t="s">
        <v>20</v>
      </c>
      <c r="M1153">
        <v>12921</v>
      </c>
      <c r="N1153">
        <v>1577</v>
      </c>
    </row>
    <row r="1154" spans="1:14" x14ac:dyDescent="0.35">
      <c r="A1154" t="s">
        <v>1211</v>
      </c>
      <c r="B1154" t="s">
        <v>15</v>
      </c>
      <c r="C1154" t="s">
        <v>16</v>
      </c>
      <c r="D1154">
        <v>175</v>
      </c>
      <c r="E1154" t="s">
        <v>1194</v>
      </c>
      <c r="F1154">
        <v>5419</v>
      </c>
      <c r="G1154" t="s">
        <v>18</v>
      </c>
      <c r="H1154">
        <v>27</v>
      </c>
      <c r="I1154" t="s">
        <v>19</v>
      </c>
      <c r="J1154">
        <v>2004</v>
      </c>
      <c r="K1154">
        <v>2004</v>
      </c>
      <c r="L1154" t="s">
        <v>20</v>
      </c>
      <c r="M1154">
        <v>13722</v>
      </c>
      <c r="N1154">
        <v>1577</v>
      </c>
    </row>
    <row r="1155" spans="1:14" x14ac:dyDescent="0.35">
      <c r="A1155" t="s">
        <v>1212</v>
      </c>
      <c r="B1155" t="s">
        <v>15</v>
      </c>
      <c r="C1155" t="s">
        <v>16</v>
      </c>
      <c r="D1155">
        <v>175</v>
      </c>
      <c r="E1155" t="s">
        <v>1194</v>
      </c>
      <c r="F1155">
        <v>5419</v>
      </c>
      <c r="G1155" t="s">
        <v>18</v>
      </c>
      <c r="H1155">
        <v>27</v>
      </c>
      <c r="I1155" t="s">
        <v>19</v>
      </c>
      <c r="J1155">
        <v>2005</v>
      </c>
      <c r="K1155">
        <v>2005</v>
      </c>
      <c r="L1155" t="s">
        <v>20</v>
      </c>
      <c r="M1155">
        <v>15129</v>
      </c>
      <c r="N1155">
        <v>1577</v>
      </c>
    </row>
    <row r="1156" spans="1:14" x14ac:dyDescent="0.35">
      <c r="A1156" t="s">
        <v>1213</v>
      </c>
      <c r="B1156" t="s">
        <v>15</v>
      </c>
      <c r="C1156" t="s">
        <v>16</v>
      </c>
      <c r="D1156">
        <v>175</v>
      </c>
      <c r="E1156" t="s">
        <v>1194</v>
      </c>
      <c r="F1156">
        <v>5419</v>
      </c>
      <c r="G1156" t="s">
        <v>18</v>
      </c>
      <c r="H1156">
        <v>27</v>
      </c>
      <c r="I1156" t="s">
        <v>19</v>
      </c>
      <c r="J1156">
        <v>2006</v>
      </c>
      <c r="K1156">
        <v>2006</v>
      </c>
      <c r="L1156" t="s">
        <v>20</v>
      </c>
      <c r="M1156">
        <v>16308</v>
      </c>
      <c r="N1156">
        <v>1577</v>
      </c>
    </row>
    <row r="1157" spans="1:14" x14ac:dyDescent="0.35">
      <c r="A1157" t="s">
        <v>1214</v>
      </c>
      <c r="B1157" t="s">
        <v>15</v>
      </c>
      <c r="C1157" t="s">
        <v>16</v>
      </c>
      <c r="D1157">
        <v>175</v>
      </c>
      <c r="E1157" t="s">
        <v>1194</v>
      </c>
      <c r="F1157">
        <v>5419</v>
      </c>
      <c r="G1157" t="s">
        <v>18</v>
      </c>
      <c r="H1157">
        <v>27</v>
      </c>
      <c r="I1157" t="s">
        <v>19</v>
      </c>
      <c r="J1157">
        <v>2007</v>
      </c>
      <c r="K1157">
        <v>2007</v>
      </c>
      <c r="L1157" t="s">
        <v>20</v>
      </c>
      <c r="M1157">
        <v>18156</v>
      </c>
      <c r="N1157">
        <v>1577</v>
      </c>
    </row>
    <row r="1158" spans="1:14" x14ac:dyDescent="0.35">
      <c r="A1158" t="s">
        <v>1215</v>
      </c>
      <c r="B1158" t="s">
        <v>15</v>
      </c>
      <c r="C1158" t="s">
        <v>16</v>
      </c>
      <c r="D1158">
        <v>175</v>
      </c>
      <c r="E1158" t="s">
        <v>1194</v>
      </c>
      <c r="F1158">
        <v>5419</v>
      </c>
      <c r="G1158" t="s">
        <v>18</v>
      </c>
      <c r="H1158">
        <v>27</v>
      </c>
      <c r="I1158" t="s">
        <v>19</v>
      </c>
      <c r="J1158">
        <v>2008</v>
      </c>
      <c r="K1158">
        <v>2008</v>
      </c>
      <c r="L1158" t="s">
        <v>20</v>
      </c>
      <c r="M1158">
        <v>18098</v>
      </c>
      <c r="N1158">
        <v>1577</v>
      </c>
    </row>
    <row r="1159" spans="1:14" x14ac:dyDescent="0.35">
      <c r="A1159" t="s">
        <v>1216</v>
      </c>
      <c r="B1159" t="s">
        <v>15</v>
      </c>
      <c r="C1159" t="s">
        <v>16</v>
      </c>
      <c r="D1159">
        <v>175</v>
      </c>
      <c r="E1159" t="s">
        <v>1194</v>
      </c>
      <c r="F1159">
        <v>5419</v>
      </c>
      <c r="G1159" t="s">
        <v>18</v>
      </c>
      <c r="H1159">
        <v>27</v>
      </c>
      <c r="I1159" t="s">
        <v>19</v>
      </c>
      <c r="J1159">
        <v>2009</v>
      </c>
      <c r="K1159">
        <v>2009</v>
      </c>
      <c r="L1159" t="s">
        <v>20</v>
      </c>
      <c r="M1159">
        <v>20368</v>
      </c>
      <c r="N1159">
        <v>1577</v>
      </c>
    </row>
    <row r="1160" spans="1:14" x14ac:dyDescent="0.35">
      <c r="A1160" t="s">
        <v>1217</v>
      </c>
      <c r="B1160" t="s">
        <v>15</v>
      </c>
      <c r="C1160" t="s">
        <v>16</v>
      </c>
      <c r="D1160">
        <v>175</v>
      </c>
      <c r="E1160" t="s">
        <v>1194</v>
      </c>
      <c r="F1160">
        <v>5419</v>
      </c>
      <c r="G1160" t="s">
        <v>18</v>
      </c>
      <c r="H1160">
        <v>27</v>
      </c>
      <c r="I1160" t="s">
        <v>19</v>
      </c>
      <c r="J1160">
        <v>2010</v>
      </c>
      <c r="K1160">
        <v>2010</v>
      </c>
      <c r="L1160" t="s">
        <v>20</v>
      </c>
      <c r="M1160">
        <v>20818</v>
      </c>
      <c r="N1160">
        <v>1577</v>
      </c>
    </row>
    <row r="1161" spans="1:14" x14ac:dyDescent="0.35">
      <c r="A1161" t="s">
        <v>1218</v>
      </c>
      <c r="B1161" t="s">
        <v>15</v>
      </c>
      <c r="C1161" t="s">
        <v>16</v>
      </c>
      <c r="D1161">
        <v>175</v>
      </c>
      <c r="E1161" t="s">
        <v>1194</v>
      </c>
      <c r="F1161">
        <v>5419</v>
      </c>
      <c r="G1161" t="s">
        <v>18</v>
      </c>
      <c r="H1161">
        <v>27</v>
      </c>
      <c r="I1161" t="s">
        <v>19</v>
      </c>
      <c r="J1161">
        <v>2011</v>
      </c>
      <c r="K1161">
        <v>2011</v>
      </c>
      <c r="L1161" t="s">
        <v>20</v>
      </c>
      <c r="M1161">
        <v>18824</v>
      </c>
      <c r="N1161">
        <v>1577</v>
      </c>
    </row>
    <row r="1162" spans="1:14" x14ac:dyDescent="0.35">
      <c r="A1162" t="s">
        <v>1219</v>
      </c>
      <c r="B1162" t="s">
        <v>15</v>
      </c>
      <c r="C1162" t="s">
        <v>16</v>
      </c>
      <c r="D1162">
        <v>175</v>
      </c>
      <c r="E1162" t="s">
        <v>1194</v>
      </c>
      <c r="F1162">
        <v>5419</v>
      </c>
      <c r="G1162" t="s">
        <v>18</v>
      </c>
      <c r="H1162">
        <v>27</v>
      </c>
      <c r="I1162" t="s">
        <v>19</v>
      </c>
      <c r="J1162">
        <v>2012</v>
      </c>
      <c r="K1162">
        <v>2012</v>
      </c>
      <c r="L1162" t="s">
        <v>20</v>
      </c>
      <c r="M1162">
        <v>17345</v>
      </c>
      <c r="N1162">
        <v>1577</v>
      </c>
    </row>
    <row r="1163" spans="1:14" x14ac:dyDescent="0.35">
      <c r="A1163" t="s">
        <v>1220</v>
      </c>
      <c r="B1163" t="s">
        <v>15</v>
      </c>
      <c r="C1163" t="s">
        <v>16</v>
      </c>
      <c r="D1163">
        <v>175</v>
      </c>
      <c r="E1163" t="s">
        <v>1194</v>
      </c>
      <c r="F1163">
        <v>5419</v>
      </c>
      <c r="G1163" t="s">
        <v>18</v>
      </c>
      <c r="H1163">
        <v>27</v>
      </c>
      <c r="I1163" t="s">
        <v>19</v>
      </c>
      <c r="J1163">
        <v>2013</v>
      </c>
      <c r="K1163">
        <v>2013</v>
      </c>
      <c r="L1163" t="s">
        <v>20</v>
      </c>
      <c r="M1163">
        <v>15535</v>
      </c>
      <c r="N1163">
        <v>1577</v>
      </c>
    </row>
    <row r="1164" spans="1:14" x14ac:dyDescent="0.35">
      <c r="A1164" t="s">
        <v>1221</v>
      </c>
      <c r="B1164" t="s">
        <v>15</v>
      </c>
      <c r="C1164" t="s">
        <v>16</v>
      </c>
      <c r="D1164">
        <v>175</v>
      </c>
      <c r="E1164" t="s">
        <v>1194</v>
      </c>
      <c r="F1164">
        <v>5419</v>
      </c>
      <c r="G1164" t="s">
        <v>18</v>
      </c>
      <c r="H1164">
        <v>27</v>
      </c>
      <c r="I1164" t="s">
        <v>19</v>
      </c>
      <c r="J1164">
        <v>2014</v>
      </c>
      <c r="K1164">
        <v>2014</v>
      </c>
      <c r="L1164" t="s">
        <v>20</v>
      </c>
      <c r="M1164">
        <v>15647</v>
      </c>
      <c r="N1164">
        <v>1577</v>
      </c>
    </row>
    <row r="1165" spans="1:14" x14ac:dyDescent="0.35">
      <c r="A1165" t="s">
        <v>1222</v>
      </c>
      <c r="B1165" t="s">
        <v>15</v>
      </c>
      <c r="C1165" t="s">
        <v>16</v>
      </c>
      <c r="D1165">
        <v>175</v>
      </c>
      <c r="E1165" t="s">
        <v>1194</v>
      </c>
      <c r="F1165">
        <v>5419</v>
      </c>
      <c r="G1165" t="s">
        <v>18</v>
      </c>
      <c r="H1165">
        <v>27</v>
      </c>
      <c r="I1165" t="s">
        <v>19</v>
      </c>
      <c r="J1165">
        <v>2015</v>
      </c>
      <c r="K1165">
        <v>2015</v>
      </c>
      <c r="L1165" t="s">
        <v>20</v>
      </c>
      <c r="M1165">
        <v>15281</v>
      </c>
      <c r="N1165">
        <v>1577</v>
      </c>
    </row>
    <row r="1166" spans="1:14" x14ac:dyDescent="0.35">
      <c r="A1166" t="s">
        <v>1223</v>
      </c>
      <c r="B1166" t="s">
        <v>15</v>
      </c>
      <c r="C1166" t="s">
        <v>16</v>
      </c>
      <c r="D1166">
        <v>175</v>
      </c>
      <c r="E1166" t="s">
        <v>1194</v>
      </c>
      <c r="F1166">
        <v>5419</v>
      </c>
      <c r="G1166" t="s">
        <v>18</v>
      </c>
      <c r="H1166">
        <v>27</v>
      </c>
      <c r="I1166" t="s">
        <v>19</v>
      </c>
      <c r="J1166">
        <v>2016</v>
      </c>
      <c r="K1166">
        <v>2016</v>
      </c>
      <c r="L1166" t="s">
        <v>20</v>
      </c>
      <c r="M1166">
        <v>16255</v>
      </c>
      <c r="N1166">
        <v>1577</v>
      </c>
    </row>
    <row r="1167" spans="1:14" x14ac:dyDescent="0.35">
      <c r="A1167" t="s">
        <v>1224</v>
      </c>
      <c r="B1167" t="s">
        <v>15</v>
      </c>
      <c r="C1167" t="s">
        <v>16</v>
      </c>
      <c r="D1167">
        <v>91</v>
      </c>
      <c r="E1167" t="s">
        <v>1225</v>
      </c>
      <c r="F1167">
        <v>5419</v>
      </c>
      <c r="G1167" t="s">
        <v>18</v>
      </c>
      <c r="H1167">
        <v>27</v>
      </c>
      <c r="I1167" t="s">
        <v>19</v>
      </c>
      <c r="J1167">
        <v>1985</v>
      </c>
      <c r="K1167">
        <v>1985</v>
      </c>
      <c r="L1167" t="s">
        <v>20</v>
      </c>
      <c r="M1167">
        <v>32935</v>
      </c>
      <c r="N1167">
        <v>2387</v>
      </c>
    </row>
    <row r="1168" spans="1:14" x14ac:dyDescent="0.35">
      <c r="A1168" t="s">
        <v>1226</v>
      </c>
      <c r="B1168" t="s">
        <v>15</v>
      </c>
      <c r="C1168" t="s">
        <v>16</v>
      </c>
      <c r="D1168">
        <v>91</v>
      </c>
      <c r="E1168" t="s">
        <v>1225</v>
      </c>
      <c r="F1168">
        <v>5419</v>
      </c>
      <c r="G1168" t="s">
        <v>18</v>
      </c>
      <c r="H1168">
        <v>27</v>
      </c>
      <c r="I1168" t="s">
        <v>19</v>
      </c>
      <c r="J1168">
        <v>1986</v>
      </c>
      <c r="K1168">
        <v>1986</v>
      </c>
      <c r="L1168" t="s">
        <v>20</v>
      </c>
      <c r="M1168">
        <v>32825</v>
      </c>
      <c r="N1168">
        <v>2387</v>
      </c>
    </row>
    <row r="1169" spans="1:14" x14ac:dyDescent="0.35">
      <c r="A1169" t="s">
        <v>1227</v>
      </c>
      <c r="B1169" t="s">
        <v>15</v>
      </c>
      <c r="C1169" t="s">
        <v>16</v>
      </c>
      <c r="D1169">
        <v>91</v>
      </c>
      <c r="E1169" t="s">
        <v>1225</v>
      </c>
      <c r="F1169">
        <v>5419</v>
      </c>
      <c r="G1169" t="s">
        <v>18</v>
      </c>
      <c r="H1169">
        <v>27</v>
      </c>
      <c r="I1169" t="s">
        <v>19</v>
      </c>
      <c r="J1169">
        <v>1987</v>
      </c>
      <c r="K1169">
        <v>1987</v>
      </c>
      <c r="L1169" t="s">
        <v>20</v>
      </c>
      <c r="M1169">
        <v>32515</v>
      </c>
      <c r="N1169">
        <v>2387</v>
      </c>
    </row>
    <row r="1170" spans="1:14" x14ac:dyDescent="0.35">
      <c r="A1170" t="s">
        <v>1228</v>
      </c>
      <c r="B1170" t="s">
        <v>15</v>
      </c>
      <c r="C1170" t="s">
        <v>16</v>
      </c>
      <c r="D1170">
        <v>91</v>
      </c>
      <c r="E1170" t="s">
        <v>1225</v>
      </c>
      <c r="F1170">
        <v>5419</v>
      </c>
      <c r="G1170" t="s">
        <v>18</v>
      </c>
      <c r="H1170">
        <v>27</v>
      </c>
      <c r="I1170" t="s">
        <v>19</v>
      </c>
      <c r="J1170">
        <v>1989</v>
      </c>
      <c r="K1170">
        <v>1989</v>
      </c>
      <c r="L1170" t="s">
        <v>20</v>
      </c>
      <c r="M1170">
        <v>34014</v>
      </c>
      <c r="N1170">
        <v>2387</v>
      </c>
    </row>
    <row r="1171" spans="1:14" x14ac:dyDescent="0.35">
      <c r="A1171" t="s">
        <v>1229</v>
      </c>
      <c r="B1171" t="s">
        <v>15</v>
      </c>
      <c r="C1171" t="s">
        <v>16</v>
      </c>
      <c r="D1171">
        <v>91</v>
      </c>
      <c r="E1171" t="s">
        <v>1225</v>
      </c>
      <c r="F1171">
        <v>5419</v>
      </c>
      <c r="G1171" t="s">
        <v>18</v>
      </c>
      <c r="H1171">
        <v>27</v>
      </c>
      <c r="I1171" t="s">
        <v>19</v>
      </c>
      <c r="J1171">
        <v>1990</v>
      </c>
      <c r="K1171">
        <v>1990</v>
      </c>
      <c r="L1171" t="s">
        <v>20</v>
      </c>
      <c r="M1171">
        <v>30331</v>
      </c>
      <c r="N1171">
        <v>2387</v>
      </c>
    </row>
    <row r="1172" spans="1:14" x14ac:dyDescent="0.35">
      <c r="A1172" t="s">
        <v>1230</v>
      </c>
      <c r="B1172" t="s">
        <v>15</v>
      </c>
      <c r="C1172" t="s">
        <v>16</v>
      </c>
      <c r="D1172">
        <v>91</v>
      </c>
      <c r="E1172" t="s">
        <v>1225</v>
      </c>
      <c r="F1172">
        <v>5419</v>
      </c>
      <c r="G1172" t="s">
        <v>18</v>
      </c>
      <c r="H1172">
        <v>27</v>
      </c>
      <c r="I1172" t="s">
        <v>19</v>
      </c>
      <c r="J1172">
        <v>1991</v>
      </c>
      <c r="K1172">
        <v>1991</v>
      </c>
      <c r="L1172" t="s">
        <v>20</v>
      </c>
      <c r="M1172">
        <v>33427</v>
      </c>
      <c r="N1172">
        <v>2387</v>
      </c>
    </row>
    <row r="1173" spans="1:14" x14ac:dyDescent="0.35">
      <c r="A1173" t="s">
        <v>1231</v>
      </c>
      <c r="B1173" t="s">
        <v>15</v>
      </c>
      <c r="C1173" t="s">
        <v>16</v>
      </c>
      <c r="D1173">
        <v>91</v>
      </c>
      <c r="E1173" t="s">
        <v>1225</v>
      </c>
      <c r="F1173">
        <v>5419</v>
      </c>
      <c r="G1173" t="s">
        <v>18</v>
      </c>
      <c r="H1173">
        <v>27</v>
      </c>
      <c r="I1173" t="s">
        <v>19</v>
      </c>
      <c r="J1173">
        <v>1992</v>
      </c>
      <c r="K1173">
        <v>1992</v>
      </c>
      <c r="L1173" t="s">
        <v>20</v>
      </c>
      <c r="M1173">
        <v>35106</v>
      </c>
      <c r="N1173">
        <v>2387</v>
      </c>
    </row>
    <row r="1174" spans="1:14" x14ac:dyDescent="0.35">
      <c r="A1174" t="s">
        <v>1232</v>
      </c>
      <c r="B1174" t="s">
        <v>15</v>
      </c>
      <c r="C1174" t="s">
        <v>16</v>
      </c>
      <c r="D1174">
        <v>91</v>
      </c>
      <c r="E1174" t="s">
        <v>1225</v>
      </c>
      <c r="F1174">
        <v>5419</v>
      </c>
      <c r="G1174" t="s">
        <v>18</v>
      </c>
      <c r="H1174">
        <v>27</v>
      </c>
      <c r="I1174" t="s">
        <v>19</v>
      </c>
      <c r="J1174">
        <v>1993</v>
      </c>
      <c r="K1174">
        <v>1993</v>
      </c>
      <c r="L1174" t="s">
        <v>20</v>
      </c>
      <c r="M1174">
        <v>33171</v>
      </c>
      <c r="N1174">
        <v>2387</v>
      </c>
    </row>
    <row r="1175" spans="1:14" x14ac:dyDescent="0.35">
      <c r="A1175" t="s">
        <v>1233</v>
      </c>
      <c r="B1175" t="s">
        <v>15</v>
      </c>
      <c r="C1175" t="s">
        <v>16</v>
      </c>
      <c r="D1175">
        <v>91</v>
      </c>
      <c r="E1175" t="s">
        <v>1225</v>
      </c>
      <c r="F1175">
        <v>5419</v>
      </c>
      <c r="G1175" t="s">
        <v>18</v>
      </c>
      <c r="H1175">
        <v>27</v>
      </c>
      <c r="I1175" t="s">
        <v>19</v>
      </c>
      <c r="J1175">
        <v>1994</v>
      </c>
      <c r="K1175">
        <v>1994</v>
      </c>
      <c r="L1175" t="s">
        <v>20</v>
      </c>
      <c r="M1175">
        <v>37329</v>
      </c>
      <c r="N1175">
        <v>2387</v>
      </c>
    </row>
    <row r="1176" spans="1:14" x14ac:dyDescent="0.35">
      <c r="A1176" t="s">
        <v>1234</v>
      </c>
      <c r="B1176" t="s">
        <v>15</v>
      </c>
      <c r="C1176" t="s">
        <v>16</v>
      </c>
      <c r="D1176">
        <v>91</v>
      </c>
      <c r="E1176" t="s">
        <v>1225</v>
      </c>
      <c r="F1176">
        <v>5419</v>
      </c>
      <c r="G1176" t="s">
        <v>18</v>
      </c>
      <c r="H1176">
        <v>27</v>
      </c>
      <c r="I1176" t="s">
        <v>19</v>
      </c>
      <c r="J1176">
        <v>1995</v>
      </c>
      <c r="K1176">
        <v>1995</v>
      </c>
      <c r="L1176" t="s">
        <v>20</v>
      </c>
      <c r="M1176">
        <v>39542</v>
      </c>
      <c r="N1176">
        <v>2387</v>
      </c>
    </row>
    <row r="1177" spans="1:14" x14ac:dyDescent="0.35">
      <c r="A1177" t="s">
        <v>1235</v>
      </c>
      <c r="B1177" t="s">
        <v>15</v>
      </c>
      <c r="C1177" t="s">
        <v>16</v>
      </c>
      <c r="D1177">
        <v>91</v>
      </c>
      <c r="E1177" t="s">
        <v>1225</v>
      </c>
      <c r="F1177">
        <v>5419</v>
      </c>
      <c r="G1177" t="s">
        <v>18</v>
      </c>
      <c r="H1177">
        <v>27</v>
      </c>
      <c r="I1177" t="s">
        <v>19</v>
      </c>
      <c r="J1177">
        <v>1996</v>
      </c>
      <c r="K1177">
        <v>1996</v>
      </c>
      <c r="L1177" t="s">
        <v>20</v>
      </c>
      <c r="M1177">
        <v>40141</v>
      </c>
      <c r="N1177">
        <v>2387</v>
      </c>
    </row>
    <row r="1178" spans="1:14" x14ac:dyDescent="0.35">
      <c r="A1178" t="s">
        <v>1236</v>
      </c>
      <c r="B1178" t="s">
        <v>15</v>
      </c>
      <c r="C1178" t="s">
        <v>16</v>
      </c>
      <c r="D1178">
        <v>91</v>
      </c>
      <c r="E1178" t="s">
        <v>1225</v>
      </c>
      <c r="F1178">
        <v>5419</v>
      </c>
      <c r="G1178" t="s">
        <v>18</v>
      </c>
      <c r="H1178">
        <v>27</v>
      </c>
      <c r="I1178" t="s">
        <v>19</v>
      </c>
      <c r="J1178">
        <v>1997</v>
      </c>
      <c r="K1178">
        <v>1997</v>
      </c>
      <c r="L1178" t="s">
        <v>20</v>
      </c>
      <c r="M1178">
        <v>39809</v>
      </c>
      <c r="N1178">
        <v>2387</v>
      </c>
    </row>
    <row r="1179" spans="1:14" x14ac:dyDescent="0.35">
      <c r="A1179" t="s">
        <v>1237</v>
      </c>
      <c r="B1179" t="s">
        <v>15</v>
      </c>
      <c r="C1179" t="s">
        <v>16</v>
      </c>
      <c r="D1179">
        <v>91</v>
      </c>
      <c r="E1179" t="s">
        <v>1225</v>
      </c>
      <c r="F1179">
        <v>5419</v>
      </c>
      <c r="G1179" t="s">
        <v>18</v>
      </c>
      <c r="H1179">
        <v>27</v>
      </c>
      <c r="I1179" t="s">
        <v>19</v>
      </c>
      <c r="J1179">
        <v>1998</v>
      </c>
      <c r="K1179">
        <v>1998</v>
      </c>
      <c r="L1179" t="s">
        <v>20</v>
      </c>
      <c r="M1179">
        <v>40405</v>
      </c>
      <c r="N1179">
        <v>2387</v>
      </c>
    </row>
    <row r="1180" spans="1:14" x14ac:dyDescent="0.35">
      <c r="A1180" t="s">
        <v>1238</v>
      </c>
      <c r="B1180" t="s">
        <v>15</v>
      </c>
      <c r="C1180" t="s">
        <v>16</v>
      </c>
      <c r="D1180">
        <v>91</v>
      </c>
      <c r="E1180" t="s">
        <v>1225</v>
      </c>
      <c r="F1180">
        <v>5419</v>
      </c>
      <c r="G1180" t="s">
        <v>18</v>
      </c>
      <c r="H1180">
        <v>27</v>
      </c>
      <c r="I1180" t="s">
        <v>19</v>
      </c>
      <c r="J1180">
        <v>1999</v>
      </c>
      <c r="K1180">
        <v>1999</v>
      </c>
      <c r="L1180" t="s">
        <v>20</v>
      </c>
      <c r="M1180">
        <v>38246</v>
      </c>
      <c r="N1180">
        <v>2387</v>
      </c>
    </row>
    <row r="1181" spans="1:14" x14ac:dyDescent="0.35">
      <c r="A1181" t="s">
        <v>1239</v>
      </c>
      <c r="B1181" t="s">
        <v>15</v>
      </c>
      <c r="C1181" t="s">
        <v>16</v>
      </c>
      <c r="D1181">
        <v>91</v>
      </c>
      <c r="E1181" t="s">
        <v>1225</v>
      </c>
      <c r="F1181">
        <v>5419</v>
      </c>
      <c r="G1181" t="s">
        <v>18</v>
      </c>
      <c r="H1181">
        <v>27</v>
      </c>
      <c r="I1181" t="s">
        <v>19</v>
      </c>
      <c r="J1181">
        <v>2000</v>
      </c>
      <c r="K1181">
        <v>2000</v>
      </c>
      <c r="L1181" t="s">
        <v>20</v>
      </c>
      <c r="M1181">
        <v>38677</v>
      </c>
      <c r="N1181">
        <v>2387</v>
      </c>
    </row>
    <row r="1182" spans="1:14" x14ac:dyDescent="0.35">
      <c r="A1182" t="s">
        <v>1240</v>
      </c>
      <c r="B1182" t="s">
        <v>15</v>
      </c>
      <c r="C1182" t="s">
        <v>16</v>
      </c>
      <c r="D1182">
        <v>91</v>
      </c>
      <c r="E1182" t="s">
        <v>1225</v>
      </c>
      <c r="F1182">
        <v>5419</v>
      </c>
      <c r="G1182" t="s">
        <v>18</v>
      </c>
      <c r="H1182">
        <v>27</v>
      </c>
      <c r="I1182" t="s">
        <v>19</v>
      </c>
      <c r="J1182">
        <v>2001</v>
      </c>
      <c r="K1182">
        <v>2001</v>
      </c>
      <c r="L1182" t="s">
        <v>20</v>
      </c>
      <c r="M1182">
        <v>39823</v>
      </c>
      <c r="N1182">
        <v>2387</v>
      </c>
    </row>
    <row r="1183" spans="1:14" x14ac:dyDescent="0.35">
      <c r="A1183" t="s">
        <v>1241</v>
      </c>
      <c r="B1183" t="s">
        <v>15</v>
      </c>
      <c r="C1183" t="s">
        <v>16</v>
      </c>
      <c r="D1183">
        <v>91</v>
      </c>
      <c r="E1183" t="s">
        <v>1225</v>
      </c>
      <c r="F1183">
        <v>5419</v>
      </c>
      <c r="G1183" t="s">
        <v>18</v>
      </c>
      <c r="H1183">
        <v>27</v>
      </c>
      <c r="I1183" t="s">
        <v>19</v>
      </c>
      <c r="J1183">
        <v>2002</v>
      </c>
      <c r="K1183">
        <v>2002</v>
      </c>
      <c r="L1183" t="s">
        <v>20</v>
      </c>
      <c r="M1183">
        <v>41194</v>
      </c>
      <c r="N1183">
        <v>2387</v>
      </c>
    </row>
    <row r="1184" spans="1:14" x14ac:dyDescent="0.35">
      <c r="A1184" t="s">
        <v>1242</v>
      </c>
      <c r="B1184" t="s">
        <v>15</v>
      </c>
      <c r="C1184" t="s">
        <v>16</v>
      </c>
      <c r="D1184">
        <v>91</v>
      </c>
      <c r="E1184" t="s">
        <v>1225</v>
      </c>
      <c r="F1184">
        <v>5419</v>
      </c>
      <c r="G1184" t="s">
        <v>18</v>
      </c>
      <c r="H1184">
        <v>27</v>
      </c>
      <c r="I1184" t="s">
        <v>19</v>
      </c>
      <c r="J1184">
        <v>2004</v>
      </c>
      <c r="K1184">
        <v>2004</v>
      </c>
      <c r="L1184" t="s">
        <v>20</v>
      </c>
      <c r="M1184">
        <v>43294</v>
      </c>
      <c r="N1184">
        <v>2387</v>
      </c>
    </row>
    <row r="1185" spans="1:14" x14ac:dyDescent="0.35">
      <c r="A1185" t="s">
        <v>1243</v>
      </c>
      <c r="B1185" t="s">
        <v>15</v>
      </c>
      <c r="C1185" t="s">
        <v>16</v>
      </c>
      <c r="D1185">
        <v>91</v>
      </c>
      <c r="E1185" t="s">
        <v>1225</v>
      </c>
      <c r="F1185">
        <v>5419</v>
      </c>
      <c r="G1185" t="s">
        <v>18</v>
      </c>
      <c r="H1185">
        <v>27</v>
      </c>
      <c r="I1185" t="s">
        <v>19</v>
      </c>
      <c r="J1185">
        <v>2005</v>
      </c>
      <c r="K1185">
        <v>2005</v>
      </c>
      <c r="L1185" t="s">
        <v>20</v>
      </c>
      <c r="M1185">
        <v>39397</v>
      </c>
      <c r="N1185">
        <v>2387</v>
      </c>
    </row>
    <row r="1186" spans="1:14" x14ac:dyDescent="0.35">
      <c r="A1186" t="s">
        <v>1244</v>
      </c>
      <c r="B1186" t="s">
        <v>15</v>
      </c>
      <c r="C1186" t="s">
        <v>16</v>
      </c>
      <c r="D1186">
        <v>91</v>
      </c>
      <c r="E1186" t="s">
        <v>1225</v>
      </c>
      <c r="F1186">
        <v>5419</v>
      </c>
      <c r="G1186" t="s">
        <v>18</v>
      </c>
      <c r="H1186">
        <v>27</v>
      </c>
      <c r="I1186" t="s">
        <v>19</v>
      </c>
      <c r="J1186">
        <v>2006</v>
      </c>
      <c r="K1186">
        <v>2006</v>
      </c>
      <c r="L1186" t="s">
        <v>20</v>
      </c>
      <c r="M1186">
        <v>46265</v>
      </c>
      <c r="N1186">
        <v>2387</v>
      </c>
    </row>
    <row r="1187" spans="1:14" x14ac:dyDescent="0.35">
      <c r="A1187" t="s">
        <v>1245</v>
      </c>
      <c r="B1187" t="s">
        <v>15</v>
      </c>
      <c r="C1187" t="s">
        <v>16</v>
      </c>
      <c r="D1187">
        <v>91</v>
      </c>
      <c r="E1187" t="s">
        <v>1225</v>
      </c>
      <c r="F1187">
        <v>5419</v>
      </c>
      <c r="G1187" t="s">
        <v>18</v>
      </c>
      <c r="H1187">
        <v>27</v>
      </c>
      <c r="I1187" t="s">
        <v>19</v>
      </c>
      <c r="J1187">
        <v>2007</v>
      </c>
      <c r="K1187">
        <v>2007</v>
      </c>
      <c r="L1187" t="s">
        <v>20</v>
      </c>
      <c r="M1187">
        <v>43310</v>
      </c>
      <c r="N1187">
        <v>2387</v>
      </c>
    </row>
    <row r="1188" spans="1:14" x14ac:dyDescent="0.35">
      <c r="A1188" t="s">
        <v>1246</v>
      </c>
      <c r="B1188" t="s">
        <v>15</v>
      </c>
      <c r="C1188" t="s">
        <v>16</v>
      </c>
      <c r="D1188">
        <v>91</v>
      </c>
      <c r="E1188" t="s">
        <v>1225</v>
      </c>
      <c r="F1188">
        <v>5419</v>
      </c>
      <c r="G1188" t="s">
        <v>18</v>
      </c>
      <c r="H1188">
        <v>27</v>
      </c>
      <c r="I1188" t="s">
        <v>19</v>
      </c>
      <c r="J1188">
        <v>2008</v>
      </c>
      <c r="K1188">
        <v>2008</v>
      </c>
      <c r="L1188" t="s">
        <v>20</v>
      </c>
      <c r="M1188">
        <v>42324</v>
      </c>
      <c r="N1188">
        <v>2387</v>
      </c>
    </row>
    <row r="1189" spans="1:14" x14ac:dyDescent="0.35">
      <c r="A1189" t="s">
        <v>1247</v>
      </c>
      <c r="B1189" t="s">
        <v>15</v>
      </c>
      <c r="C1189" t="s">
        <v>16</v>
      </c>
      <c r="D1189">
        <v>91</v>
      </c>
      <c r="E1189" t="s">
        <v>1225</v>
      </c>
      <c r="F1189">
        <v>5419</v>
      </c>
      <c r="G1189" t="s">
        <v>18</v>
      </c>
      <c r="H1189">
        <v>27</v>
      </c>
      <c r="I1189" t="s">
        <v>19</v>
      </c>
      <c r="J1189">
        <v>2009</v>
      </c>
      <c r="K1189">
        <v>2009</v>
      </c>
      <c r="L1189" t="s">
        <v>20</v>
      </c>
      <c r="M1189">
        <v>44353</v>
      </c>
      <c r="N1189">
        <v>2387</v>
      </c>
    </row>
    <row r="1190" spans="1:14" x14ac:dyDescent="0.35">
      <c r="A1190" t="s">
        <v>1248</v>
      </c>
      <c r="B1190" t="s">
        <v>15</v>
      </c>
      <c r="C1190" t="s">
        <v>16</v>
      </c>
      <c r="D1190">
        <v>91</v>
      </c>
      <c r="E1190" t="s">
        <v>1225</v>
      </c>
      <c r="F1190">
        <v>5419</v>
      </c>
      <c r="G1190" t="s">
        <v>18</v>
      </c>
      <c r="H1190">
        <v>27</v>
      </c>
      <c r="I1190" t="s">
        <v>19</v>
      </c>
      <c r="J1190">
        <v>2010</v>
      </c>
      <c r="K1190">
        <v>2010</v>
      </c>
      <c r="L1190" t="s">
        <v>20</v>
      </c>
      <c r="M1190">
        <v>42328</v>
      </c>
      <c r="N1190">
        <v>2387</v>
      </c>
    </row>
    <row r="1191" spans="1:14" x14ac:dyDescent="0.35">
      <c r="A1191" t="s">
        <v>1249</v>
      </c>
      <c r="B1191" t="s">
        <v>15</v>
      </c>
      <c r="C1191" t="s">
        <v>16</v>
      </c>
      <c r="D1191">
        <v>91</v>
      </c>
      <c r="E1191" t="s">
        <v>1225</v>
      </c>
      <c r="F1191">
        <v>5419</v>
      </c>
      <c r="G1191" t="s">
        <v>18</v>
      </c>
      <c r="H1191">
        <v>27</v>
      </c>
      <c r="I1191" t="s">
        <v>19</v>
      </c>
      <c r="J1191">
        <v>2011</v>
      </c>
      <c r="K1191">
        <v>2011</v>
      </c>
      <c r="L1191" t="s">
        <v>20</v>
      </c>
      <c r="M1191">
        <v>44102</v>
      </c>
      <c r="N1191">
        <v>2387</v>
      </c>
    </row>
    <row r="1192" spans="1:14" x14ac:dyDescent="0.35">
      <c r="A1192" t="s">
        <v>1250</v>
      </c>
      <c r="B1192" t="s">
        <v>15</v>
      </c>
      <c r="C1192" t="s">
        <v>16</v>
      </c>
      <c r="D1192">
        <v>91</v>
      </c>
      <c r="E1192" t="s">
        <v>1225</v>
      </c>
      <c r="F1192">
        <v>5419</v>
      </c>
      <c r="G1192" t="s">
        <v>18</v>
      </c>
      <c r="H1192">
        <v>27</v>
      </c>
      <c r="I1192" t="s">
        <v>19</v>
      </c>
      <c r="J1192">
        <v>2012</v>
      </c>
      <c r="K1192">
        <v>2012</v>
      </c>
      <c r="L1192" t="s">
        <v>20</v>
      </c>
      <c r="M1192">
        <v>45280</v>
      </c>
      <c r="N1192">
        <v>2387</v>
      </c>
    </row>
    <row r="1193" spans="1:14" x14ac:dyDescent="0.35">
      <c r="A1193" t="s">
        <v>1251</v>
      </c>
      <c r="B1193" t="s">
        <v>15</v>
      </c>
      <c r="C1193" t="s">
        <v>16</v>
      </c>
      <c r="D1193">
        <v>91</v>
      </c>
      <c r="E1193" t="s">
        <v>1225</v>
      </c>
      <c r="F1193">
        <v>5419</v>
      </c>
      <c r="G1193" t="s">
        <v>18</v>
      </c>
      <c r="H1193">
        <v>27</v>
      </c>
      <c r="I1193" t="s">
        <v>19</v>
      </c>
      <c r="J1193">
        <v>2013</v>
      </c>
      <c r="K1193">
        <v>2013</v>
      </c>
      <c r="L1193" t="s">
        <v>20</v>
      </c>
      <c r="M1193">
        <v>49996</v>
      </c>
      <c r="N1193">
        <v>2387</v>
      </c>
    </row>
    <row r="1194" spans="1:14" x14ac:dyDescent="0.35">
      <c r="A1194" t="s">
        <v>1252</v>
      </c>
      <c r="B1194" t="s">
        <v>15</v>
      </c>
      <c r="C1194" t="s">
        <v>16</v>
      </c>
      <c r="D1194">
        <v>91</v>
      </c>
      <c r="E1194" t="s">
        <v>1225</v>
      </c>
      <c r="F1194">
        <v>5419</v>
      </c>
      <c r="G1194" t="s">
        <v>18</v>
      </c>
      <c r="H1194">
        <v>27</v>
      </c>
      <c r="I1194" t="s">
        <v>19</v>
      </c>
      <c r="J1194">
        <v>2014</v>
      </c>
      <c r="K1194">
        <v>2014</v>
      </c>
      <c r="L1194" t="s">
        <v>20</v>
      </c>
      <c r="M1194">
        <v>34265</v>
      </c>
      <c r="N1194">
        <v>2387</v>
      </c>
    </row>
    <row r="1195" spans="1:14" x14ac:dyDescent="0.35">
      <c r="A1195" t="s">
        <v>1253</v>
      </c>
      <c r="B1195" t="s">
        <v>15</v>
      </c>
      <c r="C1195" t="s">
        <v>16</v>
      </c>
      <c r="D1195">
        <v>91</v>
      </c>
      <c r="E1195" t="s">
        <v>1225</v>
      </c>
      <c r="F1195">
        <v>5419</v>
      </c>
      <c r="G1195" t="s">
        <v>18</v>
      </c>
      <c r="H1195">
        <v>27</v>
      </c>
      <c r="I1195" t="s">
        <v>19</v>
      </c>
      <c r="J1195">
        <v>2015</v>
      </c>
      <c r="K1195">
        <v>2015</v>
      </c>
      <c r="L1195" t="s">
        <v>20</v>
      </c>
      <c r="M1195">
        <v>36010</v>
      </c>
      <c r="N1195">
        <v>2387</v>
      </c>
    </row>
    <row r="1196" spans="1:14" x14ac:dyDescent="0.35">
      <c r="A1196" t="s">
        <v>1254</v>
      </c>
      <c r="B1196" t="s">
        <v>15</v>
      </c>
      <c r="C1196" t="s">
        <v>16</v>
      </c>
      <c r="D1196">
        <v>91</v>
      </c>
      <c r="E1196" t="s">
        <v>1225</v>
      </c>
      <c r="F1196">
        <v>5419</v>
      </c>
      <c r="G1196" t="s">
        <v>18</v>
      </c>
      <c r="H1196">
        <v>27</v>
      </c>
      <c r="I1196" t="s">
        <v>19</v>
      </c>
      <c r="J1196">
        <v>2016</v>
      </c>
      <c r="K1196">
        <v>2016</v>
      </c>
      <c r="L1196" t="s">
        <v>20</v>
      </c>
      <c r="M1196">
        <v>35572</v>
      </c>
      <c r="N1196">
        <v>2387</v>
      </c>
    </row>
    <row r="1197" spans="1:14" x14ac:dyDescent="0.35">
      <c r="A1197" t="s">
        <v>1255</v>
      </c>
      <c r="B1197" t="s">
        <v>15</v>
      </c>
      <c r="C1197" t="s">
        <v>16</v>
      </c>
      <c r="D1197">
        <v>93</v>
      </c>
      <c r="E1197" t="s">
        <v>1256</v>
      </c>
      <c r="F1197">
        <v>5419</v>
      </c>
      <c r="G1197" t="s">
        <v>18</v>
      </c>
      <c r="H1197">
        <v>27</v>
      </c>
      <c r="I1197" t="s">
        <v>19</v>
      </c>
      <c r="J1197">
        <v>1985</v>
      </c>
      <c r="K1197">
        <v>1985</v>
      </c>
      <c r="L1197" t="s">
        <v>20</v>
      </c>
      <c r="M1197">
        <v>23490</v>
      </c>
      <c r="N1197">
        <v>1440</v>
      </c>
    </row>
    <row r="1198" spans="1:14" x14ac:dyDescent="0.35">
      <c r="A1198" t="s">
        <v>1257</v>
      </c>
      <c r="B1198" t="s">
        <v>15</v>
      </c>
      <c r="C1198" t="s">
        <v>16</v>
      </c>
      <c r="D1198">
        <v>93</v>
      </c>
      <c r="E1198" t="s">
        <v>1256</v>
      </c>
      <c r="F1198">
        <v>5419</v>
      </c>
      <c r="G1198" t="s">
        <v>18</v>
      </c>
      <c r="H1198">
        <v>27</v>
      </c>
      <c r="I1198" t="s">
        <v>19</v>
      </c>
      <c r="J1198">
        <v>1986</v>
      </c>
      <c r="K1198">
        <v>1986</v>
      </c>
      <c r="L1198" t="s">
        <v>20</v>
      </c>
      <c r="M1198">
        <v>24566</v>
      </c>
      <c r="N1198">
        <v>1440</v>
      </c>
    </row>
    <row r="1199" spans="1:14" x14ac:dyDescent="0.35">
      <c r="A1199" t="s">
        <v>1258</v>
      </c>
      <c r="B1199" t="s">
        <v>15</v>
      </c>
      <c r="C1199" t="s">
        <v>16</v>
      </c>
      <c r="D1199">
        <v>93</v>
      </c>
      <c r="E1199" t="s">
        <v>1256</v>
      </c>
      <c r="F1199">
        <v>5419</v>
      </c>
      <c r="G1199" t="s">
        <v>18</v>
      </c>
      <c r="H1199">
        <v>27</v>
      </c>
      <c r="I1199" t="s">
        <v>19</v>
      </c>
      <c r="J1199">
        <v>1987</v>
      </c>
      <c r="K1199">
        <v>1987</v>
      </c>
      <c r="L1199" t="s">
        <v>20</v>
      </c>
      <c r="M1199">
        <v>24166</v>
      </c>
      <c r="N1199">
        <v>1440</v>
      </c>
    </row>
    <row r="1200" spans="1:14" x14ac:dyDescent="0.35">
      <c r="A1200" t="s">
        <v>1259</v>
      </c>
      <c r="B1200" t="s">
        <v>15</v>
      </c>
      <c r="C1200" t="s">
        <v>16</v>
      </c>
      <c r="D1200">
        <v>93</v>
      </c>
      <c r="E1200" t="s">
        <v>1256</v>
      </c>
      <c r="F1200">
        <v>5419</v>
      </c>
      <c r="G1200" t="s">
        <v>18</v>
      </c>
      <c r="H1200">
        <v>27</v>
      </c>
      <c r="I1200" t="s">
        <v>19</v>
      </c>
      <c r="J1200">
        <v>1989</v>
      </c>
      <c r="K1200">
        <v>1989</v>
      </c>
      <c r="L1200" t="s">
        <v>20</v>
      </c>
      <c r="M1200">
        <v>22125</v>
      </c>
      <c r="N1200">
        <v>1440</v>
      </c>
    </row>
    <row r="1201" spans="1:14" x14ac:dyDescent="0.35">
      <c r="A1201" t="s">
        <v>1260</v>
      </c>
      <c r="B1201" t="s">
        <v>15</v>
      </c>
      <c r="C1201" t="s">
        <v>16</v>
      </c>
      <c r="D1201">
        <v>93</v>
      </c>
      <c r="E1201" t="s">
        <v>1256</v>
      </c>
      <c r="F1201">
        <v>5419</v>
      </c>
      <c r="G1201" t="s">
        <v>18</v>
      </c>
      <c r="H1201">
        <v>27</v>
      </c>
      <c r="I1201" t="s">
        <v>19</v>
      </c>
      <c r="J1201">
        <v>1990</v>
      </c>
      <c r="K1201">
        <v>1990</v>
      </c>
      <c r="L1201" t="s">
        <v>20</v>
      </c>
      <c r="M1201">
        <v>21122</v>
      </c>
      <c r="N1201">
        <v>1440</v>
      </c>
    </row>
    <row r="1202" spans="1:14" x14ac:dyDescent="0.35">
      <c r="A1202" t="s">
        <v>1261</v>
      </c>
      <c r="B1202" t="s">
        <v>15</v>
      </c>
      <c r="C1202" t="s">
        <v>16</v>
      </c>
      <c r="D1202">
        <v>93</v>
      </c>
      <c r="E1202" t="s">
        <v>1256</v>
      </c>
      <c r="F1202">
        <v>5419</v>
      </c>
      <c r="G1202" t="s">
        <v>18</v>
      </c>
      <c r="H1202">
        <v>27</v>
      </c>
      <c r="I1202" t="s">
        <v>19</v>
      </c>
      <c r="J1202">
        <v>1991</v>
      </c>
      <c r="K1202">
        <v>1991</v>
      </c>
      <c r="L1202" t="s">
        <v>20</v>
      </c>
      <c r="M1202">
        <v>20000</v>
      </c>
      <c r="N1202">
        <v>1440</v>
      </c>
    </row>
    <row r="1203" spans="1:14" x14ac:dyDescent="0.35">
      <c r="A1203" t="s">
        <v>1262</v>
      </c>
      <c r="B1203" t="s">
        <v>15</v>
      </c>
      <c r="C1203" t="s">
        <v>16</v>
      </c>
      <c r="D1203">
        <v>93</v>
      </c>
      <c r="E1203" t="s">
        <v>1256</v>
      </c>
      <c r="F1203">
        <v>5419</v>
      </c>
      <c r="G1203" t="s">
        <v>18</v>
      </c>
      <c r="H1203">
        <v>27</v>
      </c>
      <c r="I1203" t="s">
        <v>19</v>
      </c>
      <c r="J1203">
        <v>1992</v>
      </c>
      <c r="K1203">
        <v>1992</v>
      </c>
      <c r="L1203" t="s">
        <v>20</v>
      </c>
      <c r="M1203">
        <v>21586</v>
      </c>
      <c r="N1203">
        <v>1440</v>
      </c>
    </row>
    <row r="1204" spans="1:14" x14ac:dyDescent="0.35">
      <c r="A1204" t="s">
        <v>1263</v>
      </c>
      <c r="B1204" t="s">
        <v>15</v>
      </c>
      <c r="C1204" t="s">
        <v>16</v>
      </c>
      <c r="D1204">
        <v>93</v>
      </c>
      <c r="E1204" t="s">
        <v>1256</v>
      </c>
      <c r="F1204">
        <v>5419</v>
      </c>
      <c r="G1204" t="s">
        <v>18</v>
      </c>
      <c r="H1204">
        <v>27</v>
      </c>
      <c r="I1204" t="s">
        <v>19</v>
      </c>
      <c r="J1204">
        <v>1993</v>
      </c>
      <c r="K1204">
        <v>1993</v>
      </c>
      <c r="L1204" t="s">
        <v>20</v>
      </c>
      <c r="M1204">
        <v>20000</v>
      </c>
      <c r="N1204">
        <v>1440</v>
      </c>
    </row>
    <row r="1205" spans="1:14" x14ac:dyDescent="0.35">
      <c r="A1205" t="s">
        <v>1264</v>
      </c>
      <c r="B1205" t="s">
        <v>15</v>
      </c>
      <c r="C1205" t="s">
        <v>16</v>
      </c>
      <c r="D1205">
        <v>93</v>
      </c>
      <c r="E1205" t="s">
        <v>1256</v>
      </c>
      <c r="F1205">
        <v>5419</v>
      </c>
      <c r="G1205" t="s">
        <v>18</v>
      </c>
      <c r="H1205">
        <v>27</v>
      </c>
      <c r="I1205" t="s">
        <v>19</v>
      </c>
      <c r="J1205">
        <v>1994</v>
      </c>
      <c r="K1205">
        <v>1994</v>
      </c>
      <c r="L1205" t="s">
        <v>20</v>
      </c>
      <c r="M1205">
        <v>19811</v>
      </c>
      <c r="N1205">
        <v>1440</v>
      </c>
    </row>
    <row r="1206" spans="1:14" x14ac:dyDescent="0.35">
      <c r="A1206" t="s">
        <v>1265</v>
      </c>
      <c r="B1206" t="s">
        <v>15</v>
      </c>
      <c r="C1206" t="s">
        <v>16</v>
      </c>
      <c r="D1206">
        <v>93</v>
      </c>
      <c r="E1206" t="s">
        <v>1256</v>
      </c>
      <c r="F1206">
        <v>5419</v>
      </c>
      <c r="G1206" t="s">
        <v>18</v>
      </c>
      <c r="H1206">
        <v>27</v>
      </c>
      <c r="I1206" t="s">
        <v>19</v>
      </c>
      <c r="J1206">
        <v>1995</v>
      </c>
      <c r="K1206">
        <v>1995</v>
      </c>
      <c r="L1206" t="s">
        <v>20</v>
      </c>
      <c r="M1206">
        <v>20000</v>
      </c>
      <c r="N1206">
        <v>1440</v>
      </c>
    </row>
    <row r="1207" spans="1:14" x14ac:dyDescent="0.35">
      <c r="A1207" t="s">
        <v>1266</v>
      </c>
      <c r="B1207" t="s">
        <v>15</v>
      </c>
      <c r="C1207" t="s">
        <v>16</v>
      </c>
      <c r="D1207">
        <v>93</v>
      </c>
      <c r="E1207" t="s">
        <v>1256</v>
      </c>
      <c r="F1207">
        <v>5419</v>
      </c>
      <c r="G1207" t="s">
        <v>18</v>
      </c>
      <c r="H1207">
        <v>27</v>
      </c>
      <c r="I1207" t="s">
        <v>19</v>
      </c>
      <c r="J1207">
        <v>1996</v>
      </c>
      <c r="K1207">
        <v>1996</v>
      </c>
      <c r="L1207" t="s">
        <v>20</v>
      </c>
      <c r="M1207">
        <v>24896</v>
      </c>
      <c r="N1207">
        <v>1440</v>
      </c>
    </row>
    <row r="1208" spans="1:14" x14ac:dyDescent="0.35">
      <c r="A1208" t="s">
        <v>1267</v>
      </c>
      <c r="B1208" t="s">
        <v>15</v>
      </c>
      <c r="C1208" t="s">
        <v>16</v>
      </c>
      <c r="D1208">
        <v>93</v>
      </c>
      <c r="E1208" t="s">
        <v>1256</v>
      </c>
      <c r="F1208">
        <v>5419</v>
      </c>
      <c r="G1208" t="s">
        <v>18</v>
      </c>
      <c r="H1208">
        <v>27</v>
      </c>
      <c r="I1208" t="s">
        <v>19</v>
      </c>
      <c r="J1208">
        <v>1997</v>
      </c>
      <c r="K1208">
        <v>1997</v>
      </c>
      <c r="L1208" t="s">
        <v>20</v>
      </c>
      <c r="M1208">
        <v>22857</v>
      </c>
      <c r="N1208">
        <v>1440</v>
      </c>
    </row>
    <row r="1209" spans="1:14" x14ac:dyDescent="0.35">
      <c r="A1209" t="s">
        <v>1268</v>
      </c>
      <c r="B1209" t="s">
        <v>15</v>
      </c>
      <c r="C1209" t="s">
        <v>16</v>
      </c>
      <c r="D1209">
        <v>93</v>
      </c>
      <c r="E1209" t="s">
        <v>1256</v>
      </c>
      <c r="F1209">
        <v>5419</v>
      </c>
      <c r="G1209" t="s">
        <v>18</v>
      </c>
      <c r="H1209">
        <v>27</v>
      </c>
      <c r="I1209" t="s">
        <v>19</v>
      </c>
      <c r="J1209">
        <v>1998</v>
      </c>
      <c r="K1209">
        <v>1998</v>
      </c>
      <c r="L1209" t="s">
        <v>20</v>
      </c>
      <c r="M1209">
        <v>19800</v>
      </c>
      <c r="N1209">
        <v>1440</v>
      </c>
    </row>
    <row r="1210" spans="1:14" x14ac:dyDescent="0.35">
      <c r="A1210" t="s">
        <v>1269</v>
      </c>
      <c r="B1210" t="s">
        <v>15</v>
      </c>
      <c r="C1210" t="s">
        <v>16</v>
      </c>
      <c r="D1210">
        <v>93</v>
      </c>
      <c r="E1210" t="s">
        <v>1256</v>
      </c>
      <c r="F1210">
        <v>5419</v>
      </c>
      <c r="G1210" t="s">
        <v>18</v>
      </c>
      <c r="H1210">
        <v>27</v>
      </c>
      <c r="I1210" t="s">
        <v>19</v>
      </c>
      <c r="J1210">
        <v>1999</v>
      </c>
      <c r="K1210">
        <v>1999</v>
      </c>
      <c r="L1210" t="s">
        <v>20</v>
      </c>
      <c r="M1210">
        <v>20833</v>
      </c>
      <c r="N1210">
        <v>1440</v>
      </c>
    </row>
    <row r="1211" spans="1:14" x14ac:dyDescent="0.35">
      <c r="A1211" t="s">
        <v>1270</v>
      </c>
      <c r="B1211" t="s">
        <v>15</v>
      </c>
      <c r="C1211" t="s">
        <v>16</v>
      </c>
      <c r="D1211">
        <v>93</v>
      </c>
      <c r="E1211" t="s">
        <v>1256</v>
      </c>
      <c r="F1211">
        <v>5419</v>
      </c>
      <c r="G1211" t="s">
        <v>18</v>
      </c>
      <c r="H1211">
        <v>27</v>
      </c>
      <c r="I1211" t="s">
        <v>19</v>
      </c>
      <c r="J1211">
        <v>2000</v>
      </c>
      <c r="K1211">
        <v>2000</v>
      </c>
      <c r="L1211" t="s">
        <v>20</v>
      </c>
      <c r="M1211">
        <v>25000</v>
      </c>
      <c r="N1211">
        <v>1440</v>
      </c>
    </row>
    <row r="1212" spans="1:14" x14ac:dyDescent="0.35">
      <c r="A1212" t="s">
        <v>1271</v>
      </c>
      <c r="B1212" t="s">
        <v>15</v>
      </c>
      <c r="C1212" t="s">
        <v>16</v>
      </c>
      <c r="D1212">
        <v>93</v>
      </c>
      <c r="E1212" t="s">
        <v>1256</v>
      </c>
      <c r="F1212">
        <v>5419</v>
      </c>
      <c r="G1212" t="s">
        <v>18</v>
      </c>
      <c r="H1212">
        <v>27</v>
      </c>
      <c r="I1212" t="s">
        <v>19</v>
      </c>
      <c r="J1212">
        <v>2001</v>
      </c>
      <c r="K1212">
        <v>2001</v>
      </c>
      <c r="L1212" t="s">
        <v>20</v>
      </c>
      <c r="M1212">
        <v>20117</v>
      </c>
      <c r="N1212">
        <v>1440</v>
      </c>
    </row>
    <row r="1213" spans="1:14" x14ac:dyDescent="0.35">
      <c r="A1213" t="s">
        <v>1272</v>
      </c>
      <c r="B1213" t="s">
        <v>15</v>
      </c>
      <c r="C1213" t="s">
        <v>16</v>
      </c>
      <c r="D1213">
        <v>93</v>
      </c>
      <c r="E1213" t="s">
        <v>1256</v>
      </c>
      <c r="F1213">
        <v>5419</v>
      </c>
      <c r="G1213" t="s">
        <v>18</v>
      </c>
      <c r="H1213">
        <v>27</v>
      </c>
      <c r="I1213" t="s">
        <v>19</v>
      </c>
      <c r="J1213">
        <v>2002</v>
      </c>
      <c r="K1213">
        <v>2002</v>
      </c>
      <c r="L1213" t="s">
        <v>20</v>
      </c>
      <c r="M1213">
        <v>20000</v>
      </c>
      <c r="N1213">
        <v>1440</v>
      </c>
    </row>
    <row r="1214" spans="1:14" x14ac:dyDescent="0.35">
      <c r="A1214" t="s">
        <v>1273</v>
      </c>
      <c r="B1214" t="s">
        <v>15</v>
      </c>
      <c r="C1214" t="s">
        <v>16</v>
      </c>
      <c r="D1214">
        <v>93</v>
      </c>
      <c r="E1214" t="s">
        <v>1256</v>
      </c>
      <c r="F1214">
        <v>5419</v>
      </c>
      <c r="G1214" t="s">
        <v>18</v>
      </c>
      <c r="H1214">
        <v>27</v>
      </c>
      <c r="I1214" t="s">
        <v>19</v>
      </c>
      <c r="J1214">
        <v>2004</v>
      </c>
      <c r="K1214">
        <v>2004</v>
      </c>
      <c r="L1214" t="s">
        <v>20</v>
      </c>
      <c r="M1214">
        <v>20508</v>
      </c>
      <c r="N1214">
        <v>1440</v>
      </c>
    </row>
    <row r="1215" spans="1:14" x14ac:dyDescent="0.35">
      <c r="A1215" t="s">
        <v>1274</v>
      </c>
      <c r="B1215" t="s">
        <v>15</v>
      </c>
      <c r="C1215" t="s">
        <v>16</v>
      </c>
      <c r="D1215">
        <v>93</v>
      </c>
      <c r="E1215" t="s">
        <v>1256</v>
      </c>
      <c r="F1215">
        <v>5419</v>
      </c>
      <c r="G1215" t="s">
        <v>18</v>
      </c>
      <c r="H1215">
        <v>27</v>
      </c>
      <c r="I1215" t="s">
        <v>19</v>
      </c>
      <c r="J1215">
        <v>2005</v>
      </c>
      <c r="K1215">
        <v>2005</v>
      </c>
      <c r="L1215" t="s">
        <v>20</v>
      </c>
      <c r="M1215">
        <v>20270</v>
      </c>
      <c r="N1215">
        <v>1440</v>
      </c>
    </row>
    <row r="1216" spans="1:14" x14ac:dyDescent="0.35">
      <c r="A1216" t="s">
        <v>1275</v>
      </c>
      <c r="B1216" t="s">
        <v>15</v>
      </c>
      <c r="C1216" t="s">
        <v>16</v>
      </c>
      <c r="D1216">
        <v>93</v>
      </c>
      <c r="E1216" t="s">
        <v>1256</v>
      </c>
      <c r="F1216">
        <v>5419</v>
      </c>
      <c r="G1216" t="s">
        <v>18</v>
      </c>
      <c r="H1216">
        <v>27</v>
      </c>
      <c r="I1216" t="s">
        <v>19</v>
      </c>
      <c r="J1216">
        <v>2006</v>
      </c>
      <c r="K1216">
        <v>2006</v>
      </c>
      <c r="L1216" t="s">
        <v>20</v>
      </c>
      <c r="M1216">
        <v>20755</v>
      </c>
      <c r="N1216">
        <v>1440</v>
      </c>
    </row>
    <row r="1217" spans="1:14" x14ac:dyDescent="0.35">
      <c r="A1217" t="s">
        <v>1276</v>
      </c>
      <c r="B1217" t="s">
        <v>15</v>
      </c>
      <c r="C1217" t="s">
        <v>16</v>
      </c>
      <c r="D1217">
        <v>93</v>
      </c>
      <c r="E1217" t="s">
        <v>1256</v>
      </c>
      <c r="F1217">
        <v>5419</v>
      </c>
      <c r="G1217" t="s">
        <v>18</v>
      </c>
      <c r="H1217">
        <v>27</v>
      </c>
      <c r="I1217" t="s">
        <v>19</v>
      </c>
      <c r="J1217">
        <v>2007</v>
      </c>
      <c r="K1217">
        <v>2007</v>
      </c>
      <c r="L1217" t="s">
        <v>20</v>
      </c>
      <c r="M1217">
        <v>22491</v>
      </c>
      <c r="N1217">
        <v>1440</v>
      </c>
    </row>
    <row r="1218" spans="1:14" x14ac:dyDescent="0.35">
      <c r="A1218" t="s">
        <v>1277</v>
      </c>
      <c r="B1218" t="s">
        <v>15</v>
      </c>
      <c r="C1218" t="s">
        <v>16</v>
      </c>
      <c r="D1218">
        <v>93</v>
      </c>
      <c r="E1218" t="s">
        <v>1256</v>
      </c>
      <c r="F1218">
        <v>5419</v>
      </c>
      <c r="G1218" t="s">
        <v>18</v>
      </c>
      <c r="H1218">
        <v>27</v>
      </c>
      <c r="I1218" t="s">
        <v>19</v>
      </c>
      <c r="J1218">
        <v>2008</v>
      </c>
      <c r="K1218">
        <v>2008</v>
      </c>
      <c r="L1218" t="s">
        <v>20</v>
      </c>
      <c r="M1218">
        <v>20755</v>
      </c>
      <c r="N1218">
        <v>1440</v>
      </c>
    </row>
    <row r="1219" spans="1:14" x14ac:dyDescent="0.35">
      <c r="A1219" t="s">
        <v>1278</v>
      </c>
      <c r="B1219" t="s">
        <v>15</v>
      </c>
      <c r="C1219" t="s">
        <v>16</v>
      </c>
      <c r="D1219">
        <v>93</v>
      </c>
      <c r="E1219" t="s">
        <v>1256</v>
      </c>
      <c r="F1219">
        <v>5419</v>
      </c>
      <c r="G1219" t="s">
        <v>18</v>
      </c>
      <c r="H1219">
        <v>27</v>
      </c>
      <c r="I1219" t="s">
        <v>19</v>
      </c>
      <c r="J1219">
        <v>2009</v>
      </c>
      <c r="K1219">
        <v>2009</v>
      </c>
      <c r="L1219" t="s">
        <v>20</v>
      </c>
      <c r="M1219">
        <v>22313</v>
      </c>
      <c r="N1219">
        <v>1440</v>
      </c>
    </row>
    <row r="1220" spans="1:14" x14ac:dyDescent="0.35">
      <c r="A1220" t="s">
        <v>1279</v>
      </c>
      <c r="B1220" t="s">
        <v>15</v>
      </c>
      <c r="C1220" t="s">
        <v>16</v>
      </c>
      <c r="D1220">
        <v>93</v>
      </c>
      <c r="E1220" t="s">
        <v>1256</v>
      </c>
      <c r="F1220">
        <v>5419</v>
      </c>
      <c r="G1220" t="s">
        <v>18</v>
      </c>
      <c r="H1220">
        <v>27</v>
      </c>
      <c r="I1220" t="s">
        <v>19</v>
      </c>
      <c r="J1220">
        <v>2010</v>
      </c>
      <c r="K1220">
        <v>2010</v>
      </c>
      <c r="L1220" t="s">
        <v>20</v>
      </c>
      <c r="M1220">
        <v>23321</v>
      </c>
      <c r="N1220">
        <v>1440</v>
      </c>
    </row>
    <row r="1221" spans="1:14" x14ac:dyDescent="0.35">
      <c r="A1221" t="s">
        <v>1280</v>
      </c>
      <c r="B1221" t="s">
        <v>15</v>
      </c>
      <c r="C1221" t="s">
        <v>16</v>
      </c>
      <c r="D1221">
        <v>93</v>
      </c>
      <c r="E1221" t="s">
        <v>1256</v>
      </c>
      <c r="F1221">
        <v>5419</v>
      </c>
      <c r="G1221" t="s">
        <v>18</v>
      </c>
      <c r="H1221">
        <v>27</v>
      </c>
      <c r="I1221" t="s">
        <v>19</v>
      </c>
      <c r="J1221">
        <v>2011</v>
      </c>
      <c r="K1221">
        <v>2011</v>
      </c>
      <c r="L1221" t="s">
        <v>20</v>
      </c>
      <c r="M1221">
        <v>24043</v>
      </c>
      <c r="N1221">
        <v>1440</v>
      </c>
    </row>
    <row r="1222" spans="1:14" x14ac:dyDescent="0.35">
      <c r="A1222" t="s">
        <v>1281</v>
      </c>
      <c r="B1222" t="s">
        <v>15</v>
      </c>
      <c r="C1222" t="s">
        <v>16</v>
      </c>
      <c r="D1222">
        <v>93</v>
      </c>
      <c r="E1222" t="s">
        <v>1256</v>
      </c>
      <c r="F1222">
        <v>5419</v>
      </c>
      <c r="G1222" t="s">
        <v>18</v>
      </c>
      <c r="H1222">
        <v>27</v>
      </c>
      <c r="I1222" t="s">
        <v>19</v>
      </c>
      <c r="J1222">
        <v>2012</v>
      </c>
      <c r="K1222">
        <v>2012</v>
      </c>
      <c r="L1222" t="s">
        <v>20</v>
      </c>
      <c r="M1222">
        <v>24722</v>
      </c>
      <c r="N1222">
        <v>1440</v>
      </c>
    </row>
    <row r="1223" spans="1:14" x14ac:dyDescent="0.35">
      <c r="A1223" t="s">
        <v>1282</v>
      </c>
      <c r="B1223" t="s">
        <v>15</v>
      </c>
      <c r="C1223" t="s">
        <v>16</v>
      </c>
      <c r="D1223">
        <v>93</v>
      </c>
      <c r="E1223" t="s">
        <v>1256</v>
      </c>
      <c r="F1223">
        <v>5419</v>
      </c>
      <c r="G1223" t="s">
        <v>18</v>
      </c>
      <c r="H1223">
        <v>27</v>
      </c>
      <c r="I1223" t="s">
        <v>19</v>
      </c>
      <c r="J1223">
        <v>2013</v>
      </c>
      <c r="K1223">
        <v>2013</v>
      </c>
      <c r="L1223" t="s">
        <v>20</v>
      </c>
      <c r="M1223">
        <v>28789</v>
      </c>
      <c r="N1223">
        <v>1440</v>
      </c>
    </row>
    <row r="1224" spans="1:14" x14ac:dyDescent="0.35">
      <c r="A1224" t="s">
        <v>1283</v>
      </c>
      <c r="B1224" t="s">
        <v>15</v>
      </c>
      <c r="C1224" t="s">
        <v>16</v>
      </c>
      <c r="D1224">
        <v>93</v>
      </c>
      <c r="E1224" t="s">
        <v>1256</v>
      </c>
      <c r="F1224">
        <v>5419</v>
      </c>
      <c r="G1224" t="s">
        <v>18</v>
      </c>
      <c r="H1224">
        <v>27</v>
      </c>
      <c r="I1224" t="s">
        <v>19</v>
      </c>
      <c r="J1224">
        <v>2014</v>
      </c>
      <c r="K1224">
        <v>2014</v>
      </c>
      <c r="L1224" t="s">
        <v>20</v>
      </c>
      <c r="M1224">
        <v>25821</v>
      </c>
      <c r="N1224">
        <v>1440</v>
      </c>
    </row>
    <row r="1225" spans="1:14" x14ac:dyDescent="0.35">
      <c r="A1225" t="s">
        <v>1284</v>
      </c>
      <c r="B1225" t="s">
        <v>15</v>
      </c>
      <c r="C1225" t="s">
        <v>16</v>
      </c>
      <c r="D1225">
        <v>93</v>
      </c>
      <c r="E1225" t="s">
        <v>1256</v>
      </c>
      <c r="F1225">
        <v>5419</v>
      </c>
      <c r="G1225" t="s">
        <v>18</v>
      </c>
      <c r="H1225">
        <v>27</v>
      </c>
      <c r="I1225" t="s">
        <v>19</v>
      </c>
      <c r="J1225">
        <v>2015</v>
      </c>
      <c r="K1225">
        <v>2015</v>
      </c>
      <c r="L1225" t="s">
        <v>20</v>
      </c>
      <c r="M1225">
        <v>24690</v>
      </c>
      <c r="N1225">
        <v>1440</v>
      </c>
    </row>
    <row r="1226" spans="1:14" x14ac:dyDescent="0.35">
      <c r="A1226" t="s">
        <v>1285</v>
      </c>
      <c r="B1226" t="s">
        <v>15</v>
      </c>
      <c r="C1226" t="s">
        <v>16</v>
      </c>
      <c r="D1226">
        <v>93</v>
      </c>
      <c r="E1226" t="s">
        <v>1256</v>
      </c>
      <c r="F1226">
        <v>5419</v>
      </c>
      <c r="G1226" t="s">
        <v>18</v>
      </c>
      <c r="H1226">
        <v>27</v>
      </c>
      <c r="I1226" t="s">
        <v>19</v>
      </c>
      <c r="J1226">
        <v>2016</v>
      </c>
      <c r="K1226">
        <v>2016</v>
      </c>
      <c r="L1226" t="s">
        <v>20</v>
      </c>
      <c r="M1226">
        <v>25240</v>
      </c>
      <c r="N1226">
        <v>1440</v>
      </c>
    </row>
    <row r="1227" spans="1:14" x14ac:dyDescent="0.35">
      <c r="A1227" t="s">
        <v>1286</v>
      </c>
      <c r="B1227" t="s">
        <v>15</v>
      </c>
      <c r="C1227" t="s">
        <v>16</v>
      </c>
      <c r="D1227">
        <v>95</v>
      </c>
      <c r="E1227" t="s">
        <v>1287</v>
      </c>
      <c r="F1227">
        <v>5419</v>
      </c>
      <c r="G1227" t="s">
        <v>18</v>
      </c>
      <c r="H1227">
        <v>27</v>
      </c>
      <c r="I1227" t="s">
        <v>19</v>
      </c>
      <c r="J1227">
        <v>1985</v>
      </c>
      <c r="K1227">
        <v>1985</v>
      </c>
      <c r="L1227" t="s">
        <v>20</v>
      </c>
      <c r="M1227">
        <v>25983</v>
      </c>
      <c r="N1227">
        <v>1976</v>
      </c>
    </row>
    <row r="1228" spans="1:14" x14ac:dyDescent="0.35">
      <c r="A1228" t="s">
        <v>1288</v>
      </c>
      <c r="B1228" t="s">
        <v>15</v>
      </c>
      <c r="C1228" t="s">
        <v>16</v>
      </c>
      <c r="D1228">
        <v>95</v>
      </c>
      <c r="E1228" t="s">
        <v>1287</v>
      </c>
      <c r="F1228">
        <v>5419</v>
      </c>
      <c r="G1228" t="s">
        <v>18</v>
      </c>
      <c r="H1228">
        <v>27</v>
      </c>
      <c r="I1228" t="s">
        <v>19</v>
      </c>
      <c r="J1228">
        <v>1986</v>
      </c>
      <c r="K1228">
        <v>1986</v>
      </c>
      <c r="L1228" t="s">
        <v>20</v>
      </c>
      <c r="M1228">
        <v>24971</v>
      </c>
      <c r="N1228">
        <v>1976</v>
      </c>
    </row>
    <row r="1229" spans="1:14" x14ac:dyDescent="0.35">
      <c r="A1229" t="s">
        <v>1289</v>
      </c>
      <c r="B1229" t="s">
        <v>15</v>
      </c>
      <c r="C1229" t="s">
        <v>16</v>
      </c>
      <c r="D1229">
        <v>95</v>
      </c>
      <c r="E1229" t="s">
        <v>1287</v>
      </c>
      <c r="F1229">
        <v>5419</v>
      </c>
      <c r="G1229" t="s">
        <v>18</v>
      </c>
      <c r="H1229">
        <v>27</v>
      </c>
      <c r="I1229" t="s">
        <v>19</v>
      </c>
      <c r="J1229">
        <v>1987</v>
      </c>
      <c r="K1229">
        <v>1987</v>
      </c>
      <c r="L1229" t="s">
        <v>20</v>
      </c>
      <c r="M1229">
        <v>28557</v>
      </c>
      <c r="N1229">
        <v>1976</v>
      </c>
    </row>
    <row r="1230" spans="1:14" x14ac:dyDescent="0.35">
      <c r="A1230" t="s">
        <v>1290</v>
      </c>
      <c r="B1230" t="s">
        <v>15</v>
      </c>
      <c r="C1230" t="s">
        <v>16</v>
      </c>
      <c r="D1230">
        <v>95</v>
      </c>
      <c r="E1230" t="s">
        <v>1287</v>
      </c>
      <c r="F1230">
        <v>5419</v>
      </c>
      <c r="G1230" t="s">
        <v>18</v>
      </c>
      <c r="H1230">
        <v>27</v>
      </c>
      <c r="I1230" t="s">
        <v>19</v>
      </c>
      <c r="J1230">
        <v>1989</v>
      </c>
      <c r="K1230">
        <v>1989</v>
      </c>
      <c r="L1230" t="s">
        <v>20</v>
      </c>
      <c r="M1230">
        <v>27542</v>
      </c>
      <c r="N1230">
        <v>1976</v>
      </c>
    </row>
    <row r="1231" spans="1:14" x14ac:dyDescent="0.35">
      <c r="A1231" t="s">
        <v>1291</v>
      </c>
      <c r="B1231" t="s">
        <v>15</v>
      </c>
      <c r="C1231" t="s">
        <v>16</v>
      </c>
      <c r="D1231">
        <v>95</v>
      </c>
      <c r="E1231" t="s">
        <v>1287</v>
      </c>
      <c r="F1231">
        <v>5419</v>
      </c>
      <c r="G1231" t="s">
        <v>18</v>
      </c>
      <c r="H1231">
        <v>27</v>
      </c>
      <c r="I1231" t="s">
        <v>19</v>
      </c>
      <c r="J1231">
        <v>1990</v>
      </c>
      <c r="K1231">
        <v>1990</v>
      </c>
      <c r="L1231" t="s">
        <v>20</v>
      </c>
      <c r="M1231">
        <v>25026</v>
      </c>
      <c r="N1231">
        <v>1976</v>
      </c>
    </row>
    <row r="1232" spans="1:14" x14ac:dyDescent="0.35">
      <c r="A1232" t="s">
        <v>1292</v>
      </c>
      <c r="B1232" t="s">
        <v>15</v>
      </c>
      <c r="C1232" t="s">
        <v>16</v>
      </c>
      <c r="D1232">
        <v>95</v>
      </c>
      <c r="E1232" t="s">
        <v>1287</v>
      </c>
      <c r="F1232">
        <v>5419</v>
      </c>
      <c r="G1232" t="s">
        <v>18</v>
      </c>
      <c r="H1232">
        <v>27</v>
      </c>
      <c r="I1232" t="s">
        <v>19</v>
      </c>
      <c r="J1232">
        <v>1991</v>
      </c>
      <c r="K1232">
        <v>1991</v>
      </c>
      <c r="L1232" t="s">
        <v>20</v>
      </c>
      <c r="M1232">
        <v>25924</v>
      </c>
      <c r="N1232">
        <v>1976</v>
      </c>
    </row>
    <row r="1233" spans="1:14" x14ac:dyDescent="0.35">
      <c r="A1233" t="s">
        <v>1293</v>
      </c>
      <c r="B1233" t="s">
        <v>15</v>
      </c>
      <c r="C1233" t="s">
        <v>16</v>
      </c>
      <c r="D1233">
        <v>95</v>
      </c>
      <c r="E1233" t="s">
        <v>1287</v>
      </c>
      <c r="F1233">
        <v>5419</v>
      </c>
      <c r="G1233" t="s">
        <v>18</v>
      </c>
      <c r="H1233">
        <v>27</v>
      </c>
      <c r="I1233" t="s">
        <v>19</v>
      </c>
      <c r="J1233">
        <v>1992</v>
      </c>
      <c r="K1233">
        <v>1992</v>
      </c>
      <c r="L1233" t="s">
        <v>20</v>
      </c>
      <c r="M1233">
        <v>26931</v>
      </c>
      <c r="N1233">
        <v>1976</v>
      </c>
    </row>
    <row r="1234" spans="1:14" x14ac:dyDescent="0.35">
      <c r="A1234" t="s">
        <v>1294</v>
      </c>
      <c r="B1234" t="s">
        <v>15</v>
      </c>
      <c r="C1234" t="s">
        <v>16</v>
      </c>
      <c r="D1234">
        <v>95</v>
      </c>
      <c r="E1234" t="s">
        <v>1287</v>
      </c>
      <c r="F1234">
        <v>5419</v>
      </c>
      <c r="G1234" t="s">
        <v>18</v>
      </c>
      <c r="H1234">
        <v>27</v>
      </c>
      <c r="I1234" t="s">
        <v>19</v>
      </c>
      <c r="J1234">
        <v>1993</v>
      </c>
      <c r="K1234">
        <v>1993</v>
      </c>
      <c r="L1234" t="s">
        <v>20</v>
      </c>
      <c r="M1234">
        <v>26536</v>
      </c>
      <c r="N1234">
        <v>1976</v>
      </c>
    </row>
    <row r="1235" spans="1:14" x14ac:dyDescent="0.35">
      <c r="A1235" t="s">
        <v>1295</v>
      </c>
      <c r="B1235" t="s">
        <v>15</v>
      </c>
      <c r="C1235" t="s">
        <v>16</v>
      </c>
      <c r="D1235">
        <v>95</v>
      </c>
      <c r="E1235" t="s">
        <v>1287</v>
      </c>
      <c r="F1235">
        <v>5419</v>
      </c>
      <c r="G1235" t="s">
        <v>18</v>
      </c>
      <c r="H1235">
        <v>27</v>
      </c>
      <c r="I1235" t="s">
        <v>19</v>
      </c>
      <c r="J1235">
        <v>1994</v>
      </c>
      <c r="K1235">
        <v>1994</v>
      </c>
      <c r="L1235" t="s">
        <v>20</v>
      </c>
      <c r="M1235">
        <v>24906</v>
      </c>
      <c r="N1235">
        <v>1976</v>
      </c>
    </row>
    <row r="1236" spans="1:14" x14ac:dyDescent="0.35">
      <c r="A1236" t="s">
        <v>1296</v>
      </c>
      <c r="B1236" t="s">
        <v>15</v>
      </c>
      <c r="C1236" t="s">
        <v>16</v>
      </c>
      <c r="D1236">
        <v>95</v>
      </c>
      <c r="E1236" t="s">
        <v>1287</v>
      </c>
      <c r="F1236">
        <v>5419</v>
      </c>
      <c r="G1236" t="s">
        <v>18</v>
      </c>
      <c r="H1236">
        <v>27</v>
      </c>
      <c r="I1236" t="s">
        <v>19</v>
      </c>
      <c r="J1236">
        <v>1995</v>
      </c>
      <c r="K1236">
        <v>1995</v>
      </c>
      <c r="L1236" t="s">
        <v>20</v>
      </c>
      <c r="M1236">
        <v>26103</v>
      </c>
      <c r="N1236">
        <v>1976</v>
      </c>
    </row>
    <row r="1237" spans="1:14" x14ac:dyDescent="0.35">
      <c r="A1237" t="s">
        <v>1297</v>
      </c>
      <c r="B1237" t="s">
        <v>15</v>
      </c>
      <c r="C1237" t="s">
        <v>16</v>
      </c>
      <c r="D1237">
        <v>95</v>
      </c>
      <c r="E1237" t="s">
        <v>1287</v>
      </c>
      <c r="F1237">
        <v>5419</v>
      </c>
      <c r="G1237" t="s">
        <v>18</v>
      </c>
      <c r="H1237">
        <v>27</v>
      </c>
      <c r="I1237" t="s">
        <v>19</v>
      </c>
      <c r="J1237">
        <v>1996</v>
      </c>
      <c r="K1237">
        <v>1996</v>
      </c>
      <c r="L1237" t="s">
        <v>20</v>
      </c>
      <c r="M1237">
        <v>26768</v>
      </c>
      <c r="N1237">
        <v>1976</v>
      </c>
    </row>
    <row r="1238" spans="1:14" x14ac:dyDescent="0.35">
      <c r="A1238" t="s">
        <v>1298</v>
      </c>
      <c r="B1238" t="s">
        <v>15</v>
      </c>
      <c r="C1238" t="s">
        <v>16</v>
      </c>
      <c r="D1238">
        <v>95</v>
      </c>
      <c r="E1238" t="s">
        <v>1287</v>
      </c>
      <c r="F1238">
        <v>5419</v>
      </c>
      <c r="G1238" t="s">
        <v>18</v>
      </c>
      <c r="H1238">
        <v>27</v>
      </c>
      <c r="I1238" t="s">
        <v>19</v>
      </c>
      <c r="J1238">
        <v>1997</v>
      </c>
      <c r="K1238">
        <v>1997</v>
      </c>
      <c r="L1238" t="s">
        <v>20</v>
      </c>
      <c r="M1238">
        <v>31028</v>
      </c>
      <c r="N1238">
        <v>1976</v>
      </c>
    </row>
    <row r="1239" spans="1:14" x14ac:dyDescent="0.35">
      <c r="A1239" t="s">
        <v>1299</v>
      </c>
      <c r="B1239" t="s">
        <v>15</v>
      </c>
      <c r="C1239" t="s">
        <v>16</v>
      </c>
      <c r="D1239">
        <v>95</v>
      </c>
      <c r="E1239" t="s">
        <v>1287</v>
      </c>
      <c r="F1239">
        <v>5419</v>
      </c>
      <c r="G1239" t="s">
        <v>18</v>
      </c>
      <c r="H1239">
        <v>27</v>
      </c>
      <c r="I1239" t="s">
        <v>19</v>
      </c>
      <c r="J1239">
        <v>1998</v>
      </c>
      <c r="K1239">
        <v>1998</v>
      </c>
      <c r="L1239" t="s">
        <v>20</v>
      </c>
      <c r="M1239">
        <v>25468</v>
      </c>
      <c r="N1239">
        <v>1976</v>
      </c>
    </row>
    <row r="1240" spans="1:14" x14ac:dyDescent="0.35">
      <c r="A1240" t="s">
        <v>1300</v>
      </c>
      <c r="B1240" t="s">
        <v>15</v>
      </c>
      <c r="C1240" t="s">
        <v>16</v>
      </c>
      <c r="D1240">
        <v>95</v>
      </c>
      <c r="E1240" t="s">
        <v>1287</v>
      </c>
      <c r="F1240">
        <v>5419</v>
      </c>
      <c r="G1240" t="s">
        <v>18</v>
      </c>
      <c r="H1240">
        <v>27</v>
      </c>
      <c r="I1240" t="s">
        <v>19</v>
      </c>
      <c r="J1240">
        <v>1999</v>
      </c>
      <c r="K1240">
        <v>1999</v>
      </c>
      <c r="L1240" t="s">
        <v>20</v>
      </c>
      <c r="M1240">
        <v>21850</v>
      </c>
      <c r="N1240">
        <v>1976</v>
      </c>
    </row>
    <row r="1241" spans="1:14" x14ac:dyDescent="0.35">
      <c r="A1241" t="s">
        <v>1301</v>
      </c>
      <c r="B1241" t="s">
        <v>15</v>
      </c>
      <c r="C1241" t="s">
        <v>16</v>
      </c>
      <c r="D1241">
        <v>95</v>
      </c>
      <c r="E1241" t="s">
        <v>1287</v>
      </c>
      <c r="F1241">
        <v>5419</v>
      </c>
      <c r="G1241" t="s">
        <v>18</v>
      </c>
      <c r="H1241">
        <v>27</v>
      </c>
      <c r="I1241" t="s">
        <v>19</v>
      </c>
      <c r="J1241">
        <v>2000</v>
      </c>
      <c r="K1241">
        <v>2000</v>
      </c>
      <c r="L1241" t="s">
        <v>20</v>
      </c>
      <c r="M1241">
        <v>22923</v>
      </c>
      <c r="N1241">
        <v>1976</v>
      </c>
    </row>
    <row r="1242" spans="1:14" x14ac:dyDescent="0.35">
      <c r="A1242" t="s">
        <v>1302</v>
      </c>
      <c r="B1242" t="s">
        <v>15</v>
      </c>
      <c r="C1242" t="s">
        <v>16</v>
      </c>
      <c r="D1242">
        <v>95</v>
      </c>
      <c r="E1242" t="s">
        <v>1287</v>
      </c>
      <c r="F1242">
        <v>5419</v>
      </c>
      <c r="G1242" t="s">
        <v>18</v>
      </c>
      <c r="H1242">
        <v>27</v>
      </c>
      <c r="I1242" t="s">
        <v>19</v>
      </c>
      <c r="J1242">
        <v>2001</v>
      </c>
      <c r="K1242">
        <v>2001</v>
      </c>
      <c r="L1242" t="s">
        <v>20</v>
      </c>
      <c r="M1242">
        <v>34989</v>
      </c>
      <c r="N1242">
        <v>1976</v>
      </c>
    </row>
    <row r="1243" spans="1:14" x14ac:dyDescent="0.35">
      <c r="A1243" t="s">
        <v>1303</v>
      </c>
      <c r="B1243" t="s">
        <v>15</v>
      </c>
      <c r="C1243" t="s">
        <v>16</v>
      </c>
      <c r="D1243">
        <v>95</v>
      </c>
      <c r="E1243" t="s">
        <v>1287</v>
      </c>
      <c r="F1243">
        <v>5419</v>
      </c>
      <c r="G1243" t="s">
        <v>18</v>
      </c>
      <c r="H1243">
        <v>27</v>
      </c>
      <c r="I1243" t="s">
        <v>19</v>
      </c>
      <c r="J1243">
        <v>2002</v>
      </c>
      <c r="K1243">
        <v>2002</v>
      </c>
      <c r="L1243" t="s">
        <v>20</v>
      </c>
      <c r="M1243">
        <v>23573</v>
      </c>
      <c r="N1243">
        <v>1976</v>
      </c>
    </row>
    <row r="1244" spans="1:14" x14ac:dyDescent="0.35">
      <c r="A1244" t="s">
        <v>1304</v>
      </c>
      <c r="B1244" t="s">
        <v>15</v>
      </c>
      <c r="C1244" t="s">
        <v>16</v>
      </c>
      <c r="D1244">
        <v>95</v>
      </c>
      <c r="E1244" t="s">
        <v>1287</v>
      </c>
      <c r="F1244">
        <v>5419</v>
      </c>
      <c r="G1244" t="s">
        <v>18</v>
      </c>
      <c r="H1244">
        <v>27</v>
      </c>
      <c r="I1244" t="s">
        <v>19</v>
      </c>
      <c r="J1244">
        <v>2004</v>
      </c>
      <c r="K1244">
        <v>2004</v>
      </c>
      <c r="L1244" t="s">
        <v>20</v>
      </c>
      <c r="M1244">
        <v>41050</v>
      </c>
      <c r="N1244">
        <v>1976</v>
      </c>
    </row>
    <row r="1245" spans="1:14" x14ac:dyDescent="0.35">
      <c r="A1245" t="s">
        <v>1305</v>
      </c>
      <c r="B1245" t="s">
        <v>15</v>
      </c>
      <c r="C1245" t="s">
        <v>16</v>
      </c>
      <c r="D1245">
        <v>95</v>
      </c>
      <c r="E1245" t="s">
        <v>1287</v>
      </c>
      <c r="F1245">
        <v>5419</v>
      </c>
      <c r="G1245" t="s">
        <v>18</v>
      </c>
      <c r="H1245">
        <v>27</v>
      </c>
      <c r="I1245" t="s">
        <v>19</v>
      </c>
      <c r="J1245">
        <v>2005</v>
      </c>
      <c r="K1245">
        <v>2005</v>
      </c>
      <c r="L1245" t="s">
        <v>20</v>
      </c>
      <c r="M1245">
        <v>37417</v>
      </c>
      <c r="N1245">
        <v>1976</v>
      </c>
    </row>
    <row r="1246" spans="1:14" x14ac:dyDescent="0.35">
      <c r="A1246" t="s">
        <v>1306</v>
      </c>
      <c r="B1246" t="s">
        <v>15</v>
      </c>
      <c r="C1246" t="s">
        <v>16</v>
      </c>
      <c r="D1246">
        <v>95</v>
      </c>
      <c r="E1246" t="s">
        <v>1287</v>
      </c>
      <c r="F1246">
        <v>5419</v>
      </c>
      <c r="G1246" t="s">
        <v>18</v>
      </c>
      <c r="H1246">
        <v>27</v>
      </c>
      <c r="I1246" t="s">
        <v>19</v>
      </c>
      <c r="J1246">
        <v>2006</v>
      </c>
      <c r="K1246">
        <v>2006</v>
      </c>
      <c r="L1246" t="s">
        <v>20</v>
      </c>
      <c r="M1246">
        <v>49229</v>
      </c>
      <c r="N1246">
        <v>1976</v>
      </c>
    </row>
    <row r="1247" spans="1:14" x14ac:dyDescent="0.35">
      <c r="A1247" t="s">
        <v>1307</v>
      </c>
      <c r="B1247" t="s">
        <v>15</v>
      </c>
      <c r="C1247" t="s">
        <v>16</v>
      </c>
      <c r="D1247">
        <v>95</v>
      </c>
      <c r="E1247" t="s">
        <v>1287</v>
      </c>
      <c r="F1247">
        <v>5419</v>
      </c>
      <c r="G1247" t="s">
        <v>18</v>
      </c>
      <c r="H1247">
        <v>27</v>
      </c>
      <c r="I1247" t="s">
        <v>19</v>
      </c>
      <c r="J1247">
        <v>2007</v>
      </c>
      <c r="K1247">
        <v>2007</v>
      </c>
      <c r="L1247" t="s">
        <v>20</v>
      </c>
      <c r="M1247">
        <v>50483</v>
      </c>
      <c r="N1247">
        <v>1976</v>
      </c>
    </row>
    <row r="1248" spans="1:14" x14ac:dyDescent="0.35">
      <c r="A1248" t="s">
        <v>1308</v>
      </c>
      <c r="B1248" t="s">
        <v>15</v>
      </c>
      <c r="C1248" t="s">
        <v>16</v>
      </c>
      <c r="D1248">
        <v>95</v>
      </c>
      <c r="E1248" t="s">
        <v>1287</v>
      </c>
      <c r="F1248">
        <v>5419</v>
      </c>
      <c r="G1248" t="s">
        <v>18</v>
      </c>
      <c r="H1248">
        <v>27</v>
      </c>
      <c r="I1248" t="s">
        <v>19</v>
      </c>
      <c r="J1248">
        <v>2008</v>
      </c>
      <c r="K1248">
        <v>2008</v>
      </c>
      <c r="L1248" t="s">
        <v>20</v>
      </c>
      <c r="M1248">
        <v>51911</v>
      </c>
      <c r="N1248">
        <v>1976</v>
      </c>
    </row>
    <row r="1249" spans="1:14" x14ac:dyDescent="0.35">
      <c r="A1249" t="s">
        <v>1309</v>
      </c>
      <c r="B1249" t="s">
        <v>15</v>
      </c>
      <c r="C1249" t="s">
        <v>16</v>
      </c>
      <c r="D1249">
        <v>95</v>
      </c>
      <c r="E1249" t="s">
        <v>1287</v>
      </c>
      <c r="F1249">
        <v>5419</v>
      </c>
      <c r="G1249" t="s">
        <v>18</v>
      </c>
      <c r="H1249">
        <v>27</v>
      </c>
      <c r="I1249" t="s">
        <v>19</v>
      </c>
      <c r="J1249">
        <v>2009</v>
      </c>
      <c r="K1249">
        <v>2009</v>
      </c>
      <c r="L1249" t="s">
        <v>20</v>
      </c>
      <c r="M1249">
        <v>49376</v>
      </c>
      <c r="N1249">
        <v>1976</v>
      </c>
    </row>
    <row r="1250" spans="1:14" x14ac:dyDescent="0.35">
      <c r="A1250" t="s">
        <v>1310</v>
      </c>
      <c r="B1250" t="s">
        <v>15</v>
      </c>
      <c r="C1250" t="s">
        <v>16</v>
      </c>
      <c r="D1250">
        <v>95</v>
      </c>
      <c r="E1250" t="s">
        <v>1287</v>
      </c>
      <c r="F1250">
        <v>5419</v>
      </c>
      <c r="G1250" t="s">
        <v>18</v>
      </c>
      <c r="H1250">
        <v>27</v>
      </c>
      <c r="I1250" t="s">
        <v>19</v>
      </c>
      <c r="J1250">
        <v>2010</v>
      </c>
      <c r="K1250">
        <v>2010</v>
      </c>
      <c r="L1250" t="s">
        <v>20</v>
      </c>
      <c r="M1250">
        <v>57287</v>
      </c>
      <c r="N1250">
        <v>1976</v>
      </c>
    </row>
    <row r="1251" spans="1:14" x14ac:dyDescent="0.35">
      <c r="A1251" t="s">
        <v>1311</v>
      </c>
      <c r="B1251" t="s">
        <v>15</v>
      </c>
      <c r="C1251" t="s">
        <v>16</v>
      </c>
      <c r="D1251">
        <v>95</v>
      </c>
      <c r="E1251" t="s">
        <v>1287</v>
      </c>
      <c r="F1251">
        <v>5419</v>
      </c>
      <c r="G1251" t="s">
        <v>18</v>
      </c>
      <c r="H1251">
        <v>27</v>
      </c>
      <c r="I1251" t="s">
        <v>19</v>
      </c>
      <c r="J1251">
        <v>2011</v>
      </c>
      <c r="K1251">
        <v>2011</v>
      </c>
      <c r="L1251" t="s">
        <v>20</v>
      </c>
      <c r="M1251">
        <v>57761</v>
      </c>
      <c r="N1251">
        <v>1976</v>
      </c>
    </row>
    <row r="1252" spans="1:14" x14ac:dyDescent="0.35">
      <c r="A1252" t="s">
        <v>1312</v>
      </c>
      <c r="B1252" t="s">
        <v>15</v>
      </c>
      <c r="C1252" t="s">
        <v>16</v>
      </c>
      <c r="D1252">
        <v>95</v>
      </c>
      <c r="E1252" t="s">
        <v>1287</v>
      </c>
      <c r="F1252">
        <v>5419</v>
      </c>
      <c r="G1252" t="s">
        <v>18</v>
      </c>
      <c r="H1252">
        <v>27</v>
      </c>
      <c r="I1252" t="s">
        <v>19</v>
      </c>
      <c r="J1252">
        <v>2012</v>
      </c>
      <c r="K1252">
        <v>2012</v>
      </c>
      <c r="L1252" t="s">
        <v>20</v>
      </c>
      <c r="M1252">
        <v>59734</v>
      </c>
      <c r="N1252">
        <v>1976</v>
      </c>
    </row>
    <row r="1253" spans="1:14" x14ac:dyDescent="0.35">
      <c r="A1253" t="s">
        <v>1313</v>
      </c>
      <c r="B1253" t="s">
        <v>15</v>
      </c>
      <c r="C1253" t="s">
        <v>16</v>
      </c>
      <c r="D1253">
        <v>95</v>
      </c>
      <c r="E1253" t="s">
        <v>1287</v>
      </c>
      <c r="F1253">
        <v>5419</v>
      </c>
      <c r="G1253" t="s">
        <v>18</v>
      </c>
      <c r="H1253">
        <v>27</v>
      </c>
      <c r="I1253" t="s">
        <v>19</v>
      </c>
      <c r="J1253">
        <v>2013</v>
      </c>
      <c r="K1253">
        <v>2013</v>
      </c>
      <c r="L1253" t="s">
        <v>20</v>
      </c>
      <c r="M1253">
        <v>61214</v>
      </c>
      <c r="N1253">
        <v>1976</v>
      </c>
    </row>
    <row r="1254" spans="1:14" x14ac:dyDescent="0.35">
      <c r="A1254" t="s">
        <v>1314</v>
      </c>
      <c r="B1254" t="s">
        <v>15</v>
      </c>
      <c r="C1254" t="s">
        <v>16</v>
      </c>
      <c r="D1254">
        <v>95</v>
      </c>
      <c r="E1254" t="s">
        <v>1287</v>
      </c>
      <c r="F1254">
        <v>5419</v>
      </c>
      <c r="G1254" t="s">
        <v>18</v>
      </c>
      <c r="H1254">
        <v>27</v>
      </c>
      <c r="I1254" t="s">
        <v>19</v>
      </c>
      <c r="J1254">
        <v>2014</v>
      </c>
      <c r="K1254">
        <v>2014</v>
      </c>
      <c r="L1254" t="s">
        <v>20</v>
      </c>
      <c r="M1254">
        <v>64530</v>
      </c>
      <c r="N1254">
        <v>1976</v>
      </c>
    </row>
    <row r="1255" spans="1:14" x14ac:dyDescent="0.35">
      <c r="A1255" t="s">
        <v>1315</v>
      </c>
      <c r="B1255" t="s">
        <v>15</v>
      </c>
      <c r="C1255" t="s">
        <v>16</v>
      </c>
      <c r="D1255">
        <v>95</v>
      </c>
      <c r="E1255" t="s">
        <v>1287</v>
      </c>
      <c r="F1255">
        <v>5419</v>
      </c>
      <c r="G1255" t="s">
        <v>18</v>
      </c>
      <c r="H1255">
        <v>27</v>
      </c>
      <c r="I1255" t="s">
        <v>19</v>
      </c>
      <c r="J1255">
        <v>2015</v>
      </c>
      <c r="K1255">
        <v>2015</v>
      </c>
      <c r="L1255" t="s">
        <v>20</v>
      </c>
      <c r="M1255">
        <v>67386</v>
      </c>
      <c r="N1255">
        <v>1976</v>
      </c>
    </row>
    <row r="1256" spans="1:14" x14ac:dyDescent="0.35">
      <c r="A1256" t="s">
        <v>1316</v>
      </c>
      <c r="B1256" t="s">
        <v>15</v>
      </c>
      <c r="C1256" t="s">
        <v>16</v>
      </c>
      <c r="D1256">
        <v>95</v>
      </c>
      <c r="E1256" t="s">
        <v>1287</v>
      </c>
      <c r="F1256">
        <v>5419</v>
      </c>
      <c r="G1256" t="s">
        <v>18</v>
      </c>
      <c r="H1256">
        <v>27</v>
      </c>
      <c r="I1256" t="s">
        <v>19</v>
      </c>
      <c r="J1256">
        <v>2016</v>
      </c>
      <c r="K1256">
        <v>2016</v>
      </c>
      <c r="L1256" t="s">
        <v>20</v>
      </c>
      <c r="M1256">
        <v>69716</v>
      </c>
      <c r="N1256">
        <v>1976</v>
      </c>
    </row>
    <row r="1257" spans="1:14" x14ac:dyDescent="0.35">
      <c r="A1257" t="s">
        <v>1317</v>
      </c>
      <c r="B1257" t="s">
        <v>15</v>
      </c>
      <c r="C1257" t="s">
        <v>16</v>
      </c>
      <c r="D1257">
        <v>97</v>
      </c>
      <c r="E1257" t="s">
        <v>1318</v>
      </c>
      <c r="F1257">
        <v>5419</v>
      </c>
      <c r="G1257" t="s">
        <v>18</v>
      </c>
      <c r="H1257">
        <v>27</v>
      </c>
      <c r="I1257" t="s">
        <v>19</v>
      </c>
      <c r="J1257">
        <v>1985</v>
      </c>
      <c r="K1257">
        <v>1985</v>
      </c>
      <c r="L1257" t="s">
        <v>20</v>
      </c>
      <c r="M1257">
        <v>33871</v>
      </c>
      <c r="N1257">
        <v>589</v>
      </c>
    </row>
    <row r="1258" spans="1:14" x14ac:dyDescent="0.35">
      <c r="A1258" t="s">
        <v>1319</v>
      </c>
      <c r="B1258" t="s">
        <v>15</v>
      </c>
      <c r="C1258" t="s">
        <v>16</v>
      </c>
      <c r="D1258">
        <v>97</v>
      </c>
      <c r="E1258" t="s">
        <v>1318</v>
      </c>
      <c r="F1258">
        <v>5419</v>
      </c>
      <c r="G1258" t="s">
        <v>18</v>
      </c>
      <c r="H1258">
        <v>27</v>
      </c>
      <c r="I1258" t="s">
        <v>19</v>
      </c>
      <c r="J1258">
        <v>1986</v>
      </c>
      <c r="K1258">
        <v>1986</v>
      </c>
      <c r="L1258" t="s">
        <v>20</v>
      </c>
      <c r="M1258">
        <v>39930</v>
      </c>
      <c r="N1258">
        <v>589</v>
      </c>
    </row>
    <row r="1259" spans="1:14" x14ac:dyDescent="0.35">
      <c r="A1259" t="s">
        <v>1320</v>
      </c>
      <c r="B1259" t="s">
        <v>15</v>
      </c>
      <c r="C1259" t="s">
        <v>16</v>
      </c>
      <c r="D1259">
        <v>97</v>
      </c>
      <c r="E1259" t="s">
        <v>1318</v>
      </c>
      <c r="F1259">
        <v>5419</v>
      </c>
      <c r="G1259" t="s">
        <v>18</v>
      </c>
      <c r="H1259">
        <v>27</v>
      </c>
      <c r="I1259" t="s">
        <v>19</v>
      </c>
      <c r="J1259">
        <v>1987</v>
      </c>
      <c r="K1259">
        <v>1987</v>
      </c>
      <c r="L1259" t="s">
        <v>20</v>
      </c>
      <c r="M1259">
        <v>30073</v>
      </c>
      <c r="N1259">
        <v>589</v>
      </c>
    </row>
    <row r="1260" spans="1:14" x14ac:dyDescent="0.35">
      <c r="A1260" t="s">
        <v>1321</v>
      </c>
      <c r="B1260" t="s">
        <v>15</v>
      </c>
      <c r="C1260" t="s">
        <v>16</v>
      </c>
      <c r="D1260">
        <v>97</v>
      </c>
      <c r="E1260" t="s">
        <v>1318</v>
      </c>
      <c r="F1260">
        <v>5419</v>
      </c>
      <c r="G1260" t="s">
        <v>18</v>
      </c>
      <c r="H1260">
        <v>27</v>
      </c>
      <c r="I1260" t="s">
        <v>19</v>
      </c>
      <c r="J1260">
        <v>1989</v>
      </c>
      <c r="K1260">
        <v>1989</v>
      </c>
      <c r="L1260" t="s">
        <v>20</v>
      </c>
      <c r="M1260">
        <v>23713</v>
      </c>
      <c r="N1260">
        <v>589</v>
      </c>
    </row>
    <row r="1261" spans="1:14" x14ac:dyDescent="0.35">
      <c r="A1261" t="s">
        <v>1322</v>
      </c>
      <c r="B1261" t="s">
        <v>15</v>
      </c>
      <c r="C1261" t="s">
        <v>16</v>
      </c>
      <c r="D1261">
        <v>97</v>
      </c>
      <c r="E1261" t="s">
        <v>1318</v>
      </c>
      <c r="F1261">
        <v>5419</v>
      </c>
      <c r="G1261" t="s">
        <v>18</v>
      </c>
      <c r="H1261">
        <v>27</v>
      </c>
      <c r="I1261" t="s">
        <v>19</v>
      </c>
      <c r="J1261">
        <v>1990</v>
      </c>
      <c r="K1261">
        <v>1990</v>
      </c>
      <c r="L1261" t="s">
        <v>20</v>
      </c>
      <c r="M1261">
        <v>33520</v>
      </c>
      <c r="N1261">
        <v>589</v>
      </c>
    </row>
    <row r="1262" spans="1:14" x14ac:dyDescent="0.35">
      <c r="A1262" t="s">
        <v>1323</v>
      </c>
      <c r="B1262" t="s">
        <v>15</v>
      </c>
      <c r="C1262" t="s">
        <v>16</v>
      </c>
      <c r="D1262">
        <v>97</v>
      </c>
      <c r="E1262" t="s">
        <v>1318</v>
      </c>
      <c r="F1262">
        <v>5419</v>
      </c>
      <c r="G1262" t="s">
        <v>18</v>
      </c>
      <c r="H1262">
        <v>27</v>
      </c>
      <c r="I1262" t="s">
        <v>19</v>
      </c>
      <c r="J1262">
        <v>1991</v>
      </c>
      <c r="K1262">
        <v>1991</v>
      </c>
      <c r="L1262" t="s">
        <v>20</v>
      </c>
      <c r="M1262">
        <v>23696</v>
      </c>
      <c r="N1262">
        <v>589</v>
      </c>
    </row>
    <row r="1263" spans="1:14" x14ac:dyDescent="0.35">
      <c r="A1263" t="s">
        <v>1324</v>
      </c>
      <c r="B1263" t="s">
        <v>15</v>
      </c>
      <c r="C1263" t="s">
        <v>16</v>
      </c>
      <c r="D1263">
        <v>97</v>
      </c>
      <c r="E1263" t="s">
        <v>1318</v>
      </c>
      <c r="F1263">
        <v>5419</v>
      </c>
      <c r="G1263" t="s">
        <v>18</v>
      </c>
      <c r="H1263">
        <v>27</v>
      </c>
      <c r="I1263" t="s">
        <v>19</v>
      </c>
      <c r="J1263">
        <v>1992</v>
      </c>
      <c r="K1263">
        <v>1992</v>
      </c>
      <c r="L1263" t="s">
        <v>20</v>
      </c>
      <c r="M1263">
        <v>30702</v>
      </c>
      <c r="N1263">
        <v>589</v>
      </c>
    </row>
    <row r="1264" spans="1:14" x14ac:dyDescent="0.35">
      <c r="A1264" t="s">
        <v>1325</v>
      </c>
      <c r="B1264" t="s">
        <v>15</v>
      </c>
      <c r="C1264" t="s">
        <v>16</v>
      </c>
      <c r="D1264">
        <v>97</v>
      </c>
      <c r="E1264" t="s">
        <v>1318</v>
      </c>
      <c r="F1264">
        <v>5419</v>
      </c>
      <c r="G1264" t="s">
        <v>18</v>
      </c>
      <c r="H1264">
        <v>27</v>
      </c>
      <c r="I1264" t="s">
        <v>19</v>
      </c>
      <c r="J1264">
        <v>1993</v>
      </c>
      <c r="K1264">
        <v>1993</v>
      </c>
      <c r="L1264" t="s">
        <v>20</v>
      </c>
      <c r="M1264">
        <v>26519</v>
      </c>
      <c r="N1264">
        <v>589</v>
      </c>
    </row>
    <row r="1265" spans="1:14" x14ac:dyDescent="0.35">
      <c r="A1265" t="s">
        <v>1326</v>
      </c>
      <c r="B1265" t="s">
        <v>15</v>
      </c>
      <c r="C1265" t="s">
        <v>16</v>
      </c>
      <c r="D1265">
        <v>97</v>
      </c>
      <c r="E1265" t="s">
        <v>1318</v>
      </c>
      <c r="F1265">
        <v>5419</v>
      </c>
      <c r="G1265" t="s">
        <v>18</v>
      </c>
      <c r="H1265">
        <v>27</v>
      </c>
      <c r="I1265" t="s">
        <v>19</v>
      </c>
      <c r="J1265">
        <v>1994</v>
      </c>
      <c r="K1265">
        <v>1994</v>
      </c>
      <c r="L1265" t="s">
        <v>20</v>
      </c>
      <c r="M1265">
        <v>31308</v>
      </c>
      <c r="N1265">
        <v>589</v>
      </c>
    </row>
    <row r="1266" spans="1:14" x14ac:dyDescent="0.35">
      <c r="A1266" t="s">
        <v>1327</v>
      </c>
      <c r="B1266" t="s">
        <v>15</v>
      </c>
      <c r="C1266" t="s">
        <v>16</v>
      </c>
      <c r="D1266">
        <v>97</v>
      </c>
      <c r="E1266" t="s">
        <v>1318</v>
      </c>
      <c r="F1266">
        <v>5419</v>
      </c>
      <c r="G1266" t="s">
        <v>18</v>
      </c>
      <c r="H1266">
        <v>27</v>
      </c>
      <c r="I1266" t="s">
        <v>19</v>
      </c>
      <c r="J1266">
        <v>1995</v>
      </c>
      <c r="K1266">
        <v>1995</v>
      </c>
      <c r="L1266" t="s">
        <v>20</v>
      </c>
      <c r="M1266">
        <v>31606</v>
      </c>
      <c r="N1266">
        <v>589</v>
      </c>
    </row>
    <row r="1267" spans="1:14" x14ac:dyDescent="0.35">
      <c r="A1267" t="s">
        <v>1328</v>
      </c>
      <c r="B1267" t="s">
        <v>15</v>
      </c>
      <c r="C1267" t="s">
        <v>16</v>
      </c>
      <c r="D1267">
        <v>97</v>
      </c>
      <c r="E1267" t="s">
        <v>1318</v>
      </c>
      <c r="F1267">
        <v>5419</v>
      </c>
      <c r="G1267" t="s">
        <v>18</v>
      </c>
      <c r="H1267">
        <v>27</v>
      </c>
      <c r="I1267" t="s">
        <v>19</v>
      </c>
      <c r="J1267">
        <v>1996</v>
      </c>
      <c r="K1267">
        <v>1996</v>
      </c>
      <c r="L1267" t="s">
        <v>20</v>
      </c>
      <c r="M1267">
        <v>22508</v>
      </c>
      <c r="N1267">
        <v>589</v>
      </c>
    </row>
    <row r="1268" spans="1:14" x14ac:dyDescent="0.35">
      <c r="A1268" t="s">
        <v>1329</v>
      </c>
      <c r="B1268" t="s">
        <v>15</v>
      </c>
      <c r="C1268" t="s">
        <v>16</v>
      </c>
      <c r="D1268">
        <v>97</v>
      </c>
      <c r="E1268" t="s">
        <v>1318</v>
      </c>
      <c r="F1268">
        <v>5419</v>
      </c>
      <c r="G1268" t="s">
        <v>18</v>
      </c>
      <c r="H1268">
        <v>27</v>
      </c>
      <c r="I1268" t="s">
        <v>19</v>
      </c>
      <c r="J1268">
        <v>1997</v>
      </c>
      <c r="K1268">
        <v>1997</v>
      </c>
      <c r="L1268" t="s">
        <v>20</v>
      </c>
      <c r="M1268">
        <v>33286</v>
      </c>
      <c r="N1268">
        <v>589</v>
      </c>
    </row>
    <row r="1269" spans="1:14" x14ac:dyDescent="0.35">
      <c r="A1269" t="s">
        <v>1330</v>
      </c>
      <c r="B1269" t="s">
        <v>15</v>
      </c>
      <c r="C1269" t="s">
        <v>16</v>
      </c>
      <c r="D1269">
        <v>97</v>
      </c>
      <c r="E1269" t="s">
        <v>1318</v>
      </c>
      <c r="F1269">
        <v>5419</v>
      </c>
      <c r="G1269" t="s">
        <v>18</v>
      </c>
      <c r="H1269">
        <v>27</v>
      </c>
      <c r="I1269" t="s">
        <v>19</v>
      </c>
      <c r="J1269">
        <v>1998</v>
      </c>
      <c r="K1269">
        <v>1998</v>
      </c>
      <c r="L1269" t="s">
        <v>20</v>
      </c>
      <c r="M1269">
        <v>27031</v>
      </c>
      <c r="N1269">
        <v>589</v>
      </c>
    </row>
    <row r="1270" spans="1:14" x14ac:dyDescent="0.35">
      <c r="A1270" t="s">
        <v>1331</v>
      </c>
      <c r="B1270" t="s">
        <v>15</v>
      </c>
      <c r="C1270" t="s">
        <v>16</v>
      </c>
      <c r="D1270">
        <v>97</v>
      </c>
      <c r="E1270" t="s">
        <v>1318</v>
      </c>
      <c r="F1270">
        <v>5419</v>
      </c>
      <c r="G1270" t="s">
        <v>18</v>
      </c>
      <c r="H1270">
        <v>27</v>
      </c>
      <c r="I1270" t="s">
        <v>19</v>
      </c>
      <c r="J1270">
        <v>1999</v>
      </c>
      <c r="K1270">
        <v>1999</v>
      </c>
      <c r="L1270" t="s">
        <v>20</v>
      </c>
      <c r="M1270">
        <v>33158</v>
      </c>
      <c r="N1270">
        <v>589</v>
      </c>
    </row>
    <row r="1271" spans="1:14" x14ac:dyDescent="0.35">
      <c r="A1271" t="s">
        <v>1332</v>
      </c>
      <c r="B1271" t="s">
        <v>15</v>
      </c>
      <c r="C1271" t="s">
        <v>16</v>
      </c>
      <c r="D1271">
        <v>97</v>
      </c>
      <c r="E1271" t="s">
        <v>1318</v>
      </c>
      <c r="F1271">
        <v>5419</v>
      </c>
      <c r="G1271" t="s">
        <v>18</v>
      </c>
      <c r="H1271">
        <v>27</v>
      </c>
      <c r="I1271" t="s">
        <v>19</v>
      </c>
      <c r="J1271">
        <v>2000</v>
      </c>
      <c r="K1271">
        <v>2000</v>
      </c>
      <c r="L1271" t="s">
        <v>20</v>
      </c>
      <c r="M1271">
        <v>34932</v>
      </c>
      <c r="N1271">
        <v>589</v>
      </c>
    </row>
    <row r="1272" spans="1:14" x14ac:dyDescent="0.35">
      <c r="A1272" t="s">
        <v>1333</v>
      </c>
      <c r="B1272" t="s">
        <v>15</v>
      </c>
      <c r="C1272" t="s">
        <v>16</v>
      </c>
      <c r="D1272">
        <v>97</v>
      </c>
      <c r="E1272" t="s">
        <v>1318</v>
      </c>
      <c r="F1272">
        <v>5419</v>
      </c>
      <c r="G1272" t="s">
        <v>18</v>
      </c>
      <c r="H1272">
        <v>27</v>
      </c>
      <c r="I1272" t="s">
        <v>19</v>
      </c>
      <c r="J1272">
        <v>2001</v>
      </c>
      <c r="K1272">
        <v>2001</v>
      </c>
      <c r="L1272" t="s">
        <v>20</v>
      </c>
      <c r="M1272">
        <v>32950</v>
      </c>
      <c r="N1272">
        <v>589</v>
      </c>
    </row>
    <row r="1273" spans="1:14" x14ac:dyDescent="0.35">
      <c r="A1273" t="s">
        <v>1334</v>
      </c>
      <c r="B1273" t="s">
        <v>15</v>
      </c>
      <c r="C1273" t="s">
        <v>16</v>
      </c>
      <c r="D1273">
        <v>97</v>
      </c>
      <c r="E1273" t="s">
        <v>1318</v>
      </c>
      <c r="F1273">
        <v>5419</v>
      </c>
      <c r="G1273" t="s">
        <v>18</v>
      </c>
      <c r="H1273">
        <v>27</v>
      </c>
      <c r="I1273" t="s">
        <v>19</v>
      </c>
      <c r="J1273">
        <v>2002</v>
      </c>
      <c r="K1273">
        <v>2002</v>
      </c>
      <c r="L1273" t="s">
        <v>20</v>
      </c>
      <c r="M1273">
        <v>46448</v>
      </c>
      <c r="N1273">
        <v>589</v>
      </c>
    </row>
    <row r="1274" spans="1:14" x14ac:dyDescent="0.35">
      <c r="A1274" t="s">
        <v>1335</v>
      </c>
      <c r="B1274" t="s">
        <v>15</v>
      </c>
      <c r="C1274" t="s">
        <v>16</v>
      </c>
      <c r="D1274">
        <v>97</v>
      </c>
      <c r="E1274" t="s">
        <v>1318</v>
      </c>
      <c r="F1274">
        <v>5419</v>
      </c>
      <c r="G1274" t="s">
        <v>18</v>
      </c>
      <c r="H1274">
        <v>27</v>
      </c>
      <c r="I1274" t="s">
        <v>19</v>
      </c>
      <c r="J1274">
        <v>2004</v>
      </c>
      <c r="K1274">
        <v>2004</v>
      </c>
      <c r="L1274" t="s">
        <v>20</v>
      </c>
      <c r="M1274">
        <v>34097</v>
      </c>
      <c r="N1274">
        <v>589</v>
      </c>
    </row>
    <row r="1275" spans="1:14" x14ac:dyDescent="0.35">
      <c r="A1275" t="s">
        <v>1336</v>
      </c>
      <c r="B1275" t="s">
        <v>15</v>
      </c>
      <c r="C1275" t="s">
        <v>16</v>
      </c>
      <c r="D1275">
        <v>97</v>
      </c>
      <c r="E1275" t="s">
        <v>1318</v>
      </c>
      <c r="F1275">
        <v>5419</v>
      </c>
      <c r="G1275" t="s">
        <v>18</v>
      </c>
      <c r="H1275">
        <v>27</v>
      </c>
      <c r="I1275" t="s">
        <v>19</v>
      </c>
      <c r="J1275">
        <v>2005</v>
      </c>
      <c r="K1275">
        <v>2005</v>
      </c>
      <c r="L1275" t="s">
        <v>20</v>
      </c>
      <c r="M1275">
        <v>35426</v>
      </c>
      <c r="N1275">
        <v>589</v>
      </c>
    </row>
    <row r="1276" spans="1:14" x14ac:dyDescent="0.35">
      <c r="A1276" t="s">
        <v>1337</v>
      </c>
      <c r="B1276" t="s">
        <v>15</v>
      </c>
      <c r="C1276" t="s">
        <v>16</v>
      </c>
      <c r="D1276">
        <v>97</v>
      </c>
      <c r="E1276" t="s">
        <v>1318</v>
      </c>
      <c r="F1276">
        <v>5419</v>
      </c>
      <c r="G1276" t="s">
        <v>18</v>
      </c>
      <c r="H1276">
        <v>27</v>
      </c>
      <c r="I1276" t="s">
        <v>19</v>
      </c>
      <c r="J1276">
        <v>2006</v>
      </c>
      <c r="K1276">
        <v>2006</v>
      </c>
      <c r="L1276" t="s">
        <v>20</v>
      </c>
      <c r="M1276">
        <v>32342</v>
      </c>
      <c r="N1276">
        <v>589</v>
      </c>
    </row>
    <row r="1277" spans="1:14" x14ac:dyDescent="0.35">
      <c r="A1277" t="s">
        <v>1338</v>
      </c>
      <c r="B1277" t="s">
        <v>15</v>
      </c>
      <c r="C1277" t="s">
        <v>16</v>
      </c>
      <c r="D1277">
        <v>97</v>
      </c>
      <c r="E1277" t="s">
        <v>1318</v>
      </c>
      <c r="F1277">
        <v>5419</v>
      </c>
      <c r="G1277" t="s">
        <v>18</v>
      </c>
      <c r="H1277">
        <v>27</v>
      </c>
      <c r="I1277" t="s">
        <v>19</v>
      </c>
      <c r="J1277">
        <v>2007</v>
      </c>
      <c r="K1277">
        <v>2007</v>
      </c>
      <c r="L1277" t="s">
        <v>20</v>
      </c>
      <c r="M1277">
        <v>37891</v>
      </c>
      <c r="N1277">
        <v>589</v>
      </c>
    </row>
    <row r="1278" spans="1:14" x14ac:dyDescent="0.35">
      <c r="A1278" t="s">
        <v>1339</v>
      </c>
      <c r="B1278" t="s">
        <v>15</v>
      </c>
      <c r="C1278" t="s">
        <v>16</v>
      </c>
      <c r="D1278">
        <v>97</v>
      </c>
      <c r="E1278" t="s">
        <v>1318</v>
      </c>
      <c r="F1278">
        <v>5419</v>
      </c>
      <c r="G1278" t="s">
        <v>18</v>
      </c>
      <c r="H1278">
        <v>27</v>
      </c>
      <c r="I1278" t="s">
        <v>19</v>
      </c>
      <c r="J1278">
        <v>2008</v>
      </c>
      <c r="K1278">
        <v>2008</v>
      </c>
      <c r="L1278" t="s">
        <v>20</v>
      </c>
      <c r="M1278">
        <v>39404</v>
      </c>
      <c r="N1278">
        <v>589</v>
      </c>
    </row>
    <row r="1279" spans="1:14" x14ac:dyDescent="0.35">
      <c r="A1279" t="s">
        <v>1340</v>
      </c>
      <c r="B1279" t="s">
        <v>15</v>
      </c>
      <c r="C1279" t="s">
        <v>16</v>
      </c>
      <c r="D1279">
        <v>97</v>
      </c>
      <c r="E1279" t="s">
        <v>1318</v>
      </c>
      <c r="F1279">
        <v>5419</v>
      </c>
      <c r="G1279" t="s">
        <v>18</v>
      </c>
      <c r="H1279">
        <v>27</v>
      </c>
      <c r="I1279" t="s">
        <v>19</v>
      </c>
      <c r="J1279">
        <v>2009</v>
      </c>
      <c r="K1279">
        <v>2009</v>
      </c>
      <c r="L1279" t="s">
        <v>20</v>
      </c>
      <c r="M1279">
        <v>43223</v>
      </c>
      <c r="N1279">
        <v>589</v>
      </c>
    </row>
    <row r="1280" spans="1:14" x14ac:dyDescent="0.35">
      <c r="A1280" t="s">
        <v>1341</v>
      </c>
      <c r="B1280" t="s">
        <v>15</v>
      </c>
      <c r="C1280" t="s">
        <v>16</v>
      </c>
      <c r="D1280">
        <v>97</v>
      </c>
      <c r="E1280" t="s">
        <v>1318</v>
      </c>
      <c r="F1280">
        <v>5419</v>
      </c>
      <c r="G1280" t="s">
        <v>18</v>
      </c>
      <c r="H1280">
        <v>27</v>
      </c>
      <c r="I1280" t="s">
        <v>19</v>
      </c>
      <c r="J1280">
        <v>2010</v>
      </c>
      <c r="K1280">
        <v>2010</v>
      </c>
      <c r="L1280" t="s">
        <v>20</v>
      </c>
      <c r="M1280">
        <v>29465</v>
      </c>
      <c r="N1280">
        <v>589</v>
      </c>
    </row>
    <row r="1281" spans="1:14" x14ac:dyDescent="0.35">
      <c r="A1281" t="s">
        <v>1342</v>
      </c>
      <c r="B1281" t="s">
        <v>15</v>
      </c>
      <c r="C1281" t="s">
        <v>16</v>
      </c>
      <c r="D1281">
        <v>97</v>
      </c>
      <c r="E1281" t="s">
        <v>1318</v>
      </c>
      <c r="F1281">
        <v>5419</v>
      </c>
      <c r="G1281" t="s">
        <v>18</v>
      </c>
      <c r="H1281">
        <v>27</v>
      </c>
      <c r="I1281" t="s">
        <v>19</v>
      </c>
      <c r="J1281">
        <v>2011</v>
      </c>
      <c r="K1281">
        <v>2011</v>
      </c>
      <c r="L1281" t="s">
        <v>20</v>
      </c>
      <c r="M1281">
        <v>32411</v>
      </c>
      <c r="N1281">
        <v>589</v>
      </c>
    </row>
    <row r="1282" spans="1:14" x14ac:dyDescent="0.35">
      <c r="A1282" t="s">
        <v>1343</v>
      </c>
      <c r="B1282" t="s">
        <v>15</v>
      </c>
      <c r="C1282" t="s">
        <v>16</v>
      </c>
      <c r="D1282">
        <v>97</v>
      </c>
      <c r="E1282" t="s">
        <v>1318</v>
      </c>
      <c r="F1282">
        <v>5419</v>
      </c>
      <c r="G1282" t="s">
        <v>18</v>
      </c>
      <c r="H1282">
        <v>27</v>
      </c>
      <c r="I1282" t="s">
        <v>19</v>
      </c>
      <c r="J1282">
        <v>2012</v>
      </c>
      <c r="K1282">
        <v>2012</v>
      </c>
      <c r="L1282" t="s">
        <v>20</v>
      </c>
      <c r="M1282">
        <v>38074</v>
      </c>
      <c r="N1282">
        <v>589</v>
      </c>
    </row>
    <row r="1283" spans="1:14" x14ac:dyDescent="0.35">
      <c r="A1283" t="s">
        <v>1344</v>
      </c>
      <c r="B1283" t="s">
        <v>15</v>
      </c>
      <c r="C1283" t="s">
        <v>16</v>
      </c>
      <c r="D1283">
        <v>97</v>
      </c>
      <c r="E1283" t="s">
        <v>1318</v>
      </c>
      <c r="F1283">
        <v>5419</v>
      </c>
      <c r="G1283" t="s">
        <v>18</v>
      </c>
      <c r="H1283">
        <v>27</v>
      </c>
      <c r="I1283" t="s">
        <v>19</v>
      </c>
      <c r="J1283">
        <v>2013</v>
      </c>
      <c r="K1283">
        <v>2013</v>
      </c>
      <c r="L1283" t="s">
        <v>20</v>
      </c>
      <c r="M1283">
        <v>32727</v>
      </c>
      <c r="N1283">
        <v>589</v>
      </c>
    </row>
    <row r="1284" spans="1:14" x14ac:dyDescent="0.35">
      <c r="A1284" t="s">
        <v>1345</v>
      </c>
      <c r="B1284" t="s">
        <v>15</v>
      </c>
      <c r="C1284" t="s">
        <v>16</v>
      </c>
      <c r="D1284">
        <v>97</v>
      </c>
      <c r="E1284" t="s">
        <v>1318</v>
      </c>
      <c r="F1284">
        <v>5419</v>
      </c>
      <c r="G1284" t="s">
        <v>18</v>
      </c>
      <c r="H1284">
        <v>27</v>
      </c>
      <c r="I1284" t="s">
        <v>19</v>
      </c>
      <c r="J1284">
        <v>2014</v>
      </c>
      <c r="K1284">
        <v>2014</v>
      </c>
      <c r="L1284" t="s">
        <v>20</v>
      </c>
      <c r="M1284">
        <v>32958</v>
      </c>
      <c r="N1284">
        <v>589</v>
      </c>
    </row>
    <row r="1285" spans="1:14" x14ac:dyDescent="0.35">
      <c r="A1285" t="s">
        <v>1346</v>
      </c>
      <c r="B1285" t="s">
        <v>15</v>
      </c>
      <c r="C1285" t="s">
        <v>16</v>
      </c>
      <c r="D1285">
        <v>97</v>
      </c>
      <c r="E1285" t="s">
        <v>1318</v>
      </c>
      <c r="F1285">
        <v>5419</v>
      </c>
      <c r="G1285" t="s">
        <v>18</v>
      </c>
      <c r="H1285">
        <v>27</v>
      </c>
      <c r="I1285" t="s">
        <v>19</v>
      </c>
      <c r="J1285">
        <v>2015</v>
      </c>
      <c r="K1285">
        <v>2015</v>
      </c>
      <c r="L1285" t="s">
        <v>20</v>
      </c>
      <c r="M1285">
        <v>33578</v>
      </c>
      <c r="N1285">
        <v>589</v>
      </c>
    </row>
    <row r="1286" spans="1:14" x14ac:dyDescent="0.35">
      <c r="A1286" t="s">
        <v>1347</v>
      </c>
      <c r="B1286" t="s">
        <v>15</v>
      </c>
      <c r="C1286" t="s">
        <v>16</v>
      </c>
      <c r="D1286">
        <v>97</v>
      </c>
      <c r="E1286" t="s">
        <v>1318</v>
      </c>
      <c r="F1286">
        <v>5419</v>
      </c>
      <c r="G1286" t="s">
        <v>18</v>
      </c>
      <c r="H1286">
        <v>27</v>
      </c>
      <c r="I1286" t="s">
        <v>19</v>
      </c>
      <c r="J1286">
        <v>2016</v>
      </c>
      <c r="K1286">
        <v>2016</v>
      </c>
      <c r="L1286" t="s">
        <v>20</v>
      </c>
      <c r="M1286">
        <v>34518</v>
      </c>
      <c r="N1286">
        <v>589</v>
      </c>
    </row>
    <row r="1287" spans="1:14" x14ac:dyDescent="0.35">
      <c r="A1287" t="s">
        <v>1348</v>
      </c>
      <c r="B1287" t="s">
        <v>15</v>
      </c>
      <c r="C1287" t="s">
        <v>16</v>
      </c>
      <c r="D1287">
        <v>100</v>
      </c>
      <c r="E1287" t="s">
        <v>1349</v>
      </c>
      <c r="F1287">
        <v>5419</v>
      </c>
      <c r="G1287" t="s">
        <v>18</v>
      </c>
      <c r="H1287">
        <v>27</v>
      </c>
      <c r="I1287" t="s">
        <v>19</v>
      </c>
      <c r="J1287">
        <v>1985</v>
      </c>
      <c r="K1287">
        <v>1985</v>
      </c>
      <c r="L1287" t="s">
        <v>20</v>
      </c>
      <c r="M1287">
        <v>23292</v>
      </c>
      <c r="N1287">
        <v>1940</v>
      </c>
    </row>
    <row r="1288" spans="1:14" x14ac:dyDescent="0.35">
      <c r="A1288" t="s">
        <v>1350</v>
      </c>
      <c r="B1288" t="s">
        <v>15</v>
      </c>
      <c r="C1288" t="s">
        <v>16</v>
      </c>
      <c r="D1288">
        <v>100</v>
      </c>
      <c r="E1288" t="s">
        <v>1349</v>
      </c>
      <c r="F1288">
        <v>5419</v>
      </c>
      <c r="G1288" t="s">
        <v>18</v>
      </c>
      <c r="H1288">
        <v>27</v>
      </c>
      <c r="I1288" t="s">
        <v>19</v>
      </c>
      <c r="J1288">
        <v>1986</v>
      </c>
      <c r="K1288">
        <v>1986</v>
      </c>
      <c r="L1288" t="s">
        <v>20</v>
      </c>
      <c r="M1288">
        <v>22052</v>
      </c>
      <c r="N1288">
        <v>1083</v>
      </c>
    </row>
    <row r="1289" spans="1:14" x14ac:dyDescent="0.35">
      <c r="A1289" t="s">
        <v>1351</v>
      </c>
      <c r="B1289" t="s">
        <v>15</v>
      </c>
      <c r="C1289" t="s">
        <v>16</v>
      </c>
      <c r="D1289">
        <v>100</v>
      </c>
      <c r="E1289" t="s">
        <v>1349</v>
      </c>
      <c r="F1289">
        <v>5419</v>
      </c>
      <c r="G1289" t="s">
        <v>18</v>
      </c>
      <c r="H1289">
        <v>27</v>
      </c>
      <c r="I1289" t="s">
        <v>19</v>
      </c>
      <c r="J1289">
        <v>1987</v>
      </c>
      <c r="K1289">
        <v>1987</v>
      </c>
      <c r="L1289" t="s">
        <v>20</v>
      </c>
      <c r="M1289">
        <v>21991</v>
      </c>
      <c r="N1289">
        <v>1083</v>
      </c>
    </row>
    <row r="1290" spans="1:14" x14ac:dyDescent="0.35">
      <c r="A1290" t="s">
        <v>1352</v>
      </c>
      <c r="B1290" t="s">
        <v>15</v>
      </c>
      <c r="C1290" t="s">
        <v>16</v>
      </c>
      <c r="D1290">
        <v>100</v>
      </c>
      <c r="E1290" t="s">
        <v>1349</v>
      </c>
      <c r="F1290">
        <v>5419</v>
      </c>
      <c r="G1290" t="s">
        <v>18</v>
      </c>
      <c r="H1290">
        <v>27</v>
      </c>
      <c r="I1290" t="s">
        <v>19</v>
      </c>
      <c r="J1290">
        <v>1989</v>
      </c>
      <c r="K1290">
        <v>1989</v>
      </c>
      <c r="L1290" t="s">
        <v>20</v>
      </c>
      <c r="M1290">
        <v>26160</v>
      </c>
      <c r="N1290">
        <v>1083</v>
      </c>
    </row>
    <row r="1291" spans="1:14" x14ac:dyDescent="0.35">
      <c r="A1291" t="s">
        <v>1353</v>
      </c>
      <c r="B1291" t="s">
        <v>15</v>
      </c>
      <c r="C1291" t="s">
        <v>16</v>
      </c>
      <c r="D1291">
        <v>100</v>
      </c>
      <c r="E1291" t="s">
        <v>1349</v>
      </c>
      <c r="F1291">
        <v>5419</v>
      </c>
      <c r="G1291" t="s">
        <v>18</v>
      </c>
      <c r="H1291">
        <v>27</v>
      </c>
      <c r="I1291" t="s">
        <v>19</v>
      </c>
      <c r="J1291">
        <v>1990</v>
      </c>
      <c r="K1291">
        <v>1990</v>
      </c>
      <c r="L1291" t="s">
        <v>20</v>
      </c>
      <c r="M1291">
        <v>26125</v>
      </c>
      <c r="N1291">
        <v>1083</v>
      </c>
    </row>
    <row r="1292" spans="1:14" x14ac:dyDescent="0.35">
      <c r="A1292" t="s">
        <v>1354</v>
      </c>
      <c r="B1292" t="s">
        <v>15</v>
      </c>
      <c r="C1292" t="s">
        <v>16</v>
      </c>
      <c r="D1292">
        <v>100</v>
      </c>
      <c r="E1292" t="s">
        <v>1349</v>
      </c>
      <c r="F1292">
        <v>5419</v>
      </c>
      <c r="G1292" t="s">
        <v>18</v>
      </c>
      <c r="H1292">
        <v>27</v>
      </c>
      <c r="I1292" t="s">
        <v>19</v>
      </c>
      <c r="J1292">
        <v>1991</v>
      </c>
      <c r="K1292">
        <v>1991</v>
      </c>
      <c r="L1292" t="s">
        <v>20</v>
      </c>
      <c r="M1292">
        <v>26271</v>
      </c>
      <c r="N1292">
        <v>1083</v>
      </c>
    </row>
    <row r="1293" spans="1:14" x14ac:dyDescent="0.35">
      <c r="A1293" t="s">
        <v>1355</v>
      </c>
      <c r="B1293" t="s">
        <v>15</v>
      </c>
      <c r="C1293" t="s">
        <v>16</v>
      </c>
      <c r="D1293">
        <v>100</v>
      </c>
      <c r="E1293" t="s">
        <v>1349</v>
      </c>
      <c r="F1293">
        <v>5419</v>
      </c>
      <c r="G1293" t="s">
        <v>18</v>
      </c>
      <c r="H1293">
        <v>27</v>
      </c>
      <c r="I1293" t="s">
        <v>19</v>
      </c>
      <c r="J1293">
        <v>1992</v>
      </c>
      <c r="K1293">
        <v>1992</v>
      </c>
      <c r="L1293" t="s">
        <v>20</v>
      </c>
      <c r="M1293">
        <v>26092</v>
      </c>
      <c r="N1293">
        <v>1083</v>
      </c>
    </row>
    <row r="1294" spans="1:14" x14ac:dyDescent="0.35">
      <c r="A1294" t="s">
        <v>1356</v>
      </c>
      <c r="B1294" t="s">
        <v>15</v>
      </c>
      <c r="C1294" t="s">
        <v>16</v>
      </c>
      <c r="D1294">
        <v>100</v>
      </c>
      <c r="E1294" t="s">
        <v>1349</v>
      </c>
      <c r="F1294">
        <v>5419</v>
      </c>
      <c r="G1294" t="s">
        <v>18</v>
      </c>
      <c r="H1294">
        <v>27</v>
      </c>
      <c r="I1294" t="s">
        <v>19</v>
      </c>
      <c r="J1294">
        <v>1993</v>
      </c>
      <c r="K1294">
        <v>1993</v>
      </c>
      <c r="L1294" t="s">
        <v>20</v>
      </c>
      <c r="M1294">
        <v>28303</v>
      </c>
      <c r="N1294">
        <v>1083</v>
      </c>
    </row>
    <row r="1295" spans="1:14" x14ac:dyDescent="0.35">
      <c r="A1295" t="s">
        <v>1357</v>
      </c>
      <c r="B1295" t="s">
        <v>15</v>
      </c>
      <c r="C1295" t="s">
        <v>16</v>
      </c>
      <c r="D1295">
        <v>100</v>
      </c>
      <c r="E1295" t="s">
        <v>1349</v>
      </c>
      <c r="F1295">
        <v>5419</v>
      </c>
      <c r="G1295" t="s">
        <v>18</v>
      </c>
      <c r="H1295">
        <v>27</v>
      </c>
      <c r="I1295" t="s">
        <v>19</v>
      </c>
      <c r="J1295">
        <v>1994</v>
      </c>
      <c r="K1295">
        <v>1994</v>
      </c>
      <c r="L1295" t="s">
        <v>20</v>
      </c>
      <c r="M1295">
        <v>28645</v>
      </c>
      <c r="N1295">
        <v>1083</v>
      </c>
    </row>
    <row r="1296" spans="1:14" x14ac:dyDescent="0.35">
      <c r="A1296" t="s">
        <v>1358</v>
      </c>
      <c r="B1296" t="s">
        <v>15</v>
      </c>
      <c r="C1296" t="s">
        <v>16</v>
      </c>
      <c r="D1296">
        <v>100</v>
      </c>
      <c r="E1296" t="s">
        <v>1349</v>
      </c>
      <c r="F1296">
        <v>5419</v>
      </c>
      <c r="G1296" t="s">
        <v>18</v>
      </c>
      <c r="H1296">
        <v>27</v>
      </c>
      <c r="I1296" t="s">
        <v>19</v>
      </c>
      <c r="J1296">
        <v>1995</v>
      </c>
      <c r="K1296">
        <v>1995</v>
      </c>
      <c r="L1296" t="s">
        <v>20</v>
      </c>
      <c r="M1296">
        <v>26972</v>
      </c>
      <c r="N1296">
        <v>1083</v>
      </c>
    </row>
    <row r="1297" spans="1:14" x14ac:dyDescent="0.35">
      <c r="A1297" t="s">
        <v>1359</v>
      </c>
      <c r="B1297" t="s">
        <v>15</v>
      </c>
      <c r="C1297" t="s">
        <v>16</v>
      </c>
      <c r="D1297">
        <v>100</v>
      </c>
      <c r="E1297" t="s">
        <v>1349</v>
      </c>
      <c r="F1297">
        <v>5419</v>
      </c>
      <c r="G1297" t="s">
        <v>18</v>
      </c>
      <c r="H1297">
        <v>27</v>
      </c>
      <c r="I1297" t="s">
        <v>19</v>
      </c>
      <c r="J1297">
        <v>1996</v>
      </c>
      <c r="K1297">
        <v>1996</v>
      </c>
      <c r="L1297" t="s">
        <v>20</v>
      </c>
      <c r="M1297">
        <v>28226</v>
      </c>
      <c r="N1297">
        <v>1083</v>
      </c>
    </row>
    <row r="1298" spans="1:14" x14ac:dyDescent="0.35">
      <c r="A1298" t="s">
        <v>1360</v>
      </c>
      <c r="B1298" t="s">
        <v>15</v>
      </c>
      <c r="C1298" t="s">
        <v>16</v>
      </c>
      <c r="D1298">
        <v>100</v>
      </c>
      <c r="E1298" t="s">
        <v>1349</v>
      </c>
      <c r="F1298">
        <v>5419</v>
      </c>
      <c r="G1298" t="s">
        <v>18</v>
      </c>
      <c r="H1298">
        <v>27</v>
      </c>
      <c r="I1298" t="s">
        <v>19</v>
      </c>
      <c r="J1298">
        <v>1997</v>
      </c>
      <c r="K1298">
        <v>1997</v>
      </c>
      <c r="L1298" t="s">
        <v>20</v>
      </c>
      <c r="M1298">
        <v>28457</v>
      </c>
      <c r="N1298">
        <v>1083</v>
      </c>
    </row>
    <row r="1299" spans="1:14" x14ac:dyDescent="0.35">
      <c r="A1299" t="s">
        <v>1361</v>
      </c>
      <c r="B1299" t="s">
        <v>15</v>
      </c>
      <c r="C1299" t="s">
        <v>16</v>
      </c>
      <c r="D1299">
        <v>100</v>
      </c>
      <c r="E1299" t="s">
        <v>1349</v>
      </c>
      <c r="F1299">
        <v>5419</v>
      </c>
      <c r="G1299" t="s">
        <v>18</v>
      </c>
      <c r="H1299">
        <v>27</v>
      </c>
      <c r="I1299" t="s">
        <v>19</v>
      </c>
      <c r="J1299">
        <v>1998</v>
      </c>
      <c r="K1299">
        <v>1998</v>
      </c>
      <c r="L1299" t="s">
        <v>20</v>
      </c>
      <c r="M1299">
        <v>28805</v>
      </c>
      <c r="N1299">
        <v>1083</v>
      </c>
    </row>
    <row r="1300" spans="1:14" x14ac:dyDescent="0.35">
      <c r="A1300" t="s">
        <v>1362</v>
      </c>
      <c r="B1300" t="s">
        <v>15</v>
      </c>
      <c r="C1300" t="s">
        <v>16</v>
      </c>
      <c r="D1300">
        <v>100</v>
      </c>
      <c r="E1300" t="s">
        <v>1349</v>
      </c>
      <c r="F1300">
        <v>5419</v>
      </c>
      <c r="G1300" t="s">
        <v>18</v>
      </c>
      <c r="H1300">
        <v>27</v>
      </c>
      <c r="I1300" t="s">
        <v>19</v>
      </c>
      <c r="J1300">
        <v>1999</v>
      </c>
      <c r="K1300">
        <v>1999</v>
      </c>
      <c r="L1300" t="s">
        <v>20</v>
      </c>
      <c r="M1300">
        <v>29782</v>
      </c>
      <c r="N1300">
        <v>1083</v>
      </c>
    </row>
    <row r="1301" spans="1:14" x14ac:dyDescent="0.35">
      <c r="A1301" t="s">
        <v>1363</v>
      </c>
      <c r="B1301" t="s">
        <v>15</v>
      </c>
      <c r="C1301" t="s">
        <v>16</v>
      </c>
      <c r="D1301">
        <v>100</v>
      </c>
      <c r="E1301" t="s">
        <v>1349</v>
      </c>
      <c r="F1301">
        <v>5419</v>
      </c>
      <c r="G1301" t="s">
        <v>18</v>
      </c>
      <c r="H1301">
        <v>27</v>
      </c>
      <c r="I1301" t="s">
        <v>19</v>
      </c>
      <c r="J1301">
        <v>2000</v>
      </c>
      <c r="K1301">
        <v>2000</v>
      </c>
      <c r="L1301" t="s">
        <v>20</v>
      </c>
      <c r="M1301">
        <v>28508</v>
      </c>
      <c r="N1301">
        <v>1083</v>
      </c>
    </row>
    <row r="1302" spans="1:14" x14ac:dyDescent="0.35">
      <c r="A1302" t="s">
        <v>1364</v>
      </c>
      <c r="B1302" t="s">
        <v>15</v>
      </c>
      <c r="C1302" t="s">
        <v>16</v>
      </c>
      <c r="D1302">
        <v>100</v>
      </c>
      <c r="E1302" t="s">
        <v>1349</v>
      </c>
      <c r="F1302">
        <v>5419</v>
      </c>
      <c r="G1302" t="s">
        <v>18</v>
      </c>
      <c r="H1302">
        <v>27</v>
      </c>
      <c r="I1302" t="s">
        <v>19</v>
      </c>
      <c r="J1302">
        <v>2001</v>
      </c>
      <c r="K1302">
        <v>2001</v>
      </c>
      <c r="L1302" t="s">
        <v>20</v>
      </c>
      <c r="M1302">
        <v>31158</v>
      </c>
      <c r="N1302">
        <v>1083</v>
      </c>
    </row>
    <row r="1303" spans="1:14" x14ac:dyDescent="0.35">
      <c r="A1303" t="s">
        <v>1365</v>
      </c>
      <c r="B1303" t="s">
        <v>15</v>
      </c>
      <c r="C1303" t="s">
        <v>16</v>
      </c>
      <c r="D1303">
        <v>100</v>
      </c>
      <c r="E1303" t="s">
        <v>1349</v>
      </c>
      <c r="F1303">
        <v>5419</v>
      </c>
      <c r="G1303" t="s">
        <v>18</v>
      </c>
      <c r="H1303">
        <v>27</v>
      </c>
      <c r="I1303" t="s">
        <v>19</v>
      </c>
      <c r="J1303">
        <v>2002</v>
      </c>
      <c r="K1303">
        <v>2002</v>
      </c>
      <c r="L1303" t="s">
        <v>20</v>
      </c>
      <c r="M1303">
        <v>26163</v>
      </c>
      <c r="N1303">
        <v>1083</v>
      </c>
    </row>
    <row r="1304" spans="1:14" x14ac:dyDescent="0.35">
      <c r="A1304" t="s">
        <v>1366</v>
      </c>
      <c r="B1304" t="s">
        <v>15</v>
      </c>
      <c r="C1304" t="s">
        <v>16</v>
      </c>
      <c r="D1304">
        <v>100</v>
      </c>
      <c r="E1304" t="s">
        <v>1349</v>
      </c>
      <c r="F1304">
        <v>5419</v>
      </c>
      <c r="G1304" t="s">
        <v>18</v>
      </c>
      <c r="H1304">
        <v>27</v>
      </c>
      <c r="I1304" t="s">
        <v>19</v>
      </c>
      <c r="J1304">
        <v>2004</v>
      </c>
      <c r="K1304">
        <v>2004</v>
      </c>
      <c r="L1304" t="s">
        <v>20</v>
      </c>
      <c r="M1304">
        <v>29756</v>
      </c>
      <c r="N1304">
        <v>1083</v>
      </c>
    </row>
    <row r="1305" spans="1:14" x14ac:dyDescent="0.35">
      <c r="A1305" t="s">
        <v>1367</v>
      </c>
      <c r="B1305" t="s">
        <v>15</v>
      </c>
      <c r="C1305" t="s">
        <v>16</v>
      </c>
      <c r="D1305">
        <v>100</v>
      </c>
      <c r="E1305" t="s">
        <v>1349</v>
      </c>
      <c r="F1305">
        <v>5419</v>
      </c>
      <c r="G1305" t="s">
        <v>18</v>
      </c>
      <c r="H1305">
        <v>27</v>
      </c>
      <c r="I1305" t="s">
        <v>19</v>
      </c>
      <c r="J1305">
        <v>2005</v>
      </c>
      <c r="K1305">
        <v>2005</v>
      </c>
      <c r="L1305" t="s">
        <v>20</v>
      </c>
      <c r="M1305">
        <v>31537</v>
      </c>
      <c r="N1305">
        <v>1083</v>
      </c>
    </row>
    <row r="1306" spans="1:14" x14ac:dyDescent="0.35">
      <c r="A1306" t="s">
        <v>1368</v>
      </c>
      <c r="B1306" t="s">
        <v>15</v>
      </c>
      <c r="C1306" t="s">
        <v>16</v>
      </c>
      <c r="D1306">
        <v>100</v>
      </c>
      <c r="E1306" t="s">
        <v>1349</v>
      </c>
      <c r="F1306">
        <v>5419</v>
      </c>
      <c r="G1306" t="s">
        <v>18</v>
      </c>
      <c r="H1306">
        <v>27</v>
      </c>
      <c r="I1306" t="s">
        <v>19</v>
      </c>
      <c r="J1306">
        <v>2006</v>
      </c>
      <c r="K1306">
        <v>2006</v>
      </c>
      <c r="L1306" t="s">
        <v>20</v>
      </c>
      <c r="M1306">
        <v>31759</v>
      </c>
      <c r="N1306">
        <v>1083</v>
      </c>
    </row>
    <row r="1307" spans="1:14" x14ac:dyDescent="0.35">
      <c r="A1307" t="s">
        <v>1369</v>
      </c>
      <c r="B1307" t="s">
        <v>15</v>
      </c>
      <c r="C1307" t="s">
        <v>16</v>
      </c>
      <c r="D1307">
        <v>100</v>
      </c>
      <c r="E1307" t="s">
        <v>1349</v>
      </c>
      <c r="F1307">
        <v>5419</v>
      </c>
      <c r="G1307" t="s">
        <v>18</v>
      </c>
      <c r="H1307">
        <v>27</v>
      </c>
      <c r="I1307" t="s">
        <v>19</v>
      </c>
      <c r="J1307">
        <v>2007</v>
      </c>
      <c r="K1307">
        <v>2007</v>
      </c>
      <c r="L1307" t="s">
        <v>20</v>
      </c>
      <c r="M1307">
        <v>32924</v>
      </c>
      <c r="N1307">
        <v>1083</v>
      </c>
    </row>
    <row r="1308" spans="1:14" x14ac:dyDescent="0.35">
      <c r="A1308" t="s">
        <v>1370</v>
      </c>
      <c r="B1308" t="s">
        <v>15</v>
      </c>
      <c r="C1308" t="s">
        <v>16</v>
      </c>
      <c r="D1308">
        <v>100</v>
      </c>
      <c r="E1308" t="s">
        <v>1349</v>
      </c>
      <c r="F1308">
        <v>5419</v>
      </c>
      <c r="G1308" t="s">
        <v>18</v>
      </c>
      <c r="H1308">
        <v>27</v>
      </c>
      <c r="I1308" t="s">
        <v>19</v>
      </c>
      <c r="J1308">
        <v>2008</v>
      </c>
      <c r="K1308">
        <v>2008</v>
      </c>
      <c r="L1308" t="s">
        <v>20</v>
      </c>
      <c r="M1308">
        <v>32509</v>
      </c>
      <c r="N1308">
        <v>1083</v>
      </c>
    </row>
    <row r="1309" spans="1:14" x14ac:dyDescent="0.35">
      <c r="A1309" t="s">
        <v>1371</v>
      </c>
      <c r="B1309" t="s">
        <v>15</v>
      </c>
      <c r="C1309" t="s">
        <v>16</v>
      </c>
      <c r="D1309">
        <v>100</v>
      </c>
      <c r="E1309" t="s">
        <v>1349</v>
      </c>
      <c r="F1309">
        <v>5419</v>
      </c>
      <c r="G1309" t="s">
        <v>18</v>
      </c>
      <c r="H1309">
        <v>27</v>
      </c>
      <c r="I1309" t="s">
        <v>19</v>
      </c>
      <c r="J1309">
        <v>2009</v>
      </c>
      <c r="K1309">
        <v>2009</v>
      </c>
      <c r="L1309" t="s">
        <v>20</v>
      </c>
      <c r="M1309">
        <v>32366</v>
      </c>
      <c r="N1309">
        <v>1083</v>
      </c>
    </row>
    <row r="1310" spans="1:14" x14ac:dyDescent="0.35">
      <c r="A1310" t="s">
        <v>1372</v>
      </c>
      <c r="B1310" t="s">
        <v>15</v>
      </c>
      <c r="C1310" t="s">
        <v>16</v>
      </c>
      <c r="D1310">
        <v>100</v>
      </c>
      <c r="E1310" t="s">
        <v>1349</v>
      </c>
      <c r="F1310">
        <v>5419</v>
      </c>
      <c r="G1310" t="s">
        <v>18</v>
      </c>
      <c r="H1310">
        <v>27</v>
      </c>
      <c r="I1310" t="s">
        <v>19</v>
      </c>
      <c r="J1310">
        <v>2010</v>
      </c>
      <c r="K1310">
        <v>2010</v>
      </c>
      <c r="L1310" t="s">
        <v>20</v>
      </c>
      <c r="M1310">
        <v>33587</v>
      </c>
      <c r="N1310">
        <v>1083</v>
      </c>
    </row>
    <row r="1311" spans="1:14" x14ac:dyDescent="0.35">
      <c r="A1311" t="s">
        <v>1373</v>
      </c>
      <c r="B1311" t="s">
        <v>15</v>
      </c>
      <c r="C1311" t="s">
        <v>16</v>
      </c>
      <c r="D1311">
        <v>100</v>
      </c>
      <c r="E1311" t="s">
        <v>1349</v>
      </c>
      <c r="F1311">
        <v>5419</v>
      </c>
      <c r="G1311" t="s">
        <v>18</v>
      </c>
      <c r="H1311">
        <v>27</v>
      </c>
      <c r="I1311" t="s">
        <v>19</v>
      </c>
      <c r="J1311">
        <v>2011</v>
      </c>
      <c r="K1311">
        <v>2011</v>
      </c>
      <c r="L1311" t="s">
        <v>20</v>
      </c>
      <c r="M1311">
        <v>35878</v>
      </c>
      <c r="N1311">
        <v>1083</v>
      </c>
    </row>
    <row r="1312" spans="1:14" x14ac:dyDescent="0.35">
      <c r="A1312" t="s">
        <v>1374</v>
      </c>
      <c r="B1312" t="s">
        <v>15</v>
      </c>
      <c r="C1312" t="s">
        <v>16</v>
      </c>
      <c r="D1312">
        <v>100</v>
      </c>
      <c r="E1312" t="s">
        <v>1349</v>
      </c>
      <c r="F1312">
        <v>5419</v>
      </c>
      <c r="G1312" t="s">
        <v>18</v>
      </c>
      <c r="H1312">
        <v>27</v>
      </c>
      <c r="I1312" t="s">
        <v>19</v>
      </c>
      <c r="J1312">
        <v>2012</v>
      </c>
      <c r="K1312">
        <v>2012</v>
      </c>
      <c r="L1312" t="s">
        <v>20</v>
      </c>
      <c r="M1312">
        <v>36909</v>
      </c>
      <c r="N1312">
        <v>1083</v>
      </c>
    </row>
    <row r="1313" spans="1:14" x14ac:dyDescent="0.35">
      <c r="A1313" t="s">
        <v>1375</v>
      </c>
      <c r="B1313" t="s">
        <v>15</v>
      </c>
      <c r="C1313" t="s">
        <v>16</v>
      </c>
      <c r="D1313">
        <v>100</v>
      </c>
      <c r="E1313" t="s">
        <v>1349</v>
      </c>
      <c r="F1313">
        <v>5419</v>
      </c>
      <c r="G1313" t="s">
        <v>18</v>
      </c>
      <c r="H1313">
        <v>27</v>
      </c>
      <c r="I1313" t="s">
        <v>19</v>
      </c>
      <c r="J1313">
        <v>2013</v>
      </c>
      <c r="K1313">
        <v>2013</v>
      </c>
      <c r="L1313" t="s">
        <v>20</v>
      </c>
      <c r="M1313">
        <v>36070</v>
      </c>
      <c r="N1313">
        <v>1083</v>
      </c>
    </row>
    <row r="1314" spans="1:14" x14ac:dyDescent="0.35">
      <c r="A1314" t="s">
        <v>1376</v>
      </c>
      <c r="B1314" t="s">
        <v>15</v>
      </c>
      <c r="C1314" t="s">
        <v>16</v>
      </c>
      <c r="D1314">
        <v>100</v>
      </c>
      <c r="E1314" t="s">
        <v>1349</v>
      </c>
      <c r="F1314">
        <v>5419</v>
      </c>
      <c r="G1314" t="s">
        <v>18</v>
      </c>
      <c r="H1314">
        <v>27</v>
      </c>
      <c r="I1314" t="s">
        <v>19</v>
      </c>
      <c r="J1314">
        <v>2014</v>
      </c>
      <c r="K1314">
        <v>2014</v>
      </c>
      <c r="L1314" t="s">
        <v>20</v>
      </c>
      <c r="M1314">
        <v>35638</v>
      </c>
      <c r="N1314">
        <v>1083</v>
      </c>
    </row>
    <row r="1315" spans="1:14" x14ac:dyDescent="0.35">
      <c r="A1315" t="s">
        <v>1377</v>
      </c>
      <c r="B1315" t="s">
        <v>15</v>
      </c>
      <c r="C1315" t="s">
        <v>16</v>
      </c>
      <c r="D1315">
        <v>100</v>
      </c>
      <c r="E1315" t="s">
        <v>1349</v>
      </c>
      <c r="F1315">
        <v>5419</v>
      </c>
      <c r="G1315" t="s">
        <v>18</v>
      </c>
      <c r="H1315">
        <v>27</v>
      </c>
      <c r="I1315" t="s">
        <v>19</v>
      </c>
      <c r="J1315">
        <v>2015</v>
      </c>
      <c r="K1315">
        <v>2015</v>
      </c>
      <c r="L1315" t="s">
        <v>20</v>
      </c>
      <c r="M1315">
        <v>36077</v>
      </c>
      <c r="N1315">
        <v>1083</v>
      </c>
    </row>
    <row r="1316" spans="1:14" x14ac:dyDescent="0.35">
      <c r="A1316" t="s">
        <v>1378</v>
      </c>
      <c r="B1316" t="s">
        <v>15</v>
      </c>
      <c r="C1316" t="s">
        <v>16</v>
      </c>
      <c r="D1316">
        <v>100</v>
      </c>
      <c r="E1316" t="s">
        <v>1349</v>
      </c>
      <c r="F1316">
        <v>5419</v>
      </c>
      <c r="G1316" t="s">
        <v>18</v>
      </c>
      <c r="H1316">
        <v>27</v>
      </c>
      <c r="I1316" t="s">
        <v>19</v>
      </c>
      <c r="J1316">
        <v>2016</v>
      </c>
      <c r="K1316">
        <v>2016</v>
      </c>
      <c r="L1316" t="s">
        <v>20</v>
      </c>
      <c r="M1316">
        <v>36950</v>
      </c>
      <c r="N1316">
        <v>1083</v>
      </c>
    </row>
    <row r="1317" spans="1:14" x14ac:dyDescent="0.35">
      <c r="A1317" t="s">
        <v>1379</v>
      </c>
      <c r="B1317" t="s">
        <v>15</v>
      </c>
      <c r="C1317" t="s">
        <v>16</v>
      </c>
      <c r="D1317">
        <v>101</v>
      </c>
      <c r="E1317" t="s">
        <v>1380</v>
      </c>
      <c r="F1317">
        <v>5419</v>
      </c>
      <c r="G1317" t="s">
        <v>18</v>
      </c>
      <c r="H1317">
        <v>27</v>
      </c>
      <c r="I1317" t="s">
        <v>19</v>
      </c>
      <c r="J1317">
        <v>1985</v>
      </c>
      <c r="K1317">
        <v>1985</v>
      </c>
      <c r="L1317" t="s">
        <v>20</v>
      </c>
      <c r="M1317">
        <v>39418</v>
      </c>
      <c r="N1317">
        <v>2702</v>
      </c>
    </row>
    <row r="1318" spans="1:14" x14ac:dyDescent="0.35">
      <c r="A1318" t="s">
        <v>1381</v>
      </c>
      <c r="B1318" t="s">
        <v>15</v>
      </c>
      <c r="C1318" t="s">
        <v>16</v>
      </c>
      <c r="D1318">
        <v>101</v>
      </c>
      <c r="E1318" t="s">
        <v>1380</v>
      </c>
      <c r="F1318">
        <v>5419</v>
      </c>
      <c r="G1318" t="s">
        <v>18</v>
      </c>
      <c r="H1318">
        <v>27</v>
      </c>
      <c r="I1318" t="s">
        <v>19</v>
      </c>
      <c r="J1318">
        <v>1986</v>
      </c>
      <c r="K1318">
        <v>1986</v>
      </c>
      <c r="L1318" t="s">
        <v>20</v>
      </c>
      <c r="M1318">
        <v>39773</v>
      </c>
      <c r="N1318">
        <v>2702</v>
      </c>
    </row>
    <row r="1319" spans="1:14" x14ac:dyDescent="0.35">
      <c r="A1319" t="s">
        <v>1382</v>
      </c>
      <c r="B1319" t="s">
        <v>15</v>
      </c>
      <c r="C1319" t="s">
        <v>16</v>
      </c>
      <c r="D1319">
        <v>101</v>
      </c>
      <c r="E1319" t="s">
        <v>1380</v>
      </c>
      <c r="F1319">
        <v>5419</v>
      </c>
      <c r="G1319" t="s">
        <v>18</v>
      </c>
      <c r="H1319">
        <v>27</v>
      </c>
      <c r="I1319" t="s">
        <v>19</v>
      </c>
      <c r="J1319">
        <v>1987</v>
      </c>
      <c r="K1319">
        <v>1987</v>
      </c>
      <c r="L1319" t="s">
        <v>20</v>
      </c>
      <c r="M1319">
        <v>40391</v>
      </c>
      <c r="N1319">
        <v>2702</v>
      </c>
    </row>
    <row r="1320" spans="1:14" x14ac:dyDescent="0.35">
      <c r="A1320" t="s">
        <v>1383</v>
      </c>
      <c r="B1320" t="s">
        <v>15</v>
      </c>
      <c r="C1320" t="s">
        <v>16</v>
      </c>
      <c r="D1320">
        <v>101</v>
      </c>
      <c r="E1320" t="s">
        <v>1380</v>
      </c>
      <c r="F1320">
        <v>5419</v>
      </c>
      <c r="G1320" t="s">
        <v>18</v>
      </c>
      <c r="H1320">
        <v>27</v>
      </c>
      <c r="I1320" t="s">
        <v>19</v>
      </c>
      <c r="J1320">
        <v>1989</v>
      </c>
      <c r="K1320">
        <v>1989</v>
      </c>
      <c r="L1320" t="s">
        <v>20</v>
      </c>
      <c r="M1320">
        <v>42470</v>
      </c>
      <c r="N1320">
        <v>2702</v>
      </c>
    </row>
    <row r="1321" spans="1:14" x14ac:dyDescent="0.35">
      <c r="A1321" t="s">
        <v>1384</v>
      </c>
      <c r="B1321" t="s">
        <v>15</v>
      </c>
      <c r="C1321" t="s">
        <v>16</v>
      </c>
      <c r="D1321">
        <v>101</v>
      </c>
      <c r="E1321" t="s">
        <v>1380</v>
      </c>
      <c r="F1321">
        <v>5419</v>
      </c>
      <c r="G1321" t="s">
        <v>18</v>
      </c>
      <c r="H1321">
        <v>27</v>
      </c>
      <c r="I1321" t="s">
        <v>19</v>
      </c>
      <c r="J1321">
        <v>1990</v>
      </c>
      <c r="K1321">
        <v>1990</v>
      </c>
      <c r="L1321" t="s">
        <v>20</v>
      </c>
      <c r="M1321">
        <v>43018</v>
      </c>
      <c r="N1321">
        <v>2702</v>
      </c>
    </row>
    <row r="1322" spans="1:14" x14ac:dyDescent="0.35">
      <c r="A1322" t="s">
        <v>1385</v>
      </c>
      <c r="B1322" t="s">
        <v>15</v>
      </c>
      <c r="C1322" t="s">
        <v>16</v>
      </c>
      <c r="D1322">
        <v>101</v>
      </c>
      <c r="E1322" t="s">
        <v>1380</v>
      </c>
      <c r="F1322">
        <v>5419</v>
      </c>
      <c r="G1322" t="s">
        <v>18</v>
      </c>
      <c r="H1322">
        <v>27</v>
      </c>
      <c r="I1322" t="s">
        <v>19</v>
      </c>
      <c r="J1322">
        <v>1991</v>
      </c>
      <c r="K1322">
        <v>1991</v>
      </c>
      <c r="L1322" t="s">
        <v>20</v>
      </c>
      <c r="M1322">
        <v>43465</v>
      </c>
      <c r="N1322">
        <v>2702</v>
      </c>
    </row>
    <row r="1323" spans="1:14" x14ac:dyDescent="0.35">
      <c r="A1323" t="s">
        <v>1386</v>
      </c>
      <c r="B1323" t="s">
        <v>15</v>
      </c>
      <c r="C1323" t="s">
        <v>16</v>
      </c>
      <c r="D1323">
        <v>101</v>
      </c>
      <c r="E1323" t="s">
        <v>1380</v>
      </c>
      <c r="F1323">
        <v>5419</v>
      </c>
      <c r="G1323" t="s">
        <v>18</v>
      </c>
      <c r="H1323">
        <v>27</v>
      </c>
      <c r="I1323" t="s">
        <v>19</v>
      </c>
      <c r="J1323">
        <v>1992</v>
      </c>
      <c r="K1323">
        <v>1992</v>
      </c>
      <c r="L1323" t="s">
        <v>20</v>
      </c>
      <c r="M1323">
        <v>43446</v>
      </c>
      <c r="N1323">
        <v>2702</v>
      </c>
    </row>
    <row r="1324" spans="1:14" x14ac:dyDescent="0.35">
      <c r="A1324" t="s">
        <v>1387</v>
      </c>
      <c r="B1324" t="s">
        <v>15</v>
      </c>
      <c r="C1324" t="s">
        <v>16</v>
      </c>
      <c r="D1324">
        <v>101</v>
      </c>
      <c r="E1324" t="s">
        <v>1380</v>
      </c>
      <c r="F1324">
        <v>5419</v>
      </c>
      <c r="G1324" t="s">
        <v>18</v>
      </c>
      <c r="H1324">
        <v>27</v>
      </c>
      <c r="I1324" t="s">
        <v>19</v>
      </c>
      <c r="J1324">
        <v>1993</v>
      </c>
      <c r="K1324">
        <v>1993</v>
      </c>
      <c r="L1324" t="s">
        <v>20</v>
      </c>
      <c r="M1324">
        <v>43750</v>
      </c>
      <c r="N1324">
        <v>2702</v>
      </c>
    </row>
    <row r="1325" spans="1:14" x14ac:dyDescent="0.35">
      <c r="A1325" t="s">
        <v>1388</v>
      </c>
      <c r="B1325" t="s">
        <v>15</v>
      </c>
      <c r="C1325" t="s">
        <v>16</v>
      </c>
      <c r="D1325">
        <v>101</v>
      </c>
      <c r="E1325" t="s">
        <v>1380</v>
      </c>
      <c r="F1325">
        <v>5419</v>
      </c>
      <c r="G1325" t="s">
        <v>18</v>
      </c>
      <c r="H1325">
        <v>27</v>
      </c>
      <c r="I1325" t="s">
        <v>19</v>
      </c>
      <c r="J1325">
        <v>1994</v>
      </c>
      <c r="K1325">
        <v>1994</v>
      </c>
      <c r="L1325" t="s">
        <v>20</v>
      </c>
      <c r="M1325">
        <v>43453</v>
      </c>
      <c r="N1325">
        <v>2702</v>
      </c>
    </row>
    <row r="1326" spans="1:14" x14ac:dyDescent="0.35">
      <c r="A1326" t="s">
        <v>1389</v>
      </c>
      <c r="B1326" t="s">
        <v>15</v>
      </c>
      <c r="C1326" t="s">
        <v>16</v>
      </c>
      <c r="D1326">
        <v>101</v>
      </c>
      <c r="E1326" t="s">
        <v>1380</v>
      </c>
      <c r="F1326">
        <v>5419</v>
      </c>
      <c r="G1326" t="s">
        <v>18</v>
      </c>
      <c r="H1326">
        <v>27</v>
      </c>
      <c r="I1326" t="s">
        <v>19</v>
      </c>
      <c r="J1326">
        <v>1995</v>
      </c>
      <c r="K1326">
        <v>1995</v>
      </c>
      <c r="L1326" t="s">
        <v>20</v>
      </c>
      <c r="M1326">
        <v>43487</v>
      </c>
      <c r="N1326">
        <v>2702</v>
      </c>
    </row>
    <row r="1327" spans="1:14" x14ac:dyDescent="0.35">
      <c r="A1327" t="s">
        <v>1390</v>
      </c>
      <c r="B1327" t="s">
        <v>15</v>
      </c>
      <c r="C1327" t="s">
        <v>16</v>
      </c>
      <c r="D1327">
        <v>101</v>
      </c>
      <c r="E1327" t="s">
        <v>1380</v>
      </c>
      <c r="F1327">
        <v>5419</v>
      </c>
      <c r="G1327" t="s">
        <v>18</v>
      </c>
      <c r="H1327">
        <v>27</v>
      </c>
      <c r="I1327" t="s">
        <v>19</v>
      </c>
      <c r="J1327">
        <v>1996</v>
      </c>
      <c r="K1327">
        <v>1996</v>
      </c>
      <c r="L1327" t="s">
        <v>20</v>
      </c>
      <c r="M1327">
        <v>44168</v>
      </c>
      <c r="N1327">
        <v>2702</v>
      </c>
    </row>
    <row r="1328" spans="1:14" x14ac:dyDescent="0.35">
      <c r="A1328" t="s">
        <v>1391</v>
      </c>
      <c r="B1328" t="s">
        <v>15</v>
      </c>
      <c r="C1328" t="s">
        <v>16</v>
      </c>
      <c r="D1328">
        <v>101</v>
      </c>
      <c r="E1328" t="s">
        <v>1380</v>
      </c>
      <c r="F1328">
        <v>5419</v>
      </c>
      <c r="G1328" t="s">
        <v>18</v>
      </c>
      <c r="H1328">
        <v>27</v>
      </c>
      <c r="I1328" t="s">
        <v>19</v>
      </c>
      <c r="J1328">
        <v>1997</v>
      </c>
      <c r="K1328">
        <v>1997</v>
      </c>
      <c r="L1328" t="s">
        <v>20</v>
      </c>
      <c r="M1328">
        <v>44322</v>
      </c>
      <c r="N1328">
        <v>2702</v>
      </c>
    </row>
    <row r="1329" spans="1:14" x14ac:dyDescent="0.35">
      <c r="A1329" t="s">
        <v>1392</v>
      </c>
      <c r="B1329" t="s">
        <v>15</v>
      </c>
      <c r="C1329" t="s">
        <v>16</v>
      </c>
      <c r="D1329">
        <v>101</v>
      </c>
      <c r="E1329" t="s">
        <v>1380</v>
      </c>
      <c r="F1329">
        <v>5419</v>
      </c>
      <c r="G1329" t="s">
        <v>18</v>
      </c>
      <c r="H1329">
        <v>27</v>
      </c>
      <c r="I1329" t="s">
        <v>19</v>
      </c>
      <c r="J1329">
        <v>1998</v>
      </c>
      <c r="K1329">
        <v>1998</v>
      </c>
      <c r="L1329" t="s">
        <v>20</v>
      </c>
      <c r="M1329">
        <v>41974</v>
      </c>
      <c r="N1329">
        <v>2702</v>
      </c>
    </row>
    <row r="1330" spans="1:14" x14ac:dyDescent="0.35">
      <c r="A1330" t="s">
        <v>1393</v>
      </c>
      <c r="B1330" t="s">
        <v>15</v>
      </c>
      <c r="C1330" t="s">
        <v>16</v>
      </c>
      <c r="D1330">
        <v>101</v>
      </c>
      <c r="E1330" t="s">
        <v>1380</v>
      </c>
      <c r="F1330">
        <v>5419</v>
      </c>
      <c r="G1330" t="s">
        <v>18</v>
      </c>
      <c r="H1330">
        <v>27</v>
      </c>
      <c r="I1330" t="s">
        <v>19</v>
      </c>
      <c r="J1330">
        <v>1999</v>
      </c>
      <c r="K1330">
        <v>1999</v>
      </c>
      <c r="L1330" t="s">
        <v>20</v>
      </c>
      <c r="M1330">
        <v>42519</v>
      </c>
      <c r="N1330">
        <v>2702</v>
      </c>
    </row>
    <row r="1331" spans="1:14" x14ac:dyDescent="0.35">
      <c r="A1331" t="s">
        <v>1394</v>
      </c>
      <c r="B1331" t="s">
        <v>15</v>
      </c>
      <c r="C1331" t="s">
        <v>16</v>
      </c>
      <c r="D1331">
        <v>101</v>
      </c>
      <c r="E1331" t="s">
        <v>1380</v>
      </c>
      <c r="F1331">
        <v>5419</v>
      </c>
      <c r="G1331" t="s">
        <v>18</v>
      </c>
      <c r="H1331">
        <v>27</v>
      </c>
      <c r="I1331" t="s">
        <v>19</v>
      </c>
      <c r="J1331">
        <v>2000</v>
      </c>
      <c r="K1331">
        <v>2000</v>
      </c>
      <c r="L1331" t="s">
        <v>20</v>
      </c>
      <c r="M1331">
        <v>44007</v>
      </c>
      <c r="N1331">
        <v>2702</v>
      </c>
    </row>
    <row r="1332" spans="1:14" x14ac:dyDescent="0.35">
      <c r="A1332" t="s">
        <v>1395</v>
      </c>
      <c r="B1332" t="s">
        <v>15</v>
      </c>
      <c r="C1332" t="s">
        <v>16</v>
      </c>
      <c r="D1332">
        <v>101</v>
      </c>
      <c r="E1332" t="s">
        <v>1380</v>
      </c>
      <c r="F1332">
        <v>5419</v>
      </c>
      <c r="G1332" t="s">
        <v>18</v>
      </c>
      <c r="H1332">
        <v>27</v>
      </c>
      <c r="I1332" t="s">
        <v>19</v>
      </c>
      <c r="J1332">
        <v>2001</v>
      </c>
      <c r="K1332">
        <v>2001</v>
      </c>
      <c r="L1332" t="s">
        <v>20</v>
      </c>
      <c r="M1332">
        <v>43879</v>
      </c>
      <c r="N1332">
        <v>2702</v>
      </c>
    </row>
    <row r="1333" spans="1:14" x14ac:dyDescent="0.35">
      <c r="A1333" t="s">
        <v>1396</v>
      </c>
      <c r="B1333" t="s">
        <v>15</v>
      </c>
      <c r="C1333" t="s">
        <v>16</v>
      </c>
      <c r="D1333">
        <v>101</v>
      </c>
      <c r="E1333" t="s">
        <v>1380</v>
      </c>
      <c r="F1333">
        <v>5419</v>
      </c>
      <c r="G1333" t="s">
        <v>18</v>
      </c>
      <c r="H1333">
        <v>27</v>
      </c>
      <c r="I1333" t="s">
        <v>19</v>
      </c>
      <c r="J1333">
        <v>2002</v>
      </c>
      <c r="K1333">
        <v>2002</v>
      </c>
      <c r="L1333" t="s">
        <v>20</v>
      </c>
      <c r="M1333">
        <v>44691</v>
      </c>
      <c r="N1333">
        <v>2702</v>
      </c>
    </row>
    <row r="1334" spans="1:14" x14ac:dyDescent="0.35">
      <c r="A1334" t="s">
        <v>1397</v>
      </c>
      <c r="B1334" t="s">
        <v>15</v>
      </c>
      <c r="C1334" t="s">
        <v>16</v>
      </c>
      <c r="D1334">
        <v>101</v>
      </c>
      <c r="E1334" t="s">
        <v>1380</v>
      </c>
      <c r="F1334">
        <v>5419</v>
      </c>
      <c r="G1334" t="s">
        <v>18</v>
      </c>
      <c r="H1334">
        <v>27</v>
      </c>
      <c r="I1334" t="s">
        <v>19</v>
      </c>
      <c r="J1334">
        <v>2004</v>
      </c>
      <c r="K1334">
        <v>2004</v>
      </c>
      <c r="L1334" t="s">
        <v>20</v>
      </c>
      <c r="M1334">
        <v>45365</v>
      </c>
      <c r="N1334">
        <v>2702</v>
      </c>
    </row>
    <row r="1335" spans="1:14" x14ac:dyDescent="0.35">
      <c r="A1335" t="s">
        <v>1398</v>
      </c>
      <c r="B1335" t="s">
        <v>15</v>
      </c>
      <c r="C1335" t="s">
        <v>16</v>
      </c>
      <c r="D1335">
        <v>101</v>
      </c>
      <c r="E1335" t="s">
        <v>1380</v>
      </c>
      <c r="F1335">
        <v>5419</v>
      </c>
      <c r="G1335" t="s">
        <v>18</v>
      </c>
      <c r="H1335">
        <v>27</v>
      </c>
      <c r="I1335" t="s">
        <v>19</v>
      </c>
      <c r="J1335">
        <v>2005</v>
      </c>
      <c r="K1335">
        <v>2005</v>
      </c>
      <c r="L1335" t="s">
        <v>20</v>
      </c>
      <c r="M1335">
        <v>45739</v>
      </c>
      <c r="N1335">
        <v>2702</v>
      </c>
    </row>
    <row r="1336" spans="1:14" x14ac:dyDescent="0.35">
      <c r="A1336" t="s">
        <v>1399</v>
      </c>
      <c r="B1336" t="s">
        <v>15</v>
      </c>
      <c r="C1336" t="s">
        <v>16</v>
      </c>
      <c r="D1336">
        <v>101</v>
      </c>
      <c r="E1336" t="s">
        <v>1380</v>
      </c>
      <c r="F1336">
        <v>5419</v>
      </c>
      <c r="G1336" t="s">
        <v>18</v>
      </c>
      <c r="H1336">
        <v>27</v>
      </c>
      <c r="I1336" t="s">
        <v>19</v>
      </c>
      <c r="J1336">
        <v>2006</v>
      </c>
      <c r="K1336">
        <v>2006</v>
      </c>
      <c r="L1336" t="s">
        <v>20</v>
      </c>
      <c r="M1336">
        <v>46201</v>
      </c>
      <c r="N1336">
        <v>2702</v>
      </c>
    </row>
    <row r="1337" spans="1:14" x14ac:dyDescent="0.35">
      <c r="A1337" t="s">
        <v>1400</v>
      </c>
      <c r="B1337" t="s">
        <v>15</v>
      </c>
      <c r="C1337" t="s">
        <v>16</v>
      </c>
      <c r="D1337">
        <v>101</v>
      </c>
      <c r="E1337" t="s">
        <v>1380</v>
      </c>
      <c r="F1337">
        <v>5419</v>
      </c>
      <c r="G1337" t="s">
        <v>18</v>
      </c>
      <c r="H1337">
        <v>27</v>
      </c>
      <c r="I1337" t="s">
        <v>19</v>
      </c>
      <c r="J1337">
        <v>2007</v>
      </c>
      <c r="K1337">
        <v>2007</v>
      </c>
      <c r="L1337" t="s">
        <v>20</v>
      </c>
      <c r="M1337">
        <v>47052</v>
      </c>
      <c r="N1337">
        <v>2702</v>
      </c>
    </row>
    <row r="1338" spans="1:14" x14ac:dyDescent="0.35">
      <c r="A1338" t="s">
        <v>1401</v>
      </c>
      <c r="B1338" t="s">
        <v>15</v>
      </c>
      <c r="C1338" t="s">
        <v>16</v>
      </c>
      <c r="D1338">
        <v>101</v>
      </c>
      <c r="E1338" t="s">
        <v>1380</v>
      </c>
      <c r="F1338">
        <v>5419</v>
      </c>
      <c r="G1338" t="s">
        <v>18</v>
      </c>
      <c r="H1338">
        <v>27</v>
      </c>
      <c r="I1338" t="s">
        <v>19</v>
      </c>
      <c r="J1338">
        <v>2008</v>
      </c>
      <c r="K1338">
        <v>2008</v>
      </c>
      <c r="L1338" t="s">
        <v>20</v>
      </c>
      <c r="M1338">
        <v>48948</v>
      </c>
      <c r="N1338">
        <v>2702</v>
      </c>
    </row>
    <row r="1339" spans="1:14" x14ac:dyDescent="0.35">
      <c r="A1339" t="s">
        <v>1402</v>
      </c>
      <c r="B1339" t="s">
        <v>15</v>
      </c>
      <c r="C1339" t="s">
        <v>16</v>
      </c>
      <c r="D1339">
        <v>101</v>
      </c>
      <c r="E1339" t="s">
        <v>1380</v>
      </c>
      <c r="F1339">
        <v>5419</v>
      </c>
      <c r="G1339" t="s">
        <v>18</v>
      </c>
      <c r="H1339">
        <v>27</v>
      </c>
      <c r="I1339" t="s">
        <v>19</v>
      </c>
      <c r="J1339">
        <v>2009</v>
      </c>
      <c r="K1339">
        <v>2009</v>
      </c>
      <c r="L1339" t="s">
        <v>20</v>
      </c>
      <c r="M1339">
        <v>49985</v>
      </c>
      <c r="N1339">
        <v>2702</v>
      </c>
    </row>
    <row r="1340" spans="1:14" x14ac:dyDescent="0.35">
      <c r="A1340" t="s">
        <v>1403</v>
      </c>
      <c r="B1340" t="s">
        <v>15</v>
      </c>
      <c r="C1340" t="s">
        <v>16</v>
      </c>
      <c r="D1340">
        <v>101</v>
      </c>
      <c r="E1340" t="s">
        <v>1380</v>
      </c>
      <c r="F1340">
        <v>5419</v>
      </c>
      <c r="G1340" t="s">
        <v>18</v>
      </c>
      <c r="H1340">
        <v>27</v>
      </c>
      <c r="I1340" t="s">
        <v>19</v>
      </c>
      <c r="J1340">
        <v>2010</v>
      </c>
      <c r="K1340">
        <v>2010</v>
      </c>
      <c r="L1340" t="s">
        <v>20</v>
      </c>
      <c r="M1340">
        <v>50153</v>
      </c>
      <c r="N1340">
        <v>2702</v>
      </c>
    </row>
    <row r="1341" spans="1:14" x14ac:dyDescent="0.35">
      <c r="A1341" t="s">
        <v>1404</v>
      </c>
      <c r="B1341" t="s">
        <v>15</v>
      </c>
      <c r="C1341" t="s">
        <v>16</v>
      </c>
      <c r="D1341">
        <v>101</v>
      </c>
      <c r="E1341" t="s">
        <v>1380</v>
      </c>
      <c r="F1341">
        <v>5419</v>
      </c>
      <c r="G1341" t="s">
        <v>18</v>
      </c>
      <c r="H1341">
        <v>27</v>
      </c>
      <c r="I1341" t="s">
        <v>19</v>
      </c>
      <c r="J1341">
        <v>2011</v>
      </c>
      <c r="K1341">
        <v>2011</v>
      </c>
      <c r="L1341" t="s">
        <v>20</v>
      </c>
      <c r="M1341">
        <v>49802</v>
      </c>
      <c r="N1341">
        <v>2702</v>
      </c>
    </row>
    <row r="1342" spans="1:14" x14ac:dyDescent="0.35">
      <c r="A1342" t="s">
        <v>1405</v>
      </c>
      <c r="B1342" t="s">
        <v>15</v>
      </c>
      <c r="C1342" t="s">
        <v>16</v>
      </c>
      <c r="D1342">
        <v>101</v>
      </c>
      <c r="E1342" t="s">
        <v>1380</v>
      </c>
      <c r="F1342">
        <v>5419</v>
      </c>
      <c r="G1342" t="s">
        <v>18</v>
      </c>
      <c r="H1342">
        <v>27</v>
      </c>
      <c r="I1342" t="s">
        <v>19</v>
      </c>
      <c r="J1342">
        <v>2012</v>
      </c>
      <c r="K1342">
        <v>2012</v>
      </c>
      <c r="L1342" t="s">
        <v>20</v>
      </c>
      <c r="M1342">
        <v>51360</v>
      </c>
      <c r="N1342">
        <v>2702</v>
      </c>
    </row>
    <row r="1343" spans="1:14" x14ac:dyDescent="0.35">
      <c r="A1343" t="s">
        <v>1406</v>
      </c>
      <c r="B1343" t="s">
        <v>15</v>
      </c>
      <c r="C1343" t="s">
        <v>16</v>
      </c>
      <c r="D1343">
        <v>101</v>
      </c>
      <c r="E1343" t="s">
        <v>1380</v>
      </c>
      <c r="F1343">
        <v>5419</v>
      </c>
      <c r="G1343" t="s">
        <v>18</v>
      </c>
      <c r="H1343">
        <v>27</v>
      </c>
      <c r="I1343" t="s">
        <v>19</v>
      </c>
      <c r="J1343">
        <v>2013</v>
      </c>
      <c r="K1343">
        <v>2013</v>
      </c>
      <c r="L1343" t="s">
        <v>20</v>
      </c>
      <c r="M1343">
        <v>51520</v>
      </c>
      <c r="N1343">
        <v>2702</v>
      </c>
    </row>
    <row r="1344" spans="1:14" x14ac:dyDescent="0.35">
      <c r="A1344" t="s">
        <v>1407</v>
      </c>
      <c r="B1344" t="s">
        <v>15</v>
      </c>
      <c r="C1344" t="s">
        <v>16</v>
      </c>
      <c r="D1344">
        <v>101</v>
      </c>
      <c r="E1344" t="s">
        <v>1380</v>
      </c>
      <c r="F1344">
        <v>5419</v>
      </c>
      <c r="G1344" t="s">
        <v>18</v>
      </c>
      <c r="H1344">
        <v>27</v>
      </c>
      <c r="I1344" t="s">
        <v>19</v>
      </c>
      <c r="J1344">
        <v>2014</v>
      </c>
      <c r="K1344">
        <v>2014</v>
      </c>
      <c r="L1344" t="s">
        <v>20</v>
      </c>
      <c r="M1344">
        <v>51348</v>
      </c>
      <c r="N1344">
        <v>2702</v>
      </c>
    </row>
    <row r="1345" spans="1:14" x14ac:dyDescent="0.35">
      <c r="A1345" t="s">
        <v>1408</v>
      </c>
      <c r="B1345" t="s">
        <v>15</v>
      </c>
      <c r="C1345" t="s">
        <v>16</v>
      </c>
      <c r="D1345">
        <v>101</v>
      </c>
      <c r="E1345" t="s">
        <v>1380</v>
      </c>
      <c r="F1345">
        <v>5419</v>
      </c>
      <c r="G1345" t="s">
        <v>18</v>
      </c>
      <c r="H1345">
        <v>27</v>
      </c>
      <c r="I1345" t="s">
        <v>19</v>
      </c>
      <c r="J1345">
        <v>2015</v>
      </c>
      <c r="K1345">
        <v>2015</v>
      </c>
      <c r="L1345" t="s">
        <v>20</v>
      </c>
      <c r="M1345">
        <v>53411</v>
      </c>
      <c r="N1345">
        <v>2702</v>
      </c>
    </row>
    <row r="1346" spans="1:14" x14ac:dyDescent="0.35">
      <c r="A1346" t="s">
        <v>1409</v>
      </c>
      <c r="B1346" t="s">
        <v>15</v>
      </c>
      <c r="C1346" t="s">
        <v>16</v>
      </c>
      <c r="D1346">
        <v>101</v>
      </c>
      <c r="E1346" t="s">
        <v>1380</v>
      </c>
      <c r="F1346">
        <v>5419</v>
      </c>
      <c r="G1346" t="s">
        <v>18</v>
      </c>
      <c r="H1346">
        <v>27</v>
      </c>
      <c r="I1346" t="s">
        <v>19</v>
      </c>
      <c r="J1346">
        <v>2016</v>
      </c>
      <c r="K1346">
        <v>2016</v>
      </c>
      <c r="L1346" t="s">
        <v>20</v>
      </c>
      <c r="M1346">
        <v>54148</v>
      </c>
      <c r="N1346">
        <v>2702</v>
      </c>
    </row>
    <row r="1347" spans="1:14" x14ac:dyDescent="0.35">
      <c r="A1347" t="s">
        <v>1410</v>
      </c>
      <c r="B1347" t="s">
        <v>15</v>
      </c>
      <c r="C1347" t="s">
        <v>16</v>
      </c>
      <c r="D1347">
        <v>103</v>
      </c>
      <c r="E1347" t="s">
        <v>1411</v>
      </c>
      <c r="F1347">
        <v>5419</v>
      </c>
      <c r="G1347" t="s">
        <v>18</v>
      </c>
      <c r="H1347">
        <v>27</v>
      </c>
      <c r="I1347" t="s">
        <v>19</v>
      </c>
      <c r="J1347">
        <v>1985</v>
      </c>
      <c r="K1347">
        <v>1985</v>
      </c>
      <c r="L1347" t="s">
        <v>20</v>
      </c>
      <c r="M1347">
        <v>28348</v>
      </c>
      <c r="N1347">
        <v>216</v>
      </c>
    </row>
    <row r="1348" spans="1:14" x14ac:dyDescent="0.35">
      <c r="A1348" t="s">
        <v>1412</v>
      </c>
      <c r="B1348" t="s">
        <v>15</v>
      </c>
      <c r="C1348" t="s">
        <v>16</v>
      </c>
      <c r="D1348">
        <v>103</v>
      </c>
      <c r="E1348" t="s">
        <v>1411</v>
      </c>
      <c r="F1348">
        <v>5419</v>
      </c>
      <c r="G1348" t="s">
        <v>18</v>
      </c>
      <c r="H1348">
        <v>27</v>
      </c>
      <c r="I1348" t="s">
        <v>19</v>
      </c>
      <c r="J1348">
        <v>1986</v>
      </c>
      <c r="K1348">
        <v>1986</v>
      </c>
      <c r="L1348" t="s">
        <v>20</v>
      </c>
      <c r="M1348">
        <v>28127</v>
      </c>
      <c r="N1348">
        <v>216</v>
      </c>
    </row>
    <row r="1349" spans="1:14" x14ac:dyDescent="0.35">
      <c r="A1349" t="s">
        <v>1413</v>
      </c>
      <c r="B1349" t="s">
        <v>15</v>
      </c>
      <c r="C1349" t="s">
        <v>16</v>
      </c>
      <c r="D1349">
        <v>103</v>
      </c>
      <c r="E1349" t="s">
        <v>1411</v>
      </c>
      <c r="F1349">
        <v>5419</v>
      </c>
      <c r="G1349" t="s">
        <v>18</v>
      </c>
      <c r="H1349">
        <v>27</v>
      </c>
      <c r="I1349" t="s">
        <v>19</v>
      </c>
      <c r="J1349">
        <v>1987</v>
      </c>
      <c r="K1349">
        <v>1987</v>
      </c>
      <c r="L1349" t="s">
        <v>20</v>
      </c>
      <c r="M1349">
        <v>27986</v>
      </c>
      <c r="N1349">
        <v>216</v>
      </c>
    </row>
    <row r="1350" spans="1:14" x14ac:dyDescent="0.35">
      <c r="A1350" t="s">
        <v>1414</v>
      </c>
      <c r="B1350" t="s">
        <v>15</v>
      </c>
      <c r="C1350" t="s">
        <v>16</v>
      </c>
      <c r="D1350">
        <v>103</v>
      </c>
      <c r="E1350" t="s">
        <v>1411</v>
      </c>
      <c r="F1350">
        <v>5419</v>
      </c>
      <c r="G1350" t="s">
        <v>18</v>
      </c>
      <c r="H1350">
        <v>27</v>
      </c>
      <c r="I1350" t="s">
        <v>19</v>
      </c>
      <c r="J1350">
        <v>1989</v>
      </c>
      <c r="K1350">
        <v>1989</v>
      </c>
      <c r="L1350" t="s">
        <v>20</v>
      </c>
      <c r="M1350">
        <v>31863</v>
      </c>
      <c r="N1350">
        <v>216</v>
      </c>
    </row>
    <row r="1351" spans="1:14" x14ac:dyDescent="0.35">
      <c r="A1351" t="s">
        <v>1415</v>
      </c>
      <c r="B1351" t="s">
        <v>15</v>
      </c>
      <c r="C1351" t="s">
        <v>16</v>
      </c>
      <c r="D1351">
        <v>103</v>
      </c>
      <c r="E1351" t="s">
        <v>1411</v>
      </c>
      <c r="F1351">
        <v>5419</v>
      </c>
      <c r="G1351" t="s">
        <v>18</v>
      </c>
      <c r="H1351">
        <v>27</v>
      </c>
      <c r="I1351" t="s">
        <v>19</v>
      </c>
      <c r="J1351">
        <v>1990</v>
      </c>
      <c r="K1351">
        <v>1990</v>
      </c>
      <c r="L1351" t="s">
        <v>20</v>
      </c>
      <c r="M1351">
        <v>28889</v>
      </c>
      <c r="N1351">
        <v>216</v>
      </c>
    </row>
    <row r="1352" spans="1:14" x14ac:dyDescent="0.35">
      <c r="A1352" t="s">
        <v>1416</v>
      </c>
      <c r="B1352" t="s">
        <v>15</v>
      </c>
      <c r="C1352" t="s">
        <v>16</v>
      </c>
      <c r="D1352">
        <v>103</v>
      </c>
      <c r="E1352" t="s">
        <v>1411</v>
      </c>
      <c r="F1352">
        <v>5419</v>
      </c>
      <c r="G1352" t="s">
        <v>18</v>
      </c>
      <c r="H1352">
        <v>27</v>
      </c>
      <c r="I1352" t="s">
        <v>19</v>
      </c>
      <c r="J1352">
        <v>1991</v>
      </c>
      <c r="K1352">
        <v>1991</v>
      </c>
      <c r="L1352" t="s">
        <v>20</v>
      </c>
      <c r="M1352">
        <v>22008</v>
      </c>
      <c r="N1352">
        <v>216</v>
      </c>
    </row>
    <row r="1353" spans="1:14" x14ac:dyDescent="0.35">
      <c r="A1353" t="s">
        <v>1417</v>
      </c>
      <c r="B1353" t="s">
        <v>15</v>
      </c>
      <c r="C1353" t="s">
        <v>16</v>
      </c>
      <c r="D1353">
        <v>103</v>
      </c>
      <c r="E1353" t="s">
        <v>1411</v>
      </c>
      <c r="F1353">
        <v>5419</v>
      </c>
      <c r="G1353" t="s">
        <v>18</v>
      </c>
      <c r="H1353">
        <v>27</v>
      </c>
      <c r="I1353" t="s">
        <v>19</v>
      </c>
      <c r="J1353">
        <v>1992</v>
      </c>
      <c r="K1353">
        <v>1992</v>
      </c>
      <c r="L1353" t="s">
        <v>20</v>
      </c>
      <c r="M1353">
        <v>18947</v>
      </c>
      <c r="N1353">
        <v>216</v>
      </c>
    </row>
    <row r="1354" spans="1:14" x14ac:dyDescent="0.35">
      <c r="A1354" t="s">
        <v>1418</v>
      </c>
      <c r="B1354" t="s">
        <v>15</v>
      </c>
      <c r="C1354" t="s">
        <v>16</v>
      </c>
      <c r="D1354">
        <v>103</v>
      </c>
      <c r="E1354" t="s">
        <v>1411</v>
      </c>
      <c r="F1354">
        <v>5419</v>
      </c>
      <c r="G1354" t="s">
        <v>18</v>
      </c>
      <c r="H1354">
        <v>27</v>
      </c>
      <c r="I1354" t="s">
        <v>19</v>
      </c>
      <c r="J1354">
        <v>1993</v>
      </c>
      <c r="K1354">
        <v>1993</v>
      </c>
      <c r="L1354" t="s">
        <v>20</v>
      </c>
      <c r="M1354">
        <v>18727</v>
      </c>
      <c r="N1354">
        <v>216</v>
      </c>
    </row>
    <row r="1355" spans="1:14" x14ac:dyDescent="0.35">
      <c r="A1355" t="s">
        <v>1419</v>
      </c>
      <c r="B1355" t="s">
        <v>15</v>
      </c>
      <c r="C1355" t="s">
        <v>16</v>
      </c>
      <c r="D1355">
        <v>103</v>
      </c>
      <c r="E1355" t="s">
        <v>1411</v>
      </c>
      <c r="F1355">
        <v>5419</v>
      </c>
      <c r="G1355" t="s">
        <v>18</v>
      </c>
      <c r="H1355">
        <v>27</v>
      </c>
      <c r="I1355" t="s">
        <v>19</v>
      </c>
      <c r="J1355">
        <v>1994</v>
      </c>
      <c r="K1355">
        <v>1994</v>
      </c>
      <c r="L1355" t="s">
        <v>20</v>
      </c>
      <c r="M1355">
        <v>23497</v>
      </c>
      <c r="N1355">
        <v>216</v>
      </c>
    </row>
    <row r="1356" spans="1:14" x14ac:dyDescent="0.35">
      <c r="A1356" t="s">
        <v>1420</v>
      </c>
      <c r="B1356" t="s">
        <v>15</v>
      </c>
      <c r="C1356" t="s">
        <v>16</v>
      </c>
      <c r="D1356">
        <v>103</v>
      </c>
      <c r="E1356" t="s">
        <v>1411</v>
      </c>
      <c r="F1356">
        <v>5419</v>
      </c>
      <c r="G1356" t="s">
        <v>18</v>
      </c>
      <c r="H1356">
        <v>27</v>
      </c>
      <c r="I1356" t="s">
        <v>19</v>
      </c>
      <c r="J1356">
        <v>1995</v>
      </c>
      <c r="K1356">
        <v>1995</v>
      </c>
      <c r="L1356" t="s">
        <v>20</v>
      </c>
      <c r="M1356">
        <v>18000</v>
      </c>
      <c r="N1356">
        <v>216</v>
      </c>
    </row>
    <row r="1357" spans="1:14" x14ac:dyDescent="0.35">
      <c r="A1357" t="s">
        <v>1421</v>
      </c>
      <c r="B1357" t="s">
        <v>15</v>
      </c>
      <c r="C1357" t="s">
        <v>16</v>
      </c>
      <c r="D1357">
        <v>103</v>
      </c>
      <c r="E1357" t="s">
        <v>1411</v>
      </c>
      <c r="F1357">
        <v>5419</v>
      </c>
      <c r="G1357" t="s">
        <v>18</v>
      </c>
      <c r="H1357">
        <v>27</v>
      </c>
      <c r="I1357" t="s">
        <v>19</v>
      </c>
      <c r="J1357">
        <v>1996</v>
      </c>
      <c r="K1357">
        <v>1996</v>
      </c>
      <c r="L1357" t="s">
        <v>20</v>
      </c>
      <c r="M1357">
        <v>22500</v>
      </c>
      <c r="N1357">
        <v>216</v>
      </c>
    </row>
    <row r="1358" spans="1:14" x14ac:dyDescent="0.35">
      <c r="A1358" t="s">
        <v>1422</v>
      </c>
      <c r="B1358" t="s">
        <v>15</v>
      </c>
      <c r="C1358" t="s">
        <v>16</v>
      </c>
      <c r="D1358">
        <v>103</v>
      </c>
      <c r="E1358" t="s">
        <v>1411</v>
      </c>
      <c r="F1358">
        <v>5419</v>
      </c>
      <c r="G1358" t="s">
        <v>18</v>
      </c>
      <c r="H1358">
        <v>27</v>
      </c>
      <c r="I1358" t="s">
        <v>19</v>
      </c>
      <c r="J1358">
        <v>1997</v>
      </c>
      <c r="K1358">
        <v>1997</v>
      </c>
      <c r="L1358" t="s">
        <v>20</v>
      </c>
      <c r="M1358">
        <v>20165</v>
      </c>
      <c r="N1358">
        <v>216</v>
      </c>
    </row>
    <row r="1359" spans="1:14" x14ac:dyDescent="0.35">
      <c r="A1359" t="s">
        <v>1423</v>
      </c>
      <c r="B1359" t="s">
        <v>15</v>
      </c>
      <c r="C1359" t="s">
        <v>16</v>
      </c>
      <c r="D1359">
        <v>103</v>
      </c>
      <c r="E1359" t="s">
        <v>1411</v>
      </c>
      <c r="F1359">
        <v>5419</v>
      </c>
      <c r="G1359" t="s">
        <v>18</v>
      </c>
      <c r="H1359">
        <v>27</v>
      </c>
      <c r="I1359" t="s">
        <v>19</v>
      </c>
      <c r="J1359">
        <v>1998</v>
      </c>
      <c r="K1359">
        <v>1998</v>
      </c>
      <c r="L1359" t="s">
        <v>20</v>
      </c>
      <c r="M1359">
        <v>23438</v>
      </c>
      <c r="N1359">
        <v>216</v>
      </c>
    </row>
    <row r="1360" spans="1:14" x14ac:dyDescent="0.35">
      <c r="A1360" t="s">
        <v>1424</v>
      </c>
      <c r="B1360" t="s">
        <v>15</v>
      </c>
      <c r="C1360" t="s">
        <v>16</v>
      </c>
      <c r="D1360">
        <v>103</v>
      </c>
      <c r="E1360" t="s">
        <v>1411</v>
      </c>
      <c r="F1360">
        <v>5419</v>
      </c>
      <c r="G1360" t="s">
        <v>18</v>
      </c>
      <c r="H1360">
        <v>27</v>
      </c>
      <c r="I1360" t="s">
        <v>19</v>
      </c>
      <c r="J1360">
        <v>1999</v>
      </c>
      <c r="K1360">
        <v>1999</v>
      </c>
      <c r="L1360" t="s">
        <v>20</v>
      </c>
      <c r="M1360">
        <v>13846</v>
      </c>
      <c r="N1360">
        <v>216</v>
      </c>
    </row>
    <row r="1361" spans="1:14" x14ac:dyDescent="0.35">
      <c r="A1361" t="s">
        <v>1425</v>
      </c>
      <c r="B1361" t="s">
        <v>15</v>
      </c>
      <c r="C1361" t="s">
        <v>16</v>
      </c>
      <c r="D1361">
        <v>103</v>
      </c>
      <c r="E1361" t="s">
        <v>1411</v>
      </c>
      <c r="F1361">
        <v>5419</v>
      </c>
      <c r="G1361" t="s">
        <v>18</v>
      </c>
      <c r="H1361">
        <v>27</v>
      </c>
      <c r="I1361" t="s">
        <v>19</v>
      </c>
      <c r="J1361">
        <v>2000</v>
      </c>
      <c r="K1361">
        <v>2000</v>
      </c>
      <c r="L1361" t="s">
        <v>20</v>
      </c>
      <c r="M1361">
        <v>6000</v>
      </c>
      <c r="N1361">
        <v>216</v>
      </c>
    </row>
    <row r="1362" spans="1:14" x14ac:dyDescent="0.35">
      <c r="A1362" t="s">
        <v>1426</v>
      </c>
      <c r="B1362" t="s">
        <v>15</v>
      </c>
      <c r="C1362" t="s">
        <v>16</v>
      </c>
      <c r="D1362">
        <v>103</v>
      </c>
      <c r="E1362" t="s">
        <v>1411</v>
      </c>
      <c r="F1362">
        <v>5419</v>
      </c>
      <c r="G1362" t="s">
        <v>18</v>
      </c>
      <c r="H1362">
        <v>27</v>
      </c>
      <c r="I1362" t="s">
        <v>19</v>
      </c>
      <c r="J1362">
        <v>2001</v>
      </c>
      <c r="K1362">
        <v>2001</v>
      </c>
      <c r="L1362" t="s">
        <v>20</v>
      </c>
      <c r="M1362">
        <v>12800</v>
      </c>
      <c r="N1362">
        <v>216</v>
      </c>
    </row>
    <row r="1363" spans="1:14" x14ac:dyDescent="0.35">
      <c r="A1363" t="s">
        <v>1427</v>
      </c>
      <c r="B1363" t="s">
        <v>15</v>
      </c>
      <c r="C1363" t="s">
        <v>16</v>
      </c>
      <c r="D1363">
        <v>103</v>
      </c>
      <c r="E1363" t="s">
        <v>1411</v>
      </c>
      <c r="F1363">
        <v>5419</v>
      </c>
      <c r="G1363" t="s">
        <v>18</v>
      </c>
      <c r="H1363">
        <v>27</v>
      </c>
      <c r="I1363" t="s">
        <v>19</v>
      </c>
      <c r="J1363">
        <v>2002</v>
      </c>
      <c r="K1363">
        <v>2002</v>
      </c>
      <c r="L1363" t="s">
        <v>20</v>
      </c>
      <c r="M1363">
        <v>25000</v>
      </c>
      <c r="N1363">
        <v>216</v>
      </c>
    </row>
    <row r="1364" spans="1:14" x14ac:dyDescent="0.35">
      <c r="A1364" t="s">
        <v>1428</v>
      </c>
      <c r="B1364" t="s">
        <v>15</v>
      </c>
      <c r="C1364" t="s">
        <v>16</v>
      </c>
      <c r="D1364">
        <v>103</v>
      </c>
      <c r="E1364" t="s">
        <v>1411</v>
      </c>
      <c r="F1364">
        <v>5419</v>
      </c>
      <c r="G1364" t="s">
        <v>18</v>
      </c>
      <c r="H1364">
        <v>27</v>
      </c>
      <c r="I1364" t="s">
        <v>19</v>
      </c>
      <c r="J1364">
        <v>2004</v>
      </c>
      <c r="K1364">
        <v>2004</v>
      </c>
      <c r="L1364" t="s">
        <v>20</v>
      </c>
      <c r="M1364">
        <v>28409</v>
      </c>
      <c r="N1364">
        <v>216</v>
      </c>
    </row>
    <row r="1365" spans="1:14" x14ac:dyDescent="0.35">
      <c r="A1365" t="s">
        <v>1429</v>
      </c>
      <c r="B1365" t="s">
        <v>15</v>
      </c>
      <c r="C1365" t="s">
        <v>16</v>
      </c>
      <c r="D1365">
        <v>103</v>
      </c>
      <c r="E1365" t="s">
        <v>1411</v>
      </c>
      <c r="F1365">
        <v>5419</v>
      </c>
      <c r="G1365" t="s">
        <v>18</v>
      </c>
      <c r="H1365">
        <v>27</v>
      </c>
      <c r="I1365" t="s">
        <v>19</v>
      </c>
      <c r="J1365">
        <v>2005</v>
      </c>
      <c r="K1365">
        <v>2005</v>
      </c>
      <c r="L1365" t="s">
        <v>20</v>
      </c>
      <c r="M1365">
        <v>28879</v>
      </c>
      <c r="N1365">
        <v>216</v>
      </c>
    </row>
    <row r="1366" spans="1:14" x14ac:dyDescent="0.35">
      <c r="A1366" t="s">
        <v>1430</v>
      </c>
      <c r="B1366" t="s">
        <v>15</v>
      </c>
      <c r="C1366" t="s">
        <v>16</v>
      </c>
      <c r="D1366">
        <v>103</v>
      </c>
      <c r="E1366" t="s">
        <v>1411</v>
      </c>
      <c r="F1366">
        <v>5419</v>
      </c>
      <c r="G1366" t="s">
        <v>18</v>
      </c>
      <c r="H1366">
        <v>27</v>
      </c>
      <c r="I1366" t="s">
        <v>19</v>
      </c>
      <c r="J1366">
        <v>2006</v>
      </c>
      <c r="K1366">
        <v>2006</v>
      </c>
      <c r="L1366" t="s">
        <v>20</v>
      </c>
      <c r="M1366">
        <v>28867</v>
      </c>
      <c r="N1366">
        <v>216</v>
      </c>
    </row>
    <row r="1367" spans="1:14" x14ac:dyDescent="0.35">
      <c r="A1367" t="s">
        <v>1431</v>
      </c>
      <c r="B1367" t="s">
        <v>15</v>
      </c>
      <c r="C1367" t="s">
        <v>16</v>
      </c>
      <c r="D1367">
        <v>103</v>
      </c>
      <c r="E1367" t="s">
        <v>1411</v>
      </c>
      <c r="F1367">
        <v>5419</v>
      </c>
      <c r="G1367" t="s">
        <v>18</v>
      </c>
      <c r="H1367">
        <v>27</v>
      </c>
      <c r="I1367" t="s">
        <v>19</v>
      </c>
      <c r="J1367">
        <v>2007</v>
      </c>
      <c r="K1367">
        <v>2007</v>
      </c>
      <c r="L1367" t="s">
        <v>20</v>
      </c>
      <c r="M1367">
        <v>31630</v>
      </c>
      <c r="N1367">
        <v>216</v>
      </c>
    </row>
    <row r="1368" spans="1:14" x14ac:dyDescent="0.35">
      <c r="A1368" t="s">
        <v>1432</v>
      </c>
      <c r="B1368" t="s">
        <v>15</v>
      </c>
      <c r="C1368" t="s">
        <v>16</v>
      </c>
      <c r="D1368">
        <v>103</v>
      </c>
      <c r="E1368" t="s">
        <v>1411</v>
      </c>
      <c r="F1368">
        <v>5419</v>
      </c>
      <c r="G1368" t="s">
        <v>18</v>
      </c>
      <c r="H1368">
        <v>27</v>
      </c>
      <c r="I1368" t="s">
        <v>19</v>
      </c>
      <c r="J1368">
        <v>2008</v>
      </c>
      <c r="K1368">
        <v>2008</v>
      </c>
      <c r="L1368" t="s">
        <v>20</v>
      </c>
      <c r="M1368">
        <v>29281</v>
      </c>
      <c r="N1368">
        <v>216</v>
      </c>
    </row>
    <row r="1369" spans="1:14" x14ac:dyDescent="0.35">
      <c r="A1369" t="s">
        <v>1433</v>
      </c>
      <c r="B1369" t="s">
        <v>15</v>
      </c>
      <c r="C1369" t="s">
        <v>16</v>
      </c>
      <c r="D1369">
        <v>103</v>
      </c>
      <c r="E1369" t="s">
        <v>1411</v>
      </c>
      <c r="F1369">
        <v>5419</v>
      </c>
      <c r="G1369" t="s">
        <v>18</v>
      </c>
      <c r="H1369">
        <v>27</v>
      </c>
      <c r="I1369" t="s">
        <v>19</v>
      </c>
      <c r="J1369">
        <v>2009</v>
      </c>
      <c r="K1369">
        <v>2009</v>
      </c>
      <c r="L1369" t="s">
        <v>20</v>
      </c>
      <c r="M1369">
        <v>31511</v>
      </c>
      <c r="N1369">
        <v>216</v>
      </c>
    </row>
    <row r="1370" spans="1:14" x14ac:dyDescent="0.35">
      <c r="A1370" t="s">
        <v>1434</v>
      </c>
      <c r="B1370" t="s">
        <v>15</v>
      </c>
      <c r="C1370" t="s">
        <v>16</v>
      </c>
      <c r="D1370">
        <v>103</v>
      </c>
      <c r="E1370" t="s">
        <v>1411</v>
      </c>
      <c r="F1370">
        <v>5419</v>
      </c>
      <c r="G1370" t="s">
        <v>18</v>
      </c>
      <c r="H1370">
        <v>27</v>
      </c>
      <c r="I1370" t="s">
        <v>19</v>
      </c>
      <c r="J1370">
        <v>2010</v>
      </c>
      <c r="K1370">
        <v>2010</v>
      </c>
      <c r="L1370" t="s">
        <v>20</v>
      </c>
      <c r="M1370">
        <v>32482</v>
      </c>
      <c r="N1370">
        <v>216</v>
      </c>
    </row>
    <row r="1371" spans="1:14" x14ac:dyDescent="0.35">
      <c r="A1371" t="s">
        <v>1435</v>
      </c>
      <c r="B1371" t="s">
        <v>15</v>
      </c>
      <c r="C1371" t="s">
        <v>16</v>
      </c>
      <c r="D1371">
        <v>103</v>
      </c>
      <c r="E1371" t="s">
        <v>1411</v>
      </c>
      <c r="F1371">
        <v>5419</v>
      </c>
      <c r="G1371" t="s">
        <v>18</v>
      </c>
      <c r="H1371">
        <v>27</v>
      </c>
      <c r="I1371" t="s">
        <v>19</v>
      </c>
      <c r="J1371">
        <v>2011</v>
      </c>
      <c r="K1371">
        <v>2011</v>
      </c>
      <c r="L1371" t="s">
        <v>20</v>
      </c>
      <c r="M1371">
        <v>35762</v>
      </c>
      <c r="N1371">
        <v>216</v>
      </c>
    </row>
    <row r="1372" spans="1:14" x14ac:dyDescent="0.35">
      <c r="A1372" t="s">
        <v>1436</v>
      </c>
      <c r="B1372" t="s">
        <v>15</v>
      </c>
      <c r="C1372" t="s">
        <v>16</v>
      </c>
      <c r="D1372">
        <v>103</v>
      </c>
      <c r="E1372" t="s">
        <v>1411</v>
      </c>
      <c r="F1372">
        <v>5419</v>
      </c>
      <c r="G1372" t="s">
        <v>18</v>
      </c>
      <c r="H1372">
        <v>27</v>
      </c>
      <c r="I1372" t="s">
        <v>19</v>
      </c>
      <c r="J1372">
        <v>2012</v>
      </c>
      <c r="K1372">
        <v>2012</v>
      </c>
      <c r="L1372" t="s">
        <v>20</v>
      </c>
      <c r="M1372">
        <v>45468</v>
      </c>
      <c r="N1372">
        <v>216</v>
      </c>
    </row>
    <row r="1373" spans="1:14" x14ac:dyDescent="0.35">
      <c r="A1373" t="s">
        <v>1437</v>
      </c>
      <c r="B1373" t="s">
        <v>15</v>
      </c>
      <c r="C1373" t="s">
        <v>16</v>
      </c>
      <c r="D1373">
        <v>103</v>
      </c>
      <c r="E1373" t="s">
        <v>1411</v>
      </c>
      <c r="F1373">
        <v>5419</v>
      </c>
      <c r="G1373" t="s">
        <v>18</v>
      </c>
      <c r="H1373">
        <v>27</v>
      </c>
      <c r="I1373" t="s">
        <v>19</v>
      </c>
      <c r="J1373">
        <v>2013</v>
      </c>
      <c r="K1373">
        <v>2013</v>
      </c>
      <c r="L1373" t="s">
        <v>20</v>
      </c>
      <c r="M1373">
        <v>47162</v>
      </c>
      <c r="N1373">
        <v>216</v>
      </c>
    </row>
    <row r="1374" spans="1:14" x14ac:dyDescent="0.35">
      <c r="A1374" t="s">
        <v>1438</v>
      </c>
      <c r="B1374" t="s">
        <v>15</v>
      </c>
      <c r="C1374" t="s">
        <v>16</v>
      </c>
      <c r="D1374">
        <v>103</v>
      </c>
      <c r="E1374" t="s">
        <v>1411</v>
      </c>
      <c r="F1374">
        <v>5419</v>
      </c>
      <c r="G1374" t="s">
        <v>18</v>
      </c>
      <c r="H1374">
        <v>27</v>
      </c>
      <c r="I1374" t="s">
        <v>19</v>
      </c>
      <c r="J1374">
        <v>2014</v>
      </c>
      <c r="K1374">
        <v>2014</v>
      </c>
      <c r="L1374" t="s">
        <v>20</v>
      </c>
      <c r="M1374">
        <v>51049</v>
      </c>
      <c r="N1374">
        <v>216</v>
      </c>
    </row>
    <row r="1375" spans="1:14" x14ac:dyDescent="0.35">
      <c r="A1375" t="s">
        <v>1439</v>
      </c>
      <c r="B1375" t="s">
        <v>15</v>
      </c>
      <c r="C1375" t="s">
        <v>16</v>
      </c>
      <c r="D1375">
        <v>103</v>
      </c>
      <c r="E1375" t="s">
        <v>1411</v>
      </c>
      <c r="F1375">
        <v>5419</v>
      </c>
      <c r="G1375" t="s">
        <v>18</v>
      </c>
      <c r="H1375">
        <v>27</v>
      </c>
      <c r="I1375" t="s">
        <v>19</v>
      </c>
      <c r="J1375">
        <v>2015</v>
      </c>
      <c r="K1375">
        <v>2015</v>
      </c>
      <c r="L1375" t="s">
        <v>20</v>
      </c>
      <c r="M1375">
        <v>44776</v>
      </c>
      <c r="N1375">
        <v>216</v>
      </c>
    </row>
    <row r="1376" spans="1:14" x14ac:dyDescent="0.35">
      <c r="A1376" t="s">
        <v>1440</v>
      </c>
      <c r="B1376" t="s">
        <v>15</v>
      </c>
      <c r="C1376" t="s">
        <v>16</v>
      </c>
      <c r="D1376">
        <v>103</v>
      </c>
      <c r="E1376" t="s">
        <v>1411</v>
      </c>
      <c r="F1376">
        <v>5419</v>
      </c>
      <c r="G1376" t="s">
        <v>18</v>
      </c>
      <c r="H1376">
        <v>27</v>
      </c>
      <c r="I1376" t="s">
        <v>19</v>
      </c>
      <c r="J1376">
        <v>2016</v>
      </c>
      <c r="K1376">
        <v>2016</v>
      </c>
      <c r="L1376" t="s">
        <v>20</v>
      </c>
      <c r="M1376">
        <v>48056</v>
      </c>
      <c r="N1376">
        <v>216</v>
      </c>
    </row>
    <row r="1377" spans="1:14" x14ac:dyDescent="0.35">
      <c r="A1377" t="s">
        <v>1441</v>
      </c>
      <c r="B1377" t="s">
        <v>15</v>
      </c>
      <c r="C1377" t="s">
        <v>16</v>
      </c>
      <c r="D1377">
        <v>106</v>
      </c>
      <c r="E1377" t="s">
        <v>1442</v>
      </c>
      <c r="F1377">
        <v>5419</v>
      </c>
      <c r="G1377" t="s">
        <v>18</v>
      </c>
      <c r="H1377">
        <v>27</v>
      </c>
      <c r="I1377" t="s">
        <v>19</v>
      </c>
      <c r="J1377">
        <v>1985</v>
      </c>
      <c r="K1377">
        <v>1985</v>
      </c>
      <c r="L1377" t="s">
        <v>20</v>
      </c>
      <c r="M1377">
        <v>60520</v>
      </c>
      <c r="N1377">
        <v>832</v>
      </c>
    </row>
    <row r="1378" spans="1:14" x14ac:dyDescent="0.35">
      <c r="A1378" t="s">
        <v>1443</v>
      </c>
      <c r="B1378" t="s">
        <v>15</v>
      </c>
      <c r="C1378" t="s">
        <v>16</v>
      </c>
      <c r="D1378">
        <v>106</v>
      </c>
      <c r="E1378" t="s">
        <v>1442</v>
      </c>
      <c r="F1378">
        <v>5419</v>
      </c>
      <c r="G1378" t="s">
        <v>18</v>
      </c>
      <c r="H1378">
        <v>27</v>
      </c>
      <c r="I1378" t="s">
        <v>19</v>
      </c>
      <c r="J1378">
        <v>1986</v>
      </c>
      <c r="K1378">
        <v>1986</v>
      </c>
      <c r="L1378" t="s">
        <v>20</v>
      </c>
      <c r="M1378">
        <v>59344</v>
      </c>
      <c r="N1378">
        <v>832</v>
      </c>
    </row>
    <row r="1379" spans="1:14" x14ac:dyDescent="0.35">
      <c r="A1379" t="s">
        <v>1444</v>
      </c>
      <c r="B1379" t="s">
        <v>15</v>
      </c>
      <c r="C1379" t="s">
        <v>16</v>
      </c>
      <c r="D1379">
        <v>106</v>
      </c>
      <c r="E1379" t="s">
        <v>1442</v>
      </c>
      <c r="F1379">
        <v>5419</v>
      </c>
      <c r="G1379" t="s">
        <v>18</v>
      </c>
      <c r="H1379">
        <v>27</v>
      </c>
      <c r="I1379" t="s">
        <v>19</v>
      </c>
      <c r="J1379">
        <v>1987</v>
      </c>
      <c r="K1379">
        <v>1987</v>
      </c>
      <c r="L1379" t="s">
        <v>20</v>
      </c>
      <c r="M1379">
        <v>56128</v>
      </c>
      <c r="N1379">
        <v>832</v>
      </c>
    </row>
    <row r="1380" spans="1:14" x14ac:dyDescent="0.35">
      <c r="A1380" t="s">
        <v>1445</v>
      </c>
      <c r="B1380" t="s">
        <v>15</v>
      </c>
      <c r="C1380" t="s">
        <v>16</v>
      </c>
      <c r="D1380">
        <v>106</v>
      </c>
      <c r="E1380" t="s">
        <v>1442</v>
      </c>
      <c r="F1380">
        <v>5419</v>
      </c>
      <c r="G1380" t="s">
        <v>18</v>
      </c>
      <c r="H1380">
        <v>27</v>
      </c>
      <c r="I1380" t="s">
        <v>19</v>
      </c>
      <c r="J1380">
        <v>1989</v>
      </c>
      <c r="K1380">
        <v>1989</v>
      </c>
      <c r="L1380" t="s">
        <v>20</v>
      </c>
      <c r="M1380">
        <v>60461</v>
      </c>
      <c r="N1380">
        <v>832</v>
      </c>
    </row>
    <row r="1381" spans="1:14" x14ac:dyDescent="0.35">
      <c r="A1381" t="s">
        <v>1446</v>
      </c>
      <c r="B1381" t="s">
        <v>15</v>
      </c>
      <c r="C1381" t="s">
        <v>16</v>
      </c>
      <c r="D1381">
        <v>106</v>
      </c>
      <c r="E1381" t="s">
        <v>1442</v>
      </c>
      <c r="F1381">
        <v>5419</v>
      </c>
      <c r="G1381" t="s">
        <v>18</v>
      </c>
      <c r="H1381">
        <v>27</v>
      </c>
      <c r="I1381" t="s">
        <v>19</v>
      </c>
      <c r="J1381">
        <v>1990</v>
      </c>
      <c r="K1381">
        <v>1990</v>
      </c>
      <c r="L1381" t="s">
        <v>20</v>
      </c>
      <c r="M1381">
        <v>60278</v>
      </c>
      <c r="N1381">
        <v>832</v>
      </c>
    </row>
    <row r="1382" spans="1:14" x14ac:dyDescent="0.35">
      <c r="A1382" t="s">
        <v>1447</v>
      </c>
      <c r="B1382" t="s">
        <v>15</v>
      </c>
      <c r="C1382" t="s">
        <v>16</v>
      </c>
      <c r="D1382">
        <v>106</v>
      </c>
      <c r="E1382" t="s">
        <v>1442</v>
      </c>
      <c r="F1382">
        <v>5419</v>
      </c>
      <c r="G1382" t="s">
        <v>18</v>
      </c>
      <c r="H1382">
        <v>27</v>
      </c>
      <c r="I1382" t="s">
        <v>19</v>
      </c>
      <c r="J1382">
        <v>1991</v>
      </c>
      <c r="K1382">
        <v>1991</v>
      </c>
      <c r="L1382" t="s">
        <v>20</v>
      </c>
      <c r="M1382">
        <v>60274</v>
      </c>
      <c r="N1382">
        <v>832</v>
      </c>
    </row>
    <row r="1383" spans="1:14" x14ac:dyDescent="0.35">
      <c r="A1383" t="s">
        <v>1448</v>
      </c>
      <c r="B1383" t="s">
        <v>15</v>
      </c>
      <c r="C1383" t="s">
        <v>16</v>
      </c>
      <c r="D1383">
        <v>106</v>
      </c>
      <c r="E1383" t="s">
        <v>1442</v>
      </c>
      <c r="F1383">
        <v>5419</v>
      </c>
      <c r="G1383" t="s">
        <v>18</v>
      </c>
      <c r="H1383">
        <v>27</v>
      </c>
      <c r="I1383" t="s">
        <v>19</v>
      </c>
      <c r="J1383">
        <v>1992</v>
      </c>
      <c r="K1383">
        <v>1992</v>
      </c>
      <c r="L1383" t="s">
        <v>20</v>
      </c>
      <c r="M1383">
        <v>58758</v>
      </c>
      <c r="N1383">
        <v>832</v>
      </c>
    </row>
    <row r="1384" spans="1:14" x14ac:dyDescent="0.35">
      <c r="A1384" t="s">
        <v>1449</v>
      </c>
      <c r="B1384" t="s">
        <v>15</v>
      </c>
      <c r="C1384" t="s">
        <v>16</v>
      </c>
      <c r="D1384">
        <v>106</v>
      </c>
      <c r="E1384" t="s">
        <v>1442</v>
      </c>
      <c r="F1384">
        <v>5419</v>
      </c>
      <c r="G1384" t="s">
        <v>18</v>
      </c>
      <c r="H1384">
        <v>27</v>
      </c>
      <c r="I1384" t="s">
        <v>19</v>
      </c>
      <c r="J1384">
        <v>1993</v>
      </c>
      <c r="K1384">
        <v>1993</v>
      </c>
      <c r="L1384" t="s">
        <v>20</v>
      </c>
      <c r="M1384">
        <v>56317</v>
      </c>
      <c r="N1384">
        <v>832</v>
      </c>
    </row>
    <row r="1385" spans="1:14" x14ac:dyDescent="0.35">
      <c r="A1385" t="s">
        <v>1450</v>
      </c>
      <c r="B1385" t="s">
        <v>15</v>
      </c>
      <c r="C1385" t="s">
        <v>16</v>
      </c>
      <c r="D1385">
        <v>106</v>
      </c>
      <c r="E1385" t="s">
        <v>1442</v>
      </c>
      <c r="F1385">
        <v>5419</v>
      </c>
      <c r="G1385" t="s">
        <v>18</v>
      </c>
      <c r="H1385">
        <v>27</v>
      </c>
      <c r="I1385" t="s">
        <v>19</v>
      </c>
      <c r="J1385">
        <v>1994</v>
      </c>
      <c r="K1385">
        <v>1994</v>
      </c>
      <c r="L1385" t="s">
        <v>20</v>
      </c>
      <c r="M1385">
        <v>57661</v>
      </c>
      <c r="N1385">
        <v>832</v>
      </c>
    </row>
    <row r="1386" spans="1:14" x14ac:dyDescent="0.35">
      <c r="A1386" t="s">
        <v>1451</v>
      </c>
      <c r="B1386" t="s">
        <v>15</v>
      </c>
      <c r="C1386" t="s">
        <v>16</v>
      </c>
      <c r="D1386">
        <v>106</v>
      </c>
      <c r="E1386" t="s">
        <v>1442</v>
      </c>
      <c r="F1386">
        <v>5419</v>
      </c>
      <c r="G1386" t="s">
        <v>18</v>
      </c>
      <c r="H1386">
        <v>27</v>
      </c>
      <c r="I1386" t="s">
        <v>19</v>
      </c>
      <c r="J1386">
        <v>1995</v>
      </c>
      <c r="K1386">
        <v>1995</v>
      </c>
      <c r="L1386" t="s">
        <v>20</v>
      </c>
      <c r="M1386">
        <v>55206</v>
      </c>
      <c r="N1386">
        <v>832</v>
      </c>
    </row>
    <row r="1387" spans="1:14" x14ac:dyDescent="0.35">
      <c r="A1387" t="s">
        <v>1452</v>
      </c>
      <c r="B1387" t="s">
        <v>15</v>
      </c>
      <c r="C1387" t="s">
        <v>16</v>
      </c>
      <c r="D1387">
        <v>106</v>
      </c>
      <c r="E1387" t="s">
        <v>1442</v>
      </c>
      <c r="F1387">
        <v>5419</v>
      </c>
      <c r="G1387" t="s">
        <v>18</v>
      </c>
      <c r="H1387">
        <v>27</v>
      </c>
      <c r="I1387" t="s">
        <v>19</v>
      </c>
      <c r="J1387">
        <v>1996</v>
      </c>
      <c r="K1387">
        <v>1996</v>
      </c>
      <c r="L1387" t="s">
        <v>20</v>
      </c>
      <c r="M1387">
        <v>58122</v>
      </c>
      <c r="N1387">
        <v>832</v>
      </c>
    </row>
    <row r="1388" spans="1:14" x14ac:dyDescent="0.35">
      <c r="A1388" t="s">
        <v>1453</v>
      </c>
      <c r="B1388" t="s">
        <v>15</v>
      </c>
      <c r="C1388" t="s">
        <v>16</v>
      </c>
      <c r="D1388">
        <v>106</v>
      </c>
      <c r="E1388" t="s">
        <v>1442</v>
      </c>
      <c r="F1388">
        <v>5419</v>
      </c>
      <c r="G1388" t="s">
        <v>18</v>
      </c>
      <c r="H1388">
        <v>27</v>
      </c>
      <c r="I1388" t="s">
        <v>19</v>
      </c>
      <c r="J1388">
        <v>1997</v>
      </c>
      <c r="K1388">
        <v>1997</v>
      </c>
      <c r="L1388" t="s">
        <v>20</v>
      </c>
      <c r="M1388">
        <v>61950</v>
      </c>
      <c r="N1388">
        <v>832</v>
      </c>
    </row>
    <row r="1389" spans="1:14" x14ac:dyDescent="0.35">
      <c r="A1389" t="s">
        <v>1454</v>
      </c>
      <c r="B1389" t="s">
        <v>15</v>
      </c>
      <c r="C1389" t="s">
        <v>16</v>
      </c>
      <c r="D1389">
        <v>106</v>
      </c>
      <c r="E1389" t="s">
        <v>1442</v>
      </c>
      <c r="F1389">
        <v>5419</v>
      </c>
      <c r="G1389" t="s">
        <v>18</v>
      </c>
      <c r="H1389">
        <v>27</v>
      </c>
      <c r="I1389" t="s">
        <v>19</v>
      </c>
      <c r="J1389">
        <v>1998</v>
      </c>
      <c r="K1389">
        <v>1998</v>
      </c>
      <c r="L1389" t="s">
        <v>20</v>
      </c>
      <c r="M1389">
        <v>62573</v>
      </c>
      <c r="N1389">
        <v>832</v>
      </c>
    </row>
    <row r="1390" spans="1:14" x14ac:dyDescent="0.35">
      <c r="A1390" t="s">
        <v>1455</v>
      </c>
      <c r="B1390" t="s">
        <v>15</v>
      </c>
      <c r="C1390" t="s">
        <v>16</v>
      </c>
      <c r="D1390">
        <v>106</v>
      </c>
      <c r="E1390" t="s">
        <v>1442</v>
      </c>
      <c r="F1390">
        <v>5419</v>
      </c>
      <c r="G1390" t="s">
        <v>18</v>
      </c>
      <c r="H1390">
        <v>27</v>
      </c>
      <c r="I1390" t="s">
        <v>19</v>
      </c>
      <c r="J1390">
        <v>1999</v>
      </c>
      <c r="K1390">
        <v>1999</v>
      </c>
      <c r="L1390" t="s">
        <v>20</v>
      </c>
      <c r="M1390">
        <v>64635</v>
      </c>
      <c r="N1390">
        <v>832</v>
      </c>
    </row>
    <row r="1391" spans="1:14" x14ac:dyDescent="0.35">
      <c r="A1391" t="s">
        <v>1456</v>
      </c>
      <c r="B1391" t="s">
        <v>15</v>
      </c>
      <c r="C1391" t="s">
        <v>16</v>
      </c>
      <c r="D1391">
        <v>106</v>
      </c>
      <c r="E1391" t="s">
        <v>1442</v>
      </c>
      <c r="F1391">
        <v>5419</v>
      </c>
      <c r="G1391" t="s">
        <v>18</v>
      </c>
      <c r="H1391">
        <v>27</v>
      </c>
      <c r="I1391" t="s">
        <v>19</v>
      </c>
      <c r="J1391">
        <v>2000</v>
      </c>
      <c r="K1391">
        <v>2000</v>
      </c>
      <c r="L1391" t="s">
        <v>20</v>
      </c>
      <c r="M1391">
        <v>55810</v>
      </c>
      <c r="N1391">
        <v>832</v>
      </c>
    </row>
    <row r="1392" spans="1:14" x14ac:dyDescent="0.35">
      <c r="A1392" t="s">
        <v>1457</v>
      </c>
      <c r="B1392" t="s">
        <v>15</v>
      </c>
      <c r="C1392" t="s">
        <v>16</v>
      </c>
      <c r="D1392">
        <v>106</v>
      </c>
      <c r="E1392" t="s">
        <v>1442</v>
      </c>
      <c r="F1392">
        <v>5419</v>
      </c>
      <c r="G1392" t="s">
        <v>18</v>
      </c>
      <c r="H1392">
        <v>27</v>
      </c>
      <c r="I1392" t="s">
        <v>19</v>
      </c>
      <c r="J1392">
        <v>2001</v>
      </c>
      <c r="K1392">
        <v>2001</v>
      </c>
      <c r="L1392" t="s">
        <v>20</v>
      </c>
      <c r="M1392">
        <v>58494</v>
      </c>
      <c r="N1392">
        <v>832</v>
      </c>
    </row>
    <row r="1393" spans="1:14" x14ac:dyDescent="0.35">
      <c r="A1393" t="s">
        <v>1458</v>
      </c>
      <c r="B1393" t="s">
        <v>15</v>
      </c>
      <c r="C1393" t="s">
        <v>16</v>
      </c>
      <c r="D1393">
        <v>106</v>
      </c>
      <c r="E1393" t="s">
        <v>1442</v>
      </c>
      <c r="F1393">
        <v>5419</v>
      </c>
      <c r="G1393" t="s">
        <v>18</v>
      </c>
      <c r="H1393">
        <v>27</v>
      </c>
      <c r="I1393" t="s">
        <v>19</v>
      </c>
      <c r="J1393">
        <v>2002</v>
      </c>
      <c r="K1393">
        <v>2002</v>
      </c>
      <c r="L1393" t="s">
        <v>20</v>
      </c>
      <c r="M1393">
        <v>62700</v>
      </c>
      <c r="N1393">
        <v>832</v>
      </c>
    </row>
    <row r="1394" spans="1:14" x14ac:dyDescent="0.35">
      <c r="A1394" t="s">
        <v>1459</v>
      </c>
      <c r="B1394" t="s">
        <v>15</v>
      </c>
      <c r="C1394" t="s">
        <v>16</v>
      </c>
      <c r="D1394">
        <v>106</v>
      </c>
      <c r="E1394" t="s">
        <v>1442</v>
      </c>
      <c r="F1394">
        <v>5419</v>
      </c>
      <c r="G1394" t="s">
        <v>18</v>
      </c>
      <c r="H1394">
        <v>27</v>
      </c>
      <c r="I1394" t="s">
        <v>19</v>
      </c>
      <c r="J1394">
        <v>2004</v>
      </c>
      <c r="K1394">
        <v>2004</v>
      </c>
      <c r="L1394" t="s">
        <v>20</v>
      </c>
      <c r="M1394">
        <v>66317</v>
      </c>
      <c r="N1394">
        <v>832</v>
      </c>
    </row>
    <row r="1395" spans="1:14" x14ac:dyDescent="0.35">
      <c r="A1395" t="s">
        <v>1460</v>
      </c>
      <c r="B1395" t="s">
        <v>15</v>
      </c>
      <c r="C1395" t="s">
        <v>16</v>
      </c>
      <c r="D1395">
        <v>106</v>
      </c>
      <c r="E1395" t="s">
        <v>1442</v>
      </c>
      <c r="F1395">
        <v>5419</v>
      </c>
      <c r="G1395" t="s">
        <v>18</v>
      </c>
      <c r="H1395">
        <v>27</v>
      </c>
      <c r="I1395" t="s">
        <v>19</v>
      </c>
      <c r="J1395">
        <v>2005</v>
      </c>
      <c r="K1395">
        <v>2005</v>
      </c>
      <c r="L1395" t="s">
        <v>20</v>
      </c>
      <c r="M1395">
        <v>63074</v>
      </c>
      <c r="N1395">
        <v>832</v>
      </c>
    </row>
    <row r="1396" spans="1:14" x14ac:dyDescent="0.35">
      <c r="A1396" t="s">
        <v>1461</v>
      </c>
      <c r="B1396" t="s">
        <v>15</v>
      </c>
      <c r="C1396" t="s">
        <v>16</v>
      </c>
      <c r="D1396">
        <v>106</v>
      </c>
      <c r="E1396" t="s">
        <v>1442</v>
      </c>
      <c r="F1396">
        <v>5419</v>
      </c>
      <c r="G1396" t="s">
        <v>18</v>
      </c>
      <c r="H1396">
        <v>27</v>
      </c>
      <c r="I1396" t="s">
        <v>19</v>
      </c>
      <c r="J1396">
        <v>2006</v>
      </c>
      <c r="K1396">
        <v>2006</v>
      </c>
      <c r="L1396" t="s">
        <v>20</v>
      </c>
      <c r="M1396">
        <v>62772</v>
      </c>
      <c r="N1396">
        <v>832</v>
      </c>
    </row>
    <row r="1397" spans="1:14" x14ac:dyDescent="0.35">
      <c r="A1397" t="s">
        <v>1462</v>
      </c>
      <c r="B1397" t="s">
        <v>15</v>
      </c>
      <c r="C1397" t="s">
        <v>16</v>
      </c>
      <c r="D1397">
        <v>106</v>
      </c>
      <c r="E1397" t="s">
        <v>1442</v>
      </c>
      <c r="F1397">
        <v>5419</v>
      </c>
      <c r="G1397" t="s">
        <v>18</v>
      </c>
      <c r="H1397">
        <v>27</v>
      </c>
      <c r="I1397" t="s">
        <v>19</v>
      </c>
      <c r="J1397">
        <v>2007</v>
      </c>
      <c r="K1397">
        <v>2007</v>
      </c>
      <c r="L1397" t="s">
        <v>20</v>
      </c>
      <c r="M1397">
        <v>66240</v>
      </c>
      <c r="N1397">
        <v>832</v>
      </c>
    </row>
    <row r="1398" spans="1:14" x14ac:dyDescent="0.35">
      <c r="A1398" t="s">
        <v>1463</v>
      </c>
      <c r="B1398" t="s">
        <v>15</v>
      </c>
      <c r="C1398" t="s">
        <v>16</v>
      </c>
      <c r="D1398">
        <v>106</v>
      </c>
      <c r="E1398" t="s">
        <v>1442</v>
      </c>
      <c r="F1398">
        <v>5419</v>
      </c>
      <c r="G1398" t="s">
        <v>18</v>
      </c>
      <c r="H1398">
        <v>27</v>
      </c>
      <c r="I1398" t="s">
        <v>19</v>
      </c>
      <c r="J1398">
        <v>2008</v>
      </c>
      <c r="K1398">
        <v>2008</v>
      </c>
      <c r="L1398" t="s">
        <v>20</v>
      </c>
      <c r="M1398">
        <v>61949</v>
      </c>
      <c r="N1398">
        <v>832</v>
      </c>
    </row>
    <row r="1399" spans="1:14" x14ac:dyDescent="0.35">
      <c r="A1399" t="s">
        <v>1464</v>
      </c>
      <c r="B1399" t="s">
        <v>15</v>
      </c>
      <c r="C1399" t="s">
        <v>16</v>
      </c>
      <c r="D1399">
        <v>106</v>
      </c>
      <c r="E1399" t="s">
        <v>1442</v>
      </c>
      <c r="F1399">
        <v>5419</v>
      </c>
      <c r="G1399" t="s">
        <v>18</v>
      </c>
      <c r="H1399">
        <v>27</v>
      </c>
      <c r="I1399" t="s">
        <v>19</v>
      </c>
      <c r="J1399">
        <v>2009</v>
      </c>
      <c r="K1399">
        <v>2009</v>
      </c>
      <c r="L1399" t="s">
        <v>20</v>
      </c>
      <c r="M1399">
        <v>67941</v>
      </c>
      <c r="N1399">
        <v>832</v>
      </c>
    </row>
    <row r="1400" spans="1:14" x14ac:dyDescent="0.35">
      <c r="A1400" t="s">
        <v>1465</v>
      </c>
      <c r="B1400" t="s">
        <v>15</v>
      </c>
      <c r="C1400" t="s">
        <v>16</v>
      </c>
      <c r="D1400">
        <v>106</v>
      </c>
      <c r="E1400" t="s">
        <v>1442</v>
      </c>
      <c r="F1400">
        <v>5419</v>
      </c>
      <c r="G1400" t="s">
        <v>18</v>
      </c>
      <c r="H1400">
        <v>27</v>
      </c>
      <c r="I1400" t="s">
        <v>19</v>
      </c>
      <c r="J1400">
        <v>2010</v>
      </c>
      <c r="K1400">
        <v>2010</v>
      </c>
      <c r="L1400" t="s">
        <v>20</v>
      </c>
      <c r="M1400">
        <v>61219</v>
      </c>
      <c r="N1400">
        <v>832</v>
      </c>
    </row>
    <row r="1401" spans="1:14" x14ac:dyDescent="0.35">
      <c r="A1401" t="s">
        <v>1466</v>
      </c>
      <c r="B1401" t="s">
        <v>15</v>
      </c>
      <c r="C1401" t="s">
        <v>16</v>
      </c>
      <c r="D1401">
        <v>106</v>
      </c>
      <c r="E1401" t="s">
        <v>1442</v>
      </c>
      <c r="F1401">
        <v>5419</v>
      </c>
      <c r="G1401" t="s">
        <v>18</v>
      </c>
      <c r="H1401">
        <v>27</v>
      </c>
      <c r="I1401" t="s">
        <v>19</v>
      </c>
      <c r="J1401">
        <v>2011</v>
      </c>
      <c r="K1401">
        <v>2011</v>
      </c>
      <c r="L1401" t="s">
        <v>20</v>
      </c>
      <c r="M1401">
        <v>60452</v>
      </c>
      <c r="N1401">
        <v>832</v>
      </c>
    </row>
    <row r="1402" spans="1:14" x14ac:dyDescent="0.35">
      <c r="A1402" t="s">
        <v>1467</v>
      </c>
      <c r="B1402" t="s">
        <v>15</v>
      </c>
      <c r="C1402" t="s">
        <v>16</v>
      </c>
      <c r="D1402">
        <v>106</v>
      </c>
      <c r="E1402" t="s">
        <v>1442</v>
      </c>
      <c r="F1402">
        <v>5419</v>
      </c>
      <c r="G1402" t="s">
        <v>18</v>
      </c>
      <c r="H1402">
        <v>27</v>
      </c>
      <c r="I1402" t="s">
        <v>19</v>
      </c>
      <c r="J1402">
        <v>2012</v>
      </c>
      <c r="K1402">
        <v>2012</v>
      </c>
      <c r="L1402" t="s">
        <v>20</v>
      </c>
      <c r="M1402">
        <v>68133</v>
      </c>
      <c r="N1402">
        <v>832</v>
      </c>
    </row>
    <row r="1403" spans="1:14" x14ac:dyDescent="0.35">
      <c r="A1403" t="s">
        <v>1468</v>
      </c>
      <c r="B1403" t="s">
        <v>15</v>
      </c>
      <c r="C1403" t="s">
        <v>16</v>
      </c>
      <c r="D1403">
        <v>106</v>
      </c>
      <c r="E1403" t="s">
        <v>1442</v>
      </c>
      <c r="F1403">
        <v>5419</v>
      </c>
      <c r="G1403" t="s">
        <v>18</v>
      </c>
      <c r="H1403">
        <v>27</v>
      </c>
      <c r="I1403" t="s">
        <v>19</v>
      </c>
      <c r="J1403">
        <v>2013</v>
      </c>
      <c r="K1403">
        <v>2013</v>
      </c>
      <c r="L1403" t="s">
        <v>20</v>
      </c>
      <c r="M1403">
        <v>66342</v>
      </c>
      <c r="N1403">
        <v>832</v>
      </c>
    </row>
    <row r="1404" spans="1:14" x14ac:dyDescent="0.35">
      <c r="A1404" t="s">
        <v>1469</v>
      </c>
      <c r="B1404" t="s">
        <v>15</v>
      </c>
      <c r="C1404" t="s">
        <v>16</v>
      </c>
      <c r="D1404">
        <v>106</v>
      </c>
      <c r="E1404" t="s">
        <v>1442</v>
      </c>
      <c r="F1404">
        <v>5419</v>
      </c>
      <c r="G1404" t="s">
        <v>18</v>
      </c>
      <c r="H1404">
        <v>27</v>
      </c>
      <c r="I1404" t="s">
        <v>19</v>
      </c>
      <c r="J1404">
        <v>2014</v>
      </c>
      <c r="K1404">
        <v>2014</v>
      </c>
      <c r="L1404" t="s">
        <v>20</v>
      </c>
      <c r="M1404">
        <v>63148</v>
      </c>
      <c r="N1404">
        <v>832</v>
      </c>
    </row>
    <row r="1405" spans="1:14" x14ac:dyDescent="0.35">
      <c r="A1405" t="s">
        <v>1470</v>
      </c>
      <c r="B1405" t="s">
        <v>15</v>
      </c>
      <c r="C1405" t="s">
        <v>16</v>
      </c>
      <c r="D1405">
        <v>106</v>
      </c>
      <c r="E1405" t="s">
        <v>1442</v>
      </c>
      <c r="F1405">
        <v>5419</v>
      </c>
      <c r="G1405" t="s">
        <v>18</v>
      </c>
      <c r="H1405">
        <v>27</v>
      </c>
      <c r="I1405" t="s">
        <v>19</v>
      </c>
      <c r="J1405">
        <v>2015</v>
      </c>
      <c r="K1405">
        <v>2015</v>
      </c>
      <c r="L1405" t="s">
        <v>20</v>
      </c>
      <c r="M1405">
        <v>66785</v>
      </c>
      <c r="N1405">
        <v>832</v>
      </c>
    </row>
    <row r="1406" spans="1:14" x14ac:dyDescent="0.35">
      <c r="A1406" t="s">
        <v>1471</v>
      </c>
      <c r="B1406" t="s">
        <v>15</v>
      </c>
      <c r="C1406" t="s">
        <v>16</v>
      </c>
      <c r="D1406">
        <v>106</v>
      </c>
      <c r="E1406" t="s">
        <v>1442</v>
      </c>
      <c r="F1406">
        <v>5419</v>
      </c>
      <c r="G1406" t="s">
        <v>18</v>
      </c>
      <c r="H1406">
        <v>27</v>
      </c>
      <c r="I1406" t="s">
        <v>19</v>
      </c>
      <c r="J1406">
        <v>2016</v>
      </c>
      <c r="K1406">
        <v>2016</v>
      </c>
      <c r="L1406" t="s">
        <v>20</v>
      </c>
      <c r="M1406">
        <v>67797</v>
      </c>
      <c r="N1406">
        <v>832</v>
      </c>
    </row>
    <row r="1407" spans="1:14" x14ac:dyDescent="0.35">
      <c r="A1407" t="s">
        <v>1472</v>
      </c>
      <c r="B1407" t="s">
        <v>15</v>
      </c>
      <c r="C1407" t="s">
        <v>16</v>
      </c>
      <c r="D1407">
        <v>109</v>
      </c>
      <c r="E1407" t="s">
        <v>1473</v>
      </c>
      <c r="F1407">
        <v>5419</v>
      </c>
      <c r="G1407" t="s">
        <v>18</v>
      </c>
      <c r="H1407">
        <v>27</v>
      </c>
      <c r="I1407" t="s">
        <v>19</v>
      </c>
      <c r="J1407">
        <v>1985</v>
      </c>
      <c r="K1407">
        <v>1985</v>
      </c>
      <c r="L1407" t="s">
        <v>20</v>
      </c>
      <c r="M1407">
        <v>30364</v>
      </c>
      <c r="N1407">
        <v>2051</v>
      </c>
    </row>
    <row r="1408" spans="1:14" x14ac:dyDescent="0.35">
      <c r="A1408" t="s">
        <v>1474</v>
      </c>
      <c r="B1408" t="s">
        <v>15</v>
      </c>
      <c r="C1408" t="s">
        <v>16</v>
      </c>
      <c r="D1408">
        <v>109</v>
      </c>
      <c r="E1408" t="s">
        <v>1473</v>
      </c>
      <c r="F1408">
        <v>5419</v>
      </c>
      <c r="G1408" t="s">
        <v>18</v>
      </c>
      <c r="H1408">
        <v>27</v>
      </c>
      <c r="I1408" t="s">
        <v>19</v>
      </c>
      <c r="J1408">
        <v>1986</v>
      </c>
      <c r="K1408">
        <v>1986</v>
      </c>
      <c r="L1408" t="s">
        <v>20</v>
      </c>
      <c r="M1408">
        <v>31802</v>
      </c>
      <c r="N1408">
        <v>2051</v>
      </c>
    </row>
    <row r="1409" spans="1:14" x14ac:dyDescent="0.35">
      <c r="A1409" t="s">
        <v>1475</v>
      </c>
      <c r="B1409" t="s">
        <v>15</v>
      </c>
      <c r="C1409" t="s">
        <v>16</v>
      </c>
      <c r="D1409">
        <v>109</v>
      </c>
      <c r="E1409" t="s">
        <v>1473</v>
      </c>
      <c r="F1409">
        <v>5419</v>
      </c>
      <c r="G1409" t="s">
        <v>18</v>
      </c>
      <c r="H1409">
        <v>27</v>
      </c>
      <c r="I1409" t="s">
        <v>19</v>
      </c>
      <c r="J1409">
        <v>1987</v>
      </c>
      <c r="K1409">
        <v>1987</v>
      </c>
      <c r="L1409" t="s">
        <v>20</v>
      </c>
      <c r="M1409">
        <v>20668</v>
      </c>
      <c r="N1409">
        <v>2051</v>
      </c>
    </row>
    <row r="1410" spans="1:14" x14ac:dyDescent="0.35">
      <c r="A1410" t="s">
        <v>1476</v>
      </c>
      <c r="B1410" t="s">
        <v>15</v>
      </c>
      <c r="C1410" t="s">
        <v>16</v>
      </c>
      <c r="D1410">
        <v>109</v>
      </c>
      <c r="E1410" t="s">
        <v>1473</v>
      </c>
      <c r="F1410">
        <v>5419</v>
      </c>
      <c r="G1410" t="s">
        <v>18</v>
      </c>
      <c r="H1410">
        <v>27</v>
      </c>
      <c r="I1410" t="s">
        <v>19</v>
      </c>
      <c r="J1410">
        <v>1989</v>
      </c>
      <c r="K1410">
        <v>1989</v>
      </c>
      <c r="L1410" t="s">
        <v>20</v>
      </c>
      <c r="M1410">
        <v>33506</v>
      </c>
      <c r="N1410">
        <v>2051</v>
      </c>
    </row>
    <row r="1411" spans="1:14" x14ac:dyDescent="0.35">
      <c r="A1411" t="s">
        <v>1477</v>
      </c>
      <c r="B1411" t="s">
        <v>15</v>
      </c>
      <c r="C1411" t="s">
        <v>16</v>
      </c>
      <c r="D1411">
        <v>109</v>
      </c>
      <c r="E1411" t="s">
        <v>1473</v>
      </c>
      <c r="F1411">
        <v>5419</v>
      </c>
      <c r="G1411" t="s">
        <v>18</v>
      </c>
      <c r="H1411">
        <v>27</v>
      </c>
      <c r="I1411" t="s">
        <v>19</v>
      </c>
      <c r="J1411">
        <v>1990</v>
      </c>
      <c r="K1411">
        <v>1990</v>
      </c>
      <c r="L1411" t="s">
        <v>20</v>
      </c>
      <c r="M1411">
        <v>23656</v>
      </c>
      <c r="N1411">
        <v>2051</v>
      </c>
    </row>
    <row r="1412" spans="1:14" x14ac:dyDescent="0.35">
      <c r="A1412" t="s">
        <v>1478</v>
      </c>
      <c r="B1412" t="s">
        <v>15</v>
      </c>
      <c r="C1412" t="s">
        <v>16</v>
      </c>
      <c r="D1412">
        <v>109</v>
      </c>
      <c r="E1412" t="s">
        <v>1473</v>
      </c>
      <c r="F1412">
        <v>5419</v>
      </c>
      <c r="G1412" t="s">
        <v>18</v>
      </c>
      <c r="H1412">
        <v>27</v>
      </c>
      <c r="I1412" t="s">
        <v>19</v>
      </c>
      <c r="J1412">
        <v>1991</v>
      </c>
      <c r="K1412">
        <v>1991</v>
      </c>
      <c r="L1412" t="s">
        <v>20</v>
      </c>
      <c r="M1412">
        <v>27019</v>
      </c>
      <c r="N1412">
        <v>2051</v>
      </c>
    </row>
    <row r="1413" spans="1:14" x14ac:dyDescent="0.35">
      <c r="A1413" t="s">
        <v>1479</v>
      </c>
      <c r="B1413" t="s">
        <v>15</v>
      </c>
      <c r="C1413" t="s">
        <v>16</v>
      </c>
      <c r="D1413">
        <v>109</v>
      </c>
      <c r="E1413" t="s">
        <v>1473</v>
      </c>
      <c r="F1413">
        <v>5419</v>
      </c>
      <c r="G1413" t="s">
        <v>18</v>
      </c>
      <c r="H1413">
        <v>27</v>
      </c>
      <c r="I1413" t="s">
        <v>19</v>
      </c>
      <c r="J1413">
        <v>1992</v>
      </c>
      <c r="K1413">
        <v>1992</v>
      </c>
      <c r="L1413" t="s">
        <v>20</v>
      </c>
      <c r="M1413">
        <v>23981</v>
      </c>
      <c r="N1413">
        <v>2051</v>
      </c>
    </row>
    <row r="1414" spans="1:14" x14ac:dyDescent="0.35">
      <c r="A1414" t="s">
        <v>1480</v>
      </c>
      <c r="B1414" t="s">
        <v>15</v>
      </c>
      <c r="C1414" t="s">
        <v>16</v>
      </c>
      <c r="D1414">
        <v>109</v>
      </c>
      <c r="E1414" t="s">
        <v>1473</v>
      </c>
      <c r="F1414">
        <v>5419</v>
      </c>
      <c r="G1414" t="s">
        <v>18</v>
      </c>
      <c r="H1414">
        <v>27</v>
      </c>
      <c r="I1414" t="s">
        <v>19</v>
      </c>
      <c r="J1414">
        <v>1993</v>
      </c>
      <c r="K1414">
        <v>1993</v>
      </c>
      <c r="L1414" t="s">
        <v>20</v>
      </c>
      <c r="M1414">
        <v>31279</v>
      </c>
      <c r="N1414">
        <v>2051</v>
      </c>
    </row>
    <row r="1415" spans="1:14" x14ac:dyDescent="0.35">
      <c r="A1415" t="s">
        <v>1481</v>
      </c>
      <c r="B1415" t="s">
        <v>15</v>
      </c>
      <c r="C1415" t="s">
        <v>16</v>
      </c>
      <c r="D1415">
        <v>109</v>
      </c>
      <c r="E1415" t="s">
        <v>1473</v>
      </c>
      <c r="F1415">
        <v>5419</v>
      </c>
      <c r="G1415" t="s">
        <v>18</v>
      </c>
      <c r="H1415">
        <v>27</v>
      </c>
      <c r="I1415" t="s">
        <v>19</v>
      </c>
      <c r="J1415">
        <v>1994</v>
      </c>
      <c r="K1415">
        <v>1994</v>
      </c>
      <c r="L1415" t="s">
        <v>20</v>
      </c>
      <c r="M1415">
        <v>29080</v>
      </c>
      <c r="N1415">
        <v>2051</v>
      </c>
    </row>
    <row r="1416" spans="1:14" x14ac:dyDescent="0.35">
      <c r="A1416" t="s">
        <v>1482</v>
      </c>
      <c r="B1416" t="s">
        <v>15</v>
      </c>
      <c r="C1416" t="s">
        <v>16</v>
      </c>
      <c r="D1416">
        <v>109</v>
      </c>
      <c r="E1416" t="s">
        <v>1473</v>
      </c>
      <c r="F1416">
        <v>5419</v>
      </c>
      <c r="G1416" t="s">
        <v>18</v>
      </c>
      <c r="H1416">
        <v>27</v>
      </c>
      <c r="I1416" t="s">
        <v>19</v>
      </c>
      <c r="J1416">
        <v>1995</v>
      </c>
      <c r="K1416">
        <v>1995</v>
      </c>
      <c r="L1416" t="s">
        <v>20</v>
      </c>
      <c r="M1416">
        <v>24308</v>
      </c>
      <c r="N1416">
        <v>2051</v>
      </c>
    </row>
    <row r="1417" spans="1:14" x14ac:dyDescent="0.35">
      <c r="A1417" t="s">
        <v>1483</v>
      </c>
      <c r="B1417" t="s">
        <v>15</v>
      </c>
      <c r="C1417" t="s">
        <v>16</v>
      </c>
      <c r="D1417">
        <v>109</v>
      </c>
      <c r="E1417" t="s">
        <v>1473</v>
      </c>
      <c r="F1417">
        <v>5419</v>
      </c>
      <c r="G1417" t="s">
        <v>18</v>
      </c>
      <c r="H1417">
        <v>27</v>
      </c>
      <c r="I1417" t="s">
        <v>19</v>
      </c>
      <c r="J1417">
        <v>1996</v>
      </c>
      <c r="K1417">
        <v>1996</v>
      </c>
      <c r="L1417" t="s">
        <v>20</v>
      </c>
      <c r="M1417">
        <v>14286</v>
      </c>
      <c r="N1417">
        <v>2051</v>
      </c>
    </row>
    <row r="1418" spans="1:14" x14ac:dyDescent="0.35">
      <c r="A1418" t="s">
        <v>1484</v>
      </c>
      <c r="B1418" t="s">
        <v>15</v>
      </c>
      <c r="C1418" t="s">
        <v>16</v>
      </c>
      <c r="D1418">
        <v>109</v>
      </c>
      <c r="E1418" t="s">
        <v>1473</v>
      </c>
      <c r="F1418">
        <v>5419</v>
      </c>
      <c r="G1418" t="s">
        <v>18</v>
      </c>
      <c r="H1418">
        <v>27</v>
      </c>
      <c r="I1418" t="s">
        <v>19</v>
      </c>
      <c r="J1418">
        <v>1997</v>
      </c>
      <c r="K1418">
        <v>1997</v>
      </c>
      <c r="L1418" t="s">
        <v>20</v>
      </c>
      <c r="M1418">
        <v>16111</v>
      </c>
      <c r="N1418">
        <v>2051</v>
      </c>
    </row>
    <row r="1419" spans="1:14" x14ac:dyDescent="0.35">
      <c r="A1419" t="s">
        <v>1485</v>
      </c>
      <c r="B1419" t="s">
        <v>15</v>
      </c>
      <c r="C1419" t="s">
        <v>16</v>
      </c>
      <c r="D1419">
        <v>109</v>
      </c>
      <c r="E1419" t="s">
        <v>1473</v>
      </c>
      <c r="F1419">
        <v>5419</v>
      </c>
      <c r="G1419" t="s">
        <v>18</v>
      </c>
      <c r="H1419">
        <v>27</v>
      </c>
      <c r="I1419" t="s">
        <v>19</v>
      </c>
      <c r="J1419">
        <v>1998</v>
      </c>
      <c r="K1419">
        <v>1998</v>
      </c>
      <c r="L1419" t="s">
        <v>20</v>
      </c>
      <c r="M1419">
        <v>18750</v>
      </c>
      <c r="N1419">
        <v>2051</v>
      </c>
    </row>
    <row r="1420" spans="1:14" x14ac:dyDescent="0.35">
      <c r="A1420" t="s">
        <v>1486</v>
      </c>
      <c r="B1420" t="s">
        <v>15</v>
      </c>
      <c r="C1420" t="s">
        <v>16</v>
      </c>
      <c r="D1420">
        <v>109</v>
      </c>
      <c r="E1420" t="s">
        <v>1473</v>
      </c>
      <c r="F1420">
        <v>5419</v>
      </c>
      <c r="G1420" t="s">
        <v>18</v>
      </c>
      <c r="H1420">
        <v>27</v>
      </c>
      <c r="I1420" t="s">
        <v>19</v>
      </c>
      <c r="J1420">
        <v>1999</v>
      </c>
      <c r="K1420">
        <v>1999</v>
      </c>
      <c r="L1420" t="s">
        <v>20</v>
      </c>
      <c r="M1420">
        <v>10690</v>
      </c>
      <c r="N1420">
        <v>2051</v>
      </c>
    </row>
    <row r="1421" spans="1:14" x14ac:dyDescent="0.35">
      <c r="A1421" t="s">
        <v>1487</v>
      </c>
      <c r="B1421" t="s">
        <v>15</v>
      </c>
      <c r="C1421" t="s">
        <v>16</v>
      </c>
      <c r="D1421">
        <v>109</v>
      </c>
      <c r="E1421" t="s">
        <v>1473</v>
      </c>
      <c r="F1421">
        <v>5419</v>
      </c>
      <c r="G1421" t="s">
        <v>18</v>
      </c>
      <c r="H1421">
        <v>27</v>
      </c>
      <c r="I1421" t="s">
        <v>19</v>
      </c>
      <c r="J1421">
        <v>2000</v>
      </c>
      <c r="K1421">
        <v>2000</v>
      </c>
      <c r="L1421" t="s">
        <v>20</v>
      </c>
      <c r="M1421">
        <v>9231</v>
      </c>
      <c r="N1421">
        <v>2051</v>
      </c>
    </row>
    <row r="1422" spans="1:14" x14ac:dyDescent="0.35">
      <c r="A1422" t="s">
        <v>1488</v>
      </c>
      <c r="B1422" t="s">
        <v>15</v>
      </c>
      <c r="C1422" t="s">
        <v>16</v>
      </c>
      <c r="D1422">
        <v>109</v>
      </c>
      <c r="E1422" t="s">
        <v>1473</v>
      </c>
      <c r="F1422">
        <v>5419</v>
      </c>
      <c r="G1422" t="s">
        <v>18</v>
      </c>
      <c r="H1422">
        <v>27</v>
      </c>
      <c r="I1422" t="s">
        <v>19</v>
      </c>
      <c r="J1422">
        <v>2001</v>
      </c>
      <c r="K1422">
        <v>2001</v>
      </c>
      <c r="L1422" t="s">
        <v>20</v>
      </c>
      <c r="M1422">
        <v>13750</v>
      </c>
      <c r="N1422">
        <v>2051</v>
      </c>
    </row>
    <row r="1423" spans="1:14" x14ac:dyDescent="0.35">
      <c r="A1423" t="s">
        <v>1489</v>
      </c>
      <c r="B1423" t="s">
        <v>15</v>
      </c>
      <c r="C1423" t="s">
        <v>16</v>
      </c>
      <c r="D1423">
        <v>109</v>
      </c>
      <c r="E1423" t="s">
        <v>1473</v>
      </c>
      <c r="F1423">
        <v>5419</v>
      </c>
      <c r="G1423" t="s">
        <v>18</v>
      </c>
      <c r="H1423">
        <v>27</v>
      </c>
      <c r="I1423" t="s">
        <v>19</v>
      </c>
      <c r="J1423">
        <v>2002</v>
      </c>
      <c r="K1423">
        <v>2002</v>
      </c>
      <c r="L1423" t="s">
        <v>20</v>
      </c>
      <c r="M1423">
        <v>9091</v>
      </c>
      <c r="N1423">
        <v>2051</v>
      </c>
    </row>
    <row r="1424" spans="1:14" x14ac:dyDescent="0.35">
      <c r="A1424" t="s">
        <v>1490</v>
      </c>
      <c r="B1424" t="s">
        <v>15</v>
      </c>
      <c r="C1424" t="s">
        <v>16</v>
      </c>
      <c r="D1424">
        <v>109</v>
      </c>
      <c r="E1424" t="s">
        <v>1473</v>
      </c>
      <c r="F1424">
        <v>5419</v>
      </c>
      <c r="G1424" t="s">
        <v>18</v>
      </c>
      <c r="H1424">
        <v>27</v>
      </c>
      <c r="I1424" t="s">
        <v>19</v>
      </c>
      <c r="J1424">
        <v>2004</v>
      </c>
      <c r="K1424">
        <v>2004</v>
      </c>
      <c r="L1424" t="s">
        <v>20</v>
      </c>
      <c r="M1424">
        <v>14286</v>
      </c>
      <c r="N1424">
        <v>2051</v>
      </c>
    </row>
    <row r="1425" spans="1:14" x14ac:dyDescent="0.35">
      <c r="A1425" t="s">
        <v>1491</v>
      </c>
      <c r="B1425" t="s">
        <v>15</v>
      </c>
      <c r="C1425" t="s">
        <v>16</v>
      </c>
      <c r="D1425">
        <v>109</v>
      </c>
      <c r="E1425" t="s">
        <v>1473</v>
      </c>
      <c r="F1425">
        <v>5419</v>
      </c>
      <c r="G1425" t="s">
        <v>18</v>
      </c>
      <c r="H1425">
        <v>27</v>
      </c>
      <c r="I1425" t="s">
        <v>19</v>
      </c>
      <c r="J1425">
        <v>2005</v>
      </c>
      <c r="K1425">
        <v>2005</v>
      </c>
      <c r="L1425" t="s">
        <v>20</v>
      </c>
      <c r="M1425">
        <v>30000</v>
      </c>
      <c r="N1425">
        <v>2051</v>
      </c>
    </row>
    <row r="1426" spans="1:14" x14ac:dyDescent="0.35">
      <c r="A1426" t="s">
        <v>1492</v>
      </c>
      <c r="B1426" t="s">
        <v>15</v>
      </c>
      <c r="C1426" t="s">
        <v>16</v>
      </c>
      <c r="D1426">
        <v>109</v>
      </c>
      <c r="E1426" t="s">
        <v>1473</v>
      </c>
      <c r="F1426">
        <v>5419</v>
      </c>
      <c r="G1426" t="s">
        <v>18</v>
      </c>
      <c r="H1426">
        <v>27</v>
      </c>
      <c r="I1426" t="s">
        <v>19</v>
      </c>
      <c r="J1426">
        <v>2006</v>
      </c>
      <c r="K1426">
        <v>2006</v>
      </c>
      <c r="L1426" t="s">
        <v>20</v>
      </c>
      <c r="M1426">
        <v>20000</v>
      </c>
      <c r="N1426">
        <v>2051</v>
      </c>
    </row>
    <row r="1427" spans="1:14" x14ac:dyDescent="0.35">
      <c r="A1427" t="s">
        <v>1493</v>
      </c>
      <c r="B1427" t="s">
        <v>15</v>
      </c>
      <c r="C1427" t="s">
        <v>16</v>
      </c>
      <c r="D1427">
        <v>109</v>
      </c>
      <c r="E1427" t="s">
        <v>1473</v>
      </c>
      <c r="F1427">
        <v>5419</v>
      </c>
      <c r="G1427" t="s">
        <v>18</v>
      </c>
      <c r="H1427">
        <v>27</v>
      </c>
      <c r="I1427" t="s">
        <v>19</v>
      </c>
      <c r="J1427">
        <v>2007</v>
      </c>
      <c r="K1427">
        <v>2007</v>
      </c>
      <c r="L1427" t="s">
        <v>20</v>
      </c>
      <c r="M1427">
        <v>29545</v>
      </c>
      <c r="N1427">
        <v>2051</v>
      </c>
    </row>
    <row r="1428" spans="1:14" x14ac:dyDescent="0.35">
      <c r="A1428" t="s">
        <v>1494</v>
      </c>
      <c r="B1428" t="s">
        <v>15</v>
      </c>
      <c r="C1428" t="s">
        <v>16</v>
      </c>
      <c r="D1428">
        <v>109</v>
      </c>
      <c r="E1428" t="s">
        <v>1473</v>
      </c>
      <c r="F1428">
        <v>5419</v>
      </c>
      <c r="G1428" t="s">
        <v>18</v>
      </c>
      <c r="H1428">
        <v>27</v>
      </c>
      <c r="I1428" t="s">
        <v>19</v>
      </c>
      <c r="J1428">
        <v>2008</v>
      </c>
      <c r="K1428">
        <v>2008</v>
      </c>
      <c r="L1428" t="s">
        <v>20</v>
      </c>
      <c r="M1428">
        <v>33333</v>
      </c>
      <c r="N1428">
        <v>2051</v>
      </c>
    </row>
    <row r="1429" spans="1:14" x14ac:dyDescent="0.35">
      <c r="A1429" t="s">
        <v>1495</v>
      </c>
      <c r="B1429" t="s">
        <v>15</v>
      </c>
      <c r="C1429" t="s">
        <v>16</v>
      </c>
      <c r="D1429">
        <v>109</v>
      </c>
      <c r="E1429" t="s">
        <v>1473</v>
      </c>
      <c r="F1429">
        <v>5419</v>
      </c>
      <c r="G1429" t="s">
        <v>18</v>
      </c>
      <c r="H1429">
        <v>27</v>
      </c>
      <c r="I1429" t="s">
        <v>19</v>
      </c>
      <c r="J1429">
        <v>2009</v>
      </c>
      <c r="K1429">
        <v>2009</v>
      </c>
      <c r="L1429" t="s">
        <v>20</v>
      </c>
      <c r="M1429">
        <v>40541</v>
      </c>
      <c r="N1429">
        <v>2051</v>
      </c>
    </row>
    <row r="1430" spans="1:14" x14ac:dyDescent="0.35">
      <c r="A1430" t="s">
        <v>1496</v>
      </c>
      <c r="B1430" t="s">
        <v>15</v>
      </c>
      <c r="C1430" t="s">
        <v>16</v>
      </c>
      <c r="D1430">
        <v>109</v>
      </c>
      <c r="E1430" t="s">
        <v>1473</v>
      </c>
      <c r="F1430">
        <v>5419</v>
      </c>
      <c r="G1430" t="s">
        <v>18</v>
      </c>
      <c r="H1430">
        <v>27</v>
      </c>
      <c r="I1430" t="s">
        <v>19</v>
      </c>
      <c r="J1430">
        <v>2010</v>
      </c>
      <c r="K1430">
        <v>2010</v>
      </c>
      <c r="L1430" t="s">
        <v>20</v>
      </c>
      <c r="M1430">
        <v>47397</v>
      </c>
      <c r="N1430">
        <v>2051</v>
      </c>
    </row>
    <row r="1431" spans="1:14" x14ac:dyDescent="0.35">
      <c r="A1431" t="s">
        <v>1497</v>
      </c>
      <c r="B1431" t="s">
        <v>15</v>
      </c>
      <c r="C1431" t="s">
        <v>16</v>
      </c>
      <c r="D1431">
        <v>109</v>
      </c>
      <c r="E1431" t="s">
        <v>1473</v>
      </c>
      <c r="F1431">
        <v>5419</v>
      </c>
      <c r="G1431" t="s">
        <v>18</v>
      </c>
      <c r="H1431">
        <v>27</v>
      </c>
      <c r="I1431" t="s">
        <v>19</v>
      </c>
      <c r="J1431">
        <v>2011</v>
      </c>
      <c r="K1431">
        <v>2011</v>
      </c>
      <c r="L1431" t="s">
        <v>20</v>
      </c>
      <c r="M1431">
        <v>53341</v>
      </c>
      <c r="N1431">
        <v>2051</v>
      </c>
    </row>
    <row r="1432" spans="1:14" x14ac:dyDescent="0.35">
      <c r="A1432" t="s">
        <v>1498</v>
      </c>
      <c r="B1432" t="s">
        <v>15</v>
      </c>
      <c r="C1432" t="s">
        <v>16</v>
      </c>
      <c r="D1432">
        <v>109</v>
      </c>
      <c r="E1432" t="s">
        <v>1473</v>
      </c>
      <c r="F1432">
        <v>5419</v>
      </c>
      <c r="G1432" t="s">
        <v>18</v>
      </c>
      <c r="H1432">
        <v>27</v>
      </c>
      <c r="I1432" t="s">
        <v>19</v>
      </c>
      <c r="J1432">
        <v>2012</v>
      </c>
      <c r="K1432">
        <v>2012</v>
      </c>
      <c r="L1432" t="s">
        <v>20</v>
      </c>
      <c r="M1432">
        <v>49023</v>
      </c>
      <c r="N1432">
        <v>2051</v>
      </c>
    </row>
    <row r="1433" spans="1:14" x14ac:dyDescent="0.35">
      <c r="A1433" t="s">
        <v>1499</v>
      </c>
      <c r="B1433" t="s">
        <v>15</v>
      </c>
      <c r="C1433" t="s">
        <v>16</v>
      </c>
      <c r="D1433">
        <v>109</v>
      </c>
      <c r="E1433" t="s">
        <v>1473</v>
      </c>
      <c r="F1433">
        <v>5419</v>
      </c>
      <c r="G1433" t="s">
        <v>18</v>
      </c>
      <c r="H1433">
        <v>27</v>
      </c>
      <c r="I1433" t="s">
        <v>19</v>
      </c>
      <c r="J1433">
        <v>2013</v>
      </c>
      <c r="K1433">
        <v>2013</v>
      </c>
      <c r="L1433" t="s">
        <v>20</v>
      </c>
      <c r="M1433">
        <v>42000</v>
      </c>
      <c r="N1433">
        <v>2051</v>
      </c>
    </row>
    <row r="1434" spans="1:14" x14ac:dyDescent="0.35">
      <c r="A1434" t="s">
        <v>1500</v>
      </c>
      <c r="B1434" t="s">
        <v>15</v>
      </c>
      <c r="C1434" t="s">
        <v>16</v>
      </c>
      <c r="D1434">
        <v>109</v>
      </c>
      <c r="E1434" t="s">
        <v>1473</v>
      </c>
      <c r="F1434">
        <v>5419</v>
      </c>
      <c r="G1434" t="s">
        <v>18</v>
      </c>
      <c r="H1434">
        <v>27</v>
      </c>
      <c r="I1434" t="s">
        <v>19</v>
      </c>
      <c r="J1434">
        <v>2014</v>
      </c>
      <c r="K1434">
        <v>2014</v>
      </c>
      <c r="L1434" t="s">
        <v>20</v>
      </c>
      <c r="M1434">
        <v>36667</v>
      </c>
      <c r="N1434">
        <v>2051</v>
      </c>
    </row>
    <row r="1435" spans="1:14" x14ac:dyDescent="0.35">
      <c r="A1435" t="s">
        <v>1501</v>
      </c>
      <c r="B1435" t="s">
        <v>15</v>
      </c>
      <c r="C1435" t="s">
        <v>16</v>
      </c>
      <c r="D1435">
        <v>109</v>
      </c>
      <c r="E1435" t="s">
        <v>1473</v>
      </c>
      <c r="F1435">
        <v>5419</v>
      </c>
      <c r="G1435" t="s">
        <v>18</v>
      </c>
      <c r="H1435">
        <v>27</v>
      </c>
      <c r="I1435" t="s">
        <v>19</v>
      </c>
      <c r="J1435">
        <v>2015</v>
      </c>
      <c r="K1435">
        <v>2015</v>
      </c>
      <c r="L1435" t="s">
        <v>20</v>
      </c>
      <c r="M1435">
        <v>45000</v>
      </c>
      <c r="N1435">
        <v>2051</v>
      </c>
    </row>
    <row r="1436" spans="1:14" x14ac:dyDescent="0.35">
      <c r="A1436" t="s">
        <v>1502</v>
      </c>
      <c r="B1436" t="s">
        <v>15</v>
      </c>
      <c r="C1436" t="s">
        <v>16</v>
      </c>
      <c r="D1436">
        <v>109</v>
      </c>
      <c r="E1436" t="s">
        <v>1473</v>
      </c>
      <c r="F1436">
        <v>5419</v>
      </c>
      <c r="G1436" t="s">
        <v>18</v>
      </c>
      <c r="H1436">
        <v>27</v>
      </c>
      <c r="I1436" t="s">
        <v>19</v>
      </c>
      <c r="J1436">
        <v>2016</v>
      </c>
      <c r="K1436">
        <v>2016</v>
      </c>
      <c r="L1436" t="s">
        <v>20</v>
      </c>
      <c r="M1436">
        <v>45333</v>
      </c>
      <c r="N1436">
        <v>2051</v>
      </c>
    </row>
    <row r="1437" spans="1:14" x14ac:dyDescent="0.35">
      <c r="A1437" t="s">
        <v>1503</v>
      </c>
      <c r="B1437" t="s">
        <v>15</v>
      </c>
      <c r="C1437" t="s">
        <v>16</v>
      </c>
      <c r="D1437">
        <v>110</v>
      </c>
      <c r="E1437" t="s">
        <v>1504</v>
      </c>
      <c r="F1437">
        <v>5419</v>
      </c>
      <c r="G1437" t="s">
        <v>18</v>
      </c>
      <c r="H1437">
        <v>27</v>
      </c>
      <c r="I1437" t="s">
        <v>19</v>
      </c>
      <c r="J1437">
        <v>1985</v>
      </c>
      <c r="K1437">
        <v>1985</v>
      </c>
      <c r="L1437" t="s">
        <v>20</v>
      </c>
      <c r="M1437">
        <v>62246</v>
      </c>
      <c r="N1437">
        <v>1668</v>
      </c>
    </row>
    <row r="1438" spans="1:14" x14ac:dyDescent="0.35">
      <c r="A1438" t="s">
        <v>1505</v>
      </c>
      <c r="B1438" t="s">
        <v>15</v>
      </c>
      <c r="C1438" t="s">
        <v>16</v>
      </c>
      <c r="D1438">
        <v>110</v>
      </c>
      <c r="E1438" t="s">
        <v>1504</v>
      </c>
      <c r="F1438">
        <v>5419</v>
      </c>
      <c r="G1438" t="s">
        <v>18</v>
      </c>
      <c r="H1438">
        <v>27</v>
      </c>
      <c r="I1438" t="s">
        <v>19</v>
      </c>
      <c r="J1438">
        <v>1986</v>
      </c>
      <c r="K1438">
        <v>1986</v>
      </c>
      <c r="L1438" t="s">
        <v>20</v>
      </c>
      <c r="M1438">
        <v>63218</v>
      </c>
      <c r="N1438">
        <v>1668</v>
      </c>
    </row>
    <row r="1439" spans="1:14" x14ac:dyDescent="0.35">
      <c r="A1439" t="s">
        <v>1506</v>
      </c>
      <c r="B1439" t="s">
        <v>15</v>
      </c>
      <c r="C1439" t="s">
        <v>16</v>
      </c>
      <c r="D1439">
        <v>110</v>
      </c>
      <c r="E1439" t="s">
        <v>1504</v>
      </c>
      <c r="F1439">
        <v>5419</v>
      </c>
      <c r="G1439" t="s">
        <v>18</v>
      </c>
      <c r="H1439">
        <v>27</v>
      </c>
      <c r="I1439" t="s">
        <v>19</v>
      </c>
      <c r="J1439">
        <v>1987</v>
      </c>
      <c r="K1439">
        <v>1987</v>
      </c>
      <c r="L1439" t="s">
        <v>20</v>
      </c>
      <c r="M1439">
        <v>61901</v>
      </c>
      <c r="N1439">
        <v>1668</v>
      </c>
    </row>
    <row r="1440" spans="1:14" x14ac:dyDescent="0.35">
      <c r="A1440" t="s">
        <v>1507</v>
      </c>
      <c r="B1440" t="s">
        <v>15</v>
      </c>
      <c r="C1440" t="s">
        <v>16</v>
      </c>
      <c r="D1440">
        <v>110</v>
      </c>
      <c r="E1440" t="s">
        <v>1504</v>
      </c>
      <c r="F1440">
        <v>5419</v>
      </c>
      <c r="G1440" t="s">
        <v>18</v>
      </c>
      <c r="H1440">
        <v>27</v>
      </c>
      <c r="I1440" t="s">
        <v>19</v>
      </c>
      <c r="J1440">
        <v>1989</v>
      </c>
      <c r="K1440">
        <v>1989</v>
      </c>
      <c r="L1440" t="s">
        <v>20</v>
      </c>
      <c r="M1440">
        <v>61679</v>
      </c>
      <c r="N1440">
        <v>1668</v>
      </c>
    </row>
    <row r="1441" spans="1:14" x14ac:dyDescent="0.35">
      <c r="A1441" t="s">
        <v>1508</v>
      </c>
      <c r="B1441" t="s">
        <v>15</v>
      </c>
      <c r="C1441" t="s">
        <v>16</v>
      </c>
      <c r="D1441">
        <v>110</v>
      </c>
      <c r="E1441" t="s">
        <v>1504</v>
      </c>
      <c r="F1441">
        <v>5419</v>
      </c>
      <c r="G1441" t="s">
        <v>18</v>
      </c>
      <c r="H1441">
        <v>27</v>
      </c>
      <c r="I1441" t="s">
        <v>19</v>
      </c>
      <c r="J1441">
        <v>1990</v>
      </c>
      <c r="K1441">
        <v>1990</v>
      </c>
      <c r="L1441" t="s">
        <v>20</v>
      </c>
      <c r="M1441">
        <v>63279</v>
      </c>
      <c r="N1441">
        <v>1668</v>
      </c>
    </row>
    <row r="1442" spans="1:14" x14ac:dyDescent="0.35">
      <c r="A1442" t="s">
        <v>1509</v>
      </c>
      <c r="B1442" t="s">
        <v>15</v>
      </c>
      <c r="C1442" t="s">
        <v>16</v>
      </c>
      <c r="D1442">
        <v>110</v>
      </c>
      <c r="E1442" t="s">
        <v>1504</v>
      </c>
      <c r="F1442">
        <v>5419</v>
      </c>
      <c r="G1442" t="s">
        <v>18</v>
      </c>
      <c r="H1442">
        <v>27</v>
      </c>
      <c r="I1442" t="s">
        <v>19</v>
      </c>
      <c r="J1442">
        <v>1991</v>
      </c>
      <c r="K1442">
        <v>1991</v>
      </c>
      <c r="L1442" t="s">
        <v>20</v>
      </c>
      <c r="M1442">
        <v>58590</v>
      </c>
      <c r="N1442">
        <v>1668</v>
      </c>
    </row>
    <row r="1443" spans="1:14" x14ac:dyDescent="0.35">
      <c r="A1443" t="s">
        <v>1510</v>
      </c>
      <c r="B1443" t="s">
        <v>15</v>
      </c>
      <c r="C1443" t="s">
        <v>16</v>
      </c>
      <c r="D1443">
        <v>110</v>
      </c>
      <c r="E1443" t="s">
        <v>1504</v>
      </c>
      <c r="F1443">
        <v>5419</v>
      </c>
      <c r="G1443" t="s">
        <v>18</v>
      </c>
      <c r="H1443">
        <v>27</v>
      </c>
      <c r="I1443" t="s">
        <v>19</v>
      </c>
      <c r="J1443">
        <v>1992</v>
      </c>
      <c r="K1443">
        <v>1992</v>
      </c>
      <c r="L1443" t="s">
        <v>20</v>
      </c>
      <c r="M1443">
        <v>62754</v>
      </c>
      <c r="N1443">
        <v>1668</v>
      </c>
    </row>
    <row r="1444" spans="1:14" x14ac:dyDescent="0.35">
      <c r="A1444" t="s">
        <v>1511</v>
      </c>
      <c r="B1444" t="s">
        <v>15</v>
      </c>
      <c r="C1444" t="s">
        <v>16</v>
      </c>
      <c r="D1444">
        <v>110</v>
      </c>
      <c r="E1444" t="s">
        <v>1504</v>
      </c>
      <c r="F1444">
        <v>5419</v>
      </c>
      <c r="G1444" t="s">
        <v>18</v>
      </c>
      <c r="H1444">
        <v>27</v>
      </c>
      <c r="I1444" t="s">
        <v>19</v>
      </c>
      <c r="J1444">
        <v>1993</v>
      </c>
      <c r="K1444">
        <v>1993</v>
      </c>
      <c r="L1444" t="s">
        <v>20</v>
      </c>
      <c r="M1444">
        <v>45783</v>
      </c>
      <c r="N1444">
        <v>1668</v>
      </c>
    </row>
    <row r="1445" spans="1:14" x14ac:dyDescent="0.35">
      <c r="A1445" t="s">
        <v>1512</v>
      </c>
      <c r="B1445" t="s">
        <v>15</v>
      </c>
      <c r="C1445" t="s">
        <v>16</v>
      </c>
      <c r="D1445">
        <v>110</v>
      </c>
      <c r="E1445" t="s">
        <v>1504</v>
      </c>
      <c r="F1445">
        <v>5419</v>
      </c>
      <c r="G1445" t="s">
        <v>18</v>
      </c>
      <c r="H1445">
        <v>27</v>
      </c>
      <c r="I1445" t="s">
        <v>19</v>
      </c>
      <c r="J1445">
        <v>1994</v>
      </c>
      <c r="K1445">
        <v>1994</v>
      </c>
      <c r="L1445" t="s">
        <v>20</v>
      </c>
      <c r="M1445">
        <v>67703</v>
      </c>
      <c r="N1445">
        <v>1668</v>
      </c>
    </row>
    <row r="1446" spans="1:14" x14ac:dyDescent="0.35">
      <c r="A1446" t="s">
        <v>1513</v>
      </c>
      <c r="B1446" t="s">
        <v>15</v>
      </c>
      <c r="C1446" t="s">
        <v>16</v>
      </c>
      <c r="D1446">
        <v>110</v>
      </c>
      <c r="E1446" t="s">
        <v>1504</v>
      </c>
      <c r="F1446">
        <v>5419</v>
      </c>
      <c r="G1446" t="s">
        <v>18</v>
      </c>
      <c r="H1446">
        <v>27</v>
      </c>
      <c r="I1446" t="s">
        <v>19</v>
      </c>
      <c r="J1446">
        <v>1995</v>
      </c>
      <c r="K1446">
        <v>1995</v>
      </c>
      <c r="L1446" t="s">
        <v>20</v>
      </c>
      <c r="M1446">
        <v>63432</v>
      </c>
      <c r="N1446">
        <v>1668</v>
      </c>
    </row>
    <row r="1447" spans="1:14" x14ac:dyDescent="0.35">
      <c r="A1447" t="s">
        <v>1514</v>
      </c>
      <c r="B1447" t="s">
        <v>15</v>
      </c>
      <c r="C1447" t="s">
        <v>16</v>
      </c>
      <c r="D1447">
        <v>110</v>
      </c>
      <c r="E1447" t="s">
        <v>1504</v>
      </c>
      <c r="F1447">
        <v>5419</v>
      </c>
      <c r="G1447" t="s">
        <v>18</v>
      </c>
      <c r="H1447">
        <v>27</v>
      </c>
      <c r="I1447" t="s">
        <v>19</v>
      </c>
      <c r="J1447">
        <v>1996</v>
      </c>
      <c r="K1447">
        <v>1996</v>
      </c>
      <c r="L1447" t="s">
        <v>20</v>
      </c>
      <c r="M1447">
        <v>65402</v>
      </c>
      <c r="N1447">
        <v>1668</v>
      </c>
    </row>
    <row r="1448" spans="1:14" x14ac:dyDescent="0.35">
      <c r="A1448" t="s">
        <v>1515</v>
      </c>
      <c r="B1448" t="s">
        <v>15</v>
      </c>
      <c r="C1448" t="s">
        <v>16</v>
      </c>
      <c r="D1448">
        <v>110</v>
      </c>
      <c r="E1448" t="s">
        <v>1504</v>
      </c>
      <c r="F1448">
        <v>5419</v>
      </c>
      <c r="G1448" t="s">
        <v>18</v>
      </c>
      <c r="H1448">
        <v>27</v>
      </c>
      <c r="I1448" t="s">
        <v>19</v>
      </c>
      <c r="J1448">
        <v>1997</v>
      </c>
      <c r="K1448">
        <v>1997</v>
      </c>
      <c r="L1448" t="s">
        <v>20</v>
      </c>
      <c r="M1448">
        <v>64163</v>
      </c>
      <c r="N1448">
        <v>1668</v>
      </c>
    </row>
    <row r="1449" spans="1:14" x14ac:dyDescent="0.35">
      <c r="A1449" t="s">
        <v>1516</v>
      </c>
      <c r="B1449" t="s">
        <v>15</v>
      </c>
      <c r="C1449" t="s">
        <v>16</v>
      </c>
      <c r="D1449">
        <v>110</v>
      </c>
      <c r="E1449" t="s">
        <v>1504</v>
      </c>
      <c r="F1449">
        <v>5419</v>
      </c>
      <c r="G1449" t="s">
        <v>18</v>
      </c>
      <c r="H1449">
        <v>27</v>
      </c>
      <c r="I1449" t="s">
        <v>19</v>
      </c>
      <c r="J1449">
        <v>1998</v>
      </c>
      <c r="K1449">
        <v>1998</v>
      </c>
      <c r="L1449" t="s">
        <v>20</v>
      </c>
      <c r="M1449">
        <v>62188</v>
      </c>
      <c r="N1449">
        <v>1668</v>
      </c>
    </row>
    <row r="1450" spans="1:14" x14ac:dyDescent="0.35">
      <c r="A1450" t="s">
        <v>1517</v>
      </c>
      <c r="B1450" t="s">
        <v>15</v>
      </c>
      <c r="C1450" t="s">
        <v>16</v>
      </c>
      <c r="D1450">
        <v>110</v>
      </c>
      <c r="E1450" t="s">
        <v>1504</v>
      </c>
      <c r="F1450">
        <v>5419</v>
      </c>
      <c r="G1450" t="s">
        <v>18</v>
      </c>
      <c r="H1450">
        <v>27</v>
      </c>
      <c r="I1450" t="s">
        <v>19</v>
      </c>
      <c r="J1450">
        <v>1999</v>
      </c>
      <c r="K1450">
        <v>1999</v>
      </c>
      <c r="L1450" t="s">
        <v>20</v>
      </c>
      <c r="M1450">
        <v>64143</v>
      </c>
      <c r="N1450">
        <v>1668</v>
      </c>
    </row>
    <row r="1451" spans="1:14" x14ac:dyDescent="0.35">
      <c r="A1451" t="s">
        <v>1518</v>
      </c>
      <c r="B1451" t="s">
        <v>15</v>
      </c>
      <c r="C1451" t="s">
        <v>16</v>
      </c>
      <c r="D1451">
        <v>110</v>
      </c>
      <c r="E1451" t="s">
        <v>1504</v>
      </c>
      <c r="F1451">
        <v>5419</v>
      </c>
      <c r="G1451" t="s">
        <v>18</v>
      </c>
      <c r="H1451">
        <v>27</v>
      </c>
      <c r="I1451" t="s">
        <v>19</v>
      </c>
      <c r="J1451">
        <v>2000</v>
      </c>
      <c r="K1451">
        <v>2000</v>
      </c>
      <c r="L1451" t="s">
        <v>20</v>
      </c>
      <c r="M1451">
        <v>67023</v>
      </c>
      <c r="N1451">
        <v>1668</v>
      </c>
    </row>
    <row r="1452" spans="1:14" x14ac:dyDescent="0.35">
      <c r="A1452" t="s">
        <v>1519</v>
      </c>
      <c r="B1452" t="s">
        <v>15</v>
      </c>
      <c r="C1452" t="s">
        <v>16</v>
      </c>
      <c r="D1452">
        <v>110</v>
      </c>
      <c r="E1452" t="s">
        <v>1504</v>
      </c>
      <c r="F1452">
        <v>5419</v>
      </c>
      <c r="G1452" t="s">
        <v>18</v>
      </c>
      <c r="H1452">
        <v>27</v>
      </c>
      <c r="I1452" t="s">
        <v>19</v>
      </c>
      <c r="J1452">
        <v>2001</v>
      </c>
      <c r="K1452">
        <v>2001</v>
      </c>
      <c r="L1452" t="s">
        <v>20</v>
      </c>
      <c r="M1452">
        <v>66354</v>
      </c>
      <c r="N1452">
        <v>1668</v>
      </c>
    </row>
    <row r="1453" spans="1:14" x14ac:dyDescent="0.35">
      <c r="A1453" t="s">
        <v>1520</v>
      </c>
      <c r="B1453" t="s">
        <v>15</v>
      </c>
      <c r="C1453" t="s">
        <v>16</v>
      </c>
      <c r="D1453">
        <v>110</v>
      </c>
      <c r="E1453" t="s">
        <v>1504</v>
      </c>
      <c r="F1453">
        <v>5419</v>
      </c>
      <c r="G1453" t="s">
        <v>18</v>
      </c>
      <c r="H1453">
        <v>27</v>
      </c>
      <c r="I1453" t="s">
        <v>19</v>
      </c>
      <c r="J1453">
        <v>2002</v>
      </c>
      <c r="K1453">
        <v>2002</v>
      </c>
      <c r="L1453" t="s">
        <v>20</v>
      </c>
      <c r="M1453">
        <v>65823</v>
      </c>
      <c r="N1453">
        <v>1668</v>
      </c>
    </row>
    <row r="1454" spans="1:14" x14ac:dyDescent="0.35">
      <c r="A1454" t="s">
        <v>1521</v>
      </c>
      <c r="B1454" t="s">
        <v>15</v>
      </c>
      <c r="C1454" t="s">
        <v>16</v>
      </c>
      <c r="D1454">
        <v>110</v>
      </c>
      <c r="E1454" t="s">
        <v>1504</v>
      </c>
      <c r="F1454">
        <v>5419</v>
      </c>
      <c r="G1454" t="s">
        <v>18</v>
      </c>
      <c r="H1454">
        <v>27</v>
      </c>
      <c r="I1454" t="s">
        <v>19</v>
      </c>
      <c r="J1454">
        <v>2004</v>
      </c>
      <c r="K1454">
        <v>2004</v>
      </c>
      <c r="L1454" t="s">
        <v>20</v>
      </c>
      <c r="M1454">
        <v>64150</v>
      </c>
      <c r="N1454">
        <v>1668</v>
      </c>
    </row>
    <row r="1455" spans="1:14" x14ac:dyDescent="0.35">
      <c r="A1455" t="s">
        <v>1522</v>
      </c>
      <c r="B1455" t="s">
        <v>15</v>
      </c>
      <c r="C1455" t="s">
        <v>16</v>
      </c>
      <c r="D1455">
        <v>110</v>
      </c>
      <c r="E1455" t="s">
        <v>1504</v>
      </c>
      <c r="F1455">
        <v>5419</v>
      </c>
      <c r="G1455" t="s">
        <v>18</v>
      </c>
      <c r="H1455">
        <v>27</v>
      </c>
      <c r="I1455" t="s">
        <v>19</v>
      </c>
      <c r="J1455">
        <v>2005</v>
      </c>
      <c r="K1455">
        <v>2005</v>
      </c>
      <c r="L1455" t="s">
        <v>20</v>
      </c>
      <c r="M1455">
        <v>66483</v>
      </c>
      <c r="N1455">
        <v>1668</v>
      </c>
    </row>
    <row r="1456" spans="1:14" x14ac:dyDescent="0.35">
      <c r="A1456" t="s">
        <v>1523</v>
      </c>
      <c r="B1456" t="s">
        <v>15</v>
      </c>
      <c r="C1456" t="s">
        <v>16</v>
      </c>
      <c r="D1456">
        <v>110</v>
      </c>
      <c r="E1456" t="s">
        <v>1504</v>
      </c>
      <c r="F1456">
        <v>5419</v>
      </c>
      <c r="G1456" t="s">
        <v>18</v>
      </c>
      <c r="H1456">
        <v>27</v>
      </c>
      <c r="I1456" t="s">
        <v>19</v>
      </c>
      <c r="J1456">
        <v>2006</v>
      </c>
      <c r="K1456">
        <v>2006</v>
      </c>
      <c r="L1456" t="s">
        <v>20</v>
      </c>
      <c r="M1456">
        <v>63359</v>
      </c>
      <c r="N1456">
        <v>1668</v>
      </c>
    </row>
    <row r="1457" spans="1:14" x14ac:dyDescent="0.35">
      <c r="A1457" t="s">
        <v>1524</v>
      </c>
      <c r="B1457" t="s">
        <v>15</v>
      </c>
      <c r="C1457" t="s">
        <v>16</v>
      </c>
      <c r="D1457">
        <v>110</v>
      </c>
      <c r="E1457" t="s">
        <v>1504</v>
      </c>
      <c r="F1457">
        <v>5419</v>
      </c>
      <c r="G1457" t="s">
        <v>18</v>
      </c>
      <c r="H1457">
        <v>27</v>
      </c>
      <c r="I1457" t="s">
        <v>19</v>
      </c>
      <c r="J1457">
        <v>2007</v>
      </c>
      <c r="K1457">
        <v>2007</v>
      </c>
      <c r="L1457" t="s">
        <v>20</v>
      </c>
      <c r="M1457">
        <v>65111</v>
      </c>
      <c r="N1457">
        <v>1668</v>
      </c>
    </row>
    <row r="1458" spans="1:14" x14ac:dyDescent="0.35">
      <c r="A1458" t="s">
        <v>1525</v>
      </c>
      <c r="B1458" t="s">
        <v>15</v>
      </c>
      <c r="C1458" t="s">
        <v>16</v>
      </c>
      <c r="D1458">
        <v>110</v>
      </c>
      <c r="E1458" t="s">
        <v>1504</v>
      </c>
      <c r="F1458">
        <v>5419</v>
      </c>
      <c r="G1458" t="s">
        <v>18</v>
      </c>
      <c r="H1458">
        <v>27</v>
      </c>
      <c r="I1458" t="s">
        <v>19</v>
      </c>
      <c r="J1458">
        <v>2008</v>
      </c>
      <c r="K1458">
        <v>2008</v>
      </c>
      <c r="L1458" t="s">
        <v>20</v>
      </c>
      <c r="M1458">
        <v>67786</v>
      </c>
      <c r="N1458">
        <v>1668</v>
      </c>
    </row>
    <row r="1459" spans="1:14" x14ac:dyDescent="0.35">
      <c r="A1459" t="s">
        <v>1526</v>
      </c>
      <c r="B1459" t="s">
        <v>15</v>
      </c>
      <c r="C1459" t="s">
        <v>16</v>
      </c>
      <c r="D1459">
        <v>110</v>
      </c>
      <c r="E1459" t="s">
        <v>1504</v>
      </c>
      <c r="F1459">
        <v>5419</v>
      </c>
      <c r="G1459" t="s">
        <v>18</v>
      </c>
      <c r="H1459">
        <v>27</v>
      </c>
      <c r="I1459" t="s">
        <v>19</v>
      </c>
      <c r="J1459">
        <v>2009</v>
      </c>
      <c r="K1459">
        <v>2009</v>
      </c>
      <c r="L1459" t="s">
        <v>20</v>
      </c>
      <c r="M1459">
        <v>65222</v>
      </c>
      <c r="N1459">
        <v>1668</v>
      </c>
    </row>
    <row r="1460" spans="1:14" x14ac:dyDescent="0.35">
      <c r="A1460" t="s">
        <v>1527</v>
      </c>
      <c r="B1460" t="s">
        <v>15</v>
      </c>
      <c r="C1460" t="s">
        <v>16</v>
      </c>
      <c r="D1460">
        <v>110</v>
      </c>
      <c r="E1460" t="s">
        <v>1504</v>
      </c>
      <c r="F1460">
        <v>5419</v>
      </c>
      <c r="G1460" t="s">
        <v>18</v>
      </c>
      <c r="H1460">
        <v>27</v>
      </c>
      <c r="I1460" t="s">
        <v>19</v>
      </c>
      <c r="J1460">
        <v>2010</v>
      </c>
      <c r="K1460">
        <v>2010</v>
      </c>
      <c r="L1460" t="s">
        <v>20</v>
      </c>
      <c r="M1460">
        <v>65135</v>
      </c>
      <c r="N1460">
        <v>1668</v>
      </c>
    </row>
    <row r="1461" spans="1:14" x14ac:dyDescent="0.35">
      <c r="A1461" t="s">
        <v>1528</v>
      </c>
      <c r="B1461" t="s">
        <v>15</v>
      </c>
      <c r="C1461" t="s">
        <v>16</v>
      </c>
      <c r="D1461">
        <v>110</v>
      </c>
      <c r="E1461" t="s">
        <v>1504</v>
      </c>
      <c r="F1461">
        <v>5419</v>
      </c>
      <c r="G1461" t="s">
        <v>18</v>
      </c>
      <c r="H1461">
        <v>27</v>
      </c>
      <c r="I1461" t="s">
        <v>19</v>
      </c>
      <c r="J1461">
        <v>2011</v>
      </c>
      <c r="K1461">
        <v>2011</v>
      </c>
      <c r="L1461" t="s">
        <v>20</v>
      </c>
      <c r="M1461">
        <v>66624</v>
      </c>
      <c r="N1461">
        <v>1668</v>
      </c>
    </row>
    <row r="1462" spans="1:14" x14ac:dyDescent="0.35">
      <c r="A1462" t="s">
        <v>1529</v>
      </c>
      <c r="B1462" t="s">
        <v>15</v>
      </c>
      <c r="C1462" t="s">
        <v>16</v>
      </c>
      <c r="D1462">
        <v>110</v>
      </c>
      <c r="E1462" t="s">
        <v>1504</v>
      </c>
      <c r="F1462">
        <v>5419</v>
      </c>
      <c r="G1462" t="s">
        <v>18</v>
      </c>
      <c r="H1462">
        <v>27</v>
      </c>
      <c r="I1462" t="s">
        <v>19</v>
      </c>
      <c r="J1462">
        <v>2012</v>
      </c>
      <c r="K1462">
        <v>2012</v>
      </c>
      <c r="L1462" t="s">
        <v>20</v>
      </c>
      <c r="M1462">
        <v>67388</v>
      </c>
      <c r="N1462">
        <v>1668</v>
      </c>
    </row>
    <row r="1463" spans="1:14" x14ac:dyDescent="0.35">
      <c r="A1463" t="s">
        <v>1530</v>
      </c>
      <c r="B1463" t="s">
        <v>15</v>
      </c>
      <c r="C1463" t="s">
        <v>16</v>
      </c>
      <c r="D1463">
        <v>110</v>
      </c>
      <c r="E1463" t="s">
        <v>1504</v>
      </c>
      <c r="F1463">
        <v>5419</v>
      </c>
      <c r="G1463" t="s">
        <v>18</v>
      </c>
      <c r="H1463">
        <v>27</v>
      </c>
      <c r="I1463" t="s">
        <v>19</v>
      </c>
      <c r="J1463">
        <v>2013</v>
      </c>
      <c r="K1463">
        <v>2013</v>
      </c>
      <c r="L1463" t="s">
        <v>20</v>
      </c>
      <c r="M1463">
        <v>67280</v>
      </c>
      <c r="N1463">
        <v>1668</v>
      </c>
    </row>
    <row r="1464" spans="1:14" x14ac:dyDescent="0.35">
      <c r="A1464" t="s">
        <v>1531</v>
      </c>
      <c r="B1464" t="s">
        <v>15</v>
      </c>
      <c r="C1464" t="s">
        <v>16</v>
      </c>
      <c r="D1464">
        <v>110</v>
      </c>
      <c r="E1464" t="s">
        <v>1504</v>
      </c>
      <c r="F1464">
        <v>5419</v>
      </c>
      <c r="G1464" t="s">
        <v>18</v>
      </c>
      <c r="H1464">
        <v>27</v>
      </c>
      <c r="I1464" t="s">
        <v>19</v>
      </c>
      <c r="J1464">
        <v>2014</v>
      </c>
      <c r="K1464">
        <v>2014</v>
      </c>
      <c r="L1464" t="s">
        <v>20</v>
      </c>
      <c r="M1464">
        <v>66978</v>
      </c>
      <c r="N1464">
        <v>1668</v>
      </c>
    </row>
    <row r="1465" spans="1:14" x14ac:dyDescent="0.35">
      <c r="A1465" t="s">
        <v>1532</v>
      </c>
      <c r="B1465" t="s">
        <v>15</v>
      </c>
      <c r="C1465" t="s">
        <v>16</v>
      </c>
      <c r="D1465">
        <v>110</v>
      </c>
      <c r="E1465" t="s">
        <v>1504</v>
      </c>
      <c r="F1465">
        <v>5419</v>
      </c>
      <c r="G1465" t="s">
        <v>18</v>
      </c>
      <c r="H1465">
        <v>27</v>
      </c>
      <c r="I1465" t="s">
        <v>19</v>
      </c>
      <c r="J1465">
        <v>2015</v>
      </c>
      <c r="K1465">
        <v>2015</v>
      </c>
      <c r="L1465" t="s">
        <v>20</v>
      </c>
      <c r="M1465">
        <v>66308</v>
      </c>
      <c r="N1465">
        <v>1668</v>
      </c>
    </row>
    <row r="1466" spans="1:14" x14ac:dyDescent="0.35">
      <c r="A1466" t="s">
        <v>1533</v>
      </c>
      <c r="B1466" t="s">
        <v>15</v>
      </c>
      <c r="C1466" t="s">
        <v>16</v>
      </c>
      <c r="D1466">
        <v>110</v>
      </c>
      <c r="E1466" t="s">
        <v>1504</v>
      </c>
      <c r="F1466">
        <v>5419</v>
      </c>
      <c r="G1466" t="s">
        <v>18</v>
      </c>
      <c r="H1466">
        <v>27</v>
      </c>
      <c r="I1466" t="s">
        <v>19</v>
      </c>
      <c r="J1466">
        <v>2016</v>
      </c>
      <c r="K1466">
        <v>2016</v>
      </c>
      <c r="L1466" t="s">
        <v>20</v>
      </c>
      <c r="M1466">
        <v>54388</v>
      </c>
      <c r="N1466">
        <v>1668</v>
      </c>
    </row>
    <row r="1467" spans="1:14" x14ac:dyDescent="0.35">
      <c r="A1467" t="s">
        <v>1534</v>
      </c>
      <c r="B1467" t="s">
        <v>15</v>
      </c>
      <c r="C1467" t="s">
        <v>16</v>
      </c>
      <c r="D1467">
        <v>108</v>
      </c>
      <c r="E1467" t="s">
        <v>1535</v>
      </c>
      <c r="F1467">
        <v>5419</v>
      </c>
      <c r="G1467" t="s">
        <v>18</v>
      </c>
      <c r="H1467">
        <v>27</v>
      </c>
      <c r="I1467" t="s">
        <v>19</v>
      </c>
      <c r="J1467">
        <v>1992</v>
      </c>
      <c r="K1467">
        <v>1992</v>
      </c>
      <c r="L1467" t="s">
        <v>20</v>
      </c>
      <c r="M1467">
        <v>39915</v>
      </c>
      <c r="N1467">
        <v>250</v>
      </c>
    </row>
    <row r="1468" spans="1:14" x14ac:dyDescent="0.35">
      <c r="A1468" t="s">
        <v>1536</v>
      </c>
      <c r="B1468" t="s">
        <v>15</v>
      </c>
      <c r="C1468" t="s">
        <v>16</v>
      </c>
      <c r="D1468">
        <v>108</v>
      </c>
      <c r="E1468" t="s">
        <v>1535</v>
      </c>
      <c r="F1468">
        <v>5419</v>
      </c>
      <c r="G1468" t="s">
        <v>18</v>
      </c>
      <c r="H1468">
        <v>27</v>
      </c>
      <c r="I1468" t="s">
        <v>19</v>
      </c>
      <c r="J1468">
        <v>1993</v>
      </c>
      <c r="K1468">
        <v>1993</v>
      </c>
      <c r="L1468" t="s">
        <v>20</v>
      </c>
      <c r="M1468">
        <v>36871</v>
      </c>
      <c r="N1468">
        <v>250</v>
      </c>
    </row>
    <row r="1469" spans="1:14" x14ac:dyDescent="0.35">
      <c r="A1469" t="s">
        <v>1537</v>
      </c>
      <c r="B1469" t="s">
        <v>15</v>
      </c>
      <c r="C1469" t="s">
        <v>16</v>
      </c>
      <c r="D1469">
        <v>108</v>
      </c>
      <c r="E1469" t="s">
        <v>1535</v>
      </c>
      <c r="F1469">
        <v>5419</v>
      </c>
      <c r="G1469" t="s">
        <v>18</v>
      </c>
      <c r="H1469">
        <v>27</v>
      </c>
      <c r="I1469" t="s">
        <v>19</v>
      </c>
      <c r="J1469">
        <v>1994</v>
      </c>
      <c r="K1469">
        <v>1994</v>
      </c>
      <c r="L1469" t="s">
        <v>20</v>
      </c>
      <c r="M1469">
        <v>27937</v>
      </c>
      <c r="N1469">
        <v>250</v>
      </c>
    </row>
    <row r="1470" spans="1:14" x14ac:dyDescent="0.35">
      <c r="A1470" t="s">
        <v>1538</v>
      </c>
      <c r="B1470" t="s">
        <v>15</v>
      </c>
      <c r="C1470" t="s">
        <v>16</v>
      </c>
      <c r="D1470">
        <v>108</v>
      </c>
      <c r="E1470" t="s">
        <v>1535</v>
      </c>
      <c r="F1470">
        <v>5419</v>
      </c>
      <c r="G1470" t="s">
        <v>18</v>
      </c>
      <c r="H1470">
        <v>27</v>
      </c>
      <c r="I1470" t="s">
        <v>19</v>
      </c>
      <c r="J1470">
        <v>1995</v>
      </c>
      <c r="K1470">
        <v>1995</v>
      </c>
      <c r="L1470" t="s">
        <v>20</v>
      </c>
      <c r="M1470">
        <v>21932</v>
      </c>
      <c r="N1470">
        <v>250</v>
      </c>
    </row>
    <row r="1471" spans="1:14" x14ac:dyDescent="0.35">
      <c r="A1471" t="s">
        <v>1539</v>
      </c>
      <c r="B1471" t="s">
        <v>15</v>
      </c>
      <c r="C1471" t="s">
        <v>16</v>
      </c>
      <c r="D1471">
        <v>108</v>
      </c>
      <c r="E1471" t="s">
        <v>1535</v>
      </c>
      <c r="F1471">
        <v>5419</v>
      </c>
      <c r="G1471" t="s">
        <v>18</v>
      </c>
      <c r="H1471">
        <v>27</v>
      </c>
      <c r="I1471" t="s">
        <v>19</v>
      </c>
      <c r="J1471">
        <v>1996</v>
      </c>
      <c r="K1471">
        <v>1996</v>
      </c>
      <c r="L1471" t="s">
        <v>20</v>
      </c>
      <c r="M1471">
        <v>26155</v>
      </c>
      <c r="N1471">
        <v>250</v>
      </c>
    </row>
    <row r="1472" spans="1:14" x14ac:dyDescent="0.35">
      <c r="A1472" t="s">
        <v>1540</v>
      </c>
      <c r="B1472" t="s">
        <v>15</v>
      </c>
      <c r="C1472" t="s">
        <v>16</v>
      </c>
      <c r="D1472">
        <v>108</v>
      </c>
      <c r="E1472" t="s">
        <v>1535</v>
      </c>
      <c r="F1472">
        <v>5419</v>
      </c>
      <c r="G1472" t="s">
        <v>18</v>
      </c>
      <c r="H1472">
        <v>27</v>
      </c>
      <c r="I1472" t="s">
        <v>19</v>
      </c>
      <c r="J1472">
        <v>1997</v>
      </c>
      <c r="K1472">
        <v>1997</v>
      </c>
      <c r="L1472" t="s">
        <v>20</v>
      </c>
      <c r="M1472">
        <v>30765</v>
      </c>
      <c r="N1472">
        <v>250</v>
      </c>
    </row>
    <row r="1473" spans="1:14" x14ac:dyDescent="0.35">
      <c r="A1473" t="s">
        <v>1541</v>
      </c>
      <c r="B1473" t="s">
        <v>15</v>
      </c>
      <c r="C1473" t="s">
        <v>16</v>
      </c>
      <c r="D1473">
        <v>108</v>
      </c>
      <c r="E1473" t="s">
        <v>1535</v>
      </c>
      <c r="F1473">
        <v>5419</v>
      </c>
      <c r="G1473" t="s">
        <v>18</v>
      </c>
      <c r="H1473">
        <v>27</v>
      </c>
      <c r="I1473" t="s">
        <v>19</v>
      </c>
      <c r="J1473">
        <v>1998</v>
      </c>
      <c r="K1473">
        <v>1998</v>
      </c>
      <c r="L1473" t="s">
        <v>20</v>
      </c>
      <c r="M1473">
        <v>32162</v>
      </c>
      <c r="N1473">
        <v>250</v>
      </c>
    </row>
    <row r="1474" spans="1:14" x14ac:dyDescent="0.35">
      <c r="A1474" t="s">
        <v>1542</v>
      </c>
      <c r="B1474" t="s">
        <v>15</v>
      </c>
      <c r="C1474" t="s">
        <v>16</v>
      </c>
      <c r="D1474">
        <v>108</v>
      </c>
      <c r="E1474" t="s">
        <v>1535</v>
      </c>
      <c r="F1474">
        <v>5419</v>
      </c>
      <c r="G1474" t="s">
        <v>18</v>
      </c>
      <c r="H1474">
        <v>27</v>
      </c>
      <c r="I1474" t="s">
        <v>19</v>
      </c>
      <c r="J1474">
        <v>1999</v>
      </c>
      <c r="K1474">
        <v>1999</v>
      </c>
      <c r="L1474" t="s">
        <v>20</v>
      </c>
      <c r="M1474">
        <v>28070</v>
      </c>
      <c r="N1474">
        <v>250</v>
      </c>
    </row>
    <row r="1475" spans="1:14" x14ac:dyDescent="0.35">
      <c r="A1475" t="s">
        <v>1543</v>
      </c>
      <c r="B1475" t="s">
        <v>15</v>
      </c>
      <c r="C1475" t="s">
        <v>16</v>
      </c>
      <c r="D1475">
        <v>108</v>
      </c>
      <c r="E1475" t="s">
        <v>1535</v>
      </c>
      <c r="F1475">
        <v>5419</v>
      </c>
      <c r="G1475" t="s">
        <v>18</v>
      </c>
      <c r="H1475">
        <v>27</v>
      </c>
      <c r="I1475" t="s">
        <v>19</v>
      </c>
      <c r="J1475">
        <v>2000</v>
      </c>
      <c r="K1475">
        <v>2000</v>
      </c>
      <c r="L1475" t="s">
        <v>20</v>
      </c>
      <c r="M1475">
        <v>29723</v>
      </c>
      <c r="N1475">
        <v>250</v>
      </c>
    </row>
    <row r="1476" spans="1:14" x14ac:dyDescent="0.35">
      <c r="A1476" t="s">
        <v>1544</v>
      </c>
      <c r="B1476" t="s">
        <v>15</v>
      </c>
      <c r="C1476" t="s">
        <v>16</v>
      </c>
      <c r="D1476">
        <v>108</v>
      </c>
      <c r="E1476" t="s">
        <v>1535</v>
      </c>
      <c r="F1476">
        <v>5419</v>
      </c>
      <c r="G1476" t="s">
        <v>18</v>
      </c>
      <c r="H1476">
        <v>27</v>
      </c>
      <c r="I1476" t="s">
        <v>19</v>
      </c>
      <c r="J1476">
        <v>2001</v>
      </c>
      <c r="K1476">
        <v>2001</v>
      </c>
      <c r="L1476" t="s">
        <v>20</v>
      </c>
      <c r="M1476">
        <v>28714</v>
      </c>
      <c r="N1476">
        <v>250</v>
      </c>
    </row>
    <row r="1477" spans="1:14" x14ac:dyDescent="0.35">
      <c r="A1477" t="s">
        <v>1545</v>
      </c>
      <c r="B1477" t="s">
        <v>15</v>
      </c>
      <c r="C1477" t="s">
        <v>16</v>
      </c>
      <c r="D1477">
        <v>108</v>
      </c>
      <c r="E1477" t="s">
        <v>1535</v>
      </c>
      <c r="F1477">
        <v>5419</v>
      </c>
      <c r="G1477" t="s">
        <v>18</v>
      </c>
      <c r="H1477">
        <v>27</v>
      </c>
      <c r="I1477" t="s">
        <v>19</v>
      </c>
      <c r="J1477">
        <v>2002</v>
      </c>
      <c r="K1477">
        <v>2002</v>
      </c>
      <c r="L1477" t="s">
        <v>20</v>
      </c>
      <c r="M1477">
        <v>30288</v>
      </c>
      <c r="N1477">
        <v>250</v>
      </c>
    </row>
    <row r="1478" spans="1:14" x14ac:dyDescent="0.35">
      <c r="A1478" t="s">
        <v>1546</v>
      </c>
      <c r="B1478" t="s">
        <v>15</v>
      </c>
      <c r="C1478" t="s">
        <v>16</v>
      </c>
      <c r="D1478">
        <v>108</v>
      </c>
      <c r="E1478" t="s">
        <v>1535</v>
      </c>
      <c r="F1478">
        <v>5419</v>
      </c>
      <c r="G1478" t="s">
        <v>18</v>
      </c>
      <c r="H1478">
        <v>27</v>
      </c>
      <c r="I1478" t="s">
        <v>19</v>
      </c>
      <c r="J1478">
        <v>2004</v>
      </c>
      <c r="K1478">
        <v>2004</v>
      </c>
      <c r="L1478" t="s">
        <v>20</v>
      </c>
      <c r="M1478">
        <v>34182</v>
      </c>
      <c r="N1478">
        <v>250</v>
      </c>
    </row>
    <row r="1479" spans="1:14" x14ac:dyDescent="0.35">
      <c r="A1479" t="s">
        <v>1547</v>
      </c>
      <c r="B1479" t="s">
        <v>15</v>
      </c>
      <c r="C1479" t="s">
        <v>16</v>
      </c>
      <c r="D1479">
        <v>108</v>
      </c>
      <c r="E1479" t="s">
        <v>1535</v>
      </c>
      <c r="F1479">
        <v>5419</v>
      </c>
      <c r="G1479" t="s">
        <v>18</v>
      </c>
      <c r="H1479">
        <v>27</v>
      </c>
      <c r="I1479" t="s">
        <v>19</v>
      </c>
      <c r="J1479">
        <v>2005</v>
      </c>
      <c r="K1479">
        <v>2005</v>
      </c>
      <c r="L1479" t="s">
        <v>20</v>
      </c>
      <c r="M1479">
        <v>33518</v>
      </c>
      <c r="N1479">
        <v>250</v>
      </c>
    </row>
    <row r="1480" spans="1:14" x14ac:dyDescent="0.35">
      <c r="A1480" t="s">
        <v>1548</v>
      </c>
      <c r="B1480" t="s">
        <v>15</v>
      </c>
      <c r="C1480" t="s">
        <v>16</v>
      </c>
      <c r="D1480">
        <v>108</v>
      </c>
      <c r="E1480" t="s">
        <v>1535</v>
      </c>
      <c r="F1480">
        <v>5419</v>
      </c>
      <c r="G1480" t="s">
        <v>18</v>
      </c>
      <c r="H1480">
        <v>27</v>
      </c>
      <c r="I1480" t="s">
        <v>19</v>
      </c>
      <c r="J1480">
        <v>2006</v>
      </c>
      <c r="K1480">
        <v>2006</v>
      </c>
      <c r="L1480" t="s">
        <v>20</v>
      </c>
      <c r="M1480">
        <v>32966</v>
      </c>
      <c r="N1480">
        <v>250</v>
      </c>
    </row>
    <row r="1481" spans="1:14" x14ac:dyDescent="0.35">
      <c r="A1481" t="s">
        <v>1549</v>
      </c>
      <c r="B1481" t="s">
        <v>15</v>
      </c>
      <c r="C1481" t="s">
        <v>16</v>
      </c>
      <c r="D1481">
        <v>108</v>
      </c>
      <c r="E1481" t="s">
        <v>1535</v>
      </c>
      <c r="F1481">
        <v>5419</v>
      </c>
      <c r="G1481" t="s">
        <v>18</v>
      </c>
      <c r="H1481">
        <v>27</v>
      </c>
      <c r="I1481" t="s">
        <v>19</v>
      </c>
      <c r="J1481">
        <v>2007</v>
      </c>
      <c r="K1481">
        <v>2007</v>
      </c>
      <c r="L1481" t="s">
        <v>20</v>
      </c>
      <c r="M1481">
        <v>33678</v>
      </c>
      <c r="N1481">
        <v>250</v>
      </c>
    </row>
    <row r="1482" spans="1:14" x14ac:dyDescent="0.35">
      <c r="A1482" t="s">
        <v>1550</v>
      </c>
      <c r="B1482" t="s">
        <v>15</v>
      </c>
      <c r="C1482" t="s">
        <v>16</v>
      </c>
      <c r="D1482">
        <v>108</v>
      </c>
      <c r="E1482" t="s">
        <v>1535</v>
      </c>
      <c r="F1482">
        <v>5419</v>
      </c>
      <c r="G1482" t="s">
        <v>18</v>
      </c>
      <c r="H1482">
        <v>27</v>
      </c>
      <c r="I1482" t="s">
        <v>19</v>
      </c>
      <c r="J1482">
        <v>2008</v>
      </c>
      <c r="K1482">
        <v>2008</v>
      </c>
      <c r="L1482" t="s">
        <v>20</v>
      </c>
      <c r="M1482">
        <v>33736</v>
      </c>
      <c r="N1482">
        <v>250</v>
      </c>
    </row>
    <row r="1483" spans="1:14" x14ac:dyDescent="0.35">
      <c r="A1483" t="s">
        <v>1551</v>
      </c>
      <c r="B1483" t="s">
        <v>15</v>
      </c>
      <c r="C1483" t="s">
        <v>16</v>
      </c>
      <c r="D1483">
        <v>108</v>
      </c>
      <c r="E1483" t="s">
        <v>1535</v>
      </c>
      <c r="F1483">
        <v>5419</v>
      </c>
      <c r="G1483" t="s">
        <v>18</v>
      </c>
      <c r="H1483">
        <v>27</v>
      </c>
      <c r="I1483" t="s">
        <v>19</v>
      </c>
      <c r="J1483">
        <v>2009</v>
      </c>
      <c r="K1483">
        <v>2009</v>
      </c>
      <c r="L1483" t="s">
        <v>20</v>
      </c>
      <c r="M1483">
        <v>35323</v>
      </c>
      <c r="N1483">
        <v>250</v>
      </c>
    </row>
    <row r="1484" spans="1:14" x14ac:dyDescent="0.35">
      <c r="A1484" t="s">
        <v>1552</v>
      </c>
      <c r="B1484" t="s">
        <v>15</v>
      </c>
      <c r="C1484" t="s">
        <v>16</v>
      </c>
      <c r="D1484">
        <v>108</v>
      </c>
      <c r="E1484" t="s">
        <v>1535</v>
      </c>
      <c r="F1484">
        <v>5419</v>
      </c>
      <c r="G1484" t="s">
        <v>18</v>
      </c>
      <c r="H1484">
        <v>27</v>
      </c>
      <c r="I1484" t="s">
        <v>19</v>
      </c>
      <c r="J1484">
        <v>2010</v>
      </c>
      <c r="K1484">
        <v>2010</v>
      </c>
      <c r="L1484" t="s">
        <v>20</v>
      </c>
      <c r="M1484">
        <v>39697</v>
      </c>
      <c r="N1484">
        <v>250</v>
      </c>
    </row>
    <row r="1485" spans="1:14" x14ac:dyDescent="0.35">
      <c r="A1485" t="s">
        <v>1553</v>
      </c>
      <c r="B1485" t="s">
        <v>15</v>
      </c>
      <c r="C1485" t="s">
        <v>16</v>
      </c>
      <c r="D1485">
        <v>108</v>
      </c>
      <c r="E1485" t="s">
        <v>1535</v>
      </c>
      <c r="F1485">
        <v>5419</v>
      </c>
      <c r="G1485" t="s">
        <v>18</v>
      </c>
      <c r="H1485">
        <v>27</v>
      </c>
      <c r="I1485" t="s">
        <v>19</v>
      </c>
      <c r="J1485">
        <v>2011</v>
      </c>
      <c r="K1485">
        <v>2011</v>
      </c>
      <c r="L1485" t="s">
        <v>20</v>
      </c>
      <c r="M1485">
        <v>37152</v>
      </c>
      <c r="N1485">
        <v>250</v>
      </c>
    </row>
    <row r="1486" spans="1:14" x14ac:dyDescent="0.35">
      <c r="A1486" t="s">
        <v>1554</v>
      </c>
      <c r="B1486" t="s">
        <v>15</v>
      </c>
      <c r="C1486" t="s">
        <v>16</v>
      </c>
      <c r="D1486">
        <v>108</v>
      </c>
      <c r="E1486" t="s">
        <v>1535</v>
      </c>
      <c r="F1486">
        <v>5419</v>
      </c>
      <c r="G1486" t="s">
        <v>18</v>
      </c>
      <c r="H1486">
        <v>27</v>
      </c>
      <c r="I1486" t="s">
        <v>19</v>
      </c>
      <c r="J1486">
        <v>2012</v>
      </c>
      <c r="K1486">
        <v>2012</v>
      </c>
      <c r="L1486" t="s">
        <v>20</v>
      </c>
      <c r="M1486">
        <v>37712</v>
      </c>
      <c r="N1486">
        <v>250</v>
      </c>
    </row>
    <row r="1487" spans="1:14" x14ac:dyDescent="0.35">
      <c r="A1487" t="s">
        <v>1555</v>
      </c>
      <c r="B1487" t="s">
        <v>15</v>
      </c>
      <c r="C1487" t="s">
        <v>16</v>
      </c>
      <c r="D1487">
        <v>108</v>
      </c>
      <c r="E1487" t="s">
        <v>1535</v>
      </c>
      <c r="F1487">
        <v>5419</v>
      </c>
      <c r="G1487" t="s">
        <v>18</v>
      </c>
      <c r="H1487">
        <v>27</v>
      </c>
      <c r="I1487" t="s">
        <v>19</v>
      </c>
      <c r="J1487">
        <v>2013</v>
      </c>
      <c r="K1487">
        <v>2013</v>
      </c>
      <c r="L1487" t="s">
        <v>20</v>
      </c>
      <c r="M1487">
        <v>38500</v>
      </c>
      <c r="N1487">
        <v>250</v>
      </c>
    </row>
    <row r="1488" spans="1:14" x14ac:dyDescent="0.35">
      <c r="A1488" t="s">
        <v>1556</v>
      </c>
      <c r="B1488" t="s">
        <v>15</v>
      </c>
      <c r="C1488" t="s">
        <v>16</v>
      </c>
      <c r="D1488">
        <v>108</v>
      </c>
      <c r="E1488" t="s">
        <v>1535</v>
      </c>
      <c r="F1488">
        <v>5419</v>
      </c>
      <c r="G1488" t="s">
        <v>18</v>
      </c>
      <c r="H1488">
        <v>27</v>
      </c>
      <c r="I1488" t="s">
        <v>19</v>
      </c>
      <c r="J1488">
        <v>2014</v>
      </c>
      <c r="K1488">
        <v>2014</v>
      </c>
      <c r="L1488" t="s">
        <v>20</v>
      </c>
      <c r="M1488">
        <v>39573</v>
      </c>
      <c r="N1488">
        <v>250</v>
      </c>
    </row>
    <row r="1489" spans="1:14" x14ac:dyDescent="0.35">
      <c r="A1489" t="s">
        <v>1557</v>
      </c>
      <c r="B1489" t="s">
        <v>15</v>
      </c>
      <c r="C1489" t="s">
        <v>16</v>
      </c>
      <c r="D1489">
        <v>108</v>
      </c>
      <c r="E1489" t="s">
        <v>1535</v>
      </c>
      <c r="F1489">
        <v>5419</v>
      </c>
      <c r="G1489" t="s">
        <v>18</v>
      </c>
      <c r="H1489">
        <v>27</v>
      </c>
      <c r="I1489" t="s">
        <v>19</v>
      </c>
      <c r="J1489">
        <v>2015</v>
      </c>
      <c r="K1489">
        <v>2015</v>
      </c>
      <c r="L1489" t="s">
        <v>20</v>
      </c>
      <c r="M1489">
        <v>42756</v>
      </c>
      <c r="N1489">
        <v>250</v>
      </c>
    </row>
    <row r="1490" spans="1:14" x14ac:dyDescent="0.35">
      <c r="A1490" t="s">
        <v>1558</v>
      </c>
      <c r="B1490" t="s">
        <v>15</v>
      </c>
      <c r="C1490" t="s">
        <v>16</v>
      </c>
      <c r="D1490">
        <v>108</v>
      </c>
      <c r="E1490" t="s">
        <v>1535</v>
      </c>
      <c r="F1490">
        <v>5419</v>
      </c>
      <c r="G1490" t="s">
        <v>18</v>
      </c>
      <c r="H1490">
        <v>27</v>
      </c>
      <c r="I1490" t="s">
        <v>19</v>
      </c>
      <c r="J1490">
        <v>2016</v>
      </c>
      <c r="K1490">
        <v>2016</v>
      </c>
      <c r="L1490" t="s">
        <v>20</v>
      </c>
      <c r="M1490">
        <v>47480</v>
      </c>
      <c r="N1490">
        <v>250</v>
      </c>
    </row>
    <row r="1491" spans="1:14" x14ac:dyDescent="0.35">
      <c r="A1491" t="s">
        <v>1559</v>
      </c>
      <c r="B1491" t="s">
        <v>15</v>
      </c>
      <c r="C1491" t="s">
        <v>16</v>
      </c>
      <c r="D1491">
        <v>114</v>
      </c>
      <c r="E1491" t="s">
        <v>1560</v>
      </c>
      <c r="F1491">
        <v>5419</v>
      </c>
      <c r="G1491" t="s">
        <v>18</v>
      </c>
      <c r="H1491">
        <v>27</v>
      </c>
      <c r="I1491" t="s">
        <v>19</v>
      </c>
      <c r="J1491">
        <v>1985</v>
      </c>
      <c r="K1491">
        <v>1985</v>
      </c>
      <c r="L1491" t="s">
        <v>20</v>
      </c>
      <c r="M1491">
        <v>26700</v>
      </c>
      <c r="N1491">
        <v>630</v>
      </c>
    </row>
    <row r="1492" spans="1:14" x14ac:dyDescent="0.35">
      <c r="A1492" t="s">
        <v>1561</v>
      </c>
      <c r="B1492" t="s">
        <v>15</v>
      </c>
      <c r="C1492" t="s">
        <v>16</v>
      </c>
      <c r="D1492">
        <v>114</v>
      </c>
      <c r="E1492" t="s">
        <v>1560</v>
      </c>
      <c r="F1492">
        <v>5419</v>
      </c>
      <c r="G1492" t="s">
        <v>18</v>
      </c>
      <c r="H1492">
        <v>27</v>
      </c>
      <c r="I1492" t="s">
        <v>19</v>
      </c>
      <c r="J1492">
        <v>1986</v>
      </c>
      <c r="K1492">
        <v>1986</v>
      </c>
      <c r="L1492" t="s">
        <v>20</v>
      </c>
      <c r="M1492">
        <v>31491</v>
      </c>
      <c r="N1492">
        <v>630</v>
      </c>
    </row>
    <row r="1493" spans="1:14" x14ac:dyDescent="0.35">
      <c r="A1493" t="s">
        <v>1562</v>
      </c>
      <c r="B1493" t="s">
        <v>15</v>
      </c>
      <c r="C1493" t="s">
        <v>16</v>
      </c>
      <c r="D1493">
        <v>114</v>
      </c>
      <c r="E1493" t="s">
        <v>1560</v>
      </c>
      <c r="F1493">
        <v>5419</v>
      </c>
      <c r="G1493" t="s">
        <v>18</v>
      </c>
      <c r="H1493">
        <v>27</v>
      </c>
      <c r="I1493" t="s">
        <v>19</v>
      </c>
      <c r="J1493">
        <v>1987</v>
      </c>
      <c r="K1493">
        <v>1987</v>
      </c>
      <c r="L1493" t="s">
        <v>20</v>
      </c>
      <c r="M1493">
        <v>31034</v>
      </c>
      <c r="N1493">
        <v>630</v>
      </c>
    </row>
    <row r="1494" spans="1:14" x14ac:dyDescent="0.35">
      <c r="A1494" t="s">
        <v>1563</v>
      </c>
      <c r="B1494" t="s">
        <v>15</v>
      </c>
      <c r="C1494" t="s">
        <v>16</v>
      </c>
      <c r="D1494">
        <v>114</v>
      </c>
      <c r="E1494" t="s">
        <v>1560</v>
      </c>
      <c r="F1494">
        <v>5419</v>
      </c>
      <c r="G1494" t="s">
        <v>18</v>
      </c>
      <c r="H1494">
        <v>27</v>
      </c>
      <c r="I1494" t="s">
        <v>19</v>
      </c>
      <c r="J1494">
        <v>1989</v>
      </c>
      <c r="K1494">
        <v>1989</v>
      </c>
      <c r="L1494" t="s">
        <v>20</v>
      </c>
      <c r="M1494">
        <v>39859</v>
      </c>
      <c r="N1494">
        <v>630</v>
      </c>
    </row>
    <row r="1495" spans="1:14" x14ac:dyDescent="0.35">
      <c r="A1495" t="s">
        <v>1564</v>
      </c>
      <c r="B1495" t="s">
        <v>15</v>
      </c>
      <c r="C1495" t="s">
        <v>16</v>
      </c>
      <c r="D1495">
        <v>114</v>
      </c>
      <c r="E1495" t="s">
        <v>1560</v>
      </c>
      <c r="F1495">
        <v>5419</v>
      </c>
      <c r="G1495" t="s">
        <v>18</v>
      </c>
      <c r="H1495">
        <v>27</v>
      </c>
      <c r="I1495" t="s">
        <v>19</v>
      </c>
      <c r="J1495">
        <v>1990</v>
      </c>
      <c r="K1495">
        <v>1990</v>
      </c>
      <c r="L1495" t="s">
        <v>20</v>
      </c>
      <c r="M1495">
        <v>30984</v>
      </c>
      <c r="N1495">
        <v>630</v>
      </c>
    </row>
    <row r="1496" spans="1:14" x14ac:dyDescent="0.35">
      <c r="A1496" t="s">
        <v>1565</v>
      </c>
      <c r="B1496" t="s">
        <v>15</v>
      </c>
      <c r="C1496" t="s">
        <v>16</v>
      </c>
      <c r="D1496">
        <v>114</v>
      </c>
      <c r="E1496" t="s">
        <v>1560</v>
      </c>
      <c r="F1496">
        <v>5419</v>
      </c>
      <c r="G1496" t="s">
        <v>18</v>
      </c>
      <c r="H1496">
        <v>27</v>
      </c>
      <c r="I1496" t="s">
        <v>19</v>
      </c>
      <c r="J1496">
        <v>1991</v>
      </c>
      <c r="K1496">
        <v>1991</v>
      </c>
      <c r="L1496" t="s">
        <v>20</v>
      </c>
      <c r="M1496">
        <v>38846</v>
      </c>
      <c r="N1496">
        <v>630</v>
      </c>
    </row>
    <row r="1497" spans="1:14" x14ac:dyDescent="0.35">
      <c r="A1497" t="s">
        <v>1566</v>
      </c>
      <c r="B1497" t="s">
        <v>15</v>
      </c>
      <c r="C1497" t="s">
        <v>16</v>
      </c>
      <c r="D1497">
        <v>114</v>
      </c>
      <c r="E1497" t="s">
        <v>1560</v>
      </c>
      <c r="F1497">
        <v>5419</v>
      </c>
      <c r="G1497" t="s">
        <v>18</v>
      </c>
      <c r="H1497">
        <v>27</v>
      </c>
      <c r="I1497" t="s">
        <v>19</v>
      </c>
      <c r="J1497">
        <v>1992</v>
      </c>
      <c r="K1497">
        <v>1992</v>
      </c>
      <c r="L1497" t="s">
        <v>20</v>
      </c>
      <c r="M1497">
        <v>35362</v>
      </c>
      <c r="N1497">
        <v>630</v>
      </c>
    </row>
    <row r="1498" spans="1:14" x14ac:dyDescent="0.35">
      <c r="A1498" t="s">
        <v>1567</v>
      </c>
      <c r="B1498" t="s">
        <v>15</v>
      </c>
      <c r="C1498" t="s">
        <v>16</v>
      </c>
      <c r="D1498">
        <v>114</v>
      </c>
      <c r="E1498" t="s">
        <v>1560</v>
      </c>
      <c r="F1498">
        <v>5419</v>
      </c>
      <c r="G1498" t="s">
        <v>18</v>
      </c>
      <c r="H1498">
        <v>27</v>
      </c>
      <c r="I1498" t="s">
        <v>19</v>
      </c>
      <c r="J1498">
        <v>1993</v>
      </c>
      <c r="K1498">
        <v>1993</v>
      </c>
      <c r="L1498" t="s">
        <v>20</v>
      </c>
      <c r="M1498">
        <v>41483</v>
      </c>
      <c r="N1498">
        <v>630</v>
      </c>
    </row>
    <row r="1499" spans="1:14" x14ac:dyDescent="0.35">
      <c r="A1499" t="s">
        <v>1568</v>
      </c>
      <c r="B1499" t="s">
        <v>15</v>
      </c>
      <c r="C1499" t="s">
        <v>16</v>
      </c>
      <c r="D1499">
        <v>114</v>
      </c>
      <c r="E1499" t="s">
        <v>1560</v>
      </c>
      <c r="F1499">
        <v>5419</v>
      </c>
      <c r="G1499" t="s">
        <v>18</v>
      </c>
      <c r="H1499">
        <v>27</v>
      </c>
      <c r="I1499" t="s">
        <v>19</v>
      </c>
      <c r="J1499">
        <v>1994</v>
      </c>
      <c r="K1499">
        <v>1994</v>
      </c>
      <c r="L1499" t="s">
        <v>20</v>
      </c>
      <c r="M1499">
        <v>43559</v>
      </c>
      <c r="N1499">
        <v>630</v>
      </c>
    </row>
    <row r="1500" spans="1:14" x14ac:dyDescent="0.35">
      <c r="A1500" t="s">
        <v>1569</v>
      </c>
      <c r="B1500" t="s">
        <v>15</v>
      </c>
      <c r="C1500" t="s">
        <v>16</v>
      </c>
      <c r="D1500">
        <v>114</v>
      </c>
      <c r="E1500" t="s">
        <v>1560</v>
      </c>
      <c r="F1500">
        <v>5419</v>
      </c>
      <c r="G1500" t="s">
        <v>18</v>
      </c>
      <c r="H1500">
        <v>27</v>
      </c>
      <c r="I1500" t="s">
        <v>19</v>
      </c>
      <c r="J1500">
        <v>1995</v>
      </c>
      <c r="K1500">
        <v>1995</v>
      </c>
      <c r="L1500" t="s">
        <v>20</v>
      </c>
      <c r="M1500">
        <v>40000</v>
      </c>
      <c r="N1500">
        <v>630</v>
      </c>
    </row>
    <row r="1501" spans="1:14" x14ac:dyDescent="0.35">
      <c r="A1501" t="s">
        <v>1570</v>
      </c>
      <c r="B1501" t="s">
        <v>15</v>
      </c>
      <c r="C1501" t="s">
        <v>16</v>
      </c>
      <c r="D1501">
        <v>114</v>
      </c>
      <c r="E1501" t="s">
        <v>1560</v>
      </c>
      <c r="F1501">
        <v>5419</v>
      </c>
      <c r="G1501" t="s">
        <v>18</v>
      </c>
      <c r="H1501">
        <v>27</v>
      </c>
      <c r="I1501" t="s">
        <v>19</v>
      </c>
      <c r="J1501">
        <v>1996</v>
      </c>
      <c r="K1501">
        <v>1996</v>
      </c>
      <c r="L1501" t="s">
        <v>20</v>
      </c>
      <c r="M1501">
        <v>40000</v>
      </c>
      <c r="N1501">
        <v>630</v>
      </c>
    </row>
    <row r="1502" spans="1:14" x14ac:dyDescent="0.35">
      <c r="A1502" t="s">
        <v>1571</v>
      </c>
      <c r="B1502" t="s">
        <v>15</v>
      </c>
      <c r="C1502" t="s">
        <v>16</v>
      </c>
      <c r="D1502">
        <v>114</v>
      </c>
      <c r="E1502" t="s">
        <v>1560</v>
      </c>
      <c r="F1502">
        <v>5419</v>
      </c>
      <c r="G1502" t="s">
        <v>18</v>
      </c>
      <c r="H1502">
        <v>27</v>
      </c>
      <c r="I1502" t="s">
        <v>19</v>
      </c>
      <c r="J1502">
        <v>1997</v>
      </c>
      <c r="K1502">
        <v>1997</v>
      </c>
      <c r="L1502" t="s">
        <v>20</v>
      </c>
      <c r="M1502">
        <v>39724</v>
      </c>
      <c r="N1502">
        <v>630</v>
      </c>
    </row>
    <row r="1503" spans="1:14" x14ac:dyDescent="0.35">
      <c r="A1503" t="s">
        <v>1572</v>
      </c>
      <c r="B1503" t="s">
        <v>15</v>
      </c>
      <c r="C1503" t="s">
        <v>16</v>
      </c>
      <c r="D1503">
        <v>114</v>
      </c>
      <c r="E1503" t="s">
        <v>1560</v>
      </c>
      <c r="F1503">
        <v>5419</v>
      </c>
      <c r="G1503" t="s">
        <v>18</v>
      </c>
      <c r="H1503">
        <v>27</v>
      </c>
      <c r="I1503" t="s">
        <v>19</v>
      </c>
      <c r="J1503">
        <v>1998</v>
      </c>
      <c r="K1503">
        <v>1998</v>
      </c>
      <c r="L1503" t="s">
        <v>20</v>
      </c>
      <c r="M1503">
        <v>48419</v>
      </c>
      <c r="N1503">
        <v>630</v>
      </c>
    </row>
    <row r="1504" spans="1:14" x14ac:dyDescent="0.35">
      <c r="A1504" t="s">
        <v>1573</v>
      </c>
      <c r="B1504" t="s">
        <v>15</v>
      </c>
      <c r="C1504" t="s">
        <v>16</v>
      </c>
      <c r="D1504">
        <v>114</v>
      </c>
      <c r="E1504" t="s">
        <v>1560</v>
      </c>
      <c r="F1504">
        <v>5419</v>
      </c>
      <c r="G1504" t="s">
        <v>18</v>
      </c>
      <c r="H1504">
        <v>27</v>
      </c>
      <c r="I1504" t="s">
        <v>19</v>
      </c>
      <c r="J1504">
        <v>1999</v>
      </c>
      <c r="K1504">
        <v>1999</v>
      </c>
      <c r="L1504" t="s">
        <v>20</v>
      </c>
      <c r="M1504">
        <v>39845</v>
      </c>
      <c r="N1504">
        <v>630</v>
      </c>
    </row>
    <row r="1505" spans="1:14" x14ac:dyDescent="0.35">
      <c r="A1505" t="s">
        <v>1574</v>
      </c>
      <c r="B1505" t="s">
        <v>15</v>
      </c>
      <c r="C1505" t="s">
        <v>16</v>
      </c>
      <c r="D1505">
        <v>114</v>
      </c>
      <c r="E1505" t="s">
        <v>1560</v>
      </c>
      <c r="F1505">
        <v>5419</v>
      </c>
      <c r="G1505" t="s">
        <v>18</v>
      </c>
      <c r="H1505">
        <v>27</v>
      </c>
      <c r="I1505" t="s">
        <v>19</v>
      </c>
      <c r="J1505">
        <v>2000</v>
      </c>
      <c r="K1505">
        <v>2000</v>
      </c>
      <c r="L1505" t="s">
        <v>20</v>
      </c>
      <c r="M1505">
        <v>37710</v>
      </c>
      <c r="N1505">
        <v>630</v>
      </c>
    </row>
    <row r="1506" spans="1:14" x14ac:dyDescent="0.35">
      <c r="A1506" t="s">
        <v>1575</v>
      </c>
      <c r="B1506" t="s">
        <v>15</v>
      </c>
      <c r="C1506" t="s">
        <v>16</v>
      </c>
      <c r="D1506">
        <v>114</v>
      </c>
      <c r="E1506" t="s">
        <v>1560</v>
      </c>
      <c r="F1506">
        <v>5419</v>
      </c>
      <c r="G1506" t="s">
        <v>18</v>
      </c>
      <c r="H1506">
        <v>27</v>
      </c>
      <c r="I1506" t="s">
        <v>19</v>
      </c>
      <c r="J1506">
        <v>2001</v>
      </c>
      <c r="K1506">
        <v>2001</v>
      </c>
      <c r="L1506" t="s">
        <v>20</v>
      </c>
      <c r="M1506">
        <v>34091</v>
      </c>
      <c r="N1506">
        <v>630</v>
      </c>
    </row>
    <row r="1507" spans="1:14" x14ac:dyDescent="0.35">
      <c r="A1507" t="s">
        <v>1576</v>
      </c>
      <c r="B1507" t="s">
        <v>15</v>
      </c>
      <c r="C1507" t="s">
        <v>16</v>
      </c>
      <c r="D1507">
        <v>114</v>
      </c>
      <c r="E1507" t="s">
        <v>1560</v>
      </c>
      <c r="F1507">
        <v>5419</v>
      </c>
      <c r="G1507" t="s">
        <v>18</v>
      </c>
      <c r="H1507">
        <v>27</v>
      </c>
      <c r="I1507" t="s">
        <v>19</v>
      </c>
      <c r="J1507">
        <v>2002</v>
      </c>
      <c r="K1507">
        <v>2002</v>
      </c>
      <c r="L1507" t="s">
        <v>20</v>
      </c>
      <c r="M1507">
        <v>34615</v>
      </c>
      <c r="N1507">
        <v>630</v>
      </c>
    </row>
    <row r="1508" spans="1:14" x14ac:dyDescent="0.35">
      <c r="A1508" t="s">
        <v>1577</v>
      </c>
      <c r="B1508" t="s">
        <v>15</v>
      </c>
      <c r="C1508" t="s">
        <v>16</v>
      </c>
      <c r="D1508">
        <v>114</v>
      </c>
      <c r="E1508" t="s">
        <v>1560</v>
      </c>
      <c r="F1508">
        <v>5419</v>
      </c>
      <c r="G1508" t="s">
        <v>18</v>
      </c>
      <c r="H1508">
        <v>27</v>
      </c>
      <c r="I1508" t="s">
        <v>19</v>
      </c>
      <c r="J1508">
        <v>2004</v>
      </c>
      <c r="K1508">
        <v>2004</v>
      </c>
      <c r="L1508" t="s">
        <v>20</v>
      </c>
      <c r="M1508">
        <v>37280</v>
      </c>
      <c r="N1508">
        <v>630</v>
      </c>
    </row>
    <row r="1509" spans="1:14" x14ac:dyDescent="0.35">
      <c r="A1509" t="s">
        <v>1578</v>
      </c>
      <c r="B1509" t="s">
        <v>15</v>
      </c>
      <c r="C1509" t="s">
        <v>16</v>
      </c>
      <c r="D1509">
        <v>114</v>
      </c>
      <c r="E1509" t="s">
        <v>1560</v>
      </c>
      <c r="F1509">
        <v>5419</v>
      </c>
      <c r="G1509" t="s">
        <v>18</v>
      </c>
      <c r="H1509">
        <v>27</v>
      </c>
      <c r="I1509" t="s">
        <v>19</v>
      </c>
      <c r="J1509">
        <v>2005</v>
      </c>
      <c r="K1509">
        <v>2005</v>
      </c>
      <c r="L1509" t="s">
        <v>20</v>
      </c>
      <c r="M1509">
        <v>39321</v>
      </c>
      <c r="N1509">
        <v>630</v>
      </c>
    </row>
    <row r="1510" spans="1:14" x14ac:dyDescent="0.35">
      <c r="A1510" t="s">
        <v>1579</v>
      </c>
      <c r="B1510" t="s">
        <v>15</v>
      </c>
      <c r="C1510" t="s">
        <v>16</v>
      </c>
      <c r="D1510">
        <v>114</v>
      </c>
      <c r="E1510" t="s">
        <v>1560</v>
      </c>
      <c r="F1510">
        <v>5419</v>
      </c>
      <c r="G1510" t="s">
        <v>18</v>
      </c>
      <c r="H1510">
        <v>27</v>
      </c>
      <c r="I1510" t="s">
        <v>19</v>
      </c>
      <c r="J1510">
        <v>2006</v>
      </c>
      <c r="K1510">
        <v>2006</v>
      </c>
      <c r="L1510" t="s">
        <v>20</v>
      </c>
      <c r="M1510">
        <v>28062</v>
      </c>
      <c r="N1510">
        <v>630</v>
      </c>
    </row>
    <row r="1511" spans="1:14" x14ac:dyDescent="0.35">
      <c r="A1511" t="s">
        <v>1580</v>
      </c>
      <c r="B1511" t="s">
        <v>15</v>
      </c>
      <c r="C1511" t="s">
        <v>16</v>
      </c>
      <c r="D1511">
        <v>114</v>
      </c>
      <c r="E1511" t="s">
        <v>1560</v>
      </c>
      <c r="F1511">
        <v>5419</v>
      </c>
      <c r="G1511" t="s">
        <v>18</v>
      </c>
      <c r="H1511">
        <v>27</v>
      </c>
      <c r="I1511" t="s">
        <v>19</v>
      </c>
      <c r="J1511">
        <v>2007</v>
      </c>
      <c r="K1511">
        <v>2007</v>
      </c>
      <c r="L1511" t="s">
        <v>20</v>
      </c>
      <c r="M1511">
        <v>28715</v>
      </c>
      <c r="N1511">
        <v>630</v>
      </c>
    </row>
    <row r="1512" spans="1:14" x14ac:dyDescent="0.35">
      <c r="A1512" t="s">
        <v>1581</v>
      </c>
      <c r="B1512" t="s">
        <v>15</v>
      </c>
      <c r="C1512" t="s">
        <v>16</v>
      </c>
      <c r="D1512">
        <v>114</v>
      </c>
      <c r="E1512" t="s">
        <v>1560</v>
      </c>
      <c r="F1512">
        <v>5419</v>
      </c>
      <c r="G1512" t="s">
        <v>18</v>
      </c>
      <c r="H1512">
        <v>27</v>
      </c>
      <c r="I1512" t="s">
        <v>19</v>
      </c>
      <c r="J1512">
        <v>2008</v>
      </c>
      <c r="K1512">
        <v>2008</v>
      </c>
      <c r="L1512" t="s">
        <v>20</v>
      </c>
      <c r="M1512">
        <v>13076</v>
      </c>
      <c r="N1512">
        <v>630</v>
      </c>
    </row>
    <row r="1513" spans="1:14" x14ac:dyDescent="0.35">
      <c r="A1513" t="s">
        <v>1582</v>
      </c>
      <c r="B1513" t="s">
        <v>15</v>
      </c>
      <c r="C1513" t="s">
        <v>16</v>
      </c>
      <c r="D1513">
        <v>114</v>
      </c>
      <c r="E1513" t="s">
        <v>1560</v>
      </c>
      <c r="F1513">
        <v>5419</v>
      </c>
      <c r="G1513" t="s">
        <v>18</v>
      </c>
      <c r="H1513">
        <v>27</v>
      </c>
      <c r="I1513" t="s">
        <v>19</v>
      </c>
      <c r="J1513">
        <v>2009</v>
      </c>
      <c r="K1513">
        <v>2009</v>
      </c>
      <c r="L1513" t="s">
        <v>20</v>
      </c>
      <c r="M1513">
        <v>19333</v>
      </c>
      <c r="N1513">
        <v>630</v>
      </c>
    </row>
    <row r="1514" spans="1:14" x14ac:dyDescent="0.35">
      <c r="A1514" t="s">
        <v>1583</v>
      </c>
      <c r="B1514" t="s">
        <v>15</v>
      </c>
      <c r="C1514" t="s">
        <v>16</v>
      </c>
      <c r="D1514">
        <v>114</v>
      </c>
      <c r="E1514" t="s">
        <v>1560</v>
      </c>
      <c r="F1514">
        <v>5419</v>
      </c>
      <c r="G1514" t="s">
        <v>18</v>
      </c>
      <c r="H1514">
        <v>27</v>
      </c>
      <c r="I1514" t="s">
        <v>19</v>
      </c>
      <c r="J1514">
        <v>2010</v>
      </c>
      <c r="K1514">
        <v>2010</v>
      </c>
      <c r="L1514" t="s">
        <v>20</v>
      </c>
      <c r="M1514">
        <v>42384</v>
      </c>
      <c r="N1514">
        <v>630</v>
      </c>
    </row>
    <row r="1515" spans="1:14" x14ac:dyDescent="0.35">
      <c r="A1515" t="s">
        <v>1584</v>
      </c>
      <c r="B1515" t="s">
        <v>15</v>
      </c>
      <c r="C1515" t="s">
        <v>16</v>
      </c>
      <c r="D1515">
        <v>114</v>
      </c>
      <c r="E1515" t="s">
        <v>1560</v>
      </c>
      <c r="F1515">
        <v>5419</v>
      </c>
      <c r="G1515" t="s">
        <v>18</v>
      </c>
      <c r="H1515">
        <v>27</v>
      </c>
      <c r="I1515" t="s">
        <v>19</v>
      </c>
      <c r="J1515">
        <v>2011</v>
      </c>
      <c r="K1515">
        <v>2011</v>
      </c>
      <c r="L1515" t="s">
        <v>20</v>
      </c>
      <c r="M1515">
        <v>39676</v>
      </c>
      <c r="N1515">
        <v>630</v>
      </c>
    </row>
    <row r="1516" spans="1:14" x14ac:dyDescent="0.35">
      <c r="A1516" t="s">
        <v>1585</v>
      </c>
      <c r="B1516" t="s">
        <v>15</v>
      </c>
      <c r="C1516" t="s">
        <v>16</v>
      </c>
      <c r="D1516">
        <v>114</v>
      </c>
      <c r="E1516" t="s">
        <v>1560</v>
      </c>
      <c r="F1516">
        <v>5419</v>
      </c>
      <c r="G1516" t="s">
        <v>18</v>
      </c>
      <c r="H1516">
        <v>27</v>
      </c>
      <c r="I1516" t="s">
        <v>19</v>
      </c>
      <c r="J1516">
        <v>2012</v>
      </c>
      <c r="K1516">
        <v>2012</v>
      </c>
      <c r="L1516" t="s">
        <v>20</v>
      </c>
      <c r="M1516">
        <v>46643</v>
      </c>
      <c r="N1516">
        <v>630</v>
      </c>
    </row>
    <row r="1517" spans="1:14" x14ac:dyDescent="0.35">
      <c r="A1517" t="s">
        <v>1586</v>
      </c>
      <c r="B1517" t="s">
        <v>15</v>
      </c>
      <c r="C1517" t="s">
        <v>16</v>
      </c>
      <c r="D1517">
        <v>114</v>
      </c>
      <c r="E1517" t="s">
        <v>1560</v>
      </c>
      <c r="F1517">
        <v>5419</v>
      </c>
      <c r="G1517" t="s">
        <v>18</v>
      </c>
      <c r="H1517">
        <v>27</v>
      </c>
      <c r="I1517" t="s">
        <v>19</v>
      </c>
      <c r="J1517">
        <v>2013</v>
      </c>
      <c r="K1517">
        <v>2013</v>
      </c>
      <c r="L1517" t="s">
        <v>20</v>
      </c>
      <c r="M1517">
        <v>39955</v>
      </c>
      <c r="N1517">
        <v>630</v>
      </c>
    </row>
    <row r="1518" spans="1:14" x14ac:dyDescent="0.35">
      <c r="A1518" t="s">
        <v>1587</v>
      </c>
      <c r="B1518" t="s">
        <v>15</v>
      </c>
      <c r="C1518" t="s">
        <v>16</v>
      </c>
      <c r="D1518">
        <v>114</v>
      </c>
      <c r="E1518" t="s">
        <v>1560</v>
      </c>
      <c r="F1518">
        <v>5419</v>
      </c>
      <c r="G1518" t="s">
        <v>18</v>
      </c>
      <c r="H1518">
        <v>27</v>
      </c>
      <c r="I1518" t="s">
        <v>19</v>
      </c>
      <c r="J1518">
        <v>2014</v>
      </c>
      <c r="K1518">
        <v>2014</v>
      </c>
      <c r="L1518" t="s">
        <v>20</v>
      </c>
      <c r="M1518">
        <v>39543</v>
      </c>
      <c r="N1518">
        <v>630</v>
      </c>
    </row>
    <row r="1519" spans="1:14" x14ac:dyDescent="0.35">
      <c r="A1519" t="s">
        <v>1588</v>
      </c>
      <c r="B1519" t="s">
        <v>15</v>
      </c>
      <c r="C1519" t="s">
        <v>16</v>
      </c>
      <c r="D1519">
        <v>114</v>
      </c>
      <c r="E1519" t="s">
        <v>1560</v>
      </c>
      <c r="F1519">
        <v>5419</v>
      </c>
      <c r="G1519" t="s">
        <v>18</v>
      </c>
      <c r="H1519">
        <v>27</v>
      </c>
      <c r="I1519" t="s">
        <v>19</v>
      </c>
      <c r="J1519">
        <v>2015</v>
      </c>
      <c r="K1519">
        <v>2015</v>
      </c>
      <c r="L1519" t="s">
        <v>20</v>
      </c>
      <c r="M1519">
        <v>39566</v>
      </c>
      <c r="N1519">
        <v>630</v>
      </c>
    </row>
    <row r="1520" spans="1:14" x14ac:dyDescent="0.35">
      <c r="A1520" t="s">
        <v>1589</v>
      </c>
      <c r="B1520" t="s">
        <v>15</v>
      </c>
      <c r="C1520" t="s">
        <v>16</v>
      </c>
      <c r="D1520">
        <v>114</v>
      </c>
      <c r="E1520" t="s">
        <v>1560</v>
      </c>
      <c r="F1520">
        <v>5419</v>
      </c>
      <c r="G1520" t="s">
        <v>18</v>
      </c>
      <c r="H1520">
        <v>27</v>
      </c>
      <c r="I1520" t="s">
        <v>19</v>
      </c>
      <c r="J1520">
        <v>2016</v>
      </c>
      <c r="K1520">
        <v>2016</v>
      </c>
      <c r="L1520" t="s">
        <v>20</v>
      </c>
      <c r="M1520">
        <v>40273</v>
      </c>
      <c r="N1520">
        <v>630</v>
      </c>
    </row>
    <row r="1521" spans="1:14" x14ac:dyDescent="0.35">
      <c r="A1521" t="s">
        <v>1590</v>
      </c>
      <c r="B1521" t="s">
        <v>15</v>
      </c>
      <c r="C1521" t="s">
        <v>16</v>
      </c>
      <c r="D1521">
        <v>123</v>
      </c>
      <c r="E1521" t="s">
        <v>1591</v>
      </c>
      <c r="F1521">
        <v>5419</v>
      </c>
      <c r="G1521" t="s">
        <v>18</v>
      </c>
      <c r="H1521">
        <v>27</v>
      </c>
      <c r="I1521" t="s">
        <v>19</v>
      </c>
      <c r="J1521">
        <v>1985</v>
      </c>
      <c r="K1521">
        <v>1985</v>
      </c>
      <c r="L1521" t="s">
        <v>20</v>
      </c>
      <c r="M1521">
        <v>12525</v>
      </c>
      <c r="N1521">
        <v>2391</v>
      </c>
    </row>
    <row r="1522" spans="1:14" x14ac:dyDescent="0.35">
      <c r="A1522" t="s">
        <v>1592</v>
      </c>
      <c r="B1522" t="s">
        <v>15</v>
      </c>
      <c r="C1522" t="s">
        <v>16</v>
      </c>
      <c r="D1522">
        <v>123</v>
      </c>
      <c r="E1522" t="s">
        <v>1591</v>
      </c>
      <c r="F1522">
        <v>5419</v>
      </c>
      <c r="G1522" t="s">
        <v>18</v>
      </c>
      <c r="H1522">
        <v>27</v>
      </c>
      <c r="I1522" t="s">
        <v>19</v>
      </c>
      <c r="J1522">
        <v>1986</v>
      </c>
      <c r="K1522">
        <v>1986</v>
      </c>
      <c r="L1522" t="s">
        <v>20</v>
      </c>
      <c r="M1522">
        <v>12355</v>
      </c>
      <c r="N1522">
        <v>2391</v>
      </c>
    </row>
    <row r="1523" spans="1:14" x14ac:dyDescent="0.35">
      <c r="A1523" t="s">
        <v>1593</v>
      </c>
      <c r="B1523" t="s">
        <v>15</v>
      </c>
      <c r="C1523" t="s">
        <v>16</v>
      </c>
      <c r="D1523">
        <v>123</v>
      </c>
      <c r="E1523" t="s">
        <v>1591</v>
      </c>
      <c r="F1523">
        <v>5419</v>
      </c>
      <c r="G1523" t="s">
        <v>18</v>
      </c>
      <c r="H1523">
        <v>27</v>
      </c>
      <c r="I1523" t="s">
        <v>19</v>
      </c>
      <c r="J1523">
        <v>1987</v>
      </c>
      <c r="K1523">
        <v>1987</v>
      </c>
      <c r="L1523" t="s">
        <v>20</v>
      </c>
      <c r="M1523">
        <v>12623</v>
      </c>
      <c r="N1523">
        <v>2391</v>
      </c>
    </row>
    <row r="1524" spans="1:14" x14ac:dyDescent="0.35">
      <c r="A1524" t="s">
        <v>1594</v>
      </c>
      <c r="B1524" t="s">
        <v>15</v>
      </c>
      <c r="C1524" t="s">
        <v>16</v>
      </c>
      <c r="D1524">
        <v>123</v>
      </c>
      <c r="E1524" t="s">
        <v>1591</v>
      </c>
      <c r="F1524">
        <v>5419</v>
      </c>
      <c r="G1524" t="s">
        <v>18</v>
      </c>
      <c r="H1524">
        <v>27</v>
      </c>
      <c r="I1524" t="s">
        <v>19</v>
      </c>
      <c r="J1524">
        <v>1989</v>
      </c>
      <c r="K1524">
        <v>1989</v>
      </c>
      <c r="L1524" t="s">
        <v>20</v>
      </c>
      <c r="M1524">
        <v>11661</v>
      </c>
      <c r="N1524">
        <v>2391</v>
      </c>
    </row>
    <row r="1525" spans="1:14" x14ac:dyDescent="0.35">
      <c r="A1525" t="s">
        <v>1595</v>
      </c>
      <c r="B1525" t="s">
        <v>15</v>
      </c>
      <c r="C1525" t="s">
        <v>16</v>
      </c>
      <c r="D1525">
        <v>123</v>
      </c>
      <c r="E1525" t="s">
        <v>1591</v>
      </c>
      <c r="F1525">
        <v>5419</v>
      </c>
      <c r="G1525" t="s">
        <v>18</v>
      </c>
      <c r="H1525">
        <v>27</v>
      </c>
      <c r="I1525" t="s">
        <v>19</v>
      </c>
      <c r="J1525">
        <v>1990</v>
      </c>
      <c r="K1525">
        <v>1990</v>
      </c>
      <c r="L1525" t="s">
        <v>20</v>
      </c>
      <c r="M1525">
        <v>10286</v>
      </c>
      <c r="N1525">
        <v>2391</v>
      </c>
    </row>
    <row r="1526" spans="1:14" x14ac:dyDescent="0.35">
      <c r="A1526" t="s">
        <v>1596</v>
      </c>
      <c r="B1526" t="s">
        <v>15</v>
      </c>
      <c r="C1526" t="s">
        <v>16</v>
      </c>
      <c r="D1526">
        <v>123</v>
      </c>
      <c r="E1526" t="s">
        <v>1591</v>
      </c>
      <c r="F1526">
        <v>5419</v>
      </c>
      <c r="G1526" t="s">
        <v>18</v>
      </c>
      <c r="H1526">
        <v>27</v>
      </c>
      <c r="I1526" t="s">
        <v>19</v>
      </c>
      <c r="J1526">
        <v>1991</v>
      </c>
      <c r="K1526">
        <v>1991</v>
      </c>
      <c r="L1526" t="s">
        <v>20</v>
      </c>
      <c r="M1526">
        <v>9091</v>
      </c>
      <c r="N1526">
        <v>2391</v>
      </c>
    </row>
    <row r="1527" spans="1:14" x14ac:dyDescent="0.35">
      <c r="A1527" t="s">
        <v>1597</v>
      </c>
      <c r="B1527" t="s">
        <v>15</v>
      </c>
      <c r="C1527" t="s">
        <v>16</v>
      </c>
      <c r="D1527">
        <v>123</v>
      </c>
      <c r="E1527" t="s">
        <v>1591</v>
      </c>
      <c r="F1527">
        <v>5419</v>
      </c>
      <c r="G1527" t="s">
        <v>18</v>
      </c>
      <c r="H1527">
        <v>27</v>
      </c>
      <c r="I1527" t="s">
        <v>19</v>
      </c>
      <c r="J1527">
        <v>1992</v>
      </c>
      <c r="K1527">
        <v>1992</v>
      </c>
      <c r="L1527" t="s">
        <v>20</v>
      </c>
      <c r="M1527">
        <v>9167</v>
      </c>
      <c r="N1527">
        <v>2391</v>
      </c>
    </row>
    <row r="1528" spans="1:14" x14ac:dyDescent="0.35">
      <c r="A1528" t="s">
        <v>1598</v>
      </c>
      <c r="B1528" t="s">
        <v>15</v>
      </c>
      <c r="C1528" t="s">
        <v>16</v>
      </c>
      <c r="D1528">
        <v>123</v>
      </c>
      <c r="E1528" t="s">
        <v>1591</v>
      </c>
      <c r="F1528">
        <v>5419</v>
      </c>
      <c r="G1528" t="s">
        <v>18</v>
      </c>
      <c r="H1528">
        <v>27</v>
      </c>
      <c r="I1528" t="s">
        <v>19</v>
      </c>
      <c r="J1528">
        <v>1993</v>
      </c>
      <c r="K1528">
        <v>1993</v>
      </c>
      <c r="L1528" t="s">
        <v>20</v>
      </c>
      <c r="M1528">
        <v>10833</v>
      </c>
      <c r="N1528">
        <v>2391</v>
      </c>
    </row>
    <row r="1529" spans="1:14" x14ac:dyDescent="0.35">
      <c r="A1529" t="s">
        <v>1599</v>
      </c>
      <c r="B1529" t="s">
        <v>15</v>
      </c>
      <c r="C1529" t="s">
        <v>16</v>
      </c>
      <c r="D1529">
        <v>123</v>
      </c>
      <c r="E1529" t="s">
        <v>1591</v>
      </c>
      <c r="F1529">
        <v>5419</v>
      </c>
      <c r="G1529" t="s">
        <v>18</v>
      </c>
      <c r="H1529">
        <v>27</v>
      </c>
      <c r="I1529" t="s">
        <v>19</v>
      </c>
      <c r="J1529">
        <v>1994</v>
      </c>
      <c r="K1529">
        <v>1994</v>
      </c>
      <c r="L1529" t="s">
        <v>20</v>
      </c>
      <c r="M1529">
        <v>11111</v>
      </c>
      <c r="N1529">
        <v>2391</v>
      </c>
    </row>
    <row r="1530" spans="1:14" x14ac:dyDescent="0.35">
      <c r="A1530" t="s">
        <v>1600</v>
      </c>
      <c r="B1530" t="s">
        <v>15</v>
      </c>
      <c r="C1530" t="s">
        <v>16</v>
      </c>
      <c r="D1530">
        <v>123</v>
      </c>
      <c r="E1530" t="s">
        <v>1591</v>
      </c>
      <c r="F1530">
        <v>5419</v>
      </c>
      <c r="G1530" t="s">
        <v>18</v>
      </c>
      <c r="H1530">
        <v>27</v>
      </c>
      <c r="I1530" t="s">
        <v>19</v>
      </c>
      <c r="J1530">
        <v>1995</v>
      </c>
      <c r="K1530">
        <v>1995</v>
      </c>
      <c r="L1530" t="s">
        <v>20</v>
      </c>
      <c r="M1530">
        <v>11240</v>
      </c>
      <c r="N1530">
        <v>2391</v>
      </c>
    </row>
    <row r="1531" spans="1:14" x14ac:dyDescent="0.35">
      <c r="A1531" t="s">
        <v>1601</v>
      </c>
      <c r="B1531" t="s">
        <v>15</v>
      </c>
      <c r="C1531" t="s">
        <v>16</v>
      </c>
      <c r="D1531">
        <v>123</v>
      </c>
      <c r="E1531" t="s">
        <v>1591</v>
      </c>
      <c r="F1531">
        <v>5419</v>
      </c>
      <c r="G1531" t="s">
        <v>18</v>
      </c>
      <c r="H1531">
        <v>27</v>
      </c>
      <c r="I1531" t="s">
        <v>19</v>
      </c>
      <c r="J1531">
        <v>1996</v>
      </c>
      <c r="K1531">
        <v>1996</v>
      </c>
      <c r="L1531" t="s">
        <v>20</v>
      </c>
      <c r="M1531">
        <v>12493</v>
      </c>
      <c r="N1531">
        <v>2391</v>
      </c>
    </row>
    <row r="1532" spans="1:14" x14ac:dyDescent="0.35">
      <c r="A1532" t="s">
        <v>1602</v>
      </c>
      <c r="B1532" t="s">
        <v>15</v>
      </c>
      <c r="C1532" t="s">
        <v>16</v>
      </c>
      <c r="D1532">
        <v>123</v>
      </c>
      <c r="E1532" t="s">
        <v>1591</v>
      </c>
      <c r="F1532">
        <v>5419</v>
      </c>
      <c r="G1532" t="s">
        <v>18</v>
      </c>
      <c r="H1532">
        <v>27</v>
      </c>
      <c r="I1532" t="s">
        <v>19</v>
      </c>
      <c r="J1532">
        <v>1997</v>
      </c>
      <c r="K1532">
        <v>1997</v>
      </c>
      <c r="L1532" t="s">
        <v>20</v>
      </c>
      <c r="M1532">
        <v>12456</v>
      </c>
      <c r="N1532">
        <v>2391</v>
      </c>
    </row>
    <row r="1533" spans="1:14" x14ac:dyDescent="0.35">
      <c r="A1533" t="s">
        <v>1603</v>
      </c>
      <c r="B1533" t="s">
        <v>15</v>
      </c>
      <c r="C1533" t="s">
        <v>16</v>
      </c>
      <c r="D1533">
        <v>123</v>
      </c>
      <c r="E1533" t="s">
        <v>1591</v>
      </c>
      <c r="F1533">
        <v>5419</v>
      </c>
      <c r="G1533" t="s">
        <v>18</v>
      </c>
      <c r="H1533">
        <v>27</v>
      </c>
      <c r="I1533" t="s">
        <v>19</v>
      </c>
      <c r="J1533">
        <v>1998</v>
      </c>
      <c r="K1533">
        <v>1998</v>
      </c>
      <c r="L1533" t="s">
        <v>20</v>
      </c>
      <c r="M1533">
        <v>12934</v>
      </c>
      <c r="N1533">
        <v>2391</v>
      </c>
    </row>
    <row r="1534" spans="1:14" x14ac:dyDescent="0.35">
      <c r="A1534" t="s">
        <v>1604</v>
      </c>
      <c r="B1534" t="s">
        <v>15</v>
      </c>
      <c r="C1534" t="s">
        <v>16</v>
      </c>
      <c r="D1534">
        <v>123</v>
      </c>
      <c r="E1534" t="s">
        <v>1591</v>
      </c>
      <c r="F1534">
        <v>5419</v>
      </c>
      <c r="G1534" t="s">
        <v>18</v>
      </c>
      <c r="H1534">
        <v>27</v>
      </c>
      <c r="I1534" t="s">
        <v>19</v>
      </c>
      <c r="J1534">
        <v>1999</v>
      </c>
      <c r="K1534">
        <v>1999</v>
      </c>
      <c r="L1534" t="s">
        <v>20</v>
      </c>
      <c r="M1534">
        <v>12772</v>
      </c>
      <c r="N1534">
        <v>2391</v>
      </c>
    </row>
    <row r="1535" spans="1:14" x14ac:dyDescent="0.35">
      <c r="A1535" t="s">
        <v>1605</v>
      </c>
      <c r="B1535" t="s">
        <v>15</v>
      </c>
      <c r="C1535" t="s">
        <v>16</v>
      </c>
      <c r="D1535">
        <v>123</v>
      </c>
      <c r="E1535" t="s">
        <v>1591</v>
      </c>
      <c r="F1535">
        <v>5419</v>
      </c>
      <c r="G1535" t="s">
        <v>18</v>
      </c>
      <c r="H1535">
        <v>27</v>
      </c>
      <c r="I1535" t="s">
        <v>19</v>
      </c>
      <c r="J1535">
        <v>2000</v>
      </c>
      <c r="K1535">
        <v>2000</v>
      </c>
      <c r="L1535" t="s">
        <v>20</v>
      </c>
      <c r="M1535">
        <v>12780</v>
      </c>
      <c r="N1535">
        <v>2391</v>
      </c>
    </row>
    <row r="1536" spans="1:14" x14ac:dyDescent="0.35">
      <c r="A1536" t="s">
        <v>1606</v>
      </c>
      <c r="B1536" t="s">
        <v>15</v>
      </c>
      <c r="C1536" t="s">
        <v>16</v>
      </c>
      <c r="D1536">
        <v>123</v>
      </c>
      <c r="E1536" t="s">
        <v>1591</v>
      </c>
      <c r="F1536">
        <v>5419</v>
      </c>
      <c r="G1536" t="s">
        <v>18</v>
      </c>
      <c r="H1536">
        <v>27</v>
      </c>
      <c r="I1536" t="s">
        <v>19</v>
      </c>
      <c r="J1536">
        <v>2001</v>
      </c>
      <c r="K1536">
        <v>2001</v>
      </c>
      <c r="L1536" t="s">
        <v>20</v>
      </c>
      <c r="M1536">
        <v>11154</v>
      </c>
      <c r="N1536">
        <v>2391</v>
      </c>
    </row>
    <row r="1537" spans="1:14" x14ac:dyDescent="0.35">
      <c r="A1537" t="s">
        <v>1607</v>
      </c>
      <c r="B1537" t="s">
        <v>15</v>
      </c>
      <c r="C1537" t="s">
        <v>16</v>
      </c>
      <c r="D1537">
        <v>123</v>
      </c>
      <c r="E1537" t="s">
        <v>1591</v>
      </c>
      <c r="F1537">
        <v>5419</v>
      </c>
      <c r="G1537" t="s">
        <v>18</v>
      </c>
      <c r="H1537">
        <v>27</v>
      </c>
      <c r="I1537" t="s">
        <v>19</v>
      </c>
      <c r="J1537">
        <v>2002</v>
      </c>
      <c r="K1537">
        <v>2002</v>
      </c>
      <c r="L1537" t="s">
        <v>20</v>
      </c>
      <c r="M1537">
        <v>9167</v>
      </c>
      <c r="N1537">
        <v>2391</v>
      </c>
    </row>
    <row r="1538" spans="1:14" x14ac:dyDescent="0.35">
      <c r="A1538" t="s">
        <v>1608</v>
      </c>
      <c r="B1538" t="s">
        <v>15</v>
      </c>
      <c r="C1538" t="s">
        <v>16</v>
      </c>
      <c r="D1538">
        <v>123</v>
      </c>
      <c r="E1538" t="s">
        <v>1591</v>
      </c>
      <c r="F1538">
        <v>5419</v>
      </c>
      <c r="G1538" t="s">
        <v>18</v>
      </c>
      <c r="H1538">
        <v>27</v>
      </c>
      <c r="I1538" t="s">
        <v>19</v>
      </c>
      <c r="J1538">
        <v>2004</v>
      </c>
      <c r="K1538">
        <v>2004</v>
      </c>
      <c r="L1538" t="s">
        <v>20</v>
      </c>
      <c r="M1538">
        <v>9167</v>
      </c>
      <c r="N1538">
        <v>2391</v>
      </c>
    </row>
    <row r="1539" spans="1:14" x14ac:dyDescent="0.35">
      <c r="A1539" t="s">
        <v>1609</v>
      </c>
      <c r="B1539" t="s">
        <v>15</v>
      </c>
      <c r="C1539" t="s">
        <v>16</v>
      </c>
      <c r="D1539">
        <v>123</v>
      </c>
      <c r="E1539" t="s">
        <v>1591</v>
      </c>
      <c r="F1539">
        <v>5419</v>
      </c>
      <c r="G1539" t="s">
        <v>18</v>
      </c>
      <c r="H1539">
        <v>27</v>
      </c>
      <c r="I1539" t="s">
        <v>19</v>
      </c>
      <c r="J1539">
        <v>2005</v>
      </c>
      <c r="K1539">
        <v>2005</v>
      </c>
      <c r="L1539" t="s">
        <v>20</v>
      </c>
      <c r="M1539">
        <v>12900</v>
      </c>
      <c r="N1539">
        <v>2391</v>
      </c>
    </row>
    <row r="1540" spans="1:14" x14ac:dyDescent="0.35">
      <c r="A1540" t="s">
        <v>1610</v>
      </c>
      <c r="B1540" t="s">
        <v>15</v>
      </c>
      <c r="C1540" t="s">
        <v>16</v>
      </c>
      <c r="D1540">
        <v>123</v>
      </c>
      <c r="E1540" t="s">
        <v>1591</v>
      </c>
      <c r="F1540">
        <v>5419</v>
      </c>
      <c r="G1540" t="s">
        <v>18</v>
      </c>
      <c r="H1540">
        <v>27</v>
      </c>
      <c r="I1540" t="s">
        <v>19</v>
      </c>
      <c r="J1540">
        <v>2006</v>
      </c>
      <c r="K1540">
        <v>2006</v>
      </c>
      <c r="L1540" t="s">
        <v>20</v>
      </c>
      <c r="M1540">
        <v>12615</v>
      </c>
      <c r="N1540">
        <v>2391</v>
      </c>
    </row>
    <row r="1541" spans="1:14" x14ac:dyDescent="0.35">
      <c r="A1541" t="s">
        <v>1611</v>
      </c>
      <c r="B1541" t="s">
        <v>15</v>
      </c>
      <c r="C1541" t="s">
        <v>16</v>
      </c>
      <c r="D1541">
        <v>123</v>
      </c>
      <c r="E1541" t="s">
        <v>1591</v>
      </c>
      <c r="F1541">
        <v>5419</v>
      </c>
      <c r="G1541" t="s">
        <v>18</v>
      </c>
      <c r="H1541">
        <v>27</v>
      </c>
      <c r="I1541" t="s">
        <v>19</v>
      </c>
      <c r="J1541">
        <v>2007</v>
      </c>
      <c r="K1541">
        <v>2007</v>
      </c>
      <c r="L1541" t="s">
        <v>20</v>
      </c>
      <c r="M1541">
        <v>14488</v>
      </c>
      <c r="N1541">
        <v>2391</v>
      </c>
    </row>
    <row r="1542" spans="1:14" x14ac:dyDescent="0.35">
      <c r="A1542" t="s">
        <v>1612</v>
      </c>
      <c r="B1542" t="s">
        <v>15</v>
      </c>
      <c r="C1542" t="s">
        <v>16</v>
      </c>
      <c r="D1542">
        <v>123</v>
      </c>
      <c r="E1542" t="s">
        <v>1591</v>
      </c>
      <c r="F1542">
        <v>5419</v>
      </c>
      <c r="G1542" t="s">
        <v>18</v>
      </c>
      <c r="H1542">
        <v>27</v>
      </c>
      <c r="I1542" t="s">
        <v>19</v>
      </c>
      <c r="J1542">
        <v>2008</v>
      </c>
      <c r="K1542">
        <v>2008</v>
      </c>
      <c r="L1542" t="s">
        <v>20</v>
      </c>
      <c r="M1542">
        <v>15534</v>
      </c>
      <c r="N1542">
        <v>2391</v>
      </c>
    </row>
    <row r="1543" spans="1:14" x14ac:dyDescent="0.35">
      <c r="A1543" t="s">
        <v>1613</v>
      </c>
      <c r="B1543" t="s">
        <v>15</v>
      </c>
      <c r="C1543" t="s">
        <v>16</v>
      </c>
      <c r="D1543">
        <v>123</v>
      </c>
      <c r="E1543" t="s">
        <v>1591</v>
      </c>
      <c r="F1543">
        <v>5419</v>
      </c>
      <c r="G1543" t="s">
        <v>18</v>
      </c>
      <c r="H1543">
        <v>27</v>
      </c>
      <c r="I1543" t="s">
        <v>19</v>
      </c>
      <c r="J1543">
        <v>2009</v>
      </c>
      <c r="K1543">
        <v>2009</v>
      </c>
      <c r="L1543" t="s">
        <v>20</v>
      </c>
      <c r="M1543">
        <v>11835</v>
      </c>
      <c r="N1543">
        <v>2391</v>
      </c>
    </row>
    <row r="1544" spans="1:14" x14ac:dyDescent="0.35">
      <c r="A1544" t="s">
        <v>1614</v>
      </c>
      <c r="B1544" t="s">
        <v>15</v>
      </c>
      <c r="C1544" t="s">
        <v>16</v>
      </c>
      <c r="D1544">
        <v>123</v>
      </c>
      <c r="E1544" t="s">
        <v>1591</v>
      </c>
      <c r="F1544">
        <v>5419</v>
      </c>
      <c r="G1544" t="s">
        <v>18</v>
      </c>
      <c r="H1544">
        <v>27</v>
      </c>
      <c r="I1544" t="s">
        <v>19</v>
      </c>
      <c r="J1544">
        <v>2010</v>
      </c>
      <c r="K1544">
        <v>2010</v>
      </c>
      <c r="L1544" t="s">
        <v>20</v>
      </c>
      <c r="M1544">
        <v>11786</v>
      </c>
      <c r="N1544">
        <v>2391</v>
      </c>
    </row>
    <row r="1545" spans="1:14" x14ac:dyDescent="0.35">
      <c r="A1545" t="s">
        <v>1615</v>
      </c>
      <c r="B1545" t="s">
        <v>15</v>
      </c>
      <c r="C1545" t="s">
        <v>16</v>
      </c>
      <c r="D1545">
        <v>123</v>
      </c>
      <c r="E1545" t="s">
        <v>1591</v>
      </c>
      <c r="F1545">
        <v>5419</v>
      </c>
      <c r="G1545" t="s">
        <v>18</v>
      </c>
      <c r="H1545">
        <v>27</v>
      </c>
      <c r="I1545" t="s">
        <v>19</v>
      </c>
      <c r="J1545">
        <v>2011</v>
      </c>
      <c r="K1545">
        <v>2011</v>
      </c>
      <c r="L1545" t="s">
        <v>20</v>
      </c>
      <c r="M1545">
        <v>11993</v>
      </c>
      <c r="N1545">
        <v>2391</v>
      </c>
    </row>
    <row r="1546" spans="1:14" x14ac:dyDescent="0.35">
      <c r="A1546" t="s">
        <v>1616</v>
      </c>
      <c r="B1546" t="s">
        <v>15</v>
      </c>
      <c r="C1546" t="s">
        <v>16</v>
      </c>
      <c r="D1546">
        <v>123</v>
      </c>
      <c r="E1546" t="s">
        <v>1591</v>
      </c>
      <c r="F1546">
        <v>5419</v>
      </c>
      <c r="G1546" t="s">
        <v>18</v>
      </c>
      <c r="H1546">
        <v>27</v>
      </c>
      <c r="I1546" t="s">
        <v>19</v>
      </c>
      <c r="J1546">
        <v>2012</v>
      </c>
      <c r="K1546">
        <v>2012</v>
      </c>
      <c r="L1546" t="s">
        <v>20</v>
      </c>
      <c r="M1546">
        <v>12853</v>
      </c>
      <c r="N1546">
        <v>2391</v>
      </c>
    </row>
    <row r="1547" spans="1:14" x14ac:dyDescent="0.35">
      <c r="A1547" t="s">
        <v>1617</v>
      </c>
      <c r="B1547" t="s">
        <v>15</v>
      </c>
      <c r="C1547" t="s">
        <v>16</v>
      </c>
      <c r="D1547">
        <v>123</v>
      </c>
      <c r="E1547" t="s">
        <v>1591</v>
      </c>
      <c r="F1547">
        <v>5419</v>
      </c>
      <c r="G1547" t="s">
        <v>18</v>
      </c>
      <c r="H1547">
        <v>27</v>
      </c>
      <c r="I1547" t="s">
        <v>19</v>
      </c>
      <c r="J1547">
        <v>2013</v>
      </c>
      <c r="K1547">
        <v>2013</v>
      </c>
      <c r="L1547" t="s">
        <v>20</v>
      </c>
      <c r="M1547">
        <v>12892</v>
      </c>
      <c r="N1547">
        <v>2391</v>
      </c>
    </row>
    <row r="1548" spans="1:14" x14ac:dyDescent="0.35">
      <c r="A1548" t="s">
        <v>1618</v>
      </c>
      <c r="B1548" t="s">
        <v>15</v>
      </c>
      <c r="C1548" t="s">
        <v>16</v>
      </c>
      <c r="D1548">
        <v>123</v>
      </c>
      <c r="E1548" t="s">
        <v>1591</v>
      </c>
      <c r="F1548">
        <v>5419</v>
      </c>
      <c r="G1548" t="s">
        <v>18</v>
      </c>
      <c r="H1548">
        <v>27</v>
      </c>
      <c r="I1548" t="s">
        <v>19</v>
      </c>
      <c r="J1548">
        <v>2014</v>
      </c>
      <c r="K1548">
        <v>2014</v>
      </c>
      <c r="L1548" t="s">
        <v>20</v>
      </c>
      <c r="M1548">
        <v>12989</v>
      </c>
      <c r="N1548">
        <v>2391</v>
      </c>
    </row>
    <row r="1549" spans="1:14" x14ac:dyDescent="0.35">
      <c r="A1549" t="s">
        <v>1619</v>
      </c>
      <c r="B1549" t="s">
        <v>15</v>
      </c>
      <c r="C1549" t="s">
        <v>16</v>
      </c>
      <c r="D1549">
        <v>123</v>
      </c>
      <c r="E1549" t="s">
        <v>1591</v>
      </c>
      <c r="F1549">
        <v>5419</v>
      </c>
      <c r="G1549" t="s">
        <v>18</v>
      </c>
      <c r="H1549">
        <v>27</v>
      </c>
      <c r="I1549" t="s">
        <v>19</v>
      </c>
      <c r="J1549">
        <v>2015</v>
      </c>
      <c r="K1549">
        <v>2015</v>
      </c>
      <c r="L1549" t="s">
        <v>20</v>
      </c>
      <c r="M1549">
        <v>13101</v>
      </c>
      <c r="N1549">
        <v>2391</v>
      </c>
    </row>
    <row r="1550" spans="1:14" x14ac:dyDescent="0.35">
      <c r="A1550" t="s">
        <v>1620</v>
      </c>
      <c r="B1550" t="s">
        <v>15</v>
      </c>
      <c r="C1550" t="s">
        <v>16</v>
      </c>
      <c r="D1550">
        <v>123</v>
      </c>
      <c r="E1550" t="s">
        <v>1591</v>
      </c>
      <c r="F1550">
        <v>5419</v>
      </c>
      <c r="G1550" t="s">
        <v>18</v>
      </c>
      <c r="H1550">
        <v>27</v>
      </c>
      <c r="I1550" t="s">
        <v>19</v>
      </c>
      <c r="J1550">
        <v>2016</v>
      </c>
      <c r="K1550">
        <v>2016</v>
      </c>
      <c r="L1550" t="s">
        <v>20</v>
      </c>
      <c r="M1550">
        <v>13223</v>
      </c>
      <c r="N1550">
        <v>2391</v>
      </c>
    </row>
    <row r="1551" spans="1:14" x14ac:dyDescent="0.35">
      <c r="A1551" t="s">
        <v>1621</v>
      </c>
      <c r="B1551" t="s">
        <v>15</v>
      </c>
      <c r="C1551" t="s">
        <v>16</v>
      </c>
      <c r="D1551">
        <v>129</v>
      </c>
      <c r="E1551" t="s">
        <v>1622</v>
      </c>
      <c r="F1551">
        <v>5419</v>
      </c>
      <c r="G1551" t="s">
        <v>18</v>
      </c>
      <c r="H1551">
        <v>27</v>
      </c>
      <c r="I1551" t="s">
        <v>19</v>
      </c>
      <c r="J1551">
        <v>1985</v>
      </c>
      <c r="K1551">
        <v>1985</v>
      </c>
      <c r="L1551" t="s">
        <v>20</v>
      </c>
      <c r="M1551">
        <v>18400</v>
      </c>
      <c r="N1551">
        <v>1513</v>
      </c>
    </row>
    <row r="1552" spans="1:14" x14ac:dyDescent="0.35">
      <c r="A1552" t="s">
        <v>1623</v>
      </c>
      <c r="B1552" t="s">
        <v>15</v>
      </c>
      <c r="C1552" t="s">
        <v>16</v>
      </c>
      <c r="D1552">
        <v>129</v>
      </c>
      <c r="E1552" t="s">
        <v>1622</v>
      </c>
      <c r="F1552">
        <v>5419</v>
      </c>
      <c r="G1552" t="s">
        <v>18</v>
      </c>
      <c r="H1552">
        <v>27</v>
      </c>
      <c r="I1552" t="s">
        <v>19</v>
      </c>
      <c r="J1552">
        <v>1986</v>
      </c>
      <c r="K1552">
        <v>1986</v>
      </c>
      <c r="L1552" t="s">
        <v>20</v>
      </c>
      <c r="M1552">
        <v>18780</v>
      </c>
      <c r="N1552">
        <v>1513</v>
      </c>
    </row>
    <row r="1553" spans="1:14" x14ac:dyDescent="0.35">
      <c r="A1553" t="s">
        <v>1624</v>
      </c>
      <c r="B1553" t="s">
        <v>15</v>
      </c>
      <c r="C1553" t="s">
        <v>16</v>
      </c>
      <c r="D1553">
        <v>129</v>
      </c>
      <c r="E1553" t="s">
        <v>1622</v>
      </c>
      <c r="F1553">
        <v>5419</v>
      </c>
      <c r="G1553" t="s">
        <v>18</v>
      </c>
      <c r="H1553">
        <v>27</v>
      </c>
      <c r="I1553" t="s">
        <v>19</v>
      </c>
      <c r="J1553">
        <v>1987</v>
      </c>
      <c r="K1553">
        <v>1987</v>
      </c>
      <c r="L1553" t="s">
        <v>20</v>
      </c>
      <c r="M1553">
        <v>19836</v>
      </c>
      <c r="N1553">
        <v>1513</v>
      </c>
    </row>
    <row r="1554" spans="1:14" x14ac:dyDescent="0.35">
      <c r="A1554" t="s">
        <v>1625</v>
      </c>
      <c r="B1554" t="s">
        <v>15</v>
      </c>
      <c r="C1554" t="s">
        <v>16</v>
      </c>
      <c r="D1554">
        <v>129</v>
      </c>
      <c r="E1554" t="s">
        <v>1622</v>
      </c>
      <c r="F1554">
        <v>5419</v>
      </c>
      <c r="G1554" t="s">
        <v>18</v>
      </c>
      <c r="H1554">
        <v>27</v>
      </c>
      <c r="I1554" t="s">
        <v>19</v>
      </c>
      <c r="J1554">
        <v>1989</v>
      </c>
      <c r="K1554">
        <v>1989</v>
      </c>
      <c r="L1554" t="s">
        <v>20</v>
      </c>
      <c r="M1554">
        <v>20768</v>
      </c>
      <c r="N1554">
        <v>1513</v>
      </c>
    </row>
    <row r="1555" spans="1:14" x14ac:dyDescent="0.35">
      <c r="A1555" t="s">
        <v>1626</v>
      </c>
      <c r="B1555" t="s">
        <v>15</v>
      </c>
      <c r="C1555" t="s">
        <v>16</v>
      </c>
      <c r="D1555">
        <v>129</v>
      </c>
      <c r="E1555" t="s">
        <v>1622</v>
      </c>
      <c r="F1555">
        <v>5419</v>
      </c>
      <c r="G1555" t="s">
        <v>18</v>
      </c>
      <c r="H1555">
        <v>27</v>
      </c>
      <c r="I1555" t="s">
        <v>19</v>
      </c>
      <c r="J1555">
        <v>1990</v>
      </c>
      <c r="K1555">
        <v>1990</v>
      </c>
      <c r="L1555" t="s">
        <v>20</v>
      </c>
      <c r="M1555">
        <v>20773</v>
      </c>
      <c r="N1555">
        <v>1513</v>
      </c>
    </row>
    <row r="1556" spans="1:14" x14ac:dyDescent="0.35">
      <c r="A1556" t="s">
        <v>1627</v>
      </c>
      <c r="B1556" t="s">
        <v>15</v>
      </c>
      <c r="C1556" t="s">
        <v>16</v>
      </c>
      <c r="D1556">
        <v>129</v>
      </c>
      <c r="E1556" t="s">
        <v>1622</v>
      </c>
      <c r="F1556">
        <v>5419</v>
      </c>
      <c r="G1556" t="s">
        <v>18</v>
      </c>
      <c r="H1556">
        <v>27</v>
      </c>
      <c r="I1556" t="s">
        <v>19</v>
      </c>
      <c r="J1556">
        <v>1991</v>
      </c>
      <c r="K1556">
        <v>1991</v>
      </c>
      <c r="L1556" t="s">
        <v>20</v>
      </c>
      <c r="M1556">
        <v>20546</v>
      </c>
      <c r="N1556">
        <v>1513</v>
      </c>
    </row>
    <row r="1557" spans="1:14" x14ac:dyDescent="0.35">
      <c r="A1557" t="s">
        <v>1628</v>
      </c>
      <c r="B1557" t="s">
        <v>15</v>
      </c>
      <c r="C1557" t="s">
        <v>16</v>
      </c>
      <c r="D1557">
        <v>129</v>
      </c>
      <c r="E1557" t="s">
        <v>1622</v>
      </c>
      <c r="F1557">
        <v>5419</v>
      </c>
      <c r="G1557" t="s">
        <v>18</v>
      </c>
      <c r="H1557">
        <v>27</v>
      </c>
      <c r="I1557" t="s">
        <v>19</v>
      </c>
      <c r="J1557">
        <v>1992</v>
      </c>
      <c r="K1557">
        <v>1992</v>
      </c>
      <c r="L1557" t="s">
        <v>20</v>
      </c>
      <c r="M1557">
        <v>20869</v>
      </c>
      <c r="N1557">
        <v>1513</v>
      </c>
    </row>
    <row r="1558" spans="1:14" x14ac:dyDescent="0.35">
      <c r="A1558" t="s">
        <v>1629</v>
      </c>
      <c r="B1558" t="s">
        <v>15</v>
      </c>
      <c r="C1558" t="s">
        <v>16</v>
      </c>
      <c r="D1558">
        <v>129</v>
      </c>
      <c r="E1558" t="s">
        <v>1622</v>
      </c>
      <c r="F1558">
        <v>5419</v>
      </c>
      <c r="G1558" t="s">
        <v>18</v>
      </c>
      <c r="H1558">
        <v>27</v>
      </c>
      <c r="I1558" t="s">
        <v>19</v>
      </c>
      <c r="J1558">
        <v>1993</v>
      </c>
      <c r="K1558">
        <v>1993</v>
      </c>
      <c r="L1558" t="s">
        <v>20</v>
      </c>
      <c r="M1558">
        <v>20782</v>
      </c>
      <c r="N1558">
        <v>1513</v>
      </c>
    </row>
    <row r="1559" spans="1:14" x14ac:dyDescent="0.35">
      <c r="A1559" t="s">
        <v>1630</v>
      </c>
      <c r="B1559" t="s">
        <v>15</v>
      </c>
      <c r="C1559" t="s">
        <v>16</v>
      </c>
      <c r="D1559">
        <v>129</v>
      </c>
      <c r="E1559" t="s">
        <v>1622</v>
      </c>
      <c r="F1559">
        <v>5419</v>
      </c>
      <c r="G1559" t="s">
        <v>18</v>
      </c>
      <c r="H1559">
        <v>27</v>
      </c>
      <c r="I1559" t="s">
        <v>19</v>
      </c>
      <c r="J1559">
        <v>1994</v>
      </c>
      <c r="K1559">
        <v>1994</v>
      </c>
      <c r="L1559" t="s">
        <v>20</v>
      </c>
      <c r="M1559">
        <v>20694</v>
      </c>
      <c r="N1559">
        <v>1513</v>
      </c>
    </row>
    <row r="1560" spans="1:14" x14ac:dyDescent="0.35">
      <c r="A1560" t="s">
        <v>1631</v>
      </c>
      <c r="B1560" t="s">
        <v>15</v>
      </c>
      <c r="C1560" t="s">
        <v>16</v>
      </c>
      <c r="D1560">
        <v>129</v>
      </c>
      <c r="E1560" t="s">
        <v>1622</v>
      </c>
      <c r="F1560">
        <v>5419</v>
      </c>
      <c r="G1560" t="s">
        <v>18</v>
      </c>
      <c r="H1560">
        <v>27</v>
      </c>
      <c r="I1560" t="s">
        <v>19</v>
      </c>
      <c r="J1560">
        <v>1995</v>
      </c>
      <c r="K1560">
        <v>1995</v>
      </c>
      <c r="L1560" t="s">
        <v>20</v>
      </c>
      <c r="M1560">
        <v>21304</v>
      </c>
      <c r="N1560">
        <v>1513</v>
      </c>
    </row>
    <row r="1561" spans="1:14" x14ac:dyDescent="0.35">
      <c r="A1561" t="s">
        <v>1632</v>
      </c>
      <c r="B1561" t="s">
        <v>15</v>
      </c>
      <c r="C1561" t="s">
        <v>16</v>
      </c>
      <c r="D1561">
        <v>129</v>
      </c>
      <c r="E1561" t="s">
        <v>1622</v>
      </c>
      <c r="F1561">
        <v>5419</v>
      </c>
      <c r="G1561" t="s">
        <v>18</v>
      </c>
      <c r="H1561">
        <v>27</v>
      </c>
      <c r="I1561" t="s">
        <v>19</v>
      </c>
      <c r="J1561">
        <v>1996</v>
      </c>
      <c r="K1561">
        <v>1996</v>
      </c>
      <c r="L1561" t="s">
        <v>20</v>
      </c>
      <c r="M1561">
        <v>21930</v>
      </c>
      <c r="N1561">
        <v>1513</v>
      </c>
    </row>
    <row r="1562" spans="1:14" x14ac:dyDescent="0.35">
      <c r="A1562" t="s">
        <v>1633</v>
      </c>
      <c r="B1562" t="s">
        <v>15</v>
      </c>
      <c r="C1562" t="s">
        <v>16</v>
      </c>
      <c r="D1562">
        <v>129</v>
      </c>
      <c r="E1562" t="s">
        <v>1622</v>
      </c>
      <c r="F1562">
        <v>5419</v>
      </c>
      <c r="G1562" t="s">
        <v>18</v>
      </c>
      <c r="H1562">
        <v>27</v>
      </c>
      <c r="I1562" t="s">
        <v>19</v>
      </c>
      <c r="J1562">
        <v>1997</v>
      </c>
      <c r="K1562">
        <v>1997</v>
      </c>
      <c r="L1562" t="s">
        <v>20</v>
      </c>
      <c r="M1562">
        <v>21737</v>
      </c>
      <c r="N1562">
        <v>1513</v>
      </c>
    </row>
    <row r="1563" spans="1:14" x14ac:dyDescent="0.35">
      <c r="A1563" t="s">
        <v>1634</v>
      </c>
      <c r="B1563" t="s">
        <v>15</v>
      </c>
      <c r="C1563" t="s">
        <v>16</v>
      </c>
      <c r="D1563">
        <v>129</v>
      </c>
      <c r="E1563" t="s">
        <v>1622</v>
      </c>
      <c r="F1563">
        <v>5419</v>
      </c>
      <c r="G1563" t="s">
        <v>18</v>
      </c>
      <c r="H1563">
        <v>27</v>
      </c>
      <c r="I1563" t="s">
        <v>19</v>
      </c>
      <c r="J1563">
        <v>1998</v>
      </c>
      <c r="K1563">
        <v>1998</v>
      </c>
      <c r="L1563" t="s">
        <v>20</v>
      </c>
      <c r="M1563">
        <v>20341</v>
      </c>
      <c r="N1563">
        <v>1513</v>
      </c>
    </row>
    <row r="1564" spans="1:14" x14ac:dyDescent="0.35">
      <c r="A1564" t="s">
        <v>1635</v>
      </c>
      <c r="B1564" t="s">
        <v>15</v>
      </c>
      <c r="C1564" t="s">
        <v>16</v>
      </c>
      <c r="D1564">
        <v>129</v>
      </c>
      <c r="E1564" t="s">
        <v>1622</v>
      </c>
      <c r="F1564">
        <v>5419</v>
      </c>
      <c r="G1564" t="s">
        <v>18</v>
      </c>
      <c r="H1564">
        <v>27</v>
      </c>
      <c r="I1564" t="s">
        <v>19</v>
      </c>
      <c r="J1564">
        <v>1999</v>
      </c>
      <c r="K1564">
        <v>1999</v>
      </c>
      <c r="L1564" t="s">
        <v>20</v>
      </c>
      <c r="M1564">
        <v>21284</v>
      </c>
      <c r="N1564">
        <v>1513</v>
      </c>
    </row>
    <row r="1565" spans="1:14" x14ac:dyDescent="0.35">
      <c r="A1565" t="s">
        <v>1636</v>
      </c>
      <c r="B1565" t="s">
        <v>15</v>
      </c>
      <c r="C1565" t="s">
        <v>16</v>
      </c>
      <c r="D1565">
        <v>129</v>
      </c>
      <c r="E1565" t="s">
        <v>1622</v>
      </c>
      <c r="F1565">
        <v>5419</v>
      </c>
      <c r="G1565" t="s">
        <v>18</v>
      </c>
      <c r="H1565">
        <v>27</v>
      </c>
      <c r="I1565" t="s">
        <v>19</v>
      </c>
      <c r="J1565">
        <v>2000</v>
      </c>
      <c r="K1565">
        <v>2000</v>
      </c>
      <c r="L1565" t="s">
        <v>20</v>
      </c>
      <c r="M1565">
        <v>20512</v>
      </c>
      <c r="N1565">
        <v>1513</v>
      </c>
    </row>
    <row r="1566" spans="1:14" x14ac:dyDescent="0.35">
      <c r="A1566" t="s">
        <v>1637</v>
      </c>
      <c r="B1566" t="s">
        <v>15</v>
      </c>
      <c r="C1566" t="s">
        <v>16</v>
      </c>
      <c r="D1566">
        <v>129</v>
      </c>
      <c r="E1566" t="s">
        <v>1622</v>
      </c>
      <c r="F1566">
        <v>5419</v>
      </c>
      <c r="G1566" t="s">
        <v>18</v>
      </c>
      <c r="H1566">
        <v>27</v>
      </c>
      <c r="I1566" t="s">
        <v>19</v>
      </c>
      <c r="J1566">
        <v>2001</v>
      </c>
      <c r="K1566">
        <v>2001</v>
      </c>
      <c r="L1566" t="s">
        <v>20</v>
      </c>
      <c r="M1566">
        <v>21956</v>
      </c>
      <c r="N1566">
        <v>1513</v>
      </c>
    </row>
    <row r="1567" spans="1:14" x14ac:dyDescent="0.35">
      <c r="A1567" t="s">
        <v>1638</v>
      </c>
      <c r="B1567" t="s">
        <v>15</v>
      </c>
      <c r="C1567" t="s">
        <v>16</v>
      </c>
      <c r="D1567">
        <v>129</v>
      </c>
      <c r="E1567" t="s">
        <v>1622</v>
      </c>
      <c r="F1567">
        <v>5419</v>
      </c>
      <c r="G1567" t="s">
        <v>18</v>
      </c>
      <c r="H1567">
        <v>27</v>
      </c>
      <c r="I1567" t="s">
        <v>19</v>
      </c>
      <c r="J1567">
        <v>2002</v>
      </c>
      <c r="K1567">
        <v>2002</v>
      </c>
      <c r="L1567" t="s">
        <v>20</v>
      </c>
      <c r="M1567">
        <v>21414</v>
      </c>
      <c r="N1567">
        <v>1513</v>
      </c>
    </row>
    <row r="1568" spans="1:14" x14ac:dyDescent="0.35">
      <c r="A1568" t="s">
        <v>1639</v>
      </c>
      <c r="B1568" t="s">
        <v>15</v>
      </c>
      <c r="C1568" t="s">
        <v>16</v>
      </c>
      <c r="D1568">
        <v>129</v>
      </c>
      <c r="E1568" t="s">
        <v>1622</v>
      </c>
      <c r="F1568">
        <v>5419</v>
      </c>
      <c r="G1568" t="s">
        <v>18</v>
      </c>
      <c r="H1568">
        <v>27</v>
      </c>
      <c r="I1568" t="s">
        <v>19</v>
      </c>
      <c r="J1568">
        <v>2004</v>
      </c>
      <c r="K1568">
        <v>2004</v>
      </c>
      <c r="L1568" t="s">
        <v>20</v>
      </c>
      <c r="M1568">
        <v>24475</v>
      </c>
      <c r="N1568">
        <v>1513</v>
      </c>
    </row>
    <row r="1569" spans="1:14" x14ac:dyDescent="0.35">
      <c r="A1569" t="s">
        <v>1640</v>
      </c>
      <c r="B1569" t="s">
        <v>15</v>
      </c>
      <c r="C1569" t="s">
        <v>16</v>
      </c>
      <c r="D1569">
        <v>129</v>
      </c>
      <c r="E1569" t="s">
        <v>1622</v>
      </c>
      <c r="F1569">
        <v>5419</v>
      </c>
      <c r="G1569" t="s">
        <v>18</v>
      </c>
      <c r="H1569">
        <v>27</v>
      </c>
      <c r="I1569" t="s">
        <v>19</v>
      </c>
      <c r="J1569">
        <v>2005</v>
      </c>
      <c r="K1569">
        <v>2005</v>
      </c>
      <c r="L1569" t="s">
        <v>20</v>
      </c>
      <c r="M1569">
        <v>27140</v>
      </c>
      <c r="N1569">
        <v>1513</v>
      </c>
    </row>
    <row r="1570" spans="1:14" x14ac:dyDescent="0.35">
      <c r="A1570" t="s">
        <v>1641</v>
      </c>
      <c r="B1570" t="s">
        <v>15</v>
      </c>
      <c r="C1570" t="s">
        <v>16</v>
      </c>
      <c r="D1570">
        <v>129</v>
      </c>
      <c r="E1570" t="s">
        <v>1622</v>
      </c>
      <c r="F1570">
        <v>5419</v>
      </c>
      <c r="G1570" t="s">
        <v>18</v>
      </c>
      <c r="H1570">
        <v>27</v>
      </c>
      <c r="I1570" t="s">
        <v>19</v>
      </c>
      <c r="J1570">
        <v>2006</v>
      </c>
      <c r="K1570">
        <v>2006</v>
      </c>
      <c r="L1570" t="s">
        <v>20</v>
      </c>
      <c r="M1570">
        <v>27667</v>
      </c>
      <c r="N1570">
        <v>1513</v>
      </c>
    </row>
    <row r="1571" spans="1:14" x14ac:dyDescent="0.35">
      <c r="A1571" t="s">
        <v>1642</v>
      </c>
      <c r="B1571" t="s">
        <v>15</v>
      </c>
      <c r="C1571" t="s">
        <v>16</v>
      </c>
      <c r="D1571">
        <v>129</v>
      </c>
      <c r="E1571" t="s">
        <v>1622</v>
      </c>
      <c r="F1571">
        <v>5419</v>
      </c>
      <c r="G1571" t="s">
        <v>18</v>
      </c>
      <c r="H1571">
        <v>27</v>
      </c>
      <c r="I1571" t="s">
        <v>19</v>
      </c>
      <c r="J1571">
        <v>2007</v>
      </c>
      <c r="K1571">
        <v>2007</v>
      </c>
      <c r="L1571" t="s">
        <v>20</v>
      </c>
      <c r="M1571">
        <v>28268</v>
      </c>
      <c r="N1571">
        <v>1513</v>
      </c>
    </row>
    <row r="1572" spans="1:14" x14ac:dyDescent="0.35">
      <c r="A1572" t="s">
        <v>1643</v>
      </c>
      <c r="B1572" t="s">
        <v>15</v>
      </c>
      <c r="C1572" t="s">
        <v>16</v>
      </c>
      <c r="D1572">
        <v>129</v>
      </c>
      <c r="E1572" t="s">
        <v>1622</v>
      </c>
      <c r="F1572">
        <v>5419</v>
      </c>
      <c r="G1572" t="s">
        <v>18</v>
      </c>
      <c r="H1572">
        <v>27</v>
      </c>
      <c r="I1572" t="s">
        <v>19</v>
      </c>
      <c r="J1572">
        <v>2008</v>
      </c>
      <c r="K1572">
        <v>2008</v>
      </c>
      <c r="L1572" t="s">
        <v>20</v>
      </c>
      <c r="M1572">
        <v>30495</v>
      </c>
      <c r="N1572">
        <v>1513</v>
      </c>
    </row>
    <row r="1573" spans="1:14" x14ac:dyDescent="0.35">
      <c r="A1573" t="s">
        <v>1644</v>
      </c>
      <c r="B1573" t="s">
        <v>15</v>
      </c>
      <c r="C1573" t="s">
        <v>16</v>
      </c>
      <c r="D1573">
        <v>129</v>
      </c>
      <c r="E1573" t="s">
        <v>1622</v>
      </c>
      <c r="F1573">
        <v>5419</v>
      </c>
      <c r="G1573" t="s">
        <v>18</v>
      </c>
      <c r="H1573">
        <v>27</v>
      </c>
      <c r="I1573" t="s">
        <v>19</v>
      </c>
      <c r="J1573">
        <v>2009</v>
      </c>
      <c r="K1573">
        <v>2009</v>
      </c>
      <c r="L1573" t="s">
        <v>20</v>
      </c>
      <c r="M1573">
        <v>35056</v>
      </c>
      <c r="N1573">
        <v>1513</v>
      </c>
    </row>
    <row r="1574" spans="1:14" x14ac:dyDescent="0.35">
      <c r="A1574" t="s">
        <v>1645</v>
      </c>
      <c r="B1574" t="s">
        <v>15</v>
      </c>
      <c r="C1574" t="s">
        <v>16</v>
      </c>
      <c r="D1574">
        <v>129</v>
      </c>
      <c r="E1574" t="s">
        <v>1622</v>
      </c>
      <c r="F1574">
        <v>5419</v>
      </c>
      <c r="G1574" t="s">
        <v>18</v>
      </c>
      <c r="H1574">
        <v>27</v>
      </c>
      <c r="I1574" t="s">
        <v>19</v>
      </c>
      <c r="J1574">
        <v>2010</v>
      </c>
      <c r="K1574">
        <v>2010</v>
      </c>
      <c r="L1574" t="s">
        <v>20</v>
      </c>
      <c r="M1574">
        <v>36249</v>
      </c>
      <c r="N1574">
        <v>1513</v>
      </c>
    </row>
    <row r="1575" spans="1:14" x14ac:dyDescent="0.35">
      <c r="A1575" t="s">
        <v>1646</v>
      </c>
      <c r="B1575" t="s">
        <v>15</v>
      </c>
      <c r="C1575" t="s">
        <v>16</v>
      </c>
      <c r="D1575">
        <v>129</v>
      </c>
      <c r="E1575" t="s">
        <v>1622</v>
      </c>
      <c r="F1575">
        <v>5419</v>
      </c>
      <c r="G1575" t="s">
        <v>18</v>
      </c>
      <c r="H1575">
        <v>27</v>
      </c>
      <c r="I1575" t="s">
        <v>19</v>
      </c>
      <c r="J1575">
        <v>2011</v>
      </c>
      <c r="K1575">
        <v>2011</v>
      </c>
      <c r="L1575" t="s">
        <v>20</v>
      </c>
      <c r="M1575">
        <v>37806</v>
      </c>
      <c r="N1575">
        <v>1513</v>
      </c>
    </row>
    <row r="1576" spans="1:14" x14ac:dyDescent="0.35">
      <c r="A1576" t="s">
        <v>1647</v>
      </c>
      <c r="B1576" t="s">
        <v>15</v>
      </c>
      <c r="C1576" t="s">
        <v>16</v>
      </c>
      <c r="D1576">
        <v>129</v>
      </c>
      <c r="E1576" t="s">
        <v>1622</v>
      </c>
      <c r="F1576">
        <v>5419</v>
      </c>
      <c r="G1576" t="s">
        <v>18</v>
      </c>
      <c r="H1576">
        <v>27</v>
      </c>
      <c r="I1576" t="s">
        <v>19</v>
      </c>
      <c r="J1576">
        <v>2012</v>
      </c>
      <c r="K1576">
        <v>2012</v>
      </c>
      <c r="L1576" t="s">
        <v>20</v>
      </c>
      <c r="M1576">
        <v>37661</v>
      </c>
      <c r="N1576">
        <v>1513</v>
      </c>
    </row>
    <row r="1577" spans="1:14" x14ac:dyDescent="0.35">
      <c r="A1577" t="s">
        <v>1648</v>
      </c>
      <c r="B1577" t="s">
        <v>15</v>
      </c>
      <c r="C1577" t="s">
        <v>16</v>
      </c>
      <c r="D1577">
        <v>129</v>
      </c>
      <c r="E1577" t="s">
        <v>1622</v>
      </c>
      <c r="F1577">
        <v>5419</v>
      </c>
      <c r="G1577" t="s">
        <v>18</v>
      </c>
      <c r="H1577">
        <v>27</v>
      </c>
      <c r="I1577" t="s">
        <v>19</v>
      </c>
      <c r="J1577">
        <v>2013</v>
      </c>
      <c r="K1577">
        <v>2013</v>
      </c>
      <c r="L1577" t="s">
        <v>20</v>
      </c>
      <c r="M1577">
        <v>39449</v>
      </c>
      <c r="N1577">
        <v>1513</v>
      </c>
    </row>
    <row r="1578" spans="1:14" x14ac:dyDescent="0.35">
      <c r="A1578" t="s">
        <v>1649</v>
      </c>
      <c r="B1578" t="s">
        <v>15</v>
      </c>
      <c r="C1578" t="s">
        <v>16</v>
      </c>
      <c r="D1578">
        <v>129</v>
      </c>
      <c r="E1578" t="s">
        <v>1622</v>
      </c>
      <c r="F1578">
        <v>5419</v>
      </c>
      <c r="G1578" t="s">
        <v>18</v>
      </c>
      <c r="H1578">
        <v>27</v>
      </c>
      <c r="I1578" t="s">
        <v>19</v>
      </c>
      <c r="J1578">
        <v>2014</v>
      </c>
      <c r="K1578">
        <v>2014</v>
      </c>
      <c r="L1578" t="s">
        <v>20</v>
      </c>
      <c r="M1578">
        <v>41062</v>
      </c>
      <c r="N1578">
        <v>1513</v>
      </c>
    </row>
    <row r="1579" spans="1:14" x14ac:dyDescent="0.35">
      <c r="A1579" t="s">
        <v>1650</v>
      </c>
      <c r="B1579" t="s">
        <v>15</v>
      </c>
      <c r="C1579" t="s">
        <v>16</v>
      </c>
      <c r="D1579">
        <v>129</v>
      </c>
      <c r="E1579" t="s">
        <v>1622</v>
      </c>
      <c r="F1579">
        <v>5419</v>
      </c>
      <c r="G1579" t="s">
        <v>18</v>
      </c>
      <c r="H1579">
        <v>27</v>
      </c>
      <c r="I1579" t="s">
        <v>19</v>
      </c>
      <c r="J1579">
        <v>2015</v>
      </c>
      <c r="K1579">
        <v>2015</v>
      </c>
      <c r="L1579" t="s">
        <v>20</v>
      </c>
      <c r="M1579">
        <v>42674</v>
      </c>
      <c r="N1579">
        <v>1513</v>
      </c>
    </row>
    <row r="1580" spans="1:14" x14ac:dyDescent="0.35">
      <c r="A1580" t="s">
        <v>1651</v>
      </c>
      <c r="B1580" t="s">
        <v>15</v>
      </c>
      <c r="C1580" t="s">
        <v>16</v>
      </c>
      <c r="D1580">
        <v>129</v>
      </c>
      <c r="E1580" t="s">
        <v>1622</v>
      </c>
      <c r="F1580">
        <v>5419</v>
      </c>
      <c r="G1580" t="s">
        <v>18</v>
      </c>
      <c r="H1580">
        <v>27</v>
      </c>
      <c r="I1580" t="s">
        <v>19</v>
      </c>
      <c r="J1580">
        <v>2016</v>
      </c>
      <c r="K1580">
        <v>2016</v>
      </c>
      <c r="L1580" t="s">
        <v>20</v>
      </c>
      <c r="M1580">
        <v>44287</v>
      </c>
      <c r="N1580">
        <v>1513</v>
      </c>
    </row>
    <row r="1581" spans="1:14" x14ac:dyDescent="0.35">
      <c r="A1581" t="s">
        <v>1652</v>
      </c>
      <c r="B1581" t="s">
        <v>15</v>
      </c>
      <c r="C1581" t="s">
        <v>16</v>
      </c>
      <c r="D1581">
        <v>130</v>
      </c>
      <c r="E1581" t="s">
        <v>1653</v>
      </c>
      <c r="F1581">
        <v>5419</v>
      </c>
      <c r="G1581" t="s">
        <v>18</v>
      </c>
      <c r="H1581">
        <v>27</v>
      </c>
      <c r="I1581" t="s">
        <v>19</v>
      </c>
      <c r="J1581">
        <v>1985</v>
      </c>
      <c r="K1581">
        <v>1985</v>
      </c>
      <c r="L1581" t="s">
        <v>20</v>
      </c>
      <c r="M1581">
        <v>16468</v>
      </c>
      <c r="N1581">
        <v>1181</v>
      </c>
    </row>
    <row r="1582" spans="1:14" x14ac:dyDescent="0.35">
      <c r="A1582" t="s">
        <v>1654</v>
      </c>
      <c r="B1582" t="s">
        <v>15</v>
      </c>
      <c r="C1582" t="s">
        <v>16</v>
      </c>
      <c r="D1582">
        <v>130</v>
      </c>
      <c r="E1582" t="s">
        <v>1653</v>
      </c>
      <c r="F1582">
        <v>5419</v>
      </c>
      <c r="G1582" t="s">
        <v>18</v>
      </c>
      <c r="H1582">
        <v>27</v>
      </c>
      <c r="I1582" t="s">
        <v>19</v>
      </c>
      <c r="J1582">
        <v>1986</v>
      </c>
      <c r="K1582">
        <v>1986</v>
      </c>
      <c r="L1582" t="s">
        <v>20</v>
      </c>
      <c r="M1582">
        <v>16354</v>
      </c>
      <c r="N1582">
        <v>1181</v>
      </c>
    </row>
    <row r="1583" spans="1:14" x14ac:dyDescent="0.35">
      <c r="A1583" t="s">
        <v>1655</v>
      </c>
      <c r="B1583" t="s">
        <v>15</v>
      </c>
      <c r="C1583" t="s">
        <v>16</v>
      </c>
      <c r="D1583">
        <v>130</v>
      </c>
      <c r="E1583" t="s">
        <v>1653</v>
      </c>
      <c r="F1583">
        <v>5419</v>
      </c>
      <c r="G1583" t="s">
        <v>18</v>
      </c>
      <c r="H1583">
        <v>27</v>
      </c>
      <c r="I1583" t="s">
        <v>19</v>
      </c>
      <c r="J1583">
        <v>1987</v>
      </c>
      <c r="K1583">
        <v>1987</v>
      </c>
      <c r="L1583" t="s">
        <v>20</v>
      </c>
      <c r="M1583">
        <v>14905</v>
      </c>
      <c r="N1583">
        <v>1181</v>
      </c>
    </row>
    <row r="1584" spans="1:14" x14ac:dyDescent="0.35">
      <c r="A1584" t="s">
        <v>1656</v>
      </c>
      <c r="B1584" t="s">
        <v>15</v>
      </c>
      <c r="C1584" t="s">
        <v>16</v>
      </c>
      <c r="D1584">
        <v>130</v>
      </c>
      <c r="E1584" t="s">
        <v>1653</v>
      </c>
      <c r="F1584">
        <v>5419</v>
      </c>
      <c r="G1584" t="s">
        <v>18</v>
      </c>
      <c r="H1584">
        <v>27</v>
      </c>
      <c r="I1584" t="s">
        <v>19</v>
      </c>
      <c r="J1584">
        <v>1989</v>
      </c>
      <c r="K1584">
        <v>1989</v>
      </c>
      <c r="L1584" t="s">
        <v>20</v>
      </c>
      <c r="M1584">
        <v>17866</v>
      </c>
      <c r="N1584">
        <v>1181</v>
      </c>
    </row>
    <row r="1585" spans="1:14" x14ac:dyDescent="0.35">
      <c r="A1585" t="s">
        <v>1657</v>
      </c>
      <c r="B1585" t="s">
        <v>15</v>
      </c>
      <c r="C1585" t="s">
        <v>16</v>
      </c>
      <c r="D1585">
        <v>130</v>
      </c>
      <c r="E1585" t="s">
        <v>1653</v>
      </c>
      <c r="F1585">
        <v>5419</v>
      </c>
      <c r="G1585" t="s">
        <v>18</v>
      </c>
      <c r="H1585">
        <v>27</v>
      </c>
      <c r="I1585" t="s">
        <v>19</v>
      </c>
      <c r="J1585">
        <v>1990</v>
      </c>
      <c r="K1585">
        <v>1990</v>
      </c>
      <c r="L1585" t="s">
        <v>20</v>
      </c>
      <c r="M1585">
        <v>14903</v>
      </c>
      <c r="N1585">
        <v>1181</v>
      </c>
    </row>
    <row r="1586" spans="1:14" x14ac:dyDescent="0.35">
      <c r="A1586" t="s">
        <v>1658</v>
      </c>
      <c r="B1586" t="s">
        <v>15</v>
      </c>
      <c r="C1586" t="s">
        <v>16</v>
      </c>
      <c r="D1586">
        <v>130</v>
      </c>
      <c r="E1586" t="s">
        <v>1653</v>
      </c>
      <c r="F1586">
        <v>5419</v>
      </c>
      <c r="G1586" t="s">
        <v>18</v>
      </c>
      <c r="H1586">
        <v>27</v>
      </c>
      <c r="I1586" t="s">
        <v>19</v>
      </c>
      <c r="J1586">
        <v>1991</v>
      </c>
      <c r="K1586">
        <v>1991</v>
      </c>
      <c r="L1586" t="s">
        <v>20</v>
      </c>
      <c r="M1586">
        <v>19237</v>
      </c>
      <c r="N1586">
        <v>1181</v>
      </c>
    </row>
    <row r="1587" spans="1:14" x14ac:dyDescent="0.35">
      <c r="A1587" t="s">
        <v>1659</v>
      </c>
      <c r="B1587" t="s">
        <v>15</v>
      </c>
      <c r="C1587" t="s">
        <v>16</v>
      </c>
      <c r="D1587">
        <v>130</v>
      </c>
      <c r="E1587" t="s">
        <v>1653</v>
      </c>
      <c r="F1587">
        <v>5419</v>
      </c>
      <c r="G1587" t="s">
        <v>18</v>
      </c>
      <c r="H1587">
        <v>27</v>
      </c>
      <c r="I1587" t="s">
        <v>19</v>
      </c>
      <c r="J1587">
        <v>1992</v>
      </c>
      <c r="K1587">
        <v>1992</v>
      </c>
      <c r="L1587" t="s">
        <v>20</v>
      </c>
      <c r="M1587">
        <v>13046</v>
      </c>
      <c r="N1587">
        <v>1181</v>
      </c>
    </row>
    <row r="1588" spans="1:14" x14ac:dyDescent="0.35">
      <c r="A1588" t="s">
        <v>1660</v>
      </c>
      <c r="B1588" t="s">
        <v>15</v>
      </c>
      <c r="C1588" t="s">
        <v>16</v>
      </c>
      <c r="D1588">
        <v>130</v>
      </c>
      <c r="E1588" t="s">
        <v>1653</v>
      </c>
      <c r="F1588">
        <v>5419</v>
      </c>
      <c r="G1588" t="s">
        <v>18</v>
      </c>
      <c r="H1588">
        <v>27</v>
      </c>
      <c r="I1588" t="s">
        <v>19</v>
      </c>
      <c r="J1588">
        <v>1993</v>
      </c>
      <c r="K1588">
        <v>1993</v>
      </c>
      <c r="L1588" t="s">
        <v>20</v>
      </c>
      <c r="M1588">
        <v>16834</v>
      </c>
      <c r="N1588">
        <v>1181</v>
      </c>
    </row>
    <row r="1589" spans="1:14" x14ac:dyDescent="0.35">
      <c r="A1589" t="s">
        <v>1661</v>
      </c>
      <c r="B1589" t="s">
        <v>15</v>
      </c>
      <c r="C1589" t="s">
        <v>16</v>
      </c>
      <c r="D1589">
        <v>130</v>
      </c>
      <c r="E1589" t="s">
        <v>1653</v>
      </c>
      <c r="F1589">
        <v>5419</v>
      </c>
      <c r="G1589" t="s">
        <v>18</v>
      </c>
      <c r="H1589">
        <v>27</v>
      </c>
      <c r="I1589" t="s">
        <v>19</v>
      </c>
      <c r="J1589">
        <v>1994</v>
      </c>
      <c r="K1589">
        <v>1994</v>
      </c>
      <c r="L1589" t="s">
        <v>20</v>
      </c>
      <c r="M1589">
        <v>15195</v>
      </c>
      <c r="N1589">
        <v>1181</v>
      </c>
    </row>
    <row r="1590" spans="1:14" x14ac:dyDescent="0.35">
      <c r="A1590" t="s">
        <v>1662</v>
      </c>
      <c r="B1590" t="s">
        <v>15</v>
      </c>
      <c r="C1590" t="s">
        <v>16</v>
      </c>
      <c r="D1590">
        <v>130</v>
      </c>
      <c r="E1590" t="s">
        <v>1653</v>
      </c>
      <c r="F1590">
        <v>5419</v>
      </c>
      <c r="G1590" t="s">
        <v>18</v>
      </c>
      <c r="H1590">
        <v>27</v>
      </c>
      <c r="I1590" t="s">
        <v>19</v>
      </c>
      <c r="J1590">
        <v>1995</v>
      </c>
      <c r="K1590">
        <v>1995</v>
      </c>
      <c r="L1590" t="s">
        <v>20</v>
      </c>
      <c r="M1590">
        <v>15635</v>
      </c>
      <c r="N1590">
        <v>1181</v>
      </c>
    </row>
    <row r="1591" spans="1:14" x14ac:dyDescent="0.35">
      <c r="A1591" t="s">
        <v>1663</v>
      </c>
      <c r="B1591" t="s">
        <v>15</v>
      </c>
      <c r="C1591" t="s">
        <v>16</v>
      </c>
      <c r="D1591">
        <v>130</v>
      </c>
      <c r="E1591" t="s">
        <v>1653</v>
      </c>
      <c r="F1591">
        <v>5419</v>
      </c>
      <c r="G1591" t="s">
        <v>18</v>
      </c>
      <c r="H1591">
        <v>27</v>
      </c>
      <c r="I1591" t="s">
        <v>19</v>
      </c>
      <c r="J1591">
        <v>1996</v>
      </c>
      <c r="K1591">
        <v>1996</v>
      </c>
      <c r="L1591" t="s">
        <v>20</v>
      </c>
      <c r="M1591">
        <v>17619</v>
      </c>
      <c r="N1591">
        <v>1181</v>
      </c>
    </row>
    <row r="1592" spans="1:14" x14ac:dyDescent="0.35">
      <c r="A1592" t="s">
        <v>1664</v>
      </c>
      <c r="B1592" t="s">
        <v>15</v>
      </c>
      <c r="C1592" t="s">
        <v>16</v>
      </c>
      <c r="D1592">
        <v>130</v>
      </c>
      <c r="E1592" t="s">
        <v>1653</v>
      </c>
      <c r="F1592">
        <v>5419</v>
      </c>
      <c r="G1592" t="s">
        <v>18</v>
      </c>
      <c r="H1592">
        <v>27</v>
      </c>
      <c r="I1592" t="s">
        <v>19</v>
      </c>
      <c r="J1592">
        <v>1997</v>
      </c>
      <c r="K1592">
        <v>1997</v>
      </c>
      <c r="L1592" t="s">
        <v>20</v>
      </c>
      <c r="M1592">
        <v>16273</v>
      </c>
      <c r="N1592">
        <v>1181</v>
      </c>
    </row>
    <row r="1593" spans="1:14" x14ac:dyDescent="0.35">
      <c r="A1593" t="s">
        <v>1665</v>
      </c>
      <c r="B1593" t="s">
        <v>15</v>
      </c>
      <c r="C1593" t="s">
        <v>16</v>
      </c>
      <c r="D1593">
        <v>130</v>
      </c>
      <c r="E1593" t="s">
        <v>1653</v>
      </c>
      <c r="F1593">
        <v>5419</v>
      </c>
      <c r="G1593" t="s">
        <v>18</v>
      </c>
      <c r="H1593">
        <v>27</v>
      </c>
      <c r="I1593" t="s">
        <v>19</v>
      </c>
      <c r="J1593">
        <v>1998</v>
      </c>
      <c r="K1593">
        <v>1998</v>
      </c>
      <c r="L1593" t="s">
        <v>20</v>
      </c>
      <c r="M1593">
        <v>16409</v>
      </c>
      <c r="N1593">
        <v>1181</v>
      </c>
    </row>
    <row r="1594" spans="1:14" x14ac:dyDescent="0.35">
      <c r="A1594" t="s">
        <v>1666</v>
      </c>
      <c r="B1594" t="s">
        <v>15</v>
      </c>
      <c r="C1594" t="s">
        <v>16</v>
      </c>
      <c r="D1594">
        <v>130</v>
      </c>
      <c r="E1594" t="s">
        <v>1653</v>
      </c>
      <c r="F1594">
        <v>5419</v>
      </c>
      <c r="G1594" t="s">
        <v>18</v>
      </c>
      <c r="H1594">
        <v>27</v>
      </c>
      <c r="I1594" t="s">
        <v>19</v>
      </c>
      <c r="J1594">
        <v>1999</v>
      </c>
      <c r="K1594">
        <v>1999</v>
      </c>
      <c r="L1594" t="s">
        <v>20</v>
      </c>
      <c r="M1594">
        <v>20279</v>
      </c>
      <c r="N1594">
        <v>1181</v>
      </c>
    </row>
    <row r="1595" spans="1:14" x14ac:dyDescent="0.35">
      <c r="A1595" t="s">
        <v>1667</v>
      </c>
      <c r="B1595" t="s">
        <v>15</v>
      </c>
      <c r="C1595" t="s">
        <v>16</v>
      </c>
      <c r="D1595">
        <v>130</v>
      </c>
      <c r="E1595" t="s">
        <v>1653</v>
      </c>
      <c r="F1595">
        <v>5419</v>
      </c>
      <c r="G1595" t="s">
        <v>18</v>
      </c>
      <c r="H1595">
        <v>27</v>
      </c>
      <c r="I1595" t="s">
        <v>19</v>
      </c>
      <c r="J1595">
        <v>2000</v>
      </c>
      <c r="K1595">
        <v>2000</v>
      </c>
      <c r="L1595" t="s">
        <v>20</v>
      </c>
      <c r="M1595">
        <v>16451</v>
      </c>
      <c r="N1595">
        <v>1181</v>
      </c>
    </row>
    <row r="1596" spans="1:14" x14ac:dyDescent="0.35">
      <c r="A1596" t="s">
        <v>1668</v>
      </c>
      <c r="B1596" t="s">
        <v>15</v>
      </c>
      <c r="C1596" t="s">
        <v>16</v>
      </c>
      <c r="D1596">
        <v>130</v>
      </c>
      <c r="E1596" t="s">
        <v>1653</v>
      </c>
      <c r="F1596">
        <v>5419</v>
      </c>
      <c r="G1596" t="s">
        <v>18</v>
      </c>
      <c r="H1596">
        <v>27</v>
      </c>
      <c r="I1596" t="s">
        <v>19</v>
      </c>
      <c r="J1596">
        <v>2001</v>
      </c>
      <c r="K1596">
        <v>2001</v>
      </c>
      <c r="L1596" t="s">
        <v>20</v>
      </c>
      <c r="M1596">
        <v>18576</v>
      </c>
      <c r="N1596">
        <v>1181</v>
      </c>
    </row>
    <row r="1597" spans="1:14" x14ac:dyDescent="0.35">
      <c r="A1597" t="s">
        <v>1669</v>
      </c>
      <c r="B1597" t="s">
        <v>15</v>
      </c>
      <c r="C1597" t="s">
        <v>16</v>
      </c>
      <c r="D1597">
        <v>130</v>
      </c>
      <c r="E1597" t="s">
        <v>1653</v>
      </c>
      <c r="F1597">
        <v>5419</v>
      </c>
      <c r="G1597" t="s">
        <v>18</v>
      </c>
      <c r="H1597">
        <v>27</v>
      </c>
      <c r="I1597" t="s">
        <v>19</v>
      </c>
      <c r="J1597">
        <v>2002</v>
      </c>
      <c r="K1597">
        <v>2002</v>
      </c>
      <c r="L1597" t="s">
        <v>20</v>
      </c>
      <c r="M1597">
        <v>16425</v>
      </c>
      <c r="N1597">
        <v>1181</v>
      </c>
    </row>
    <row r="1598" spans="1:14" x14ac:dyDescent="0.35">
      <c r="A1598" t="s">
        <v>1670</v>
      </c>
      <c r="B1598" t="s">
        <v>15</v>
      </c>
      <c r="C1598" t="s">
        <v>16</v>
      </c>
      <c r="D1598">
        <v>130</v>
      </c>
      <c r="E1598" t="s">
        <v>1653</v>
      </c>
      <c r="F1598">
        <v>5419</v>
      </c>
      <c r="G1598" t="s">
        <v>18</v>
      </c>
      <c r="H1598">
        <v>27</v>
      </c>
      <c r="I1598" t="s">
        <v>19</v>
      </c>
      <c r="J1598">
        <v>2004</v>
      </c>
      <c r="K1598">
        <v>2004</v>
      </c>
      <c r="L1598" t="s">
        <v>20</v>
      </c>
      <c r="M1598">
        <v>11681</v>
      </c>
      <c r="N1598">
        <v>1181</v>
      </c>
    </row>
    <row r="1599" spans="1:14" x14ac:dyDescent="0.35">
      <c r="A1599" t="s">
        <v>1671</v>
      </c>
      <c r="B1599" t="s">
        <v>15</v>
      </c>
      <c r="C1599" t="s">
        <v>16</v>
      </c>
      <c r="D1599">
        <v>130</v>
      </c>
      <c r="E1599" t="s">
        <v>1653</v>
      </c>
      <c r="F1599">
        <v>5419</v>
      </c>
      <c r="G1599" t="s">
        <v>18</v>
      </c>
      <c r="H1599">
        <v>27</v>
      </c>
      <c r="I1599" t="s">
        <v>19</v>
      </c>
      <c r="J1599">
        <v>2005</v>
      </c>
      <c r="K1599">
        <v>2005</v>
      </c>
      <c r="L1599" t="s">
        <v>20</v>
      </c>
      <c r="M1599">
        <v>8424</v>
      </c>
      <c r="N1599">
        <v>1181</v>
      </c>
    </row>
    <row r="1600" spans="1:14" x14ac:dyDescent="0.35">
      <c r="A1600" t="s">
        <v>1672</v>
      </c>
      <c r="B1600" t="s">
        <v>15</v>
      </c>
      <c r="C1600" t="s">
        <v>16</v>
      </c>
      <c r="D1600">
        <v>130</v>
      </c>
      <c r="E1600" t="s">
        <v>1653</v>
      </c>
      <c r="F1600">
        <v>5419</v>
      </c>
      <c r="G1600" t="s">
        <v>18</v>
      </c>
      <c r="H1600">
        <v>27</v>
      </c>
      <c r="I1600" t="s">
        <v>19</v>
      </c>
      <c r="J1600">
        <v>2006</v>
      </c>
      <c r="K1600">
        <v>2006</v>
      </c>
      <c r="L1600" t="s">
        <v>20</v>
      </c>
      <c r="M1600">
        <v>17576</v>
      </c>
      <c r="N1600">
        <v>1181</v>
      </c>
    </row>
    <row r="1601" spans="1:14" x14ac:dyDescent="0.35">
      <c r="A1601" t="s">
        <v>1673</v>
      </c>
      <c r="B1601" t="s">
        <v>15</v>
      </c>
      <c r="C1601" t="s">
        <v>16</v>
      </c>
      <c r="D1601">
        <v>130</v>
      </c>
      <c r="E1601" t="s">
        <v>1653</v>
      </c>
      <c r="F1601">
        <v>5419</v>
      </c>
      <c r="G1601" t="s">
        <v>18</v>
      </c>
      <c r="H1601">
        <v>27</v>
      </c>
      <c r="I1601" t="s">
        <v>19</v>
      </c>
      <c r="J1601">
        <v>2007</v>
      </c>
      <c r="K1601">
        <v>2007</v>
      </c>
      <c r="L1601" t="s">
        <v>20</v>
      </c>
      <c r="M1601">
        <v>19481</v>
      </c>
      <c r="N1601">
        <v>1181</v>
      </c>
    </row>
    <row r="1602" spans="1:14" x14ac:dyDescent="0.35">
      <c r="A1602" t="s">
        <v>1674</v>
      </c>
      <c r="B1602" t="s">
        <v>15</v>
      </c>
      <c r="C1602" t="s">
        <v>16</v>
      </c>
      <c r="D1602">
        <v>130</v>
      </c>
      <c r="E1602" t="s">
        <v>1653</v>
      </c>
      <c r="F1602">
        <v>5419</v>
      </c>
      <c r="G1602" t="s">
        <v>18</v>
      </c>
      <c r="H1602">
        <v>27</v>
      </c>
      <c r="I1602" t="s">
        <v>19</v>
      </c>
      <c r="J1602">
        <v>2008</v>
      </c>
      <c r="K1602">
        <v>2008</v>
      </c>
      <c r="L1602" t="s">
        <v>20</v>
      </c>
      <c r="M1602">
        <v>18200</v>
      </c>
      <c r="N1602">
        <v>1181</v>
      </c>
    </row>
    <row r="1603" spans="1:14" x14ac:dyDescent="0.35">
      <c r="A1603" t="s">
        <v>1675</v>
      </c>
      <c r="B1603" t="s">
        <v>15</v>
      </c>
      <c r="C1603" t="s">
        <v>16</v>
      </c>
      <c r="D1603">
        <v>130</v>
      </c>
      <c r="E1603" t="s">
        <v>1653</v>
      </c>
      <c r="F1603">
        <v>5419</v>
      </c>
      <c r="G1603" t="s">
        <v>18</v>
      </c>
      <c r="H1603">
        <v>27</v>
      </c>
      <c r="I1603" t="s">
        <v>19</v>
      </c>
      <c r="J1603">
        <v>2009</v>
      </c>
      <c r="K1603">
        <v>2009</v>
      </c>
      <c r="L1603" t="s">
        <v>20</v>
      </c>
      <c r="M1603">
        <v>21259</v>
      </c>
      <c r="N1603">
        <v>1181</v>
      </c>
    </row>
    <row r="1604" spans="1:14" x14ac:dyDescent="0.35">
      <c r="A1604" t="s">
        <v>1676</v>
      </c>
      <c r="B1604" t="s">
        <v>15</v>
      </c>
      <c r="C1604" t="s">
        <v>16</v>
      </c>
      <c r="D1604">
        <v>130</v>
      </c>
      <c r="E1604" t="s">
        <v>1653</v>
      </c>
      <c r="F1604">
        <v>5419</v>
      </c>
      <c r="G1604" t="s">
        <v>18</v>
      </c>
      <c r="H1604">
        <v>27</v>
      </c>
      <c r="I1604" t="s">
        <v>19</v>
      </c>
      <c r="J1604">
        <v>2010</v>
      </c>
      <c r="K1604">
        <v>2010</v>
      </c>
      <c r="L1604" t="s">
        <v>20</v>
      </c>
      <c r="M1604">
        <v>18631</v>
      </c>
      <c r="N1604">
        <v>1181</v>
      </c>
    </row>
    <row r="1605" spans="1:14" x14ac:dyDescent="0.35">
      <c r="A1605" t="s">
        <v>1677</v>
      </c>
      <c r="B1605" t="s">
        <v>15</v>
      </c>
      <c r="C1605" t="s">
        <v>16</v>
      </c>
      <c r="D1605">
        <v>130</v>
      </c>
      <c r="E1605" t="s">
        <v>1653</v>
      </c>
      <c r="F1605">
        <v>5419</v>
      </c>
      <c r="G1605" t="s">
        <v>18</v>
      </c>
      <c r="H1605">
        <v>27</v>
      </c>
      <c r="I1605" t="s">
        <v>19</v>
      </c>
      <c r="J1605">
        <v>2011</v>
      </c>
      <c r="K1605">
        <v>2011</v>
      </c>
      <c r="L1605" t="s">
        <v>20</v>
      </c>
      <c r="M1605">
        <v>19125</v>
      </c>
      <c r="N1605">
        <v>1181</v>
      </c>
    </row>
    <row r="1606" spans="1:14" x14ac:dyDescent="0.35">
      <c r="A1606" t="s">
        <v>1678</v>
      </c>
      <c r="B1606" t="s">
        <v>15</v>
      </c>
      <c r="C1606" t="s">
        <v>16</v>
      </c>
      <c r="D1606">
        <v>130</v>
      </c>
      <c r="E1606" t="s">
        <v>1653</v>
      </c>
      <c r="F1606">
        <v>5419</v>
      </c>
      <c r="G1606" t="s">
        <v>18</v>
      </c>
      <c r="H1606">
        <v>27</v>
      </c>
      <c r="I1606" t="s">
        <v>19</v>
      </c>
      <c r="J1606">
        <v>2012</v>
      </c>
      <c r="K1606">
        <v>2012</v>
      </c>
      <c r="L1606" t="s">
        <v>20</v>
      </c>
      <c r="M1606">
        <v>18453</v>
      </c>
      <c r="N1606">
        <v>1181</v>
      </c>
    </row>
    <row r="1607" spans="1:14" x14ac:dyDescent="0.35">
      <c r="A1607" t="s">
        <v>1679</v>
      </c>
      <c r="B1607" t="s">
        <v>15</v>
      </c>
      <c r="C1607" t="s">
        <v>16</v>
      </c>
      <c r="D1607">
        <v>130</v>
      </c>
      <c r="E1607" t="s">
        <v>1653</v>
      </c>
      <c r="F1607">
        <v>5419</v>
      </c>
      <c r="G1607" t="s">
        <v>18</v>
      </c>
      <c r="H1607">
        <v>27</v>
      </c>
      <c r="I1607" t="s">
        <v>19</v>
      </c>
      <c r="J1607">
        <v>2013</v>
      </c>
      <c r="K1607">
        <v>2013</v>
      </c>
      <c r="L1607" t="s">
        <v>20</v>
      </c>
      <c r="M1607">
        <v>19174</v>
      </c>
      <c r="N1607">
        <v>1181</v>
      </c>
    </row>
    <row r="1608" spans="1:14" x14ac:dyDescent="0.35">
      <c r="A1608" t="s">
        <v>1680</v>
      </c>
      <c r="B1608" t="s">
        <v>15</v>
      </c>
      <c r="C1608" t="s">
        <v>16</v>
      </c>
      <c r="D1608">
        <v>130</v>
      </c>
      <c r="E1608" t="s">
        <v>1653</v>
      </c>
      <c r="F1608">
        <v>5419</v>
      </c>
      <c r="G1608" t="s">
        <v>18</v>
      </c>
      <c r="H1608">
        <v>27</v>
      </c>
      <c r="I1608" t="s">
        <v>19</v>
      </c>
      <c r="J1608">
        <v>2014</v>
      </c>
      <c r="K1608">
        <v>2014</v>
      </c>
      <c r="L1608" t="s">
        <v>20</v>
      </c>
      <c r="M1608">
        <v>19585</v>
      </c>
      <c r="N1608">
        <v>1181</v>
      </c>
    </row>
    <row r="1609" spans="1:14" x14ac:dyDescent="0.35">
      <c r="A1609" t="s">
        <v>1681</v>
      </c>
      <c r="B1609" t="s">
        <v>15</v>
      </c>
      <c r="C1609" t="s">
        <v>16</v>
      </c>
      <c r="D1609">
        <v>130</v>
      </c>
      <c r="E1609" t="s">
        <v>1653</v>
      </c>
      <c r="F1609">
        <v>5419</v>
      </c>
      <c r="G1609" t="s">
        <v>18</v>
      </c>
      <c r="H1609">
        <v>27</v>
      </c>
      <c r="I1609" t="s">
        <v>19</v>
      </c>
      <c r="J1609">
        <v>2015</v>
      </c>
      <c r="K1609">
        <v>2015</v>
      </c>
      <c r="L1609" t="s">
        <v>20</v>
      </c>
      <c r="M1609">
        <v>16946</v>
      </c>
      <c r="N1609">
        <v>1181</v>
      </c>
    </row>
    <row r="1610" spans="1:14" x14ac:dyDescent="0.35">
      <c r="A1610" t="s">
        <v>1682</v>
      </c>
      <c r="B1610" t="s">
        <v>15</v>
      </c>
      <c r="C1610" t="s">
        <v>16</v>
      </c>
      <c r="D1610">
        <v>130</v>
      </c>
      <c r="E1610" t="s">
        <v>1653</v>
      </c>
      <c r="F1610">
        <v>5419</v>
      </c>
      <c r="G1610" t="s">
        <v>18</v>
      </c>
      <c r="H1610">
        <v>27</v>
      </c>
      <c r="I1610" t="s">
        <v>19</v>
      </c>
      <c r="J1610">
        <v>2016</v>
      </c>
      <c r="K1610">
        <v>2016</v>
      </c>
      <c r="L1610" t="s">
        <v>20</v>
      </c>
      <c r="M1610">
        <v>15604</v>
      </c>
      <c r="N1610">
        <v>1181</v>
      </c>
    </row>
    <row r="1611" spans="1:14" x14ac:dyDescent="0.35">
      <c r="A1611" t="s">
        <v>1683</v>
      </c>
      <c r="B1611" t="s">
        <v>15</v>
      </c>
      <c r="C1611" t="s">
        <v>16</v>
      </c>
      <c r="D1611">
        <v>131</v>
      </c>
      <c r="E1611" t="s">
        <v>1684</v>
      </c>
      <c r="F1611">
        <v>5419</v>
      </c>
      <c r="G1611" t="s">
        <v>18</v>
      </c>
      <c r="H1611">
        <v>27</v>
      </c>
      <c r="I1611" t="s">
        <v>19</v>
      </c>
      <c r="J1611">
        <v>1985</v>
      </c>
      <c r="K1611">
        <v>1985</v>
      </c>
      <c r="L1611" t="s">
        <v>20</v>
      </c>
      <c r="M1611">
        <v>26648</v>
      </c>
      <c r="N1611">
        <v>2875</v>
      </c>
    </row>
    <row r="1612" spans="1:14" x14ac:dyDescent="0.35">
      <c r="A1612" t="s">
        <v>1685</v>
      </c>
      <c r="B1612" t="s">
        <v>15</v>
      </c>
      <c r="C1612" t="s">
        <v>16</v>
      </c>
      <c r="D1612">
        <v>131</v>
      </c>
      <c r="E1612" t="s">
        <v>1684</v>
      </c>
      <c r="F1612">
        <v>5419</v>
      </c>
      <c r="G1612" t="s">
        <v>18</v>
      </c>
      <c r="H1612">
        <v>27</v>
      </c>
      <c r="I1612" t="s">
        <v>19</v>
      </c>
      <c r="J1612">
        <v>1986</v>
      </c>
      <c r="K1612">
        <v>1986</v>
      </c>
      <c r="L1612" t="s">
        <v>20</v>
      </c>
      <c r="M1612">
        <v>26399</v>
      </c>
      <c r="N1612">
        <v>2875</v>
      </c>
    </row>
    <row r="1613" spans="1:14" x14ac:dyDescent="0.35">
      <c r="A1613" t="s">
        <v>1686</v>
      </c>
      <c r="B1613" t="s">
        <v>15</v>
      </c>
      <c r="C1613" t="s">
        <v>16</v>
      </c>
      <c r="D1613">
        <v>131</v>
      </c>
      <c r="E1613" t="s">
        <v>1684</v>
      </c>
      <c r="F1613">
        <v>5419</v>
      </c>
      <c r="G1613" t="s">
        <v>18</v>
      </c>
      <c r="H1613">
        <v>27</v>
      </c>
      <c r="I1613" t="s">
        <v>19</v>
      </c>
      <c r="J1613">
        <v>1987</v>
      </c>
      <c r="K1613">
        <v>1987</v>
      </c>
      <c r="L1613" t="s">
        <v>20</v>
      </c>
      <c r="M1613">
        <v>24686</v>
      </c>
      <c r="N1613">
        <v>2875</v>
      </c>
    </row>
    <row r="1614" spans="1:14" x14ac:dyDescent="0.35">
      <c r="A1614" t="s">
        <v>1687</v>
      </c>
      <c r="B1614" t="s">
        <v>15</v>
      </c>
      <c r="C1614" t="s">
        <v>16</v>
      </c>
      <c r="D1614">
        <v>131</v>
      </c>
      <c r="E1614" t="s">
        <v>1684</v>
      </c>
      <c r="F1614">
        <v>5419</v>
      </c>
      <c r="G1614" t="s">
        <v>18</v>
      </c>
      <c r="H1614">
        <v>27</v>
      </c>
      <c r="I1614" t="s">
        <v>19</v>
      </c>
      <c r="J1614">
        <v>1989</v>
      </c>
      <c r="K1614">
        <v>1989</v>
      </c>
      <c r="L1614" t="s">
        <v>20</v>
      </c>
      <c r="M1614">
        <v>26251</v>
      </c>
      <c r="N1614">
        <v>2875</v>
      </c>
    </row>
    <row r="1615" spans="1:14" x14ac:dyDescent="0.35">
      <c r="A1615" t="s">
        <v>1688</v>
      </c>
      <c r="B1615" t="s">
        <v>15</v>
      </c>
      <c r="C1615" t="s">
        <v>16</v>
      </c>
      <c r="D1615">
        <v>131</v>
      </c>
      <c r="E1615" t="s">
        <v>1684</v>
      </c>
      <c r="F1615">
        <v>5419</v>
      </c>
      <c r="G1615" t="s">
        <v>18</v>
      </c>
      <c r="H1615">
        <v>27</v>
      </c>
      <c r="I1615" t="s">
        <v>19</v>
      </c>
      <c r="J1615">
        <v>1990</v>
      </c>
      <c r="K1615">
        <v>1990</v>
      </c>
      <c r="L1615" t="s">
        <v>20</v>
      </c>
      <c r="M1615">
        <v>27694</v>
      </c>
      <c r="N1615">
        <v>2875</v>
      </c>
    </row>
    <row r="1616" spans="1:14" x14ac:dyDescent="0.35">
      <c r="A1616" t="s">
        <v>1689</v>
      </c>
      <c r="B1616" t="s">
        <v>15</v>
      </c>
      <c r="C1616" t="s">
        <v>16</v>
      </c>
      <c r="D1616">
        <v>131</v>
      </c>
      <c r="E1616" t="s">
        <v>1684</v>
      </c>
      <c r="F1616">
        <v>5419</v>
      </c>
      <c r="G1616" t="s">
        <v>18</v>
      </c>
      <c r="H1616">
        <v>27</v>
      </c>
      <c r="I1616" t="s">
        <v>19</v>
      </c>
      <c r="J1616">
        <v>1991</v>
      </c>
      <c r="K1616">
        <v>1991</v>
      </c>
      <c r="L1616" t="s">
        <v>20</v>
      </c>
      <c r="M1616">
        <v>28178</v>
      </c>
      <c r="N1616">
        <v>2875</v>
      </c>
    </row>
    <row r="1617" spans="1:14" x14ac:dyDescent="0.35">
      <c r="A1617" t="s">
        <v>1690</v>
      </c>
      <c r="B1617" t="s">
        <v>15</v>
      </c>
      <c r="C1617" t="s">
        <v>16</v>
      </c>
      <c r="D1617">
        <v>131</v>
      </c>
      <c r="E1617" t="s">
        <v>1684</v>
      </c>
      <c r="F1617">
        <v>5419</v>
      </c>
      <c r="G1617" t="s">
        <v>18</v>
      </c>
      <c r="H1617">
        <v>27</v>
      </c>
      <c r="I1617" t="s">
        <v>19</v>
      </c>
      <c r="J1617">
        <v>1992</v>
      </c>
      <c r="K1617">
        <v>1992</v>
      </c>
      <c r="L1617" t="s">
        <v>20</v>
      </c>
      <c r="M1617">
        <v>29918</v>
      </c>
      <c r="N1617">
        <v>2875</v>
      </c>
    </row>
    <row r="1618" spans="1:14" x14ac:dyDescent="0.35">
      <c r="A1618" t="s">
        <v>1691</v>
      </c>
      <c r="B1618" t="s">
        <v>15</v>
      </c>
      <c r="C1618" t="s">
        <v>16</v>
      </c>
      <c r="D1618">
        <v>131</v>
      </c>
      <c r="E1618" t="s">
        <v>1684</v>
      </c>
      <c r="F1618">
        <v>5419</v>
      </c>
      <c r="G1618" t="s">
        <v>18</v>
      </c>
      <c r="H1618">
        <v>27</v>
      </c>
      <c r="I1618" t="s">
        <v>19</v>
      </c>
      <c r="J1618">
        <v>1993</v>
      </c>
      <c r="K1618">
        <v>1993</v>
      </c>
      <c r="L1618" t="s">
        <v>20</v>
      </c>
      <c r="M1618">
        <v>30348</v>
      </c>
      <c r="N1618">
        <v>2875</v>
      </c>
    </row>
    <row r="1619" spans="1:14" x14ac:dyDescent="0.35">
      <c r="A1619" t="s">
        <v>1692</v>
      </c>
      <c r="B1619" t="s">
        <v>15</v>
      </c>
      <c r="C1619" t="s">
        <v>16</v>
      </c>
      <c r="D1619">
        <v>131</v>
      </c>
      <c r="E1619" t="s">
        <v>1684</v>
      </c>
      <c r="F1619">
        <v>5419</v>
      </c>
      <c r="G1619" t="s">
        <v>18</v>
      </c>
      <c r="H1619">
        <v>27</v>
      </c>
      <c r="I1619" t="s">
        <v>19</v>
      </c>
      <c r="J1619">
        <v>1994</v>
      </c>
      <c r="K1619">
        <v>1994</v>
      </c>
      <c r="L1619" t="s">
        <v>20</v>
      </c>
      <c r="M1619">
        <v>30614</v>
      </c>
      <c r="N1619">
        <v>2875</v>
      </c>
    </row>
    <row r="1620" spans="1:14" x14ac:dyDescent="0.35">
      <c r="A1620" t="s">
        <v>1693</v>
      </c>
      <c r="B1620" t="s">
        <v>15</v>
      </c>
      <c r="C1620" t="s">
        <v>16</v>
      </c>
      <c r="D1620">
        <v>131</v>
      </c>
      <c r="E1620" t="s">
        <v>1684</v>
      </c>
      <c r="F1620">
        <v>5419</v>
      </c>
      <c r="G1620" t="s">
        <v>18</v>
      </c>
      <c r="H1620">
        <v>27</v>
      </c>
      <c r="I1620" t="s">
        <v>19</v>
      </c>
      <c r="J1620">
        <v>1995</v>
      </c>
      <c r="K1620">
        <v>1995</v>
      </c>
      <c r="L1620" t="s">
        <v>20</v>
      </c>
      <c r="M1620">
        <v>31619</v>
      </c>
      <c r="N1620">
        <v>2875</v>
      </c>
    </row>
    <row r="1621" spans="1:14" x14ac:dyDescent="0.35">
      <c r="A1621" t="s">
        <v>1694</v>
      </c>
      <c r="B1621" t="s">
        <v>15</v>
      </c>
      <c r="C1621" t="s">
        <v>16</v>
      </c>
      <c r="D1621">
        <v>131</v>
      </c>
      <c r="E1621" t="s">
        <v>1684</v>
      </c>
      <c r="F1621">
        <v>5419</v>
      </c>
      <c r="G1621" t="s">
        <v>18</v>
      </c>
      <c r="H1621">
        <v>27</v>
      </c>
      <c r="I1621" t="s">
        <v>19</v>
      </c>
      <c r="J1621">
        <v>1996</v>
      </c>
      <c r="K1621">
        <v>1996</v>
      </c>
      <c r="L1621" t="s">
        <v>20</v>
      </c>
      <c r="M1621">
        <v>32510</v>
      </c>
      <c r="N1621">
        <v>2875</v>
      </c>
    </row>
    <row r="1622" spans="1:14" x14ac:dyDescent="0.35">
      <c r="A1622" t="s">
        <v>1695</v>
      </c>
      <c r="B1622" t="s">
        <v>15</v>
      </c>
      <c r="C1622" t="s">
        <v>16</v>
      </c>
      <c r="D1622">
        <v>131</v>
      </c>
      <c r="E1622" t="s">
        <v>1684</v>
      </c>
      <c r="F1622">
        <v>5419</v>
      </c>
      <c r="G1622" t="s">
        <v>18</v>
      </c>
      <c r="H1622">
        <v>27</v>
      </c>
      <c r="I1622" t="s">
        <v>19</v>
      </c>
      <c r="J1622">
        <v>1997</v>
      </c>
      <c r="K1622">
        <v>1997</v>
      </c>
      <c r="L1622" t="s">
        <v>20</v>
      </c>
      <c r="M1622">
        <v>30676</v>
      </c>
      <c r="N1622">
        <v>2875</v>
      </c>
    </row>
    <row r="1623" spans="1:14" x14ac:dyDescent="0.35">
      <c r="A1623" t="s">
        <v>1696</v>
      </c>
      <c r="B1623" t="s">
        <v>15</v>
      </c>
      <c r="C1623" t="s">
        <v>16</v>
      </c>
      <c r="D1623">
        <v>131</v>
      </c>
      <c r="E1623" t="s">
        <v>1684</v>
      </c>
      <c r="F1623">
        <v>5419</v>
      </c>
      <c r="G1623" t="s">
        <v>18</v>
      </c>
      <c r="H1623">
        <v>27</v>
      </c>
      <c r="I1623" t="s">
        <v>19</v>
      </c>
      <c r="J1623">
        <v>1998</v>
      </c>
      <c r="K1623">
        <v>1998</v>
      </c>
      <c r="L1623" t="s">
        <v>20</v>
      </c>
      <c r="M1623">
        <v>28829</v>
      </c>
      <c r="N1623">
        <v>2875</v>
      </c>
    </row>
    <row r="1624" spans="1:14" x14ac:dyDescent="0.35">
      <c r="A1624" t="s">
        <v>1697</v>
      </c>
      <c r="B1624" t="s">
        <v>15</v>
      </c>
      <c r="C1624" t="s">
        <v>16</v>
      </c>
      <c r="D1624">
        <v>131</v>
      </c>
      <c r="E1624" t="s">
        <v>1684</v>
      </c>
      <c r="F1624">
        <v>5419</v>
      </c>
      <c r="G1624" t="s">
        <v>18</v>
      </c>
      <c r="H1624">
        <v>27</v>
      </c>
      <c r="I1624" t="s">
        <v>19</v>
      </c>
      <c r="J1624">
        <v>1999</v>
      </c>
      <c r="K1624">
        <v>1999</v>
      </c>
      <c r="L1624" t="s">
        <v>20</v>
      </c>
      <c r="M1624">
        <v>29415</v>
      </c>
      <c r="N1624">
        <v>2875</v>
      </c>
    </row>
    <row r="1625" spans="1:14" x14ac:dyDescent="0.35">
      <c r="A1625" t="s">
        <v>1698</v>
      </c>
      <c r="B1625" t="s">
        <v>15</v>
      </c>
      <c r="C1625" t="s">
        <v>16</v>
      </c>
      <c r="D1625">
        <v>131</v>
      </c>
      <c r="E1625" t="s">
        <v>1684</v>
      </c>
      <c r="F1625">
        <v>5419</v>
      </c>
      <c r="G1625" t="s">
        <v>18</v>
      </c>
      <c r="H1625">
        <v>27</v>
      </c>
      <c r="I1625" t="s">
        <v>19</v>
      </c>
      <c r="J1625">
        <v>2000</v>
      </c>
      <c r="K1625">
        <v>2000</v>
      </c>
      <c r="L1625" t="s">
        <v>20</v>
      </c>
      <c r="M1625">
        <v>30640</v>
      </c>
      <c r="N1625">
        <v>2875</v>
      </c>
    </row>
    <row r="1626" spans="1:14" x14ac:dyDescent="0.35">
      <c r="A1626" t="s">
        <v>1699</v>
      </c>
      <c r="B1626" t="s">
        <v>15</v>
      </c>
      <c r="C1626" t="s">
        <v>16</v>
      </c>
      <c r="D1626">
        <v>131</v>
      </c>
      <c r="E1626" t="s">
        <v>1684</v>
      </c>
      <c r="F1626">
        <v>5419</v>
      </c>
      <c r="G1626" t="s">
        <v>18</v>
      </c>
      <c r="H1626">
        <v>27</v>
      </c>
      <c r="I1626" t="s">
        <v>19</v>
      </c>
      <c r="J1626">
        <v>2001</v>
      </c>
      <c r="K1626">
        <v>2001</v>
      </c>
      <c r="L1626" t="s">
        <v>20</v>
      </c>
      <c r="M1626">
        <v>31101</v>
      </c>
      <c r="N1626">
        <v>2875</v>
      </c>
    </row>
    <row r="1627" spans="1:14" x14ac:dyDescent="0.35">
      <c r="A1627" t="s">
        <v>1700</v>
      </c>
      <c r="B1627" t="s">
        <v>15</v>
      </c>
      <c r="C1627" t="s">
        <v>16</v>
      </c>
      <c r="D1627">
        <v>131</v>
      </c>
      <c r="E1627" t="s">
        <v>1684</v>
      </c>
      <c r="F1627">
        <v>5419</v>
      </c>
      <c r="G1627" t="s">
        <v>18</v>
      </c>
      <c r="H1627">
        <v>27</v>
      </c>
      <c r="I1627" t="s">
        <v>19</v>
      </c>
      <c r="J1627">
        <v>2002</v>
      </c>
      <c r="K1627">
        <v>2002</v>
      </c>
      <c r="L1627" t="s">
        <v>20</v>
      </c>
      <c r="M1627">
        <v>32385</v>
      </c>
      <c r="N1627">
        <v>2875</v>
      </c>
    </row>
    <row r="1628" spans="1:14" x14ac:dyDescent="0.35">
      <c r="A1628" t="s">
        <v>1701</v>
      </c>
      <c r="B1628" t="s">
        <v>15</v>
      </c>
      <c r="C1628" t="s">
        <v>16</v>
      </c>
      <c r="D1628">
        <v>131</v>
      </c>
      <c r="E1628" t="s">
        <v>1684</v>
      </c>
      <c r="F1628">
        <v>5419</v>
      </c>
      <c r="G1628" t="s">
        <v>18</v>
      </c>
      <c r="H1628">
        <v>27</v>
      </c>
      <c r="I1628" t="s">
        <v>19</v>
      </c>
      <c r="J1628">
        <v>2004</v>
      </c>
      <c r="K1628">
        <v>2004</v>
      </c>
      <c r="L1628" t="s">
        <v>20</v>
      </c>
      <c r="M1628">
        <v>33260</v>
      </c>
      <c r="N1628">
        <v>2875</v>
      </c>
    </row>
    <row r="1629" spans="1:14" x14ac:dyDescent="0.35">
      <c r="A1629" t="s">
        <v>1702</v>
      </c>
      <c r="B1629" t="s">
        <v>15</v>
      </c>
      <c r="C1629" t="s">
        <v>16</v>
      </c>
      <c r="D1629">
        <v>131</v>
      </c>
      <c r="E1629" t="s">
        <v>1684</v>
      </c>
      <c r="F1629">
        <v>5419</v>
      </c>
      <c r="G1629" t="s">
        <v>18</v>
      </c>
      <c r="H1629">
        <v>27</v>
      </c>
      <c r="I1629" t="s">
        <v>19</v>
      </c>
      <c r="J1629">
        <v>2005</v>
      </c>
      <c r="K1629">
        <v>2005</v>
      </c>
      <c r="L1629" t="s">
        <v>20</v>
      </c>
      <c r="M1629">
        <v>34221</v>
      </c>
      <c r="N1629">
        <v>2875</v>
      </c>
    </row>
    <row r="1630" spans="1:14" x14ac:dyDescent="0.35">
      <c r="A1630" t="s">
        <v>1703</v>
      </c>
      <c r="B1630" t="s">
        <v>15</v>
      </c>
      <c r="C1630" t="s">
        <v>16</v>
      </c>
      <c r="D1630">
        <v>131</v>
      </c>
      <c r="E1630" t="s">
        <v>1684</v>
      </c>
      <c r="F1630">
        <v>5419</v>
      </c>
      <c r="G1630" t="s">
        <v>18</v>
      </c>
      <c r="H1630">
        <v>27</v>
      </c>
      <c r="I1630" t="s">
        <v>19</v>
      </c>
      <c r="J1630">
        <v>2006</v>
      </c>
      <c r="K1630">
        <v>2006</v>
      </c>
      <c r="L1630" t="s">
        <v>20</v>
      </c>
      <c r="M1630">
        <v>33907</v>
      </c>
      <c r="N1630">
        <v>2875</v>
      </c>
    </row>
    <row r="1631" spans="1:14" x14ac:dyDescent="0.35">
      <c r="A1631" t="s">
        <v>1704</v>
      </c>
      <c r="B1631" t="s">
        <v>15</v>
      </c>
      <c r="C1631" t="s">
        <v>16</v>
      </c>
      <c r="D1631">
        <v>131</v>
      </c>
      <c r="E1631" t="s">
        <v>1684</v>
      </c>
      <c r="F1631">
        <v>5419</v>
      </c>
      <c r="G1631" t="s">
        <v>18</v>
      </c>
      <c r="H1631">
        <v>27</v>
      </c>
      <c r="I1631" t="s">
        <v>19</v>
      </c>
      <c r="J1631">
        <v>2007</v>
      </c>
      <c r="K1631">
        <v>2007</v>
      </c>
      <c r="L1631" t="s">
        <v>20</v>
      </c>
      <c r="M1631">
        <v>35277</v>
      </c>
      <c r="N1631">
        <v>2875</v>
      </c>
    </row>
    <row r="1632" spans="1:14" x14ac:dyDescent="0.35">
      <c r="A1632" t="s">
        <v>1705</v>
      </c>
      <c r="B1632" t="s">
        <v>15</v>
      </c>
      <c r="C1632" t="s">
        <v>16</v>
      </c>
      <c r="D1632">
        <v>131</v>
      </c>
      <c r="E1632" t="s">
        <v>1684</v>
      </c>
      <c r="F1632">
        <v>5419</v>
      </c>
      <c r="G1632" t="s">
        <v>18</v>
      </c>
      <c r="H1632">
        <v>27</v>
      </c>
      <c r="I1632" t="s">
        <v>19</v>
      </c>
      <c r="J1632">
        <v>2008</v>
      </c>
      <c r="K1632">
        <v>2008</v>
      </c>
      <c r="L1632" t="s">
        <v>20</v>
      </c>
      <c r="M1632">
        <v>35836</v>
      </c>
      <c r="N1632">
        <v>2875</v>
      </c>
    </row>
    <row r="1633" spans="1:14" x14ac:dyDescent="0.35">
      <c r="A1633" t="s">
        <v>1706</v>
      </c>
      <c r="B1633" t="s">
        <v>15</v>
      </c>
      <c r="C1633" t="s">
        <v>16</v>
      </c>
      <c r="D1633">
        <v>131</v>
      </c>
      <c r="E1633" t="s">
        <v>1684</v>
      </c>
      <c r="F1633">
        <v>5419</v>
      </c>
      <c r="G1633" t="s">
        <v>18</v>
      </c>
      <c r="H1633">
        <v>27</v>
      </c>
      <c r="I1633" t="s">
        <v>19</v>
      </c>
      <c r="J1633">
        <v>2009</v>
      </c>
      <c r="K1633">
        <v>2009</v>
      </c>
      <c r="L1633" t="s">
        <v>20</v>
      </c>
      <c r="M1633">
        <v>37205</v>
      </c>
      <c r="N1633">
        <v>2875</v>
      </c>
    </row>
    <row r="1634" spans="1:14" x14ac:dyDescent="0.35">
      <c r="A1634" t="s">
        <v>1707</v>
      </c>
      <c r="B1634" t="s">
        <v>15</v>
      </c>
      <c r="C1634" t="s">
        <v>16</v>
      </c>
      <c r="D1634">
        <v>131</v>
      </c>
      <c r="E1634" t="s">
        <v>1684</v>
      </c>
      <c r="F1634">
        <v>5419</v>
      </c>
      <c r="G1634" t="s">
        <v>18</v>
      </c>
      <c r="H1634">
        <v>27</v>
      </c>
      <c r="I1634" t="s">
        <v>19</v>
      </c>
      <c r="J1634">
        <v>2010</v>
      </c>
      <c r="K1634">
        <v>2010</v>
      </c>
      <c r="L1634" t="s">
        <v>20</v>
      </c>
      <c r="M1634">
        <v>36361</v>
      </c>
      <c r="N1634">
        <v>2875</v>
      </c>
    </row>
    <row r="1635" spans="1:14" x14ac:dyDescent="0.35">
      <c r="A1635" t="s">
        <v>1708</v>
      </c>
      <c r="B1635" t="s">
        <v>15</v>
      </c>
      <c r="C1635" t="s">
        <v>16</v>
      </c>
      <c r="D1635">
        <v>131</v>
      </c>
      <c r="E1635" t="s">
        <v>1684</v>
      </c>
      <c r="F1635">
        <v>5419</v>
      </c>
      <c r="G1635" t="s">
        <v>18</v>
      </c>
      <c r="H1635">
        <v>27</v>
      </c>
      <c r="I1635" t="s">
        <v>19</v>
      </c>
      <c r="J1635">
        <v>2011</v>
      </c>
      <c r="K1635">
        <v>2011</v>
      </c>
      <c r="L1635" t="s">
        <v>20</v>
      </c>
      <c r="M1635">
        <v>37468</v>
      </c>
      <c r="N1635">
        <v>2875</v>
      </c>
    </row>
    <row r="1636" spans="1:14" x14ac:dyDescent="0.35">
      <c r="A1636" t="s">
        <v>1709</v>
      </c>
      <c r="B1636" t="s">
        <v>15</v>
      </c>
      <c r="C1636" t="s">
        <v>16</v>
      </c>
      <c r="D1636">
        <v>131</v>
      </c>
      <c r="E1636" t="s">
        <v>1684</v>
      </c>
      <c r="F1636">
        <v>5419</v>
      </c>
      <c r="G1636" t="s">
        <v>18</v>
      </c>
      <c r="H1636">
        <v>27</v>
      </c>
      <c r="I1636" t="s">
        <v>19</v>
      </c>
      <c r="J1636">
        <v>2012</v>
      </c>
      <c r="K1636">
        <v>2012</v>
      </c>
      <c r="L1636" t="s">
        <v>20</v>
      </c>
      <c r="M1636">
        <v>37972</v>
      </c>
      <c r="N1636">
        <v>2875</v>
      </c>
    </row>
    <row r="1637" spans="1:14" x14ac:dyDescent="0.35">
      <c r="A1637" t="s">
        <v>1710</v>
      </c>
      <c r="B1637" t="s">
        <v>15</v>
      </c>
      <c r="C1637" t="s">
        <v>16</v>
      </c>
      <c r="D1637">
        <v>131</v>
      </c>
      <c r="E1637" t="s">
        <v>1684</v>
      </c>
      <c r="F1637">
        <v>5419</v>
      </c>
      <c r="G1637" t="s">
        <v>18</v>
      </c>
      <c r="H1637">
        <v>27</v>
      </c>
      <c r="I1637" t="s">
        <v>19</v>
      </c>
      <c r="J1637">
        <v>2013</v>
      </c>
      <c r="K1637">
        <v>2013</v>
      </c>
      <c r="L1637" t="s">
        <v>20</v>
      </c>
      <c r="M1637">
        <v>38763</v>
      </c>
      <c r="N1637">
        <v>2875</v>
      </c>
    </row>
    <row r="1638" spans="1:14" x14ac:dyDescent="0.35">
      <c r="A1638" t="s">
        <v>1711</v>
      </c>
      <c r="B1638" t="s">
        <v>15</v>
      </c>
      <c r="C1638" t="s">
        <v>16</v>
      </c>
      <c r="D1638">
        <v>131</v>
      </c>
      <c r="E1638" t="s">
        <v>1684</v>
      </c>
      <c r="F1638">
        <v>5419</v>
      </c>
      <c r="G1638" t="s">
        <v>18</v>
      </c>
      <c r="H1638">
        <v>27</v>
      </c>
      <c r="I1638" t="s">
        <v>19</v>
      </c>
      <c r="J1638">
        <v>2014</v>
      </c>
      <c r="K1638">
        <v>2014</v>
      </c>
      <c r="L1638" t="s">
        <v>20</v>
      </c>
      <c r="M1638">
        <v>29855</v>
      </c>
      <c r="N1638">
        <v>2875</v>
      </c>
    </row>
    <row r="1639" spans="1:14" x14ac:dyDescent="0.35">
      <c r="A1639" t="s">
        <v>1712</v>
      </c>
      <c r="B1639" t="s">
        <v>15</v>
      </c>
      <c r="C1639" t="s">
        <v>16</v>
      </c>
      <c r="D1639">
        <v>131</v>
      </c>
      <c r="E1639" t="s">
        <v>1684</v>
      </c>
      <c r="F1639">
        <v>5419</v>
      </c>
      <c r="G1639" t="s">
        <v>18</v>
      </c>
      <c r="H1639">
        <v>27</v>
      </c>
      <c r="I1639" t="s">
        <v>19</v>
      </c>
      <c r="J1639">
        <v>2015</v>
      </c>
      <c r="K1639">
        <v>2015</v>
      </c>
      <c r="L1639" t="s">
        <v>20</v>
      </c>
      <c r="M1639">
        <v>28551</v>
      </c>
      <c r="N1639">
        <v>2875</v>
      </c>
    </row>
    <row r="1640" spans="1:14" x14ac:dyDescent="0.35">
      <c r="A1640" t="s">
        <v>1713</v>
      </c>
      <c r="B1640" t="s">
        <v>15</v>
      </c>
      <c r="C1640" t="s">
        <v>16</v>
      </c>
      <c r="D1640">
        <v>131</v>
      </c>
      <c r="E1640" t="s">
        <v>1684</v>
      </c>
      <c r="F1640">
        <v>5419</v>
      </c>
      <c r="G1640" t="s">
        <v>18</v>
      </c>
      <c r="H1640">
        <v>27</v>
      </c>
      <c r="I1640" t="s">
        <v>19</v>
      </c>
      <c r="J1640">
        <v>2016</v>
      </c>
      <c r="K1640">
        <v>2016</v>
      </c>
      <c r="L1640" t="s">
        <v>20</v>
      </c>
      <c r="M1640">
        <v>31807</v>
      </c>
      <c r="N1640">
        <v>2875</v>
      </c>
    </row>
    <row r="1641" spans="1:14" x14ac:dyDescent="0.35">
      <c r="A1641" t="s">
        <v>1714</v>
      </c>
      <c r="B1641" t="s">
        <v>15</v>
      </c>
      <c r="C1641" t="s">
        <v>16</v>
      </c>
      <c r="D1641">
        <v>133</v>
      </c>
      <c r="E1641" t="s">
        <v>1715</v>
      </c>
      <c r="F1641">
        <v>5419</v>
      </c>
      <c r="G1641" t="s">
        <v>18</v>
      </c>
      <c r="H1641">
        <v>27</v>
      </c>
      <c r="I1641" t="s">
        <v>19</v>
      </c>
      <c r="J1641">
        <v>1985</v>
      </c>
      <c r="K1641">
        <v>1985</v>
      </c>
      <c r="L1641" t="s">
        <v>20</v>
      </c>
      <c r="M1641">
        <v>11569</v>
      </c>
      <c r="N1641">
        <v>282</v>
      </c>
    </row>
    <row r="1642" spans="1:14" x14ac:dyDescent="0.35">
      <c r="A1642" t="s">
        <v>1716</v>
      </c>
      <c r="B1642" t="s">
        <v>15</v>
      </c>
      <c r="C1642" t="s">
        <v>16</v>
      </c>
      <c r="D1642">
        <v>133</v>
      </c>
      <c r="E1642" t="s">
        <v>1715</v>
      </c>
      <c r="F1642">
        <v>5419</v>
      </c>
      <c r="G1642" t="s">
        <v>18</v>
      </c>
      <c r="H1642">
        <v>27</v>
      </c>
      <c r="I1642" t="s">
        <v>19</v>
      </c>
      <c r="J1642">
        <v>1986</v>
      </c>
      <c r="K1642">
        <v>1986</v>
      </c>
      <c r="L1642" t="s">
        <v>20</v>
      </c>
      <c r="M1642">
        <v>11812</v>
      </c>
      <c r="N1642">
        <v>282</v>
      </c>
    </row>
    <row r="1643" spans="1:14" x14ac:dyDescent="0.35">
      <c r="A1643" t="s">
        <v>1717</v>
      </c>
      <c r="B1643" t="s">
        <v>15</v>
      </c>
      <c r="C1643" t="s">
        <v>16</v>
      </c>
      <c r="D1643">
        <v>133</v>
      </c>
      <c r="E1643" t="s">
        <v>1715</v>
      </c>
      <c r="F1643">
        <v>5419</v>
      </c>
      <c r="G1643" t="s">
        <v>18</v>
      </c>
      <c r="H1643">
        <v>27</v>
      </c>
      <c r="I1643" t="s">
        <v>19</v>
      </c>
      <c r="J1643">
        <v>1987</v>
      </c>
      <c r="K1643">
        <v>1987</v>
      </c>
      <c r="L1643" t="s">
        <v>20</v>
      </c>
      <c r="M1643">
        <v>14506</v>
      </c>
      <c r="N1643">
        <v>282</v>
      </c>
    </row>
    <row r="1644" spans="1:14" x14ac:dyDescent="0.35">
      <c r="A1644" t="s">
        <v>1718</v>
      </c>
      <c r="B1644" t="s">
        <v>15</v>
      </c>
      <c r="C1644" t="s">
        <v>16</v>
      </c>
      <c r="D1644">
        <v>133</v>
      </c>
      <c r="E1644" t="s">
        <v>1715</v>
      </c>
      <c r="F1644">
        <v>5419</v>
      </c>
      <c r="G1644" t="s">
        <v>18</v>
      </c>
      <c r="H1644">
        <v>27</v>
      </c>
      <c r="I1644" t="s">
        <v>19</v>
      </c>
      <c r="J1644">
        <v>1989</v>
      </c>
      <c r="K1644">
        <v>1989</v>
      </c>
      <c r="L1644" t="s">
        <v>20</v>
      </c>
      <c r="M1644">
        <v>14626</v>
      </c>
      <c r="N1644">
        <v>282</v>
      </c>
    </row>
    <row r="1645" spans="1:14" x14ac:dyDescent="0.35">
      <c r="A1645" t="s">
        <v>1719</v>
      </c>
      <c r="B1645" t="s">
        <v>15</v>
      </c>
      <c r="C1645" t="s">
        <v>16</v>
      </c>
      <c r="D1645">
        <v>133</v>
      </c>
      <c r="E1645" t="s">
        <v>1715</v>
      </c>
      <c r="F1645">
        <v>5419</v>
      </c>
      <c r="G1645" t="s">
        <v>18</v>
      </c>
      <c r="H1645">
        <v>27</v>
      </c>
      <c r="I1645" t="s">
        <v>19</v>
      </c>
      <c r="J1645">
        <v>1990</v>
      </c>
      <c r="K1645">
        <v>1990</v>
      </c>
      <c r="L1645" t="s">
        <v>20</v>
      </c>
      <c r="M1645">
        <v>14360</v>
      </c>
      <c r="N1645">
        <v>282</v>
      </c>
    </row>
    <row r="1646" spans="1:14" x14ac:dyDescent="0.35">
      <c r="A1646" t="s">
        <v>1720</v>
      </c>
      <c r="B1646" t="s">
        <v>15</v>
      </c>
      <c r="C1646" t="s">
        <v>16</v>
      </c>
      <c r="D1646">
        <v>133</v>
      </c>
      <c r="E1646" t="s">
        <v>1715</v>
      </c>
      <c r="F1646">
        <v>5419</v>
      </c>
      <c r="G1646" t="s">
        <v>18</v>
      </c>
      <c r="H1646">
        <v>27</v>
      </c>
      <c r="I1646" t="s">
        <v>19</v>
      </c>
      <c r="J1646">
        <v>1991</v>
      </c>
      <c r="K1646">
        <v>1991</v>
      </c>
      <c r="L1646" t="s">
        <v>20</v>
      </c>
      <c r="M1646">
        <v>17274</v>
      </c>
      <c r="N1646">
        <v>282</v>
      </c>
    </row>
    <row r="1647" spans="1:14" x14ac:dyDescent="0.35">
      <c r="A1647" t="s">
        <v>1721</v>
      </c>
      <c r="B1647" t="s">
        <v>15</v>
      </c>
      <c r="C1647" t="s">
        <v>16</v>
      </c>
      <c r="D1647">
        <v>133</v>
      </c>
      <c r="E1647" t="s">
        <v>1715</v>
      </c>
      <c r="F1647">
        <v>5419</v>
      </c>
      <c r="G1647" t="s">
        <v>18</v>
      </c>
      <c r="H1647">
        <v>27</v>
      </c>
      <c r="I1647" t="s">
        <v>19</v>
      </c>
      <c r="J1647">
        <v>1992</v>
      </c>
      <c r="K1647">
        <v>1992</v>
      </c>
      <c r="L1647" t="s">
        <v>20</v>
      </c>
      <c r="M1647">
        <v>17583</v>
      </c>
      <c r="N1647">
        <v>282</v>
      </c>
    </row>
    <row r="1648" spans="1:14" x14ac:dyDescent="0.35">
      <c r="A1648" t="s">
        <v>1722</v>
      </c>
      <c r="B1648" t="s">
        <v>15</v>
      </c>
      <c r="C1648" t="s">
        <v>16</v>
      </c>
      <c r="D1648">
        <v>133</v>
      </c>
      <c r="E1648" t="s">
        <v>1715</v>
      </c>
      <c r="F1648">
        <v>5419</v>
      </c>
      <c r="G1648" t="s">
        <v>18</v>
      </c>
      <c r="H1648">
        <v>27</v>
      </c>
      <c r="I1648" t="s">
        <v>19</v>
      </c>
      <c r="J1648">
        <v>1993</v>
      </c>
      <c r="K1648">
        <v>1993</v>
      </c>
      <c r="L1648" t="s">
        <v>20</v>
      </c>
      <c r="M1648">
        <v>17350</v>
      </c>
      <c r="N1648">
        <v>282</v>
      </c>
    </row>
    <row r="1649" spans="1:14" x14ac:dyDescent="0.35">
      <c r="A1649" t="s">
        <v>1723</v>
      </c>
      <c r="B1649" t="s">
        <v>15</v>
      </c>
      <c r="C1649" t="s">
        <v>16</v>
      </c>
      <c r="D1649">
        <v>133</v>
      </c>
      <c r="E1649" t="s">
        <v>1715</v>
      </c>
      <c r="F1649">
        <v>5419</v>
      </c>
      <c r="G1649" t="s">
        <v>18</v>
      </c>
      <c r="H1649">
        <v>27</v>
      </c>
      <c r="I1649" t="s">
        <v>19</v>
      </c>
      <c r="J1649">
        <v>1994</v>
      </c>
      <c r="K1649">
        <v>1994</v>
      </c>
      <c r="L1649" t="s">
        <v>20</v>
      </c>
      <c r="M1649">
        <v>16518</v>
      </c>
      <c r="N1649">
        <v>282</v>
      </c>
    </row>
    <row r="1650" spans="1:14" x14ac:dyDescent="0.35">
      <c r="A1650" t="s">
        <v>1724</v>
      </c>
      <c r="B1650" t="s">
        <v>15</v>
      </c>
      <c r="C1650" t="s">
        <v>16</v>
      </c>
      <c r="D1650">
        <v>133</v>
      </c>
      <c r="E1650" t="s">
        <v>1715</v>
      </c>
      <c r="F1650">
        <v>5419</v>
      </c>
      <c r="G1650" t="s">
        <v>18</v>
      </c>
      <c r="H1650">
        <v>27</v>
      </c>
      <c r="I1650" t="s">
        <v>19</v>
      </c>
      <c r="J1650">
        <v>1995</v>
      </c>
      <c r="K1650">
        <v>1995</v>
      </c>
      <c r="L1650" t="s">
        <v>20</v>
      </c>
      <c r="M1650">
        <v>15484</v>
      </c>
      <c r="N1650">
        <v>282</v>
      </c>
    </row>
    <row r="1651" spans="1:14" x14ac:dyDescent="0.35">
      <c r="A1651" t="s">
        <v>1725</v>
      </c>
      <c r="B1651" t="s">
        <v>15</v>
      </c>
      <c r="C1651" t="s">
        <v>16</v>
      </c>
      <c r="D1651">
        <v>133</v>
      </c>
      <c r="E1651" t="s">
        <v>1715</v>
      </c>
      <c r="F1651">
        <v>5419</v>
      </c>
      <c r="G1651" t="s">
        <v>18</v>
      </c>
      <c r="H1651">
        <v>27</v>
      </c>
      <c r="I1651" t="s">
        <v>19</v>
      </c>
      <c r="J1651">
        <v>1996</v>
      </c>
      <c r="K1651">
        <v>1996</v>
      </c>
      <c r="L1651" t="s">
        <v>20</v>
      </c>
      <c r="M1651">
        <v>19140</v>
      </c>
      <c r="N1651">
        <v>282</v>
      </c>
    </row>
    <row r="1652" spans="1:14" x14ac:dyDescent="0.35">
      <c r="A1652" t="s">
        <v>1726</v>
      </c>
      <c r="B1652" t="s">
        <v>15</v>
      </c>
      <c r="C1652" t="s">
        <v>16</v>
      </c>
      <c r="D1652">
        <v>133</v>
      </c>
      <c r="E1652" t="s">
        <v>1715</v>
      </c>
      <c r="F1652">
        <v>5419</v>
      </c>
      <c r="G1652" t="s">
        <v>18</v>
      </c>
      <c r="H1652">
        <v>27</v>
      </c>
      <c r="I1652" t="s">
        <v>19</v>
      </c>
      <c r="J1652">
        <v>1997</v>
      </c>
      <c r="K1652">
        <v>1997</v>
      </c>
      <c r="L1652" t="s">
        <v>20</v>
      </c>
      <c r="M1652">
        <v>17554</v>
      </c>
      <c r="N1652">
        <v>282</v>
      </c>
    </row>
    <row r="1653" spans="1:14" x14ac:dyDescent="0.35">
      <c r="A1653" t="s">
        <v>1727</v>
      </c>
      <c r="B1653" t="s">
        <v>15</v>
      </c>
      <c r="C1653" t="s">
        <v>16</v>
      </c>
      <c r="D1653">
        <v>133</v>
      </c>
      <c r="E1653" t="s">
        <v>1715</v>
      </c>
      <c r="F1653">
        <v>5419</v>
      </c>
      <c r="G1653" t="s">
        <v>18</v>
      </c>
      <c r="H1653">
        <v>27</v>
      </c>
      <c r="I1653" t="s">
        <v>19</v>
      </c>
      <c r="J1653">
        <v>1998</v>
      </c>
      <c r="K1653">
        <v>1998</v>
      </c>
      <c r="L1653" t="s">
        <v>20</v>
      </c>
      <c r="M1653">
        <v>21991</v>
      </c>
      <c r="N1653">
        <v>282</v>
      </c>
    </row>
    <row r="1654" spans="1:14" x14ac:dyDescent="0.35">
      <c r="A1654" t="s">
        <v>1728</v>
      </c>
      <c r="B1654" t="s">
        <v>15</v>
      </c>
      <c r="C1654" t="s">
        <v>16</v>
      </c>
      <c r="D1654">
        <v>133</v>
      </c>
      <c r="E1654" t="s">
        <v>1715</v>
      </c>
      <c r="F1654">
        <v>5419</v>
      </c>
      <c r="G1654" t="s">
        <v>18</v>
      </c>
      <c r="H1654">
        <v>27</v>
      </c>
      <c r="I1654" t="s">
        <v>19</v>
      </c>
      <c r="J1654">
        <v>1999</v>
      </c>
      <c r="K1654">
        <v>1999</v>
      </c>
      <c r="L1654" t="s">
        <v>20</v>
      </c>
      <c r="M1654">
        <v>22366</v>
      </c>
      <c r="N1654">
        <v>282</v>
      </c>
    </row>
    <row r="1655" spans="1:14" x14ac:dyDescent="0.35">
      <c r="A1655" t="s">
        <v>1729</v>
      </c>
      <c r="B1655" t="s">
        <v>15</v>
      </c>
      <c r="C1655" t="s">
        <v>16</v>
      </c>
      <c r="D1655">
        <v>133</v>
      </c>
      <c r="E1655" t="s">
        <v>1715</v>
      </c>
      <c r="F1655">
        <v>5419</v>
      </c>
      <c r="G1655" t="s">
        <v>18</v>
      </c>
      <c r="H1655">
        <v>27</v>
      </c>
      <c r="I1655" t="s">
        <v>19</v>
      </c>
      <c r="J1655">
        <v>2000</v>
      </c>
      <c r="K1655">
        <v>2000</v>
      </c>
      <c r="L1655" t="s">
        <v>20</v>
      </c>
      <c r="M1655">
        <v>21058</v>
      </c>
      <c r="N1655">
        <v>282</v>
      </c>
    </row>
    <row r="1656" spans="1:14" x14ac:dyDescent="0.35">
      <c r="A1656" t="s">
        <v>1730</v>
      </c>
      <c r="B1656" t="s">
        <v>15</v>
      </c>
      <c r="C1656" t="s">
        <v>16</v>
      </c>
      <c r="D1656">
        <v>133</v>
      </c>
      <c r="E1656" t="s">
        <v>1715</v>
      </c>
      <c r="F1656">
        <v>5419</v>
      </c>
      <c r="G1656" t="s">
        <v>18</v>
      </c>
      <c r="H1656">
        <v>27</v>
      </c>
      <c r="I1656" t="s">
        <v>19</v>
      </c>
      <c r="J1656">
        <v>2001</v>
      </c>
      <c r="K1656">
        <v>2001</v>
      </c>
      <c r="L1656" t="s">
        <v>20</v>
      </c>
      <c r="M1656">
        <v>20095</v>
      </c>
      <c r="N1656">
        <v>282</v>
      </c>
    </row>
    <row r="1657" spans="1:14" x14ac:dyDescent="0.35">
      <c r="A1657" t="s">
        <v>1731</v>
      </c>
      <c r="B1657" t="s">
        <v>15</v>
      </c>
      <c r="C1657" t="s">
        <v>16</v>
      </c>
      <c r="D1657">
        <v>133</v>
      </c>
      <c r="E1657" t="s">
        <v>1715</v>
      </c>
      <c r="F1657">
        <v>5419</v>
      </c>
      <c r="G1657" t="s">
        <v>18</v>
      </c>
      <c r="H1657">
        <v>27</v>
      </c>
      <c r="I1657" t="s">
        <v>19</v>
      </c>
      <c r="J1657">
        <v>2002</v>
      </c>
      <c r="K1657">
        <v>2002</v>
      </c>
      <c r="L1657" t="s">
        <v>20</v>
      </c>
      <c r="M1657">
        <v>19439</v>
      </c>
      <c r="N1657">
        <v>282</v>
      </c>
    </row>
    <row r="1658" spans="1:14" x14ac:dyDescent="0.35">
      <c r="A1658" t="s">
        <v>1732</v>
      </c>
      <c r="B1658" t="s">
        <v>15</v>
      </c>
      <c r="C1658" t="s">
        <v>16</v>
      </c>
      <c r="D1658">
        <v>133</v>
      </c>
      <c r="E1658" t="s">
        <v>1715</v>
      </c>
      <c r="F1658">
        <v>5419</v>
      </c>
      <c r="G1658" t="s">
        <v>18</v>
      </c>
      <c r="H1658">
        <v>27</v>
      </c>
      <c r="I1658" t="s">
        <v>19</v>
      </c>
      <c r="J1658">
        <v>2004</v>
      </c>
      <c r="K1658">
        <v>2004</v>
      </c>
      <c r="L1658" t="s">
        <v>20</v>
      </c>
      <c r="M1658">
        <v>22803</v>
      </c>
      <c r="N1658">
        <v>282</v>
      </c>
    </row>
    <row r="1659" spans="1:14" x14ac:dyDescent="0.35">
      <c r="A1659" t="s">
        <v>1733</v>
      </c>
      <c r="B1659" t="s">
        <v>15</v>
      </c>
      <c r="C1659" t="s">
        <v>16</v>
      </c>
      <c r="D1659">
        <v>133</v>
      </c>
      <c r="E1659" t="s">
        <v>1715</v>
      </c>
      <c r="F1659">
        <v>5419</v>
      </c>
      <c r="G1659" t="s">
        <v>18</v>
      </c>
      <c r="H1659">
        <v>27</v>
      </c>
      <c r="I1659" t="s">
        <v>19</v>
      </c>
      <c r="J1659">
        <v>2005</v>
      </c>
      <c r="K1659">
        <v>2005</v>
      </c>
      <c r="L1659" t="s">
        <v>20</v>
      </c>
      <c r="M1659">
        <v>22845</v>
      </c>
      <c r="N1659">
        <v>282</v>
      </c>
    </row>
    <row r="1660" spans="1:14" x14ac:dyDescent="0.35">
      <c r="A1660" t="s">
        <v>1734</v>
      </c>
      <c r="B1660" t="s">
        <v>15</v>
      </c>
      <c r="C1660" t="s">
        <v>16</v>
      </c>
      <c r="D1660">
        <v>133</v>
      </c>
      <c r="E1660" t="s">
        <v>1715</v>
      </c>
      <c r="F1660">
        <v>5419</v>
      </c>
      <c r="G1660" t="s">
        <v>18</v>
      </c>
      <c r="H1660">
        <v>27</v>
      </c>
      <c r="I1660" t="s">
        <v>19</v>
      </c>
      <c r="J1660">
        <v>2006</v>
      </c>
      <c r="K1660">
        <v>2006</v>
      </c>
      <c r="L1660" t="s">
        <v>20</v>
      </c>
      <c r="M1660">
        <v>25783</v>
      </c>
      <c r="N1660">
        <v>282</v>
      </c>
    </row>
    <row r="1661" spans="1:14" x14ac:dyDescent="0.35">
      <c r="A1661" t="s">
        <v>1735</v>
      </c>
      <c r="B1661" t="s">
        <v>15</v>
      </c>
      <c r="C1661" t="s">
        <v>16</v>
      </c>
      <c r="D1661">
        <v>133</v>
      </c>
      <c r="E1661" t="s">
        <v>1715</v>
      </c>
      <c r="F1661">
        <v>5419</v>
      </c>
      <c r="G1661" t="s">
        <v>18</v>
      </c>
      <c r="H1661">
        <v>27</v>
      </c>
      <c r="I1661" t="s">
        <v>19</v>
      </c>
      <c r="J1661">
        <v>2007</v>
      </c>
      <c r="K1661">
        <v>2007</v>
      </c>
      <c r="L1661" t="s">
        <v>20</v>
      </c>
      <c r="M1661">
        <v>27621</v>
      </c>
      <c r="N1661">
        <v>282</v>
      </c>
    </row>
    <row r="1662" spans="1:14" x14ac:dyDescent="0.35">
      <c r="A1662" t="s">
        <v>1736</v>
      </c>
      <c r="B1662" t="s">
        <v>15</v>
      </c>
      <c r="C1662" t="s">
        <v>16</v>
      </c>
      <c r="D1662">
        <v>133</v>
      </c>
      <c r="E1662" t="s">
        <v>1715</v>
      </c>
      <c r="F1662">
        <v>5419</v>
      </c>
      <c r="G1662" t="s">
        <v>18</v>
      </c>
      <c r="H1662">
        <v>27</v>
      </c>
      <c r="I1662" t="s">
        <v>19</v>
      </c>
      <c r="J1662">
        <v>2008</v>
      </c>
      <c r="K1662">
        <v>2008</v>
      </c>
      <c r="L1662" t="s">
        <v>20</v>
      </c>
      <c r="M1662">
        <v>33660</v>
      </c>
      <c r="N1662">
        <v>282</v>
      </c>
    </row>
    <row r="1663" spans="1:14" x14ac:dyDescent="0.35">
      <c r="A1663" t="s">
        <v>1737</v>
      </c>
      <c r="B1663" t="s">
        <v>15</v>
      </c>
      <c r="C1663" t="s">
        <v>16</v>
      </c>
      <c r="D1663">
        <v>133</v>
      </c>
      <c r="E1663" t="s">
        <v>1715</v>
      </c>
      <c r="F1663">
        <v>5419</v>
      </c>
      <c r="G1663" t="s">
        <v>18</v>
      </c>
      <c r="H1663">
        <v>27</v>
      </c>
      <c r="I1663" t="s">
        <v>19</v>
      </c>
      <c r="J1663">
        <v>2009</v>
      </c>
      <c r="K1663">
        <v>2009</v>
      </c>
      <c r="L1663" t="s">
        <v>20</v>
      </c>
      <c r="M1663">
        <v>30646</v>
      </c>
      <c r="N1663">
        <v>282</v>
      </c>
    </row>
    <row r="1664" spans="1:14" x14ac:dyDescent="0.35">
      <c r="A1664" t="s">
        <v>1738</v>
      </c>
      <c r="B1664" t="s">
        <v>15</v>
      </c>
      <c r="C1664" t="s">
        <v>16</v>
      </c>
      <c r="D1664">
        <v>133</v>
      </c>
      <c r="E1664" t="s">
        <v>1715</v>
      </c>
      <c r="F1664">
        <v>5419</v>
      </c>
      <c r="G1664" t="s">
        <v>18</v>
      </c>
      <c r="H1664">
        <v>27</v>
      </c>
      <c r="I1664" t="s">
        <v>19</v>
      </c>
      <c r="J1664">
        <v>2010</v>
      </c>
      <c r="K1664">
        <v>2010</v>
      </c>
      <c r="L1664" t="s">
        <v>20</v>
      </c>
      <c r="M1664">
        <v>21044</v>
      </c>
      <c r="N1664">
        <v>282</v>
      </c>
    </row>
    <row r="1665" spans="1:14" x14ac:dyDescent="0.35">
      <c r="A1665" t="s">
        <v>1739</v>
      </c>
      <c r="B1665" t="s">
        <v>15</v>
      </c>
      <c r="C1665" t="s">
        <v>16</v>
      </c>
      <c r="D1665">
        <v>133</v>
      </c>
      <c r="E1665" t="s">
        <v>1715</v>
      </c>
      <c r="F1665">
        <v>5419</v>
      </c>
      <c r="G1665" t="s">
        <v>18</v>
      </c>
      <c r="H1665">
        <v>27</v>
      </c>
      <c r="I1665" t="s">
        <v>19</v>
      </c>
      <c r="J1665">
        <v>2011</v>
      </c>
      <c r="K1665">
        <v>2011</v>
      </c>
      <c r="L1665" t="s">
        <v>20</v>
      </c>
      <c r="M1665">
        <v>30210</v>
      </c>
      <c r="N1665">
        <v>282</v>
      </c>
    </row>
    <row r="1666" spans="1:14" x14ac:dyDescent="0.35">
      <c r="A1666" t="s">
        <v>1740</v>
      </c>
      <c r="B1666" t="s">
        <v>15</v>
      </c>
      <c r="C1666" t="s">
        <v>16</v>
      </c>
      <c r="D1666">
        <v>133</v>
      </c>
      <c r="E1666" t="s">
        <v>1715</v>
      </c>
      <c r="F1666">
        <v>5419</v>
      </c>
      <c r="G1666" t="s">
        <v>18</v>
      </c>
      <c r="H1666">
        <v>27</v>
      </c>
      <c r="I1666" t="s">
        <v>19</v>
      </c>
      <c r="J1666">
        <v>2012</v>
      </c>
      <c r="K1666">
        <v>2012</v>
      </c>
      <c r="L1666" t="s">
        <v>20</v>
      </c>
      <c r="M1666">
        <v>34486</v>
      </c>
      <c r="N1666">
        <v>282</v>
      </c>
    </row>
    <row r="1667" spans="1:14" x14ac:dyDescent="0.35">
      <c r="A1667" t="s">
        <v>1741</v>
      </c>
      <c r="B1667" t="s">
        <v>15</v>
      </c>
      <c r="C1667" t="s">
        <v>16</v>
      </c>
      <c r="D1667">
        <v>133</v>
      </c>
      <c r="E1667" t="s">
        <v>1715</v>
      </c>
      <c r="F1667">
        <v>5419</v>
      </c>
      <c r="G1667" t="s">
        <v>18</v>
      </c>
      <c r="H1667">
        <v>27</v>
      </c>
      <c r="I1667" t="s">
        <v>19</v>
      </c>
      <c r="J1667">
        <v>2013</v>
      </c>
      <c r="K1667">
        <v>2013</v>
      </c>
      <c r="L1667" t="s">
        <v>20</v>
      </c>
      <c r="M1667">
        <v>30009</v>
      </c>
      <c r="N1667">
        <v>282</v>
      </c>
    </row>
    <row r="1668" spans="1:14" x14ac:dyDescent="0.35">
      <c r="A1668" t="s">
        <v>1742</v>
      </c>
      <c r="B1668" t="s">
        <v>15</v>
      </c>
      <c r="C1668" t="s">
        <v>16</v>
      </c>
      <c r="D1668">
        <v>133</v>
      </c>
      <c r="E1668" t="s">
        <v>1715</v>
      </c>
      <c r="F1668">
        <v>5419</v>
      </c>
      <c r="G1668" t="s">
        <v>18</v>
      </c>
      <c r="H1668">
        <v>27</v>
      </c>
      <c r="I1668" t="s">
        <v>19</v>
      </c>
      <c r="J1668">
        <v>2014</v>
      </c>
      <c r="K1668">
        <v>2014</v>
      </c>
      <c r="L1668" t="s">
        <v>20</v>
      </c>
      <c r="M1668">
        <v>31670</v>
      </c>
      <c r="N1668">
        <v>282</v>
      </c>
    </row>
    <row r="1669" spans="1:14" x14ac:dyDescent="0.35">
      <c r="A1669" t="s">
        <v>1743</v>
      </c>
      <c r="B1669" t="s">
        <v>15</v>
      </c>
      <c r="C1669" t="s">
        <v>16</v>
      </c>
      <c r="D1669">
        <v>133</v>
      </c>
      <c r="E1669" t="s">
        <v>1715</v>
      </c>
      <c r="F1669">
        <v>5419</v>
      </c>
      <c r="G1669" t="s">
        <v>18</v>
      </c>
      <c r="H1669">
        <v>27</v>
      </c>
      <c r="I1669" t="s">
        <v>19</v>
      </c>
      <c r="J1669">
        <v>2015</v>
      </c>
      <c r="K1669">
        <v>2015</v>
      </c>
      <c r="L1669" t="s">
        <v>20</v>
      </c>
      <c r="M1669">
        <v>30586</v>
      </c>
      <c r="N1669">
        <v>282</v>
      </c>
    </row>
    <row r="1670" spans="1:14" x14ac:dyDescent="0.35">
      <c r="A1670" t="s">
        <v>1744</v>
      </c>
      <c r="B1670" t="s">
        <v>15</v>
      </c>
      <c r="C1670" t="s">
        <v>16</v>
      </c>
      <c r="D1670">
        <v>133</v>
      </c>
      <c r="E1670" t="s">
        <v>1715</v>
      </c>
      <c r="F1670">
        <v>5419</v>
      </c>
      <c r="G1670" t="s">
        <v>18</v>
      </c>
      <c r="H1670">
        <v>27</v>
      </c>
      <c r="I1670" t="s">
        <v>19</v>
      </c>
      <c r="J1670">
        <v>2016</v>
      </c>
      <c r="K1670">
        <v>2016</v>
      </c>
      <c r="L1670" t="s">
        <v>20</v>
      </c>
      <c r="M1670">
        <v>33318</v>
      </c>
      <c r="N1670">
        <v>282</v>
      </c>
    </row>
    <row r="1671" spans="1:14" x14ac:dyDescent="0.35">
      <c r="A1671" t="s">
        <v>1745</v>
      </c>
      <c r="B1671" t="s">
        <v>15</v>
      </c>
      <c r="C1671" t="s">
        <v>16</v>
      </c>
      <c r="D1671">
        <v>136</v>
      </c>
      <c r="E1671" t="s">
        <v>1746</v>
      </c>
      <c r="F1671">
        <v>5419</v>
      </c>
      <c r="G1671" t="s">
        <v>18</v>
      </c>
      <c r="H1671">
        <v>27</v>
      </c>
      <c r="I1671" t="s">
        <v>19</v>
      </c>
      <c r="J1671">
        <v>1985</v>
      </c>
      <c r="K1671">
        <v>1985</v>
      </c>
      <c r="L1671" t="s">
        <v>20</v>
      </c>
      <c r="M1671">
        <v>50000</v>
      </c>
      <c r="N1671">
        <v>92</v>
      </c>
    </row>
    <row r="1672" spans="1:14" x14ac:dyDescent="0.35">
      <c r="A1672" t="s">
        <v>1747</v>
      </c>
      <c r="B1672" t="s">
        <v>15</v>
      </c>
      <c r="C1672" t="s">
        <v>16</v>
      </c>
      <c r="D1672">
        <v>136</v>
      </c>
      <c r="E1672" t="s">
        <v>1746</v>
      </c>
      <c r="F1672">
        <v>5419</v>
      </c>
      <c r="G1672" t="s">
        <v>18</v>
      </c>
      <c r="H1672">
        <v>27</v>
      </c>
      <c r="I1672" t="s">
        <v>19</v>
      </c>
      <c r="J1672">
        <v>1986</v>
      </c>
      <c r="K1672">
        <v>1986</v>
      </c>
      <c r="L1672" t="s">
        <v>20</v>
      </c>
      <c r="M1672">
        <v>50000</v>
      </c>
      <c r="N1672">
        <v>92</v>
      </c>
    </row>
    <row r="1673" spans="1:14" x14ac:dyDescent="0.35">
      <c r="A1673" t="s">
        <v>1748</v>
      </c>
      <c r="B1673" t="s">
        <v>15</v>
      </c>
      <c r="C1673" t="s">
        <v>16</v>
      </c>
      <c r="D1673">
        <v>136</v>
      </c>
      <c r="E1673" t="s">
        <v>1746</v>
      </c>
      <c r="F1673">
        <v>5419</v>
      </c>
      <c r="G1673" t="s">
        <v>18</v>
      </c>
      <c r="H1673">
        <v>27</v>
      </c>
      <c r="I1673" t="s">
        <v>19</v>
      </c>
      <c r="J1673">
        <v>1987</v>
      </c>
      <c r="K1673">
        <v>1987</v>
      </c>
      <c r="L1673" t="s">
        <v>20</v>
      </c>
      <c r="M1673">
        <v>46856</v>
      </c>
      <c r="N1673">
        <v>92</v>
      </c>
    </row>
    <row r="1674" spans="1:14" x14ac:dyDescent="0.35">
      <c r="A1674" t="s">
        <v>1749</v>
      </c>
      <c r="B1674" t="s">
        <v>15</v>
      </c>
      <c r="C1674" t="s">
        <v>16</v>
      </c>
      <c r="D1674">
        <v>136</v>
      </c>
      <c r="E1674" t="s">
        <v>1746</v>
      </c>
      <c r="F1674">
        <v>5419</v>
      </c>
      <c r="G1674" t="s">
        <v>18</v>
      </c>
      <c r="H1674">
        <v>27</v>
      </c>
      <c r="I1674" t="s">
        <v>19</v>
      </c>
      <c r="J1674">
        <v>1989</v>
      </c>
      <c r="K1674">
        <v>1989</v>
      </c>
      <c r="L1674" t="s">
        <v>20</v>
      </c>
      <c r="M1674">
        <v>40342</v>
      </c>
      <c r="N1674">
        <v>92</v>
      </c>
    </row>
    <row r="1675" spans="1:14" x14ac:dyDescent="0.35">
      <c r="A1675" t="s">
        <v>1750</v>
      </c>
      <c r="B1675" t="s">
        <v>15</v>
      </c>
      <c r="C1675" t="s">
        <v>16</v>
      </c>
      <c r="D1675">
        <v>136</v>
      </c>
      <c r="E1675" t="s">
        <v>1746</v>
      </c>
      <c r="F1675">
        <v>5419</v>
      </c>
      <c r="G1675" t="s">
        <v>18</v>
      </c>
      <c r="H1675">
        <v>27</v>
      </c>
      <c r="I1675" t="s">
        <v>19</v>
      </c>
      <c r="J1675">
        <v>1990</v>
      </c>
      <c r="K1675">
        <v>1990</v>
      </c>
      <c r="L1675" t="s">
        <v>20</v>
      </c>
      <c r="M1675">
        <v>33307</v>
      </c>
      <c r="N1675">
        <v>92</v>
      </c>
    </row>
    <row r="1676" spans="1:14" x14ac:dyDescent="0.35">
      <c r="A1676" t="s">
        <v>1751</v>
      </c>
      <c r="B1676" t="s">
        <v>15</v>
      </c>
      <c r="C1676" t="s">
        <v>16</v>
      </c>
      <c r="D1676">
        <v>136</v>
      </c>
      <c r="E1676" t="s">
        <v>1746</v>
      </c>
      <c r="F1676">
        <v>5419</v>
      </c>
      <c r="G1676" t="s">
        <v>18</v>
      </c>
      <c r="H1676">
        <v>27</v>
      </c>
      <c r="I1676" t="s">
        <v>19</v>
      </c>
      <c r="J1676">
        <v>1991</v>
      </c>
      <c r="K1676">
        <v>1991</v>
      </c>
      <c r="L1676" t="s">
        <v>20</v>
      </c>
      <c r="M1676">
        <v>28127</v>
      </c>
      <c r="N1676">
        <v>92</v>
      </c>
    </row>
    <row r="1677" spans="1:14" x14ac:dyDescent="0.35">
      <c r="A1677" t="s">
        <v>1752</v>
      </c>
      <c r="B1677" t="s">
        <v>15</v>
      </c>
      <c r="C1677" t="s">
        <v>16</v>
      </c>
      <c r="D1677">
        <v>136</v>
      </c>
      <c r="E1677" t="s">
        <v>1746</v>
      </c>
      <c r="F1677">
        <v>5419</v>
      </c>
      <c r="G1677" t="s">
        <v>18</v>
      </c>
      <c r="H1677">
        <v>27</v>
      </c>
      <c r="I1677" t="s">
        <v>19</v>
      </c>
      <c r="J1677">
        <v>1992</v>
      </c>
      <c r="K1677">
        <v>1992</v>
      </c>
      <c r="L1677" t="s">
        <v>20</v>
      </c>
      <c r="M1677">
        <v>39870</v>
      </c>
      <c r="N1677">
        <v>92</v>
      </c>
    </row>
    <row r="1678" spans="1:14" x14ac:dyDescent="0.35">
      <c r="A1678" t="s">
        <v>1753</v>
      </c>
      <c r="B1678" t="s">
        <v>15</v>
      </c>
      <c r="C1678" t="s">
        <v>16</v>
      </c>
      <c r="D1678">
        <v>136</v>
      </c>
      <c r="E1678" t="s">
        <v>1746</v>
      </c>
      <c r="F1678">
        <v>5419</v>
      </c>
      <c r="G1678" t="s">
        <v>18</v>
      </c>
      <c r="H1678">
        <v>27</v>
      </c>
      <c r="I1678" t="s">
        <v>19</v>
      </c>
      <c r="J1678">
        <v>1993</v>
      </c>
      <c r="K1678">
        <v>1993</v>
      </c>
      <c r="L1678" t="s">
        <v>20</v>
      </c>
      <c r="M1678">
        <v>32860</v>
      </c>
      <c r="N1678">
        <v>92</v>
      </c>
    </row>
    <row r="1679" spans="1:14" x14ac:dyDescent="0.35">
      <c r="A1679" t="s">
        <v>1754</v>
      </c>
      <c r="B1679" t="s">
        <v>15</v>
      </c>
      <c r="C1679" t="s">
        <v>16</v>
      </c>
      <c r="D1679">
        <v>136</v>
      </c>
      <c r="E1679" t="s">
        <v>1746</v>
      </c>
      <c r="F1679">
        <v>5419</v>
      </c>
      <c r="G1679" t="s">
        <v>18</v>
      </c>
      <c r="H1679">
        <v>27</v>
      </c>
      <c r="I1679" t="s">
        <v>19</v>
      </c>
      <c r="J1679">
        <v>1994</v>
      </c>
      <c r="K1679">
        <v>1994</v>
      </c>
      <c r="L1679" t="s">
        <v>20</v>
      </c>
      <c r="M1679">
        <v>27399</v>
      </c>
      <c r="N1679">
        <v>92</v>
      </c>
    </row>
    <row r="1680" spans="1:14" x14ac:dyDescent="0.35">
      <c r="A1680" t="s">
        <v>1755</v>
      </c>
      <c r="B1680" t="s">
        <v>15</v>
      </c>
      <c r="C1680" t="s">
        <v>16</v>
      </c>
      <c r="D1680">
        <v>136</v>
      </c>
      <c r="E1680" t="s">
        <v>1746</v>
      </c>
      <c r="F1680">
        <v>5419</v>
      </c>
      <c r="G1680" t="s">
        <v>18</v>
      </c>
      <c r="H1680">
        <v>27</v>
      </c>
      <c r="I1680" t="s">
        <v>19</v>
      </c>
      <c r="J1680">
        <v>1995</v>
      </c>
      <c r="K1680">
        <v>1995</v>
      </c>
      <c r="L1680" t="s">
        <v>20</v>
      </c>
      <c r="M1680">
        <v>39360</v>
      </c>
      <c r="N1680">
        <v>92</v>
      </c>
    </row>
    <row r="1681" spans="1:14" x14ac:dyDescent="0.35">
      <c r="A1681" t="s">
        <v>1756</v>
      </c>
      <c r="B1681" t="s">
        <v>15</v>
      </c>
      <c r="C1681" t="s">
        <v>16</v>
      </c>
      <c r="D1681">
        <v>136</v>
      </c>
      <c r="E1681" t="s">
        <v>1746</v>
      </c>
      <c r="F1681">
        <v>5419</v>
      </c>
      <c r="G1681" t="s">
        <v>18</v>
      </c>
      <c r="H1681">
        <v>27</v>
      </c>
      <c r="I1681" t="s">
        <v>19</v>
      </c>
      <c r="J1681">
        <v>1996</v>
      </c>
      <c r="K1681">
        <v>1996</v>
      </c>
      <c r="L1681" t="s">
        <v>20</v>
      </c>
      <c r="M1681">
        <v>38306</v>
      </c>
      <c r="N1681">
        <v>92</v>
      </c>
    </row>
    <row r="1682" spans="1:14" x14ac:dyDescent="0.35">
      <c r="A1682" t="s">
        <v>1757</v>
      </c>
      <c r="B1682" t="s">
        <v>15</v>
      </c>
      <c r="C1682" t="s">
        <v>16</v>
      </c>
      <c r="D1682">
        <v>136</v>
      </c>
      <c r="E1682" t="s">
        <v>1746</v>
      </c>
      <c r="F1682">
        <v>5419</v>
      </c>
      <c r="G1682" t="s">
        <v>18</v>
      </c>
      <c r="H1682">
        <v>27</v>
      </c>
      <c r="I1682" t="s">
        <v>19</v>
      </c>
      <c r="J1682">
        <v>1997</v>
      </c>
      <c r="K1682">
        <v>1997</v>
      </c>
      <c r="L1682" t="s">
        <v>20</v>
      </c>
      <c r="M1682">
        <v>37189</v>
      </c>
      <c r="N1682">
        <v>92</v>
      </c>
    </row>
    <row r="1683" spans="1:14" x14ac:dyDescent="0.35">
      <c r="A1683" t="s">
        <v>1758</v>
      </c>
      <c r="B1683" t="s">
        <v>15</v>
      </c>
      <c r="C1683" t="s">
        <v>16</v>
      </c>
      <c r="D1683">
        <v>136</v>
      </c>
      <c r="E1683" t="s">
        <v>1746</v>
      </c>
      <c r="F1683">
        <v>5419</v>
      </c>
      <c r="G1683" t="s">
        <v>18</v>
      </c>
      <c r="H1683">
        <v>27</v>
      </c>
      <c r="I1683" t="s">
        <v>19</v>
      </c>
      <c r="J1683">
        <v>1998</v>
      </c>
      <c r="K1683">
        <v>1998</v>
      </c>
      <c r="L1683" t="s">
        <v>20</v>
      </c>
      <c r="M1683">
        <v>40598</v>
      </c>
      <c r="N1683">
        <v>92</v>
      </c>
    </row>
    <row r="1684" spans="1:14" x14ac:dyDescent="0.35">
      <c r="A1684" t="s">
        <v>1759</v>
      </c>
      <c r="B1684" t="s">
        <v>15</v>
      </c>
      <c r="C1684" t="s">
        <v>16</v>
      </c>
      <c r="D1684">
        <v>136</v>
      </c>
      <c r="E1684" t="s">
        <v>1746</v>
      </c>
      <c r="F1684">
        <v>5419</v>
      </c>
      <c r="G1684" t="s">
        <v>18</v>
      </c>
      <c r="H1684">
        <v>27</v>
      </c>
      <c r="I1684" t="s">
        <v>19</v>
      </c>
      <c r="J1684">
        <v>1999</v>
      </c>
      <c r="K1684">
        <v>1999</v>
      </c>
      <c r="L1684" t="s">
        <v>20</v>
      </c>
      <c r="M1684">
        <v>39680</v>
      </c>
      <c r="N1684">
        <v>92</v>
      </c>
    </row>
    <row r="1685" spans="1:14" x14ac:dyDescent="0.35">
      <c r="A1685" t="s">
        <v>1760</v>
      </c>
      <c r="B1685" t="s">
        <v>15</v>
      </c>
      <c r="C1685" t="s">
        <v>16</v>
      </c>
      <c r="D1685">
        <v>136</v>
      </c>
      <c r="E1685" t="s">
        <v>1746</v>
      </c>
      <c r="F1685">
        <v>5419</v>
      </c>
      <c r="G1685" t="s">
        <v>18</v>
      </c>
      <c r="H1685">
        <v>27</v>
      </c>
      <c r="I1685" t="s">
        <v>19</v>
      </c>
      <c r="J1685">
        <v>2000</v>
      </c>
      <c r="K1685">
        <v>2000</v>
      </c>
      <c r="L1685" t="s">
        <v>20</v>
      </c>
      <c r="M1685">
        <v>42373</v>
      </c>
      <c r="N1685">
        <v>92</v>
      </c>
    </row>
    <row r="1686" spans="1:14" x14ac:dyDescent="0.35">
      <c r="A1686" t="s">
        <v>1761</v>
      </c>
      <c r="B1686" t="s">
        <v>15</v>
      </c>
      <c r="C1686" t="s">
        <v>16</v>
      </c>
      <c r="D1686">
        <v>136</v>
      </c>
      <c r="E1686" t="s">
        <v>1746</v>
      </c>
      <c r="F1686">
        <v>5419</v>
      </c>
      <c r="G1686" t="s">
        <v>18</v>
      </c>
      <c r="H1686">
        <v>27</v>
      </c>
      <c r="I1686" t="s">
        <v>19</v>
      </c>
      <c r="J1686">
        <v>2001</v>
      </c>
      <c r="K1686">
        <v>2001</v>
      </c>
      <c r="L1686" t="s">
        <v>20</v>
      </c>
      <c r="M1686">
        <v>45266</v>
      </c>
      <c r="N1686">
        <v>92</v>
      </c>
    </row>
    <row r="1687" spans="1:14" x14ac:dyDescent="0.35">
      <c r="A1687" t="s">
        <v>1762</v>
      </c>
      <c r="B1687" t="s">
        <v>15</v>
      </c>
      <c r="C1687" t="s">
        <v>16</v>
      </c>
      <c r="D1687">
        <v>136</v>
      </c>
      <c r="E1687" t="s">
        <v>1746</v>
      </c>
      <c r="F1687">
        <v>5419</v>
      </c>
      <c r="G1687" t="s">
        <v>18</v>
      </c>
      <c r="H1687">
        <v>27</v>
      </c>
      <c r="I1687" t="s">
        <v>19</v>
      </c>
      <c r="J1687">
        <v>2002</v>
      </c>
      <c r="K1687">
        <v>2002</v>
      </c>
      <c r="L1687" t="s">
        <v>20</v>
      </c>
      <c r="M1687">
        <v>45602</v>
      </c>
      <c r="N1687">
        <v>92</v>
      </c>
    </row>
    <row r="1688" spans="1:14" x14ac:dyDescent="0.35">
      <c r="A1688" t="s">
        <v>1763</v>
      </c>
      <c r="B1688" t="s">
        <v>15</v>
      </c>
      <c r="C1688" t="s">
        <v>16</v>
      </c>
      <c r="D1688">
        <v>136</v>
      </c>
      <c r="E1688" t="s">
        <v>1746</v>
      </c>
      <c r="F1688">
        <v>5419</v>
      </c>
      <c r="G1688" t="s">
        <v>18</v>
      </c>
      <c r="H1688">
        <v>27</v>
      </c>
      <c r="I1688" t="s">
        <v>19</v>
      </c>
      <c r="J1688">
        <v>2004</v>
      </c>
      <c r="K1688">
        <v>2004</v>
      </c>
      <c r="L1688" t="s">
        <v>20</v>
      </c>
      <c r="M1688">
        <v>46995</v>
      </c>
      <c r="N1688">
        <v>92</v>
      </c>
    </row>
    <row r="1689" spans="1:14" x14ac:dyDescent="0.35">
      <c r="A1689" t="s">
        <v>1764</v>
      </c>
      <c r="B1689" t="s">
        <v>15</v>
      </c>
      <c r="C1689" t="s">
        <v>16</v>
      </c>
      <c r="D1689">
        <v>136</v>
      </c>
      <c r="E1689" t="s">
        <v>1746</v>
      </c>
      <c r="F1689">
        <v>5419</v>
      </c>
      <c r="G1689" t="s">
        <v>18</v>
      </c>
      <c r="H1689">
        <v>27</v>
      </c>
      <c r="I1689" t="s">
        <v>19</v>
      </c>
      <c r="J1689">
        <v>2005</v>
      </c>
      <c r="K1689">
        <v>2005</v>
      </c>
      <c r="L1689" t="s">
        <v>20</v>
      </c>
      <c r="M1689">
        <v>38919</v>
      </c>
      <c r="N1689">
        <v>92</v>
      </c>
    </row>
    <row r="1690" spans="1:14" x14ac:dyDescent="0.35">
      <c r="A1690" t="s">
        <v>1765</v>
      </c>
      <c r="B1690" t="s">
        <v>15</v>
      </c>
      <c r="C1690" t="s">
        <v>16</v>
      </c>
      <c r="D1690">
        <v>136</v>
      </c>
      <c r="E1690" t="s">
        <v>1746</v>
      </c>
      <c r="F1690">
        <v>5419</v>
      </c>
      <c r="G1690" t="s">
        <v>18</v>
      </c>
      <c r="H1690">
        <v>27</v>
      </c>
      <c r="I1690" t="s">
        <v>19</v>
      </c>
      <c r="J1690">
        <v>2006</v>
      </c>
      <c r="K1690">
        <v>2006</v>
      </c>
      <c r="L1690" t="s">
        <v>20</v>
      </c>
      <c r="M1690">
        <v>44809</v>
      </c>
      <c r="N1690">
        <v>92</v>
      </c>
    </row>
    <row r="1691" spans="1:14" x14ac:dyDescent="0.35">
      <c r="A1691" t="s">
        <v>1766</v>
      </c>
      <c r="B1691" t="s">
        <v>15</v>
      </c>
      <c r="C1691" t="s">
        <v>16</v>
      </c>
      <c r="D1691">
        <v>136</v>
      </c>
      <c r="E1691" t="s">
        <v>1746</v>
      </c>
      <c r="F1691">
        <v>5419</v>
      </c>
      <c r="G1691" t="s">
        <v>18</v>
      </c>
      <c r="H1691">
        <v>27</v>
      </c>
      <c r="I1691" t="s">
        <v>19</v>
      </c>
      <c r="J1691">
        <v>2007</v>
      </c>
      <c r="K1691">
        <v>2007</v>
      </c>
      <c r="L1691" t="s">
        <v>20</v>
      </c>
      <c r="M1691">
        <v>47221</v>
      </c>
      <c r="N1691">
        <v>92</v>
      </c>
    </row>
    <row r="1692" spans="1:14" x14ac:dyDescent="0.35">
      <c r="A1692" t="s">
        <v>1767</v>
      </c>
      <c r="B1692" t="s">
        <v>15</v>
      </c>
      <c r="C1692" t="s">
        <v>16</v>
      </c>
      <c r="D1692">
        <v>136</v>
      </c>
      <c r="E1692" t="s">
        <v>1746</v>
      </c>
      <c r="F1692">
        <v>5419</v>
      </c>
      <c r="G1692" t="s">
        <v>18</v>
      </c>
      <c r="H1692">
        <v>27</v>
      </c>
      <c r="I1692" t="s">
        <v>19</v>
      </c>
      <c r="J1692">
        <v>2008</v>
      </c>
      <c r="K1692">
        <v>2008</v>
      </c>
      <c r="L1692" t="s">
        <v>20</v>
      </c>
      <c r="M1692">
        <v>47631</v>
      </c>
      <c r="N1692">
        <v>92</v>
      </c>
    </row>
    <row r="1693" spans="1:14" x14ac:dyDescent="0.35">
      <c r="A1693" t="s">
        <v>1768</v>
      </c>
      <c r="B1693" t="s">
        <v>15</v>
      </c>
      <c r="C1693" t="s">
        <v>16</v>
      </c>
      <c r="D1693">
        <v>136</v>
      </c>
      <c r="E1693" t="s">
        <v>1746</v>
      </c>
      <c r="F1693">
        <v>5419</v>
      </c>
      <c r="G1693" t="s">
        <v>18</v>
      </c>
      <c r="H1693">
        <v>27</v>
      </c>
      <c r="I1693" t="s">
        <v>19</v>
      </c>
      <c r="J1693">
        <v>2009</v>
      </c>
      <c r="K1693">
        <v>2009</v>
      </c>
      <c r="L1693" t="s">
        <v>20</v>
      </c>
      <c r="M1693">
        <v>39894</v>
      </c>
      <c r="N1693">
        <v>92</v>
      </c>
    </row>
    <row r="1694" spans="1:14" x14ac:dyDescent="0.35">
      <c r="A1694" t="s">
        <v>1769</v>
      </c>
      <c r="B1694" t="s">
        <v>15</v>
      </c>
      <c r="C1694" t="s">
        <v>16</v>
      </c>
      <c r="D1694">
        <v>136</v>
      </c>
      <c r="E1694" t="s">
        <v>1746</v>
      </c>
      <c r="F1694">
        <v>5419</v>
      </c>
      <c r="G1694" t="s">
        <v>18</v>
      </c>
      <c r="H1694">
        <v>27</v>
      </c>
      <c r="I1694" t="s">
        <v>19</v>
      </c>
      <c r="J1694">
        <v>2010</v>
      </c>
      <c r="K1694">
        <v>2010</v>
      </c>
      <c r="L1694" t="s">
        <v>20</v>
      </c>
      <c r="M1694">
        <v>52310</v>
      </c>
      <c r="N1694">
        <v>92</v>
      </c>
    </row>
    <row r="1695" spans="1:14" x14ac:dyDescent="0.35">
      <c r="A1695" t="s">
        <v>1770</v>
      </c>
      <c r="B1695" t="s">
        <v>15</v>
      </c>
      <c r="C1695" t="s">
        <v>16</v>
      </c>
      <c r="D1695">
        <v>136</v>
      </c>
      <c r="E1695" t="s">
        <v>1746</v>
      </c>
      <c r="F1695">
        <v>5419</v>
      </c>
      <c r="G1695" t="s">
        <v>18</v>
      </c>
      <c r="H1695">
        <v>27</v>
      </c>
      <c r="I1695" t="s">
        <v>19</v>
      </c>
      <c r="J1695">
        <v>2011</v>
      </c>
      <c r="K1695">
        <v>2011</v>
      </c>
      <c r="L1695" t="s">
        <v>20</v>
      </c>
      <c r="M1695">
        <v>50958</v>
      </c>
      <c r="N1695">
        <v>92</v>
      </c>
    </row>
    <row r="1696" spans="1:14" x14ac:dyDescent="0.35">
      <c r="A1696" t="s">
        <v>1771</v>
      </c>
      <c r="B1696" t="s">
        <v>15</v>
      </c>
      <c r="C1696" t="s">
        <v>16</v>
      </c>
      <c r="D1696">
        <v>136</v>
      </c>
      <c r="E1696" t="s">
        <v>1746</v>
      </c>
      <c r="F1696">
        <v>5419</v>
      </c>
      <c r="G1696" t="s">
        <v>18</v>
      </c>
      <c r="H1696">
        <v>27</v>
      </c>
      <c r="I1696" t="s">
        <v>19</v>
      </c>
      <c r="J1696">
        <v>2012</v>
      </c>
      <c r="K1696">
        <v>2012</v>
      </c>
      <c r="L1696" t="s">
        <v>20</v>
      </c>
      <c r="M1696">
        <v>49788</v>
      </c>
      <c r="N1696">
        <v>92</v>
      </c>
    </row>
    <row r="1697" spans="1:14" x14ac:dyDescent="0.35">
      <c r="A1697" t="s">
        <v>1772</v>
      </c>
      <c r="B1697" t="s">
        <v>15</v>
      </c>
      <c r="C1697" t="s">
        <v>16</v>
      </c>
      <c r="D1697">
        <v>136</v>
      </c>
      <c r="E1697" t="s">
        <v>1746</v>
      </c>
      <c r="F1697">
        <v>5419</v>
      </c>
      <c r="G1697" t="s">
        <v>18</v>
      </c>
      <c r="H1697">
        <v>27</v>
      </c>
      <c r="I1697" t="s">
        <v>19</v>
      </c>
      <c r="J1697">
        <v>2013</v>
      </c>
      <c r="K1697">
        <v>2013</v>
      </c>
      <c r="L1697" t="s">
        <v>20</v>
      </c>
      <c r="M1697">
        <v>49522</v>
      </c>
      <c r="N1697">
        <v>92</v>
      </c>
    </row>
    <row r="1698" spans="1:14" x14ac:dyDescent="0.35">
      <c r="A1698" t="s">
        <v>1773</v>
      </c>
      <c r="B1698" t="s">
        <v>15</v>
      </c>
      <c r="C1698" t="s">
        <v>16</v>
      </c>
      <c r="D1698">
        <v>136</v>
      </c>
      <c r="E1698" t="s">
        <v>1746</v>
      </c>
      <c r="F1698">
        <v>5419</v>
      </c>
      <c r="G1698" t="s">
        <v>18</v>
      </c>
      <c r="H1698">
        <v>27</v>
      </c>
      <c r="I1698" t="s">
        <v>19</v>
      </c>
      <c r="J1698">
        <v>2014</v>
      </c>
      <c r="K1698">
        <v>2014</v>
      </c>
      <c r="L1698" t="s">
        <v>20</v>
      </c>
      <c r="M1698">
        <v>51348</v>
      </c>
      <c r="N1698">
        <v>92</v>
      </c>
    </row>
    <row r="1699" spans="1:14" x14ac:dyDescent="0.35">
      <c r="A1699" t="s">
        <v>1774</v>
      </c>
      <c r="B1699" t="s">
        <v>15</v>
      </c>
      <c r="C1699" t="s">
        <v>16</v>
      </c>
      <c r="D1699">
        <v>136</v>
      </c>
      <c r="E1699" t="s">
        <v>1746</v>
      </c>
      <c r="F1699">
        <v>5419</v>
      </c>
      <c r="G1699" t="s">
        <v>18</v>
      </c>
      <c r="H1699">
        <v>27</v>
      </c>
      <c r="I1699" t="s">
        <v>19</v>
      </c>
      <c r="J1699">
        <v>2015</v>
      </c>
      <c r="K1699">
        <v>2015</v>
      </c>
      <c r="L1699" t="s">
        <v>20</v>
      </c>
      <c r="M1699">
        <v>51557</v>
      </c>
      <c r="N1699">
        <v>92</v>
      </c>
    </row>
    <row r="1700" spans="1:14" x14ac:dyDescent="0.35">
      <c r="A1700" t="s">
        <v>1775</v>
      </c>
      <c r="B1700" t="s">
        <v>15</v>
      </c>
      <c r="C1700" t="s">
        <v>16</v>
      </c>
      <c r="D1700">
        <v>136</v>
      </c>
      <c r="E1700" t="s">
        <v>1746</v>
      </c>
      <c r="F1700">
        <v>5419</v>
      </c>
      <c r="G1700" t="s">
        <v>18</v>
      </c>
      <c r="H1700">
        <v>27</v>
      </c>
      <c r="I1700" t="s">
        <v>19</v>
      </c>
      <c r="J1700">
        <v>2016</v>
      </c>
      <c r="K1700">
        <v>2016</v>
      </c>
      <c r="L1700" t="s">
        <v>20</v>
      </c>
      <c r="M1700">
        <v>52528</v>
      </c>
      <c r="N1700">
        <v>92</v>
      </c>
    </row>
    <row r="1701" spans="1:14" x14ac:dyDescent="0.35">
      <c r="A1701" t="s">
        <v>1776</v>
      </c>
      <c r="B1701" t="s">
        <v>15</v>
      </c>
      <c r="C1701" t="s">
        <v>16</v>
      </c>
      <c r="D1701">
        <v>137</v>
      </c>
      <c r="E1701" t="s">
        <v>1777</v>
      </c>
      <c r="F1701">
        <v>5419</v>
      </c>
      <c r="G1701" t="s">
        <v>18</v>
      </c>
      <c r="H1701">
        <v>27</v>
      </c>
      <c r="I1701" t="s">
        <v>19</v>
      </c>
      <c r="J1701">
        <v>1985</v>
      </c>
      <c r="K1701">
        <v>1985</v>
      </c>
      <c r="L1701" t="s">
        <v>20</v>
      </c>
      <c r="M1701">
        <v>45000</v>
      </c>
      <c r="N1701">
        <v>2041</v>
      </c>
    </row>
    <row r="1702" spans="1:14" x14ac:dyDescent="0.35">
      <c r="A1702" t="s">
        <v>1778</v>
      </c>
      <c r="B1702" t="s">
        <v>15</v>
      </c>
      <c r="C1702" t="s">
        <v>16</v>
      </c>
      <c r="D1702">
        <v>137</v>
      </c>
      <c r="E1702" t="s">
        <v>1777</v>
      </c>
      <c r="F1702">
        <v>5419</v>
      </c>
      <c r="G1702" t="s">
        <v>18</v>
      </c>
      <c r="H1702">
        <v>27</v>
      </c>
      <c r="I1702" t="s">
        <v>19</v>
      </c>
      <c r="J1702">
        <v>1986</v>
      </c>
      <c r="K1702">
        <v>1986</v>
      </c>
      <c r="L1702" t="s">
        <v>20</v>
      </c>
      <c r="M1702">
        <v>54688</v>
      </c>
      <c r="N1702">
        <v>2041</v>
      </c>
    </row>
    <row r="1703" spans="1:14" x14ac:dyDescent="0.35">
      <c r="A1703" t="s">
        <v>1779</v>
      </c>
      <c r="B1703" t="s">
        <v>15</v>
      </c>
      <c r="C1703" t="s">
        <v>16</v>
      </c>
      <c r="D1703">
        <v>137</v>
      </c>
      <c r="E1703" t="s">
        <v>1777</v>
      </c>
      <c r="F1703">
        <v>5419</v>
      </c>
      <c r="G1703" t="s">
        <v>18</v>
      </c>
      <c r="H1703">
        <v>27</v>
      </c>
      <c r="I1703" t="s">
        <v>19</v>
      </c>
      <c r="J1703">
        <v>1987</v>
      </c>
      <c r="K1703">
        <v>1987</v>
      </c>
      <c r="L1703" t="s">
        <v>20</v>
      </c>
      <c r="M1703">
        <v>28571</v>
      </c>
      <c r="N1703">
        <v>2041</v>
      </c>
    </row>
    <row r="1704" spans="1:14" x14ac:dyDescent="0.35">
      <c r="A1704" t="s">
        <v>1780</v>
      </c>
      <c r="B1704" t="s">
        <v>15</v>
      </c>
      <c r="C1704" t="s">
        <v>16</v>
      </c>
      <c r="D1704">
        <v>137</v>
      </c>
      <c r="E1704" t="s">
        <v>1777</v>
      </c>
      <c r="F1704">
        <v>5419</v>
      </c>
      <c r="G1704" t="s">
        <v>18</v>
      </c>
      <c r="H1704">
        <v>27</v>
      </c>
      <c r="I1704" t="s">
        <v>19</v>
      </c>
      <c r="J1704">
        <v>1989</v>
      </c>
      <c r="K1704">
        <v>1989</v>
      </c>
      <c r="L1704" t="s">
        <v>20</v>
      </c>
      <c r="M1704">
        <v>40000</v>
      </c>
      <c r="N1704">
        <v>2041</v>
      </c>
    </row>
    <row r="1705" spans="1:14" x14ac:dyDescent="0.35">
      <c r="A1705" t="s">
        <v>1781</v>
      </c>
      <c r="B1705" t="s">
        <v>15</v>
      </c>
      <c r="C1705" t="s">
        <v>16</v>
      </c>
      <c r="D1705">
        <v>137</v>
      </c>
      <c r="E1705" t="s">
        <v>1777</v>
      </c>
      <c r="F1705">
        <v>5419</v>
      </c>
      <c r="G1705" t="s">
        <v>18</v>
      </c>
      <c r="H1705">
        <v>27</v>
      </c>
      <c r="I1705" t="s">
        <v>19</v>
      </c>
      <c r="J1705">
        <v>1990</v>
      </c>
      <c r="K1705">
        <v>1990</v>
      </c>
      <c r="L1705" t="s">
        <v>20</v>
      </c>
      <c r="M1705">
        <v>63333</v>
      </c>
      <c r="N1705">
        <v>2041</v>
      </c>
    </row>
    <row r="1706" spans="1:14" x14ac:dyDescent="0.35">
      <c r="A1706" t="s">
        <v>1782</v>
      </c>
      <c r="B1706" t="s">
        <v>15</v>
      </c>
      <c r="C1706" t="s">
        <v>16</v>
      </c>
      <c r="D1706">
        <v>137</v>
      </c>
      <c r="E1706" t="s">
        <v>1777</v>
      </c>
      <c r="F1706">
        <v>5419</v>
      </c>
      <c r="G1706" t="s">
        <v>18</v>
      </c>
      <c r="H1706">
        <v>27</v>
      </c>
      <c r="I1706" t="s">
        <v>19</v>
      </c>
      <c r="J1706">
        <v>1991</v>
      </c>
      <c r="K1706">
        <v>1991</v>
      </c>
      <c r="L1706" t="s">
        <v>20</v>
      </c>
      <c r="M1706">
        <v>50000</v>
      </c>
      <c r="N1706">
        <v>2041</v>
      </c>
    </row>
    <row r="1707" spans="1:14" x14ac:dyDescent="0.35">
      <c r="A1707" t="s">
        <v>1783</v>
      </c>
      <c r="B1707" t="s">
        <v>15</v>
      </c>
      <c r="C1707" t="s">
        <v>16</v>
      </c>
      <c r="D1707">
        <v>137</v>
      </c>
      <c r="E1707" t="s">
        <v>1777</v>
      </c>
      <c r="F1707">
        <v>5419</v>
      </c>
      <c r="G1707" t="s">
        <v>18</v>
      </c>
      <c r="H1707">
        <v>27</v>
      </c>
      <c r="I1707" t="s">
        <v>19</v>
      </c>
      <c r="J1707">
        <v>1992</v>
      </c>
      <c r="K1707">
        <v>1992</v>
      </c>
      <c r="L1707" t="s">
        <v>20</v>
      </c>
      <c r="M1707">
        <v>50000</v>
      </c>
      <c r="N1707">
        <v>2041</v>
      </c>
    </row>
    <row r="1708" spans="1:14" x14ac:dyDescent="0.35">
      <c r="A1708" t="s">
        <v>1784</v>
      </c>
      <c r="B1708" t="s">
        <v>15</v>
      </c>
      <c r="C1708" t="s">
        <v>16</v>
      </c>
      <c r="D1708">
        <v>137</v>
      </c>
      <c r="E1708" t="s">
        <v>1777</v>
      </c>
      <c r="F1708">
        <v>5419</v>
      </c>
      <c r="G1708" t="s">
        <v>18</v>
      </c>
      <c r="H1708">
        <v>27</v>
      </c>
      <c r="I1708" t="s">
        <v>19</v>
      </c>
      <c r="J1708">
        <v>2008</v>
      </c>
      <c r="K1708">
        <v>2008</v>
      </c>
      <c r="L1708" t="s">
        <v>20</v>
      </c>
      <c r="M1708">
        <v>30688</v>
      </c>
      <c r="N1708">
        <v>2041</v>
      </c>
    </row>
    <row r="1709" spans="1:14" x14ac:dyDescent="0.35">
      <c r="A1709" t="s">
        <v>1785</v>
      </c>
      <c r="B1709" t="s">
        <v>15</v>
      </c>
      <c r="C1709" t="s">
        <v>16</v>
      </c>
      <c r="D1709">
        <v>137</v>
      </c>
      <c r="E1709" t="s">
        <v>1777</v>
      </c>
      <c r="F1709">
        <v>5419</v>
      </c>
      <c r="G1709" t="s">
        <v>18</v>
      </c>
      <c r="H1709">
        <v>27</v>
      </c>
      <c r="I1709" t="s">
        <v>19</v>
      </c>
      <c r="J1709">
        <v>2009</v>
      </c>
      <c r="K1709">
        <v>2009</v>
      </c>
      <c r="L1709" t="s">
        <v>20</v>
      </c>
      <c r="M1709">
        <v>29513</v>
      </c>
      <c r="N1709">
        <v>2041</v>
      </c>
    </row>
    <row r="1710" spans="1:14" x14ac:dyDescent="0.35">
      <c r="A1710" t="s">
        <v>1786</v>
      </c>
      <c r="B1710" t="s">
        <v>15</v>
      </c>
      <c r="C1710" t="s">
        <v>16</v>
      </c>
      <c r="D1710">
        <v>137</v>
      </c>
      <c r="E1710" t="s">
        <v>1777</v>
      </c>
      <c r="F1710">
        <v>5419</v>
      </c>
      <c r="G1710" t="s">
        <v>18</v>
      </c>
      <c r="H1710">
        <v>27</v>
      </c>
      <c r="I1710" t="s">
        <v>19</v>
      </c>
      <c r="J1710">
        <v>2010</v>
      </c>
      <c r="K1710">
        <v>2010</v>
      </c>
      <c r="L1710" t="s">
        <v>20</v>
      </c>
      <c r="M1710">
        <v>28354</v>
      </c>
      <c r="N1710">
        <v>2041</v>
      </c>
    </row>
    <row r="1711" spans="1:14" x14ac:dyDescent="0.35">
      <c r="A1711" t="s">
        <v>1787</v>
      </c>
      <c r="B1711" t="s">
        <v>15</v>
      </c>
      <c r="C1711" t="s">
        <v>16</v>
      </c>
      <c r="D1711">
        <v>137</v>
      </c>
      <c r="E1711" t="s">
        <v>1777</v>
      </c>
      <c r="F1711">
        <v>5419</v>
      </c>
      <c r="G1711" t="s">
        <v>18</v>
      </c>
      <c r="H1711">
        <v>27</v>
      </c>
      <c r="I1711" t="s">
        <v>19</v>
      </c>
      <c r="J1711">
        <v>2011</v>
      </c>
      <c r="K1711">
        <v>2011</v>
      </c>
      <c r="L1711" t="s">
        <v>20</v>
      </c>
      <c r="M1711">
        <v>26333</v>
      </c>
      <c r="N1711">
        <v>2041</v>
      </c>
    </row>
    <row r="1712" spans="1:14" x14ac:dyDescent="0.35">
      <c r="A1712" t="s">
        <v>1788</v>
      </c>
      <c r="B1712" t="s">
        <v>15</v>
      </c>
      <c r="C1712" t="s">
        <v>16</v>
      </c>
      <c r="D1712">
        <v>137</v>
      </c>
      <c r="E1712" t="s">
        <v>1777</v>
      </c>
      <c r="F1712">
        <v>5419</v>
      </c>
      <c r="G1712" t="s">
        <v>18</v>
      </c>
      <c r="H1712">
        <v>27</v>
      </c>
      <c r="I1712" t="s">
        <v>19</v>
      </c>
      <c r="J1712">
        <v>2012</v>
      </c>
      <c r="K1712">
        <v>2012</v>
      </c>
      <c r="L1712" t="s">
        <v>20</v>
      </c>
      <c r="M1712">
        <v>26893</v>
      </c>
      <c r="N1712">
        <v>2041</v>
      </c>
    </row>
    <row r="1713" spans="1:14" x14ac:dyDescent="0.35">
      <c r="A1713" t="s">
        <v>1789</v>
      </c>
      <c r="B1713" t="s">
        <v>15</v>
      </c>
      <c r="C1713" t="s">
        <v>16</v>
      </c>
      <c r="D1713">
        <v>137</v>
      </c>
      <c r="E1713" t="s">
        <v>1777</v>
      </c>
      <c r="F1713">
        <v>5419</v>
      </c>
      <c r="G1713" t="s">
        <v>18</v>
      </c>
      <c r="H1713">
        <v>27</v>
      </c>
      <c r="I1713" t="s">
        <v>19</v>
      </c>
      <c r="J1713">
        <v>2013</v>
      </c>
      <c r="K1713">
        <v>2013</v>
      </c>
      <c r="L1713" t="s">
        <v>20</v>
      </c>
      <c r="M1713">
        <v>21250</v>
      </c>
      <c r="N1713">
        <v>2041</v>
      </c>
    </row>
    <row r="1714" spans="1:14" x14ac:dyDescent="0.35">
      <c r="A1714" t="s">
        <v>1790</v>
      </c>
      <c r="B1714" t="s">
        <v>15</v>
      </c>
      <c r="C1714" t="s">
        <v>16</v>
      </c>
      <c r="D1714">
        <v>137</v>
      </c>
      <c r="E1714" t="s">
        <v>1777</v>
      </c>
      <c r="F1714">
        <v>5419</v>
      </c>
      <c r="G1714" t="s">
        <v>18</v>
      </c>
      <c r="H1714">
        <v>27</v>
      </c>
      <c r="I1714" t="s">
        <v>19</v>
      </c>
      <c r="J1714">
        <v>2014</v>
      </c>
      <c r="K1714">
        <v>2014</v>
      </c>
      <c r="L1714" t="s">
        <v>20</v>
      </c>
      <c r="M1714">
        <v>28786</v>
      </c>
      <c r="N1714">
        <v>2041</v>
      </c>
    </row>
    <row r="1715" spans="1:14" x14ac:dyDescent="0.35">
      <c r="A1715" t="s">
        <v>1791</v>
      </c>
      <c r="B1715" t="s">
        <v>15</v>
      </c>
      <c r="C1715" t="s">
        <v>16</v>
      </c>
      <c r="D1715">
        <v>137</v>
      </c>
      <c r="E1715" t="s">
        <v>1777</v>
      </c>
      <c r="F1715">
        <v>5419</v>
      </c>
      <c r="G1715" t="s">
        <v>18</v>
      </c>
      <c r="H1715">
        <v>27</v>
      </c>
      <c r="I1715" t="s">
        <v>19</v>
      </c>
      <c r="J1715">
        <v>2015</v>
      </c>
      <c r="K1715">
        <v>2015</v>
      </c>
      <c r="L1715" t="s">
        <v>20</v>
      </c>
      <c r="M1715">
        <v>19324</v>
      </c>
      <c r="N1715">
        <v>2041</v>
      </c>
    </row>
    <row r="1716" spans="1:14" x14ac:dyDescent="0.35">
      <c r="A1716" t="s">
        <v>1792</v>
      </c>
      <c r="B1716" t="s">
        <v>15</v>
      </c>
      <c r="C1716" t="s">
        <v>16</v>
      </c>
      <c r="D1716">
        <v>137</v>
      </c>
      <c r="E1716" t="s">
        <v>1777</v>
      </c>
      <c r="F1716">
        <v>5419</v>
      </c>
      <c r="G1716" t="s">
        <v>18</v>
      </c>
      <c r="H1716">
        <v>27</v>
      </c>
      <c r="I1716" t="s">
        <v>19</v>
      </c>
      <c r="J1716">
        <v>2016</v>
      </c>
      <c r="K1716">
        <v>2016</v>
      </c>
      <c r="L1716" t="s">
        <v>20</v>
      </c>
      <c r="M1716">
        <v>21863</v>
      </c>
      <c r="N1716">
        <v>2041</v>
      </c>
    </row>
    <row r="1717" spans="1:14" x14ac:dyDescent="0.35">
      <c r="A1717" t="s">
        <v>1793</v>
      </c>
      <c r="B1717" t="s">
        <v>15</v>
      </c>
      <c r="C1717" t="s">
        <v>16</v>
      </c>
      <c r="D1717">
        <v>138</v>
      </c>
      <c r="E1717" t="s">
        <v>1794</v>
      </c>
      <c r="F1717">
        <v>5419</v>
      </c>
      <c r="G1717" t="s">
        <v>18</v>
      </c>
      <c r="H1717">
        <v>27</v>
      </c>
      <c r="I1717" t="s">
        <v>19</v>
      </c>
      <c r="J1717">
        <v>1985</v>
      </c>
      <c r="K1717">
        <v>1985</v>
      </c>
      <c r="L1717" t="s">
        <v>20</v>
      </c>
      <c r="M1717">
        <v>37305</v>
      </c>
      <c r="N1717">
        <v>758</v>
      </c>
    </row>
    <row r="1718" spans="1:14" x14ac:dyDescent="0.35">
      <c r="A1718" t="s">
        <v>1795</v>
      </c>
      <c r="B1718" t="s">
        <v>15</v>
      </c>
      <c r="C1718" t="s">
        <v>16</v>
      </c>
      <c r="D1718">
        <v>138</v>
      </c>
      <c r="E1718" t="s">
        <v>1794</v>
      </c>
      <c r="F1718">
        <v>5419</v>
      </c>
      <c r="G1718" t="s">
        <v>18</v>
      </c>
      <c r="H1718">
        <v>27</v>
      </c>
      <c r="I1718" t="s">
        <v>19</v>
      </c>
      <c r="J1718">
        <v>1986</v>
      </c>
      <c r="K1718">
        <v>1986</v>
      </c>
      <c r="L1718" t="s">
        <v>20</v>
      </c>
      <c r="M1718">
        <v>34595</v>
      </c>
      <c r="N1718">
        <v>758</v>
      </c>
    </row>
    <row r="1719" spans="1:14" x14ac:dyDescent="0.35">
      <c r="A1719" t="s">
        <v>1796</v>
      </c>
      <c r="B1719" t="s">
        <v>15</v>
      </c>
      <c r="C1719" t="s">
        <v>16</v>
      </c>
      <c r="D1719">
        <v>138</v>
      </c>
      <c r="E1719" t="s">
        <v>1794</v>
      </c>
      <c r="F1719">
        <v>5419</v>
      </c>
      <c r="G1719" t="s">
        <v>18</v>
      </c>
      <c r="H1719">
        <v>27</v>
      </c>
      <c r="I1719" t="s">
        <v>19</v>
      </c>
      <c r="J1719">
        <v>1987</v>
      </c>
      <c r="K1719">
        <v>1987</v>
      </c>
      <c r="L1719" t="s">
        <v>20</v>
      </c>
      <c r="M1719">
        <v>38175</v>
      </c>
      <c r="N1719">
        <v>758</v>
      </c>
    </row>
    <row r="1720" spans="1:14" x14ac:dyDescent="0.35">
      <c r="A1720" t="s">
        <v>1797</v>
      </c>
      <c r="B1720" t="s">
        <v>15</v>
      </c>
      <c r="C1720" t="s">
        <v>16</v>
      </c>
      <c r="D1720">
        <v>138</v>
      </c>
      <c r="E1720" t="s">
        <v>1794</v>
      </c>
      <c r="F1720">
        <v>5419</v>
      </c>
      <c r="G1720" t="s">
        <v>18</v>
      </c>
      <c r="H1720">
        <v>27</v>
      </c>
      <c r="I1720" t="s">
        <v>19</v>
      </c>
      <c r="J1720">
        <v>1989</v>
      </c>
      <c r="K1720">
        <v>1989</v>
      </c>
      <c r="L1720" t="s">
        <v>20</v>
      </c>
      <c r="M1720">
        <v>34803</v>
      </c>
      <c r="N1720">
        <v>758</v>
      </c>
    </row>
    <row r="1721" spans="1:14" x14ac:dyDescent="0.35">
      <c r="A1721" t="s">
        <v>1798</v>
      </c>
      <c r="B1721" t="s">
        <v>15</v>
      </c>
      <c r="C1721" t="s">
        <v>16</v>
      </c>
      <c r="D1721">
        <v>138</v>
      </c>
      <c r="E1721" t="s">
        <v>1794</v>
      </c>
      <c r="F1721">
        <v>5419</v>
      </c>
      <c r="G1721" t="s">
        <v>18</v>
      </c>
      <c r="H1721">
        <v>27</v>
      </c>
      <c r="I1721" t="s">
        <v>19</v>
      </c>
      <c r="J1721">
        <v>1990</v>
      </c>
      <c r="K1721">
        <v>1990</v>
      </c>
      <c r="L1721" t="s">
        <v>20</v>
      </c>
      <c r="M1721">
        <v>37418</v>
      </c>
      <c r="N1721">
        <v>758</v>
      </c>
    </row>
    <row r="1722" spans="1:14" x14ac:dyDescent="0.35">
      <c r="A1722" t="s">
        <v>1799</v>
      </c>
      <c r="B1722" t="s">
        <v>15</v>
      </c>
      <c r="C1722" t="s">
        <v>16</v>
      </c>
      <c r="D1722">
        <v>138</v>
      </c>
      <c r="E1722" t="s">
        <v>1794</v>
      </c>
      <c r="F1722">
        <v>5419</v>
      </c>
      <c r="G1722" t="s">
        <v>18</v>
      </c>
      <c r="H1722">
        <v>27</v>
      </c>
      <c r="I1722" t="s">
        <v>19</v>
      </c>
      <c r="J1722">
        <v>1991</v>
      </c>
      <c r="K1722">
        <v>1991</v>
      </c>
      <c r="L1722" t="s">
        <v>20</v>
      </c>
      <c r="M1722">
        <v>40954</v>
      </c>
      <c r="N1722">
        <v>758</v>
      </c>
    </row>
    <row r="1723" spans="1:14" x14ac:dyDescent="0.35">
      <c r="A1723" t="s">
        <v>1800</v>
      </c>
      <c r="B1723" t="s">
        <v>15</v>
      </c>
      <c r="C1723" t="s">
        <v>16</v>
      </c>
      <c r="D1723">
        <v>138</v>
      </c>
      <c r="E1723" t="s">
        <v>1794</v>
      </c>
      <c r="F1723">
        <v>5419</v>
      </c>
      <c r="G1723" t="s">
        <v>18</v>
      </c>
      <c r="H1723">
        <v>27</v>
      </c>
      <c r="I1723" t="s">
        <v>19</v>
      </c>
      <c r="J1723">
        <v>1992</v>
      </c>
      <c r="K1723">
        <v>1992</v>
      </c>
      <c r="L1723" t="s">
        <v>20</v>
      </c>
      <c r="M1723">
        <v>43577</v>
      </c>
      <c r="N1723">
        <v>758</v>
      </c>
    </row>
    <row r="1724" spans="1:14" x14ac:dyDescent="0.35">
      <c r="A1724" t="s">
        <v>1801</v>
      </c>
      <c r="B1724" t="s">
        <v>15</v>
      </c>
      <c r="C1724" t="s">
        <v>16</v>
      </c>
      <c r="D1724">
        <v>138</v>
      </c>
      <c r="E1724" t="s">
        <v>1794</v>
      </c>
      <c r="F1724">
        <v>5419</v>
      </c>
      <c r="G1724" t="s">
        <v>18</v>
      </c>
      <c r="H1724">
        <v>27</v>
      </c>
      <c r="I1724" t="s">
        <v>19</v>
      </c>
      <c r="J1724">
        <v>1993</v>
      </c>
      <c r="K1724">
        <v>1993</v>
      </c>
      <c r="L1724" t="s">
        <v>20</v>
      </c>
      <c r="M1724">
        <v>48725</v>
      </c>
      <c r="N1724">
        <v>758</v>
      </c>
    </row>
    <row r="1725" spans="1:14" x14ac:dyDescent="0.35">
      <c r="A1725" t="s">
        <v>1802</v>
      </c>
      <c r="B1725" t="s">
        <v>15</v>
      </c>
      <c r="C1725" t="s">
        <v>16</v>
      </c>
      <c r="D1725">
        <v>138</v>
      </c>
      <c r="E1725" t="s">
        <v>1794</v>
      </c>
      <c r="F1725">
        <v>5419</v>
      </c>
      <c r="G1725" t="s">
        <v>18</v>
      </c>
      <c r="H1725">
        <v>27</v>
      </c>
      <c r="I1725" t="s">
        <v>19</v>
      </c>
      <c r="J1725">
        <v>1994</v>
      </c>
      <c r="K1725">
        <v>1994</v>
      </c>
      <c r="L1725" t="s">
        <v>20</v>
      </c>
      <c r="M1725">
        <v>42555</v>
      </c>
      <c r="N1725">
        <v>758</v>
      </c>
    </row>
    <row r="1726" spans="1:14" x14ac:dyDescent="0.35">
      <c r="A1726" t="s">
        <v>1803</v>
      </c>
      <c r="B1726" t="s">
        <v>15</v>
      </c>
      <c r="C1726" t="s">
        <v>16</v>
      </c>
      <c r="D1726">
        <v>138</v>
      </c>
      <c r="E1726" t="s">
        <v>1794</v>
      </c>
      <c r="F1726">
        <v>5419</v>
      </c>
      <c r="G1726" t="s">
        <v>18</v>
      </c>
      <c r="H1726">
        <v>27</v>
      </c>
      <c r="I1726" t="s">
        <v>19</v>
      </c>
      <c r="J1726">
        <v>1995</v>
      </c>
      <c r="K1726">
        <v>1995</v>
      </c>
      <c r="L1726" t="s">
        <v>20</v>
      </c>
      <c r="M1726">
        <v>46792</v>
      </c>
      <c r="N1726">
        <v>758</v>
      </c>
    </row>
    <row r="1727" spans="1:14" x14ac:dyDescent="0.35">
      <c r="A1727" t="s">
        <v>1804</v>
      </c>
      <c r="B1727" t="s">
        <v>15</v>
      </c>
      <c r="C1727" t="s">
        <v>16</v>
      </c>
      <c r="D1727">
        <v>138</v>
      </c>
      <c r="E1727" t="s">
        <v>1794</v>
      </c>
      <c r="F1727">
        <v>5419</v>
      </c>
      <c r="G1727" t="s">
        <v>18</v>
      </c>
      <c r="H1727">
        <v>27</v>
      </c>
      <c r="I1727" t="s">
        <v>19</v>
      </c>
      <c r="J1727">
        <v>1996</v>
      </c>
      <c r="K1727">
        <v>1996</v>
      </c>
      <c r="L1727" t="s">
        <v>20</v>
      </c>
      <c r="M1727">
        <v>45412</v>
      </c>
      <c r="N1727">
        <v>758</v>
      </c>
    </row>
    <row r="1728" spans="1:14" x14ac:dyDescent="0.35">
      <c r="A1728" t="s">
        <v>1805</v>
      </c>
      <c r="B1728" t="s">
        <v>15</v>
      </c>
      <c r="C1728" t="s">
        <v>16</v>
      </c>
      <c r="D1728">
        <v>138</v>
      </c>
      <c r="E1728" t="s">
        <v>1794</v>
      </c>
      <c r="F1728">
        <v>5419</v>
      </c>
      <c r="G1728" t="s">
        <v>18</v>
      </c>
      <c r="H1728">
        <v>27</v>
      </c>
      <c r="I1728" t="s">
        <v>19</v>
      </c>
      <c r="J1728">
        <v>1997</v>
      </c>
      <c r="K1728">
        <v>1997</v>
      </c>
      <c r="L1728" t="s">
        <v>20</v>
      </c>
      <c r="M1728">
        <v>41365</v>
      </c>
      <c r="N1728">
        <v>758</v>
      </c>
    </row>
    <row r="1729" spans="1:14" x14ac:dyDescent="0.35">
      <c r="A1729" t="s">
        <v>1806</v>
      </c>
      <c r="B1729" t="s">
        <v>15</v>
      </c>
      <c r="C1729" t="s">
        <v>16</v>
      </c>
      <c r="D1729">
        <v>138</v>
      </c>
      <c r="E1729" t="s">
        <v>1794</v>
      </c>
      <c r="F1729">
        <v>5419</v>
      </c>
      <c r="G1729" t="s">
        <v>18</v>
      </c>
      <c r="H1729">
        <v>27</v>
      </c>
      <c r="I1729" t="s">
        <v>19</v>
      </c>
      <c r="J1729">
        <v>1998</v>
      </c>
      <c r="K1729">
        <v>1998</v>
      </c>
      <c r="L1729" t="s">
        <v>20</v>
      </c>
      <c r="M1729">
        <v>45108</v>
      </c>
      <c r="N1729">
        <v>758</v>
      </c>
    </row>
    <row r="1730" spans="1:14" x14ac:dyDescent="0.35">
      <c r="A1730" t="s">
        <v>1807</v>
      </c>
      <c r="B1730" t="s">
        <v>15</v>
      </c>
      <c r="C1730" t="s">
        <v>16</v>
      </c>
      <c r="D1730">
        <v>138</v>
      </c>
      <c r="E1730" t="s">
        <v>1794</v>
      </c>
      <c r="F1730">
        <v>5419</v>
      </c>
      <c r="G1730" t="s">
        <v>18</v>
      </c>
      <c r="H1730">
        <v>27</v>
      </c>
      <c r="I1730" t="s">
        <v>19</v>
      </c>
      <c r="J1730">
        <v>1999</v>
      </c>
      <c r="K1730">
        <v>1999</v>
      </c>
      <c r="L1730" t="s">
        <v>20</v>
      </c>
      <c r="M1730">
        <v>47762</v>
      </c>
      <c r="N1730">
        <v>758</v>
      </c>
    </row>
    <row r="1731" spans="1:14" x14ac:dyDescent="0.35">
      <c r="A1731" t="s">
        <v>1808</v>
      </c>
      <c r="B1731" t="s">
        <v>15</v>
      </c>
      <c r="C1731" t="s">
        <v>16</v>
      </c>
      <c r="D1731">
        <v>138</v>
      </c>
      <c r="E1731" t="s">
        <v>1794</v>
      </c>
      <c r="F1731">
        <v>5419</v>
      </c>
      <c r="G1731" t="s">
        <v>18</v>
      </c>
      <c r="H1731">
        <v>27</v>
      </c>
      <c r="I1731" t="s">
        <v>19</v>
      </c>
      <c r="J1731">
        <v>2000</v>
      </c>
      <c r="K1731">
        <v>2000</v>
      </c>
      <c r="L1731" t="s">
        <v>20</v>
      </c>
      <c r="M1731">
        <v>41805</v>
      </c>
      <c r="N1731">
        <v>758</v>
      </c>
    </row>
    <row r="1732" spans="1:14" x14ac:dyDescent="0.35">
      <c r="A1732" t="s">
        <v>1809</v>
      </c>
      <c r="B1732" t="s">
        <v>15</v>
      </c>
      <c r="C1732" t="s">
        <v>16</v>
      </c>
      <c r="D1732">
        <v>138</v>
      </c>
      <c r="E1732" t="s">
        <v>1794</v>
      </c>
      <c r="F1732">
        <v>5419</v>
      </c>
      <c r="G1732" t="s">
        <v>18</v>
      </c>
      <c r="H1732">
        <v>27</v>
      </c>
      <c r="I1732" t="s">
        <v>19</v>
      </c>
      <c r="J1732">
        <v>2001</v>
      </c>
      <c r="K1732">
        <v>2001</v>
      </c>
      <c r="L1732" t="s">
        <v>20</v>
      </c>
      <c r="M1732">
        <v>42576</v>
      </c>
      <c r="N1732">
        <v>758</v>
      </c>
    </row>
    <row r="1733" spans="1:14" x14ac:dyDescent="0.35">
      <c r="A1733" t="s">
        <v>1810</v>
      </c>
      <c r="B1733" t="s">
        <v>15</v>
      </c>
      <c r="C1733" t="s">
        <v>16</v>
      </c>
      <c r="D1733">
        <v>138</v>
      </c>
      <c r="E1733" t="s">
        <v>1794</v>
      </c>
      <c r="F1733">
        <v>5419</v>
      </c>
      <c r="G1733" t="s">
        <v>18</v>
      </c>
      <c r="H1733">
        <v>27</v>
      </c>
      <c r="I1733" t="s">
        <v>19</v>
      </c>
      <c r="J1733">
        <v>2002</v>
      </c>
      <c r="K1733">
        <v>2002</v>
      </c>
      <c r="L1733" t="s">
        <v>20</v>
      </c>
      <c r="M1733">
        <v>45027</v>
      </c>
      <c r="N1733">
        <v>758</v>
      </c>
    </row>
    <row r="1734" spans="1:14" x14ac:dyDescent="0.35">
      <c r="A1734" t="s">
        <v>1811</v>
      </c>
      <c r="B1734" t="s">
        <v>15</v>
      </c>
      <c r="C1734" t="s">
        <v>16</v>
      </c>
      <c r="D1734">
        <v>138</v>
      </c>
      <c r="E1734" t="s">
        <v>1794</v>
      </c>
      <c r="F1734">
        <v>5419</v>
      </c>
      <c r="G1734" t="s">
        <v>18</v>
      </c>
      <c r="H1734">
        <v>27</v>
      </c>
      <c r="I1734" t="s">
        <v>19</v>
      </c>
      <c r="J1734">
        <v>2004</v>
      </c>
      <c r="K1734">
        <v>2004</v>
      </c>
      <c r="L1734" t="s">
        <v>20</v>
      </c>
      <c r="M1734">
        <v>44631</v>
      </c>
      <c r="N1734">
        <v>758</v>
      </c>
    </row>
    <row r="1735" spans="1:14" x14ac:dyDescent="0.35">
      <c r="A1735" t="s">
        <v>1812</v>
      </c>
      <c r="B1735" t="s">
        <v>15</v>
      </c>
      <c r="C1735" t="s">
        <v>16</v>
      </c>
      <c r="D1735">
        <v>138</v>
      </c>
      <c r="E1735" t="s">
        <v>1794</v>
      </c>
      <c r="F1735">
        <v>5419</v>
      </c>
      <c r="G1735" t="s">
        <v>18</v>
      </c>
      <c r="H1735">
        <v>27</v>
      </c>
      <c r="I1735" t="s">
        <v>19</v>
      </c>
      <c r="J1735">
        <v>2005</v>
      </c>
      <c r="K1735">
        <v>2005</v>
      </c>
      <c r="L1735" t="s">
        <v>20</v>
      </c>
      <c r="M1735">
        <v>50653</v>
      </c>
      <c r="N1735">
        <v>758</v>
      </c>
    </row>
    <row r="1736" spans="1:14" x14ac:dyDescent="0.35">
      <c r="A1736" t="s">
        <v>1813</v>
      </c>
      <c r="B1736" t="s">
        <v>15</v>
      </c>
      <c r="C1736" t="s">
        <v>16</v>
      </c>
      <c r="D1736">
        <v>138</v>
      </c>
      <c r="E1736" t="s">
        <v>1794</v>
      </c>
      <c r="F1736">
        <v>5419</v>
      </c>
      <c r="G1736" t="s">
        <v>18</v>
      </c>
      <c r="H1736">
        <v>27</v>
      </c>
      <c r="I1736" t="s">
        <v>19</v>
      </c>
      <c r="J1736">
        <v>2006</v>
      </c>
      <c r="K1736">
        <v>2006</v>
      </c>
      <c r="L1736" t="s">
        <v>20</v>
      </c>
      <c r="M1736">
        <v>47857</v>
      </c>
      <c r="N1736">
        <v>758</v>
      </c>
    </row>
    <row r="1737" spans="1:14" x14ac:dyDescent="0.35">
      <c r="A1737" t="s">
        <v>1814</v>
      </c>
      <c r="B1737" t="s">
        <v>15</v>
      </c>
      <c r="C1737" t="s">
        <v>16</v>
      </c>
      <c r="D1737">
        <v>138</v>
      </c>
      <c r="E1737" t="s">
        <v>1794</v>
      </c>
      <c r="F1737">
        <v>5419</v>
      </c>
      <c r="G1737" t="s">
        <v>18</v>
      </c>
      <c r="H1737">
        <v>27</v>
      </c>
      <c r="I1737" t="s">
        <v>19</v>
      </c>
      <c r="J1737">
        <v>2007</v>
      </c>
      <c r="K1737">
        <v>2007</v>
      </c>
      <c r="L1737" t="s">
        <v>20</v>
      </c>
      <c r="M1737">
        <v>41536</v>
      </c>
      <c r="N1737">
        <v>758</v>
      </c>
    </row>
    <row r="1738" spans="1:14" x14ac:dyDescent="0.35">
      <c r="A1738" t="s">
        <v>1815</v>
      </c>
      <c r="B1738" t="s">
        <v>15</v>
      </c>
      <c r="C1738" t="s">
        <v>16</v>
      </c>
      <c r="D1738">
        <v>138</v>
      </c>
      <c r="E1738" t="s">
        <v>1794</v>
      </c>
      <c r="F1738">
        <v>5419</v>
      </c>
      <c r="G1738" t="s">
        <v>18</v>
      </c>
      <c r="H1738">
        <v>27</v>
      </c>
      <c r="I1738" t="s">
        <v>19</v>
      </c>
      <c r="J1738">
        <v>2008</v>
      </c>
      <c r="K1738">
        <v>2008</v>
      </c>
      <c r="L1738" t="s">
        <v>20</v>
      </c>
      <c r="M1738">
        <v>44619</v>
      </c>
      <c r="N1738">
        <v>758</v>
      </c>
    </row>
    <row r="1739" spans="1:14" x14ac:dyDescent="0.35">
      <c r="A1739" t="s">
        <v>1816</v>
      </c>
      <c r="B1739" t="s">
        <v>15</v>
      </c>
      <c r="C1739" t="s">
        <v>16</v>
      </c>
      <c r="D1739">
        <v>138</v>
      </c>
      <c r="E1739" t="s">
        <v>1794</v>
      </c>
      <c r="F1739">
        <v>5419</v>
      </c>
      <c r="G1739" t="s">
        <v>18</v>
      </c>
      <c r="H1739">
        <v>27</v>
      </c>
      <c r="I1739" t="s">
        <v>19</v>
      </c>
      <c r="J1739">
        <v>2009</v>
      </c>
      <c r="K1739">
        <v>2009</v>
      </c>
      <c r="L1739" t="s">
        <v>20</v>
      </c>
      <c r="M1739">
        <v>48502</v>
      </c>
      <c r="N1739">
        <v>758</v>
      </c>
    </row>
    <row r="1740" spans="1:14" x14ac:dyDescent="0.35">
      <c r="A1740" t="s">
        <v>1817</v>
      </c>
      <c r="B1740" t="s">
        <v>15</v>
      </c>
      <c r="C1740" t="s">
        <v>16</v>
      </c>
      <c r="D1740">
        <v>138</v>
      </c>
      <c r="E1740" t="s">
        <v>1794</v>
      </c>
      <c r="F1740">
        <v>5419</v>
      </c>
      <c r="G1740" t="s">
        <v>18</v>
      </c>
      <c r="H1740">
        <v>27</v>
      </c>
      <c r="I1740" t="s">
        <v>19</v>
      </c>
      <c r="J1740">
        <v>2010</v>
      </c>
      <c r="K1740">
        <v>2010</v>
      </c>
      <c r="L1740" t="s">
        <v>20</v>
      </c>
      <c r="M1740">
        <v>51901</v>
      </c>
      <c r="N1740">
        <v>758</v>
      </c>
    </row>
    <row r="1741" spans="1:14" x14ac:dyDescent="0.35">
      <c r="A1741" t="s">
        <v>1818</v>
      </c>
      <c r="B1741" t="s">
        <v>15</v>
      </c>
      <c r="C1741" t="s">
        <v>16</v>
      </c>
      <c r="D1741">
        <v>138</v>
      </c>
      <c r="E1741" t="s">
        <v>1794</v>
      </c>
      <c r="F1741">
        <v>5419</v>
      </c>
      <c r="G1741" t="s">
        <v>18</v>
      </c>
      <c r="H1741">
        <v>27</v>
      </c>
      <c r="I1741" t="s">
        <v>19</v>
      </c>
      <c r="J1741">
        <v>2011</v>
      </c>
      <c r="K1741">
        <v>2011</v>
      </c>
      <c r="L1741" t="s">
        <v>20</v>
      </c>
      <c r="M1741">
        <v>50962</v>
      </c>
      <c r="N1741">
        <v>758</v>
      </c>
    </row>
    <row r="1742" spans="1:14" x14ac:dyDescent="0.35">
      <c r="A1742" t="s">
        <v>1819</v>
      </c>
      <c r="B1742" t="s">
        <v>15</v>
      </c>
      <c r="C1742" t="s">
        <v>16</v>
      </c>
      <c r="D1742">
        <v>138</v>
      </c>
      <c r="E1742" t="s">
        <v>1794</v>
      </c>
      <c r="F1742">
        <v>5419</v>
      </c>
      <c r="G1742" t="s">
        <v>18</v>
      </c>
      <c r="H1742">
        <v>27</v>
      </c>
      <c r="I1742" t="s">
        <v>19</v>
      </c>
      <c r="J1742">
        <v>2012</v>
      </c>
      <c r="K1742">
        <v>2012</v>
      </c>
      <c r="L1742" t="s">
        <v>20</v>
      </c>
      <c r="M1742">
        <v>56231</v>
      </c>
      <c r="N1742">
        <v>758</v>
      </c>
    </row>
    <row r="1743" spans="1:14" x14ac:dyDescent="0.35">
      <c r="A1743" t="s">
        <v>1820</v>
      </c>
      <c r="B1743" t="s">
        <v>15</v>
      </c>
      <c r="C1743" t="s">
        <v>16</v>
      </c>
      <c r="D1743">
        <v>138</v>
      </c>
      <c r="E1743" t="s">
        <v>1794</v>
      </c>
      <c r="F1743">
        <v>5419</v>
      </c>
      <c r="G1743" t="s">
        <v>18</v>
      </c>
      <c r="H1743">
        <v>27</v>
      </c>
      <c r="I1743" t="s">
        <v>19</v>
      </c>
      <c r="J1743">
        <v>2013</v>
      </c>
      <c r="K1743">
        <v>2013</v>
      </c>
      <c r="L1743" t="s">
        <v>20</v>
      </c>
      <c r="M1743">
        <v>54252</v>
      </c>
      <c r="N1743">
        <v>758</v>
      </c>
    </row>
    <row r="1744" spans="1:14" x14ac:dyDescent="0.35">
      <c r="A1744" t="s">
        <v>1821</v>
      </c>
      <c r="B1744" t="s">
        <v>15</v>
      </c>
      <c r="C1744" t="s">
        <v>16</v>
      </c>
      <c r="D1744">
        <v>138</v>
      </c>
      <c r="E1744" t="s">
        <v>1794</v>
      </c>
      <c r="F1744">
        <v>5419</v>
      </c>
      <c r="G1744" t="s">
        <v>18</v>
      </c>
      <c r="H1744">
        <v>27</v>
      </c>
      <c r="I1744" t="s">
        <v>19</v>
      </c>
      <c r="J1744">
        <v>2014</v>
      </c>
      <c r="K1744">
        <v>2014</v>
      </c>
      <c r="L1744" t="s">
        <v>20</v>
      </c>
      <c r="M1744">
        <v>57122</v>
      </c>
      <c r="N1744">
        <v>758</v>
      </c>
    </row>
    <row r="1745" spans="1:14" x14ac:dyDescent="0.35">
      <c r="A1745" t="s">
        <v>1822</v>
      </c>
      <c r="B1745" t="s">
        <v>15</v>
      </c>
      <c r="C1745" t="s">
        <v>16</v>
      </c>
      <c r="D1745">
        <v>138</v>
      </c>
      <c r="E1745" t="s">
        <v>1794</v>
      </c>
      <c r="F1745">
        <v>5419</v>
      </c>
      <c r="G1745" t="s">
        <v>18</v>
      </c>
      <c r="H1745">
        <v>27</v>
      </c>
      <c r="I1745" t="s">
        <v>19</v>
      </c>
      <c r="J1745">
        <v>2015</v>
      </c>
      <c r="K1745">
        <v>2015</v>
      </c>
      <c r="L1745" t="s">
        <v>20</v>
      </c>
      <c r="M1745">
        <v>58079</v>
      </c>
      <c r="N1745">
        <v>758</v>
      </c>
    </row>
    <row r="1746" spans="1:14" x14ac:dyDescent="0.35">
      <c r="A1746" t="s">
        <v>1823</v>
      </c>
      <c r="B1746" t="s">
        <v>15</v>
      </c>
      <c r="C1746" t="s">
        <v>16</v>
      </c>
      <c r="D1746">
        <v>138</v>
      </c>
      <c r="E1746" t="s">
        <v>1794</v>
      </c>
      <c r="F1746">
        <v>5419</v>
      </c>
      <c r="G1746" t="s">
        <v>18</v>
      </c>
      <c r="H1746">
        <v>27</v>
      </c>
      <c r="I1746" t="s">
        <v>19</v>
      </c>
      <c r="J1746">
        <v>2016</v>
      </c>
      <c r="K1746">
        <v>2016</v>
      </c>
      <c r="L1746" t="s">
        <v>20</v>
      </c>
      <c r="M1746">
        <v>61346</v>
      </c>
      <c r="N1746">
        <v>758</v>
      </c>
    </row>
    <row r="1747" spans="1:14" x14ac:dyDescent="0.35">
      <c r="A1747" t="s">
        <v>1824</v>
      </c>
      <c r="B1747" t="s">
        <v>15</v>
      </c>
      <c r="C1747" t="s">
        <v>16</v>
      </c>
      <c r="D1747">
        <v>143</v>
      </c>
      <c r="E1747" t="s">
        <v>1825</v>
      </c>
      <c r="F1747">
        <v>5419</v>
      </c>
      <c r="G1747" t="s">
        <v>18</v>
      </c>
      <c r="H1747">
        <v>27</v>
      </c>
      <c r="I1747" t="s">
        <v>19</v>
      </c>
      <c r="J1747">
        <v>1985</v>
      </c>
      <c r="K1747">
        <v>1985</v>
      </c>
      <c r="L1747" t="s">
        <v>20</v>
      </c>
      <c r="M1747">
        <v>28833</v>
      </c>
      <c r="N1747">
        <v>346</v>
      </c>
    </row>
    <row r="1748" spans="1:14" x14ac:dyDescent="0.35">
      <c r="A1748" t="s">
        <v>1826</v>
      </c>
      <c r="B1748" t="s">
        <v>15</v>
      </c>
      <c r="C1748" t="s">
        <v>16</v>
      </c>
      <c r="D1748">
        <v>143</v>
      </c>
      <c r="E1748" t="s">
        <v>1825</v>
      </c>
      <c r="F1748">
        <v>5419</v>
      </c>
      <c r="G1748" t="s">
        <v>18</v>
      </c>
      <c r="H1748">
        <v>27</v>
      </c>
      <c r="I1748" t="s">
        <v>19</v>
      </c>
      <c r="J1748">
        <v>1986</v>
      </c>
      <c r="K1748">
        <v>1986</v>
      </c>
      <c r="L1748" t="s">
        <v>20</v>
      </c>
      <c r="M1748">
        <v>45511</v>
      </c>
      <c r="N1748">
        <v>346</v>
      </c>
    </row>
    <row r="1749" spans="1:14" x14ac:dyDescent="0.35">
      <c r="A1749" t="s">
        <v>1827</v>
      </c>
      <c r="B1749" t="s">
        <v>15</v>
      </c>
      <c r="C1749" t="s">
        <v>16</v>
      </c>
      <c r="D1749">
        <v>143</v>
      </c>
      <c r="E1749" t="s">
        <v>1825</v>
      </c>
      <c r="F1749">
        <v>5419</v>
      </c>
      <c r="G1749" t="s">
        <v>18</v>
      </c>
      <c r="H1749">
        <v>27</v>
      </c>
      <c r="I1749" t="s">
        <v>19</v>
      </c>
      <c r="J1749">
        <v>1987</v>
      </c>
      <c r="K1749">
        <v>1987</v>
      </c>
      <c r="L1749" t="s">
        <v>20</v>
      </c>
      <c r="M1749">
        <v>55000</v>
      </c>
      <c r="N1749">
        <v>346</v>
      </c>
    </row>
    <row r="1750" spans="1:14" x14ac:dyDescent="0.35">
      <c r="A1750" t="s">
        <v>1828</v>
      </c>
      <c r="B1750" t="s">
        <v>15</v>
      </c>
      <c r="C1750" t="s">
        <v>16</v>
      </c>
      <c r="D1750">
        <v>143</v>
      </c>
      <c r="E1750" t="s">
        <v>1825</v>
      </c>
      <c r="F1750">
        <v>5419</v>
      </c>
      <c r="G1750" t="s">
        <v>18</v>
      </c>
      <c r="H1750">
        <v>27</v>
      </c>
      <c r="I1750" t="s">
        <v>19</v>
      </c>
      <c r="J1750">
        <v>1989</v>
      </c>
      <c r="K1750">
        <v>1989</v>
      </c>
      <c r="L1750" t="s">
        <v>20</v>
      </c>
      <c r="M1750">
        <v>63000</v>
      </c>
      <c r="N1750">
        <v>346</v>
      </c>
    </row>
    <row r="1751" spans="1:14" x14ac:dyDescent="0.35">
      <c r="A1751" t="s">
        <v>1829</v>
      </c>
      <c r="B1751" t="s">
        <v>15</v>
      </c>
      <c r="C1751" t="s">
        <v>16</v>
      </c>
      <c r="D1751">
        <v>143</v>
      </c>
      <c r="E1751" t="s">
        <v>1825</v>
      </c>
      <c r="F1751">
        <v>5419</v>
      </c>
      <c r="G1751" t="s">
        <v>18</v>
      </c>
      <c r="H1751">
        <v>27</v>
      </c>
      <c r="I1751" t="s">
        <v>19</v>
      </c>
      <c r="J1751">
        <v>1990</v>
      </c>
      <c r="K1751">
        <v>1990</v>
      </c>
      <c r="L1751" t="s">
        <v>20</v>
      </c>
      <c r="M1751">
        <v>41750</v>
      </c>
      <c r="N1751">
        <v>346</v>
      </c>
    </row>
    <row r="1752" spans="1:14" x14ac:dyDescent="0.35">
      <c r="A1752" t="s">
        <v>1830</v>
      </c>
      <c r="B1752" t="s">
        <v>15</v>
      </c>
      <c r="C1752" t="s">
        <v>16</v>
      </c>
      <c r="D1752">
        <v>143</v>
      </c>
      <c r="E1752" t="s">
        <v>1825</v>
      </c>
      <c r="F1752">
        <v>5419</v>
      </c>
      <c r="G1752" t="s">
        <v>18</v>
      </c>
      <c r="H1752">
        <v>27</v>
      </c>
      <c r="I1752" t="s">
        <v>19</v>
      </c>
      <c r="J1752">
        <v>1991</v>
      </c>
      <c r="K1752">
        <v>1991</v>
      </c>
      <c r="L1752" t="s">
        <v>20</v>
      </c>
      <c r="M1752">
        <v>38406</v>
      </c>
      <c r="N1752">
        <v>346</v>
      </c>
    </row>
    <row r="1753" spans="1:14" x14ac:dyDescent="0.35">
      <c r="A1753" t="s">
        <v>1831</v>
      </c>
      <c r="B1753" t="s">
        <v>15</v>
      </c>
      <c r="C1753" t="s">
        <v>16</v>
      </c>
      <c r="D1753">
        <v>143</v>
      </c>
      <c r="E1753" t="s">
        <v>1825</v>
      </c>
      <c r="F1753">
        <v>5419</v>
      </c>
      <c r="G1753" t="s">
        <v>18</v>
      </c>
      <c r="H1753">
        <v>27</v>
      </c>
      <c r="I1753" t="s">
        <v>19</v>
      </c>
      <c r="J1753">
        <v>1992</v>
      </c>
      <c r="K1753">
        <v>1992</v>
      </c>
      <c r="L1753" t="s">
        <v>20</v>
      </c>
      <c r="M1753">
        <v>30694</v>
      </c>
      <c r="N1753">
        <v>346</v>
      </c>
    </row>
    <row r="1754" spans="1:14" x14ac:dyDescent="0.35">
      <c r="A1754" t="s">
        <v>1832</v>
      </c>
      <c r="B1754" t="s">
        <v>15</v>
      </c>
      <c r="C1754" t="s">
        <v>16</v>
      </c>
      <c r="D1754">
        <v>143</v>
      </c>
      <c r="E1754" t="s">
        <v>1825</v>
      </c>
      <c r="F1754">
        <v>5419</v>
      </c>
      <c r="G1754" t="s">
        <v>18</v>
      </c>
      <c r="H1754">
        <v>27</v>
      </c>
      <c r="I1754" t="s">
        <v>19</v>
      </c>
      <c r="J1754">
        <v>1993</v>
      </c>
      <c r="K1754">
        <v>1993</v>
      </c>
      <c r="L1754" t="s">
        <v>20</v>
      </c>
      <c r="M1754">
        <v>50000</v>
      </c>
      <c r="N1754">
        <v>346</v>
      </c>
    </row>
    <row r="1755" spans="1:14" x14ac:dyDescent="0.35">
      <c r="A1755" t="s">
        <v>1833</v>
      </c>
      <c r="B1755" t="s">
        <v>15</v>
      </c>
      <c r="C1755" t="s">
        <v>16</v>
      </c>
      <c r="D1755">
        <v>143</v>
      </c>
      <c r="E1755" t="s">
        <v>1825</v>
      </c>
      <c r="F1755">
        <v>5419</v>
      </c>
      <c r="G1755" t="s">
        <v>18</v>
      </c>
      <c r="H1755">
        <v>27</v>
      </c>
      <c r="I1755" t="s">
        <v>19</v>
      </c>
      <c r="J1755">
        <v>1994</v>
      </c>
      <c r="K1755">
        <v>1994</v>
      </c>
      <c r="L1755" t="s">
        <v>20</v>
      </c>
      <c r="M1755">
        <v>65000</v>
      </c>
      <c r="N1755">
        <v>346</v>
      </c>
    </row>
    <row r="1756" spans="1:14" x14ac:dyDescent="0.35">
      <c r="A1756" t="s">
        <v>1834</v>
      </c>
      <c r="B1756" t="s">
        <v>15</v>
      </c>
      <c r="C1756" t="s">
        <v>16</v>
      </c>
      <c r="D1756">
        <v>143</v>
      </c>
      <c r="E1756" t="s">
        <v>1825</v>
      </c>
      <c r="F1756">
        <v>5419</v>
      </c>
      <c r="G1756" t="s">
        <v>18</v>
      </c>
      <c r="H1756">
        <v>27</v>
      </c>
      <c r="I1756" t="s">
        <v>19</v>
      </c>
      <c r="J1756">
        <v>1995</v>
      </c>
      <c r="K1756">
        <v>1995</v>
      </c>
      <c r="L1756" t="s">
        <v>20</v>
      </c>
      <c r="M1756">
        <v>49571</v>
      </c>
      <c r="N1756">
        <v>346</v>
      </c>
    </row>
    <row r="1757" spans="1:14" x14ac:dyDescent="0.35">
      <c r="A1757" t="s">
        <v>1835</v>
      </c>
      <c r="B1757" t="s">
        <v>15</v>
      </c>
      <c r="C1757" t="s">
        <v>16</v>
      </c>
      <c r="D1757">
        <v>143</v>
      </c>
      <c r="E1757" t="s">
        <v>1825</v>
      </c>
      <c r="F1757">
        <v>5419</v>
      </c>
      <c r="G1757" t="s">
        <v>18</v>
      </c>
      <c r="H1757">
        <v>27</v>
      </c>
      <c r="I1757" t="s">
        <v>19</v>
      </c>
      <c r="J1757">
        <v>1996</v>
      </c>
      <c r="K1757">
        <v>1996</v>
      </c>
      <c r="L1757" t="s">
        <v>20</v>
      </c>
      <c r="M1757">
        <v>58000</v>
      </c>
      <c r="N1757">
        <v>346</v>
      </c>
    </row>
    <row r="1758" spans="1:14" x14ac:dyDescent="0.35">
      <c r="A1758" t="s">
        <v>1836</v>
      </c>
      <c r="B1758" t="s">
        <v>15</v>
      </c>
      <c r="C1758" t="s">
        <v>16</v>
      </c>
      <c r="D1758">
        <v>143</v>
      </c>
      <c r="E1758" t="s">
        <v>1825</v>
      </c>
      <c r="F1758">
        <v>5419</v>
      </c>
      <c r="G1758" t="s">
        <v>18</v>
      </c>
      <c r="H1758">
        <v>27</v>
      </c>
      <c r="I1758" t="s">
        <v>19</v>
      </c>
      <c r="J1758">
        <v>1997</v>
      </c>
      <c r="K1758">
        <v>1997</v>
      </c>
      <c r="L1758" t="s">
        <v>20</v>
      </c>
      <c r="M1758">
        <v>37256</v>
      </c>
      <c r="N1758">
        <v>346</v>
      </c>
    </row>
    <row r="1759" spans="1:14" x14ac:dyDescent="0.35">
      <c r="A1759" t="s">
        <v>1837</v>
      </c>
      <c r="B1759" t="s">
        <v>15</v>
      </c>
      <c r="C1759" t="s">
        <v>16</v>
      </c>
      <c r="D1759">
        <v>143</v>
      </c>
      <c r="E1759" t="s">
        <v>1825</v>
      </c>
      <c r="F1759">
        <v>5419</v>
      </c>
      <c r="G1759" t="s">
        <v>18</v>
      </c>
      <c r="H1759">
        <v>27</v>
      </c>
      <c r="I1759" t="s">
        <v>19</v>
      </c>
      <c r="J1759">
        <v>1998</v>
      </c>
      <c r="K1759">
        <v>1998</v>
      </c>
      <c r="L1759" t="s">
        <v>20</v>
      </c>
      <c r="M1759">
        <v>54108</v>
      </c>
      <c r="N1759">
        <v>346</v>
      </c>
    </row>
    <row r="1760" spans="1:14" x14ac:dyDescent="0.35">
      <c r="A1760" t="s">
        <v>1838</v>
      </c>
      <c r="B1760" t="s">
        <v>15</v>
      </c>
      <c r="C1760" t="s">
        <v>16</v>
      </c>
      <c r="D1760">
        <v>143</v>
      </c>
      <c r="E1760" t="s">
        <v>1825</v>
      </c>
      <c r="F1760">
        <v>5419</v>
      </c>
      <c r="G1760" t="s">
        <v>18</v>
      </c>
      <c r="H1760">
        <v>27</v>
      </c>
      <c r="I1760" t="s">
        <v>19</v>
      </c>
      <c r="J1760">
        <v>1999</v>
      </c>
      <c r="K1760">
        <v>1999</v>
      </c>
      <c r="L1760" t="s">
        <v>20</v>
      </c>
      <c r="M1760">
        <v>45000</v>
      </c>
      <c r="N1760">
        <v>346</v>
      </c>
    </row>
    <row r="1761" spans="1:14" x14ac:dyDescent="0.35">
      <c r="A1761" t="s">
        <v>1839</v>
      </c>
      <c r="B1761" t="s">
        <v>15</v>
      </c>
      <c r="C1761" t="s">
        <v>16</v>
      </c>
      <c r="D1761">
        <v>143</v>
      </c>
      <c r="E1761" t="s">
        <v>1825</v>
      </c>
      <c r="F1761">
        <v>5419</v>
      </c>
      <c r="G1761" t="s">
        <v>18</v>
      </c>
      <c r="H1761">
        <v>27</v>
      </c>
      <c r="I1761" t="s">
        <v>19</v>
      </c>
      <c r="J1761">
        <v>2000</v>
      </c>
      <c r="K1761">
        <v>2000</v>
      </c>
      <c r="L1761" t="s">
        <v>20</v>
      </c>
      <c r="M1761">
        <v>45000</v>
      </c>
      <c r="N1761">
        <v>346</v>
      </c>
    </row>
    <row r="1762" spans="1:14" x14ac:dyDescent="0.35">
      <c r="A1762" t="s">
        <v>1840</v>
      </c>
      <c r="B1762" t="s">
        <v>15</v>
      </c>
      <c r="C1762" t="s">
        <v>16</v>
      </c>
      <c r="D1762">
        <v>143</v>
      </c>
      <c r="E1762" t="s">
        <v>1825</v>
      </c>
      <c r="F1762">
        <v>5419</v>
      </c>
      <c r="G1762" t="s">
        <v>18</v>
      </c>
      <c r="H1762">
        <v>27</v>
      </c>
      <c r="I1762" t="s">
        <v>19</v>
      </c>
      <c r="J1762">
        <v>2001</v>
      </c>
      <c r="K1762">
        <v>2001</v>
      </c>
      <c r="L1762" t="s">
        <v>20</v>
      </c>
      <c r="M1762">
        <v>52773</v>
      </c>
      <c r="N1762">
        <v>346</v>
      </c>
    </row>
    <row r="1763" spans="1:14" x14ac:dyDescent="0.35">
      <c r="A1763" t="s">
        <v>1841</v>
      </c>
      <c r="B1763" t="s">
        <v>15</v>
      </c>
      <c r="C1763" t="s">
        <v>16</v>
      </c>
      <c r="D1763">
        <v>143</v>
      </c>
      <c r="E1763" t="s">
        <v>1825</v>
      </c>
      <c r="F1763">
        <v>5419</v>
      </c>
      <c r="G1763" t="s">
        <v>18</v>
      </c>
      <c r="H1763">
        <v>27</v>
      </c>
      <c r="I1763" t="s">
        <v>19</v>
      </c>
      <c r="J1763">
        <v>2002</v>
      </c>
      <c r="K1763">
        <v>2002</v>
      </c>
      <c r="L1763" t="s">
        <v>20</v>
      </c>
      <c r="M1763">
        <v>41453</v>
      </c>
      <c r="N1763">
        <v>346</v>
      </c>
    </row>
    <row r="1764" spans="1:14" x14ac:dyDescent="0.35">
      <c r="A1764" t="s">
        <v>1842</v>
      </c>
      <c r="B1764" t="s">
        <v>15</v>
      </c>
      <c r="C1764" t="s">
        <v>16</v>
      </c>
      <c r="D1764">
        <v>143</v>
      </c>
      <c r="E1764" t="s">
        <v>1825</v>
      </c>
      <c r="F1764">
        <v>5419</v>
      </c>
      <c r="G1764" t="s">
        <v>18</v>
      </c>
      <c r="H1764">
        <v>27</v>
      </c>
      <c r="I1764" t="s">
        <v>19</v>
      </c>
      <c r="J1764">
        <v>2004</v>
      </c>
      <c r="K1764">
        <v>2004</v>
      </c>
      <c r="L1764" t="s">
        <v>20</v>
      </c>
      <c r="M1764">
        <v>67045</v>
      </c>
      <c r="N1764">
        <v>346</v>
      </c>
    </row>
    <row r="1765" spans="1:14" x14ac:dyDescent="0.35">
      <c r="A1765" t="s">
        <v>1843</v>
      </c>
      <c r="B1765" t="s">
        <v>15</v>
      </c>
      <c r="C1765" t="s">
        <v>16</v>
      </c>
      <c r="D1765">
        <v>143</v>
      </c>
      <c r="E1765" t="s">
        <v>1825</v>
      </c>
      <c r="F1765">
        <v>5419</v>
      </c>
      <c r="G1765" t="s">
        <v>18</v>
      </c>
      <c r="H1765">
        <v>27</v>
      </c>
      <c r="I1765" t="s">
        <v>19</v>
      </c>
      <c r="J1765">
        <v>2005</v>
      </c>
      <c r="K1765">
        <v>2005</v>
      </c>
      <c r="L1765" t="s">
        <v>20</v>
      </c>
      <c r="M1765">
        <v>68000</v>
      </c>
      <c r="N1765">
        <v>346</v>
      </c>
    </row>
    <row r="1766" spans="1:14" x14ac:dyDescent="0.35">
      <c r="A1766" t="s">
        <v>1844</v>
      </c>
      <c r="B1766" t="s">
        <v>15</v>
      </c>
      <c r="C1766" t="s">
        <v>16</v>
      </c>
      <c r="D1766">
        <v>143</v>
      </c>
      <c r="E1766" t="s">
        <v>1825</v>
      </c>
      <c r="F1766">
        <v>5419</v>
      </c>
      <c r="G1766" t="s">
        <v>18</v>
      </c>
      <c r="H1766">
        <v>27</v>
      </c>
      <c r="I1766" t="s">
        <v>19</v>
      </c>
      <c r="J1766">
        <v>2006</v>
      </c>
      <c r="K1766">
        <v>2006</v>
      </c>
      <c r="L1766" t="s">
        <v>20</v>
      </c>
      <c r="M1766">
        <v>68000</v>
      </c>
      <c r="N1766">
        <v>346</v>
      </c>
    </row>
    <row r="1767" spans="1:14" x14ac:dyDescent="0.35">
      <c r="A1767" t="s">
        <v>1845</v>
      </c>
      <c r="B1767" t="s">
        <v>15</v>
      </c>
      <c r="C1767" t="s">
        <v>16</v>
      </c>
      <c r="D1767">
        <v>143</v>
      </c>
      <c r="E1767" t="s">
        <v>1825</v>
      </c>
      <c r="F1767">
        <v>5419</v>
      </c>
      <c r="G1767" t="s">
        <v>18</v>
      </c>
      <c r="H1767">
        <v>27</v>
      </c>
      <c r="I1767" t="s">
        <v>19</v>
      </c>
      <c r="J1767">
        <v>2007</v>
      </c>
      <c r="K1767">
        <v>2007</v>
      </c>
      <c r="L1767" t="s">
        <v>20</v>
      </c>
      <c r="M1767">
        <v>73667</v>
      </c>
      <c r="N1767">
        <v>346</v>
      </c>
    </row>
    <row r="1768" spans="1:14" x14ac:dyDescent="0.35">
      <c r="A1768" t="s">
        <v>1846</v>
      </c>
      <c r="B1768" t="s">
        <v>15</v>
      </c>
      <c r="C1768" t="s">
        <v>16</v>
      </c>
      <c r="D1768">
        <v>143</v>
      </c>
      <c r="E1768" t="s">
        <v>1825</v>
      </c>
      <c r="F1768">
        <v>5419</v>
      </c>
      <c r="G1768" t="s">
        <v>18</v>
      </c>
      <c r="H1768">
        <v>27</v>
      </c>
      <c r="I1768" t="s">
        <v>19</v>
      </c>
      <c r="J1768">
        <v>2008</v>
      </c>
      <c r="K1768">
        <v>2008</v>
      </c>
      <c r="L1768" t="s">
        <v>20</v>
      </c>
      <c r="M1768">
        <v>69563</v>
      </c>
      <c r="N1768">
        <v>346</v>
      </c>
    </row>
    <row r="1769" spans="1:14" x14ac:dyDescent="0.35">
      <c r="A1769" t="s">
        <v>1847</v>
      </c>
      <c r="B1769" t="s">
        <v>15</v>
      </c>
      <c r="C1769" t="s">
        <v>16</v>
      </c>
      <c r="D1769">
        <v>143</v>
      </c>
      <c r="E1769" t="s">
        <v>1825</v>
      </c>
      <c r="F1769">
        <v>5419</v>
      </c>
      <c r="G1769" t="s">
        <v>18</v>
      </c>
      <c r="H1769">
        <v>27</v>
      </c>
      <c r="I1769" t="s">
        <v>19</v>
      </c>
      <c r="J1769">
        <v>2009</v>
      </c>
      <c r="K1769">
        <v>2009</v>
      </c>
      <c r="L1769" t="s">
        <v>20</v>
      </c>
      <c r="M1769">
        <v>64154</v>
      </c>
      <c r="N1769">
        <v>346</v>
      </c>
    </row>
    <row r="1770" spans="1:14" x14ac:dyDescent="0.35">
      <c r="A1770" t="s">
        <v>1848</v>
      </c>
      <c r="B1770" t="s">
        <v>15</v>
      </c>
      <c r="C1770" t="s">
        <v>16</v>
      </c>
      <c r="D1770">
        <v>143</v>
      </c>
      <c r="E1770" t="s">
        <v>1825</v>
      </c>
      <c r="F1770">
        <v>5419</v>
      </c>
      <c r="G1770" t="s">
        <v>18</v>
      </c>
      <c r="H1770">
        <v>27</v>
      </c>
      <c r="I1770" t="s">
        <v>19</v>
      </c>
      <c r="J1770">
        <v>2010</v>
      </c>
      <c r="K1770">
        <v>2010</v>
      </c>
      <c r="L1770" t="s">
        <v>20</v>
      </c>
      <c r="M1770">
        <v>68270</v>
      </c>
      <c r="N1770">
        <v>346</v>
      </c>
    </row>
    <row r="1771" spans="1:14" x14ac:dyDescent="0.35">
      <c r="A1771" t="s">
        <v>1849</v>
      </c>
      <c r="B1771" t="s">
        <v>15</v>
      </c>
      <c r="C1771" t="s">
        <v>16</v>
      </c>
      <c r="D1771">
        <v>143</v>
      </c>
      <c r="E1771" t="s">
        <v>1825</v>
      </c>
      <c r="F1771">
        <v>5419</v>
      </c>
      <c r="G1771" t="s">
        <v>18</v>
      </c>
      <c r="H1771">
        <v>27</v>
      </c>
      <c r="I1771" t="s">
        <v>19</v>
      </c>
      <c r="J1771">
        <v>2011</v>
      </c>
      <c r="K1771">
        <v>2011</v>
      </c>
      <c r="L1771" t="s">
        <v>20</v>
      </c>
      <c r="M1771">
        <v>70236</v>
      </c>
      <c r="N1771">
        <v>346</v>
      </c>
    </row>
    <row r="1772" spans="1:14" x14ac:dyDescent="0.35">
      <c r="A1772" t="s">
        <v>1850</v>
      </c>
      <c r="B1772" t="s">
        <v>15</v>
      </c>
      <c r="C1772" t="s">
        <v>16</v>
      </c>
      <c r="D1772">
        <v>143</v>
      </c>
      <c r="E1772" t="s">
        <v>1825</v>
      </c>
      <c r="F1772">
        <v>5419</v>
      </c>
      <c r="G1772" t="s">
        <v>18</v>
      </c>
      <c r="H1772">
        <v>27</v>
      </c>
      <c r="I1772" t="s">
        <v>19</v>
      </c>
      <c r="J1772">
        <v>2012</v>
      </c>
      <c r="K1772">
        <v>2012</v>
      </c>
      <c r="L1772" t="s">
        <v>20</v>
      </c>
      <c r="M1772">
        <v>76015</v>
      </c>
      <c r="N1772">
        <v>346</v>
      </c>
    </row>
    <row r="1773" spans="1:14" x14ac:dyDescent="0.35">
      <c r="A1773" t="s">
        <v>1851</v>
      </c>
      <c r="B1773" t="s">
        <v>15</v>
      </c>
      <c r="C1773" t="s">
        <v>16</v>
      </c>
      <c r="D1773">
        <v>143</v>
      </c>
      <c r="E1773" t="s">
        <v>1825</v>
      </c>
      <c r="F1773">
        <v>5419</v>
      </c>
      <c r="G1773" t="s">
        <v>18</v>
      </c>
      <c r="H1773">
        <v>27</v>
      </c>
      <c r="I1773" t="s">
        <v>19</v>
      </c>
      <c r="J1773">
        <v>2013</v>
      </c>
      <c r="K1773">
        <v>2013</v>
      </c>
      <c r="L1773" t="s">
        <v>20</v>
      </c>
      <c r="M1773">
        <v>75433</v>
      </c>
      <c r="N1773">
        <v>346</v>
      </c>
    </row>
    <row r="1774" spans="1:14" x14ac:dyDescent="0.35">
      <c r="A1774" t="s">
        <v>1852</v>
      </c>
      <c r="B1774" t="s">
        <v>15</v>
      </c>
      <c r="C1774" t="s">
        <v>16</v>
      </c>
      <c r="D1774">
        <v>143</v>
      </c>
      <c r="E1774" t="s">
        <v>1825</v>
      </c>
      <c r="F1774">
        <v>5419</v>
      </c>
      <c r="G1774" t="s">
        <v>18</v>
      </c>
      <c r="H1774">
        <v>27</v>
      </c>
      <c r="I1774" t="s">
        <v>19</v>
      </c>
      <c r="J1774">
        <v>2014</v>
      </c>
      <c r="K1774">
        <v>2014</v>
      </c>
      <c r="L1774" t="s">
        <v>20</v>
      </c>
      <c r="M1774">
        <v>75000</v>
      </c>
      <c r="N1774">
        <v>346</v>
      </c>
    </row>
    <row r="1775" spans="1:14" x14ac:dyDescent="0.35">
      <c r="A1775" t="s">
        <v>1853</v>
      </c>
      <c r="B1775" t="s">
        <v>15</v>
      </c>
      <c r="C1775" t="s">
        <v>16</v>
      </c>
      <c r="D1775">
        <v>143</v>
      </c>
      <c r="E1775" t="s">
        <v>1825</v>
      </c>
      <c r="F1775">
        <v>5419</v>
      </c>
      <c r="G1775" t="s">
        <v>18</v>
      </c>
      <c r="H1775">
        <v>27</v>
      </c>
      <c r="I1775" t="s">
        <v>19</v>
      </c>
      <c r="J1775">
        <v>2015</v>
      </c>
      <c r="K1775">
        <v>2015</v>
      </c>
      <c r="L1775" t="s">
        <v>20</v>
      </c>
      <c r="M1775">
        <v>76173</v>
      </c>
      <c r="N1775">
        <v>346</v>
      </c>
    </row>
    <row r="1776" spans="1:14" x14ac:dyDescent="0.35">
      <c r="A1776" t="s">
        <v>1854</v>
      </c>
      <c r="B1776" t="s">
        <v>15</v>
      </c>
      <c r="C1776" t="s">
        <v>16</v>
      </c>
      <c r="D1776">
        <v>143</v>
      </c>
      <c r="E1776" t="s">
        <v>1825</v>
      </c>
      <c r="F1776">
        <v>5419</v>
      </c>
      <c r="G1776" t="s">
        <v>18</v>
      </c>
      <c r="H1776">
        <v>27</v>
      </c>
      <c r="I1776" t="s">
        <v>19</v>
      </c>
      <c r="J1776">
        <v>2016</v>
      </c>
      <c r="K1776">
        <v>2016</v>
      </c>
      <c r="L1776" t="s">
        <v>20</v>
      </c>
      <c r="M1776">
        <v>70881</v>
      </c>
      <c r="N1776">
        <v>346</v>
      </c>
    </row>
    <row r="1777" spans="1:14" x14ac:dyDescent="0.35">
      <c r="A1777" t="s">
        <v>1855</v>
      </c>
      <c r="B1777" t="s">
        <v>15</v>
      </c>
      <c r="C1777" t="s">
        <v>16</v>
      </c>
      <c r="D1777">
        <v>144</v>
      </c>
      <c r="E1777" t="s">
        <v>1856</v>
      </c>
      <c r="F1777">
        <v>5419</v>
      </c>
      <c r="G1777" t="s">
        <v>18</v>
      </c>
      <c r="H1777">
        <v>27</v>
      </c>
      <c r="I1777" t="s">
        <v>19</v>
      </c>
      <c r="J1777">
        <v>1985</v>
      </c>
      <c r="K1777">
        <v>1985</v>
      </c>
      <c r="L1777" t="s">
        <v>20</v>
      </c>
      <c r="M1777">
        <v>8600</v>
      </c>
      <c r="N1777">
        <v>1032</v>
      </c>
    </row>
    <row r="1778" spans="1:14" x14ac:dyDescent="0.35">
      <c r="A1778" t="s">
        <v>1857</v>
      </c>
      <c r="B1778" t="s">
        <v>15</v>
      </c>
      <c r="C1778" t="s">
        <v>16</v>
      </c>
      <c r="D1778">
        <v>144</v>
      </c>
      <c r="E1778" t="s">
        <v>1856</v>
      </c>
      <c r="F1778">
        <v>5419</v>
      </c>
      <c r="G1778" t="s">
        <v>18</v>
      </c>
      <c r="H1778">
        <v>27</v>
      </c>
      <c r="I1778" t="s">
        <v>19</v>
      </c>
      <c r="J1778">
        <v>1986</v>
      </c>
      <c r="K1778">
        <v>1986</v>
      </c>
      <c r="L1778" t="s">
        <v>20</v>
      </c>
      <c r="M1778">
        <v>9300</v>
      </c>
      <c r="N1778">
        <v>1032</v>
      </c>
    </row>
    <row r="1779" spans="1:14" x14ac:dyDescent="0.35">
      <c r="A1779" t="s">
        <v>1858</v>
      </c>
      <c r="B1779" t="s">
        <v>15</v>
      </c>
      <c r="C1779" t="s">
        <v>16</v>
      </c>
      <c r="D1779">
        <v>144</v>
      </c>
      <c r="E1779" t="s">
        <v>1856</v>
      </c>
      <c r="F1779">
        <v>5419</v>
      </c>
      <c r="G1779" t="s">
        <v>18</v>
      </c>
      <c r="H1779">
        <v>27</v>
      </c>
      <c r="I1779" t="s">
        <v>19</v>
      </c>
      <c r="J1779">
        <v>1987</v>
      </c>
      <c r="K1779">
        <v>1987</v>
      </c>
      <c r="L1779" t="s">
        <v>20</v>
      </c>
      <c r="M1779">
        <v>8571</v>
      </c>
      <c r="N1779">
        <v>1032</v>
      </c>
    </row>
    <row r="1780" spans="1:14" x14ac:dyDescent="0.35">
      <c r="A1780" t="s">
        <v>1859</v>
      </c>
      <c r="B1780" t="s">
        <v>15</v>
      </c>
      <c r="C1780" t="s">
        <v>16</v>
      </c>
      <c r="D1780">
        <v>144</v>
      </c>
      <c r="E1780" t="s">
        <v>1856</v>
      </c>
      <c r="F1780">
        <v>5419</v>
      </c>
      <c r="G1780" t="s">
        <v>18</v>
      </c>
      <c r="H1780">
        <v>27</v>
      </c>
      <c r="I1780" t="s">
        <v>19</v>
      </c>
      <c r="J1780">
        <v>1989</v>
      </c>
      <c r="K1780">
        <v>1989</v>
      </c>
      <c r="L1780" t="s">
        <v>20</v>
      </c>
      <c r="M1780">
        <v>8636</v>
      </c>
      <c r="N1780">
        <v>1032</v>
      </c>
    </row>
    <row r="1781" spans="1:14" x14ac:dyDescent="0.35">
      <c r="A1781" t="s">
        <v>1860</v>
      </c>
      <c r="B1781" t="s">
        <v>15</v>
      </c>
      <c r="C1781" t="s">
        <v>16</v>
      </c>
      <c r="D1781">
        <v>144</v>
      </c>
      <c r="E1781" t="s">
        <v>1856</v>
      </c>
      <c r="F1781">
        <v>5419</v>
      </c>
      <c r="G1781" t="s">
        <v>18</v>
      </c>
      <c r="H1781">
        <v>27</v>
      </c>
      <c r="I1781" t="s">
        <v>19</v>
      </c>
      <c r="J1781">
        <v>1990</v>
      </c>
      <c r="K1781">
        <v>1990</v>
      </c>
      <c r="L1781" t="s">
        <v>20</v>
      </c>
      <c r="M1781">
        <v>8747</v>
      </c>
      <c r="N1781">
        <v>1032</v>
      </c>
    </row>
    <row r="1782" spans="1:14" x14ac:dyDescent="0.35">
      <c r="A1782" t="s">
        <v>1861</v>
      </c>
      <c r="B1782" t="s">
        <v>15</v>
      </c>
      <c r="C1782" t="s">
        <v>16</v>
      </c>
      <c r="D1782">
        <v>144</v>
      </c>
      <c r="E1782" t="s">
        <v>1856</v>
      </c>
      <c r="F1782">
        <v>5419</v>
      </c>
      <c r="G1782" t="s">
        <v>18</v>
      </c>
      <c r="H1782">
        <v>27</v>
      </c>
      <c r="I1782" t="s">
        <v>19</v>
      </c>
      <c r="J1782">
        <v>1991</v>
      </c>
      <c r="K1782">
        <v>1991</v>
      </c>
      <c r="L1782" t="s">
        <v>20</v>
      </c>
      <c r="M1782">
        <v>5290</v>
      </c>
      <c r="N1782">
        <v>1032</v>
      </c>
    </row>
    <row r="1783" spans="1:14" x14ac:dyDescent="0.35">
      <c r="A1783" t="s">
        <v>1862</v>
      </c>
      <c r="B1783" t="s">
        <v>15</v>
      </c>
      <c r="C1783" t="s">
        <v>16</v>
      </c>
      <c r="D1783">
        <v>144</v>
      </c>
      <c r="E1783" t="s">
        <v>1856</v>
      </c>
      <c r="F1783">
        <v>5419</v>
      </c>
      <c r="G1783" t="s">
        <v>18</v>
      </c>
      <c r="H1783">
        <v>27</v>
      </c>
      <c r="I1783" t="s">
        <v>19</v>
      </c>
      <c r="J1783">
        <v>1992</v>
      </c>
      <c r="K1783">
        <v>1992</v>
      </c>
      <c r="L1783" t="s">
        <v>20</v>
      </c>
      <c r="M1783">
        <v>2988</v>
      </c>
      <c r="N1783">
        <v>1032</v>
      </c>
    </row>
    <row r="1784" spans="1:14" x14ac:dyDescent="0.35">
      <c r="A1784" t="s">
        <v>1863</v>
      </c>
      <c r="B1784" t="s">
        <v>15</v>
      </c>
      <c r="C1784" t="s">
        <v>16</v>
      </c>
      <c r="D1784">
        <v>144</v>
      </c>
      <c r="E1784" t="s">
        <v>1856</v>
      </c>
      <c r="F1784">
        <v>5419</v>
      </c>
      <c r="G1784" t="s">
        <v>18</v>
      </c>
      <c r="H1784">
        <v>27</v>
      </c>
      <c r="I1784" t="s">
        <v>19</v>
      </c>
      <c r="J1784">
        <v>1993</v>
      </c>
      <c r="K1784">
        <v>1993</v>
      </c>
      <c r="L1784" t="s">
        <v>20</v>
      </c>
      <c r="M1784">
        <v>6225</v>
      </c>
      <c r="N1784">
        <v>1032</v>
      </c>
    </row>
    <row r="1785" spans="1:14" x14ac:dyDescent="0.35">
      <c r="A1785" t="s">
        <v>1864</v>
      </c>
      <c r="B1785" t="s">
        <v>15</v>
      </c>
      <c r="C1785" t="s">
        <v>16</v>
      </c>
      <c r="D1785">
        <v>144</v>
      </c>
      <c r="E1785" t="s">
        <v>1856</v>
      </c>
      <c r="F1785">
        <v>5419</v>
      </c>
      <c r="G1785" t="s">
        <v>18</v>
      </c>
      <c r="H1785">
        <v>27</v>
      </c>
      <c r="I1785" t="s">
        <v>19</v>
      </c>
      <c r="J1785">
        <v>1994</v>
      </c>
      <c r="K1785">
        <v>1994</v>
      </c>
      <c r="L1785" t="s">
        <v>20</v>
      </c>
      <c r="M1785">
        <v>8345</v>
      </c>
      <c r="N1785">
        <v>1032</v>
      </c>
    </row>
    <row r="1786" spans="1:14" x14ac:dyDescent="0.35">
      <c r="A1786" t="s">
        <v>1865</v>
      </c>
      <c r="B1786" t="s">
        <v>15</v>
      </c>
      <c r="C1786" t="s">
        <v>16</v>
      </c>
      <c r="D1786">
        <v>144</v>
      </c>
      <c r="E1786" t="s">
        <v>1856</v>
      </c>
      <c r="F1786">
        <v>5419</v>
      </c>
      <c r="G1786" t="s">
        <v>18</v>
      </c>
      <c r="H1786">
        <v>27</v>
      </c>
      <c r="I1786" t="s">
        <v>19</v>
      </c>
      <c r="J1786">
        <v>1995</v>
      </c>
      <c r="K1786">
        <v>1995</v>
      </c>
      <c r="L1786" t="s">
        <v>20</v>
      </c>
      <c r="M1786">
        <v>8717</v>
      </c>
      <c r="N1786">
        <v>1032</v>
      </c>
    </row>
    <row r="1787" spans="1:14" x14ac:dyDescent="0.35">
      <c r="A1787" t="s">
        <v>1866</v>
      </c>
      <c r="B1787" t="s">
        <v>15</v>
      </c>
      <c r="C1787" t="s">
        <v>16</v>
      </c>
      <c r="D1787">
        <v>144</v>
      </c>
      <c r="E1787" t="s">
        <v>1856</v>
      </c>
      <c r="F1787">
        <v>5419</v>
      </c>
      <c r="G1787" t="s">
        <v>18</v>
      </c>
      <c r="H1787">
        <v>27</v>
      </c>
      <c r="I1787" t="s">
        <v>19</v>
      </c>
      <c r="J1787">
        <v>1996</v>
      </c>
      <c r="K1787">
        <v>1996</v>
      </c>
      <c r="L1787" t="s">
        <v>20</v>
      </c>
      <c r="M1787">
        <v>9653</v>
      </c>
      <c r="N1787">
        <v>1032</v>
      </c>
    </row>
    <row r="1788" spans="1:14" x14ac:dyDescent="0.35">
      <c r="A1788" t="s">
        <v>1867</v>
      </c>
      <c r="B1788" t="s">
        <v>15</v>
      </c>
      <c r="C1788" t="s">
        <v>16</v>
      </c>
      <c r="D1788">
        <v>144</v>
      </c>
      <c r="E1788" t="s">
        <v>1856</v>
      </c>
      <c r="F1788">
        <v>5419</v>
      </c>
      <c r="G1788" t="s">
        <v>18</v>
      </c>
      <c r="H1788">
        <v>27</v>
      </c>
      <c r="I1788" t="s">
        <v>19</v>
      </c>
      <c r="J1788">
        <v>1997</v>
      </c>
      <c r="K1788">
        <v>1997</v>
      </c>
      <c r="L1788" t="s">
        <v>20</v>
      </c>
      <c r="M1788">
        <v>10904</v>
      </c>
      <c r="N1788">
        <v>1032</v>
      </c>
    </row>
    <row r="1789" spans="1:14" x14ac:dyDescent="0.35">
      <c r="A1789" t="s">
        <v>1868</v>
      </c>
      <c r="B1789" t="s">
        <v>15</v>
      </c>
      <c r="C1789" t="s">
        <v>16</v>
      </c>
      <c r="D1789">
        <v>144</v>
      </c>
      <c r="E1789" t="s">
        <v>1856</v>
      </c>
      <c r="F1789">
        <v>5419</v>
      </c>
      <c r="G1789" t="s">
        <v>18</v>
      </c>
      <c r="H1789">
        <v>27</v>
      </c>
      <c r="I1789" t="s">
        <v>19</v>
      </c>
      <c r="J1789">
        <v>1998</v>
      </c>
      <c r="K1789">
        <v>1998</v>
      </c>
      <c r="L1789" t="s">
        <v>20</v>
      </c>
      <c r="M1789">
        <v>10552</v>
      </c>
      <c r="N1789">
        <v>1032</v>
      </c>
    </row>
    <row r="1790" spans="1:14" x14ac:dyDescent="0.35">
      <c r="A1790" t="s">
        <v>1869</v>
      </c>
      <c r="B1790" t="s">
        <v>15</v>
      </c>
      <c r="C1790" t="s">
        <v>16</v>
      </c>
      <c r="D1790">
        <v>144</v>
      </c>
      <c r="E1790" t="s">
        <v>1856</v>
      </c>
      <c r="F1790">
        <v>5419</v>
      </c>
      <c r="G1790" t="s">
        <v>18</v>
      </c>
      <c r="H1790">
        <v>27</v>
      </c>
      <c r="I1790" t="s">
        <v>19</v>
      </c>
      <c r="J1790">
        <v>1999</v>
      </c>
      <c r="K1790">
        <v>1999</v>
      </c>
      <c r="L1790" t="s">
        <v>20</v>
      </c>
      <c r="M1790">
        <v>10000</v>
      </c>
      <c r="N1790">
        <v>1032</v>
      </c>
    </row>
    <row r="1791" spans="1:14" x14ac:dyDescent="0.35">
      <c r="A1791" t="s">
        <v>1870</v>
      </c>
      <c r="B1791" t="s">
        <v>15</v>
      </c>
      <c r="C1791" t="s">
        <v>16</v>
      </c>
      <c r="D1791">
        <v>144</v>
      </c>
      <c r="E1791" t="s">
        <v>1856</v>
      </c>
      <c r="F1791">
        <v>5419</v>
      </c>
      <c r="G1791" t="s">
        <v>18</v>
      </c>
      <c r="H1791">
        <v>27</v>
      </c>
      <c r="I1791" t="s">
        <v>19</v>
      </c>
      <c r="J1791">
        <v>2000</v>
      </c>
      <c r="K1791">
        <v>2000</v>
      </c>
      <c r="L1791" t="s">
        <v>20</v>
      </c>
      <c r="M1791">
        <v>9816</v>
      </c>
      <c r="N1791">
        <v>1032</v>
      </c>
    </row>
    <row r="1792" spans="1:14" x14ac:dyDescent="0.35">
      <c r="A1792" t="s">
        <v>1871</v>
      </c>
      <c r="B1792" t="s">
        <v>15</v>
      </c>
      <c r="C1792" t="s">
        <v>16</v>
      </c>
      <c r="D1792">
        <v>144</v>
      </c>
      <c r="E1792" t="s">
        <v>1856</v>
      </c>
      <c r="F1792">
        <v>5419</v>
      </c>
      <c r="G1792" t="s">
        <v>18</v>
      </c>
      <c r="H1792">
        <v>27</v>
      </c>
      <c r="I1792" t="s">
        <v>19</v>
      </c>
      <c r="J1792">
        <v>2001</v>
      </c>
      <c r="K1792">
        <v>2001</v>
      </c>
      <c r="L1792" t="s">
        <v>20</v>
      </c>
      <c r="M1792">
        <v>9582</v>
      </c>
      <c r="N1792">
        <v>1032</v>
      </c>
    </row>
    <row r="1793" spans="1:14" x14ac:dyDescent="0.35">
      <c r="A1793" t="s">
        <v>1872</v>
      </c>
      <c r="B1793" t="s">
        <v>15</v>
      </c>
      <c r="C1793" t="s">
        <v>16</v>
      </c>
      <c r="D1793">
        <v>144</v>
      </c>
      <c r="E1793" t="s">
        <v>1856</v>
      </c>
      <c r="F1793">
        <v>5419</v>
      </c>
      <c r="G1793" t="s">
        <v>18</v>
      </c>
      <c r="H1793">
        <v>27</v>
      </c>
      <c r="I1793" t="s">
        <v>19</v>
      </c>
      <c r="J1793">
        <v>2002</v>
      </c>
      <c r="K1793">
        <v>2002</v>
      </c>
      <c r="L1793" t="s">
        <v>20</v>
      </c>
      <c r="M1793">
        <v>2789</v>
      </c>
      <c r="N1793">
        <v>1032</v>
      </c>
    </row>
    <row r="1794" spans="1:14" x14ac:dyDescent="0.35">
      <c r="A1794" t="s">
        <v>1873</v>
      </c>
      <c r="B1794" t="s">
        <v>15</v>
      </c>
      <c r="C1794" t="s">
        <v>16</v>
      </c>
      <c r="D1794">
        <v>144</v>
      </c>
      <c r="E1794" t="s">
        <v>1856</v>
      </c>
      <c r="F1794">
        <v>5419</v>
      </c>
      <c r="G1794" t="s">
        <v>18</v>
      </c>
      <c r="H1794">
        <v>27</v>
      </c>
      <c r="I1794" t="s">
        <v>19</v>
      </c>
      <c r="J1794">
        <v>2004</v>
      </c>
      <c r="K1794">
        <v>2004</v>
      </c>
      <c r="L1794" t="s">
        <v>20</v>
      </c>
      <c r="M1794">
        <v>9604</v>
      </c>
      <c r="N1794">
        <v>1032</v>
      </c>
    </row>
    <row r="1795" spans="1:14" x14ac:dyDescent="0.35">
      <c r="A1795" t="s">
        <v>1874</v>
      </c>
      <c r="B1795" t="s">
        <v>15</v>
      </c>
      <c r="C1795" t="s">
        <v>16</v>
      </c>
      <c r="D1795">
        <v>144</v>
      </c>
      <c r="E1795" t="s">
        <v>1856</v>
      </c>
      <c r="F1795">
        <v>5419</v>
      </c>
      <c r="G1795" t="s">
        <v>18</v>
      </c>
      <c r="H1795">
        <v>27</v>
      </c>
      <c r="I1795" t="s">
        <v>19</v>
      </c>
      <c r="J1795">
        <v>2005</v>
      </c>
      <c r="K1795">
        <v>2005</v>
      </c>
      <c r="L1795" t="s">
        <v>20</v>
      </c>
      <c r="M1795">
        <v>2034</v>
      </c>
      <c r="N1795">
        <v>1032</v>
      </c>
    </row>
    <row r="1796" spans="1:14" x14ac:dyDescent="0.35">
      <c r="A1796" t="s">
        <v>1875</v>
      </c>
      <c r="B1796" t="s">
        <v>15</v>
      </c>
      <c r="C1796" t="s">
        <v>16</v>
      </c>
      <c r="D1796">
        <v>144</v>
      </c>
      <c r="E1796" t="s">
        <v>1856</v>
      </c>
      <c r="F1796">
        <v>5419</v>
      </c>
      <c r="G1796" t="s">
        <v>18</v>
      </c>
      <c r="H1796">
        <v>27</v>
      </c>
      <c r="I1796" t="s">
        <v>19</v>
      </c>
      <c r="J1796">
        <v>2006</v>
      </c>
      <c r="K1796">
        <v>2006</v>
      </c>
      <c r="L1796" t="s">
        <v>20</v>
      </c>
      <c r="M1796">
        <v>2729</v>
      </c>
      <c r="N1796">
        <v>1032</v>
      </c>
    </row>
    <row r="1797" spans="1:14" x14ac:dyDescent="0.35">
      <c r="A1797" t="s">
        <v>1876</v>
      </c>
      <c r="B1797" t="s">
        <v>15</v>
      </c>
      <c r="C1797" t="s">
        <v>16</v>
      </c>
      <c r="D1797">
        <v>144</v>
      </c>
      <c r="E1797" t="s">
        <v>1856</v>
      </c>
      <c r="F1797">
        <v>5419</v>
      </c>
      <c r="G1797" t="s">
        <v>18</v>
      </c>
      <c r="H1797">
        <v>27</v>
      </c>
      <c r="I1797" t="s">
        <v>19</v>
      </c>
      <c r="J1797">
        <v>2007</v>
      </c>
      <c r="K1797">
        <v>2007</v>
      </c>
      <c r="L1797" t="s">
        <v>20</v>
      </c>
      <c r="M1797">
        <v>2845</v>
      </c>
      <c r="N1797">
        <v>1032</v>
      </c>
    </row>
    <row r="1798" spans="1:14" x14ac:dyDescent="0.35">
      <c r="A1798" t="s">
        <v>1877</v>
      </c>
      <c r="B1798" t="s">
        <v>15</v>
      </c>
      <c r="C1798" t="s">
        <v>16</v>
      </c>
      <c r="D1798">
        <v>144</v>
      </c>
      <c r="E1798" t="s">
        <v>1856</v>
      </c>
      <c r="F1798">
        <v>5419</v>
      </c>
      <c r="G1798" t="s">
        <v>18</v>
      </c>
      <c r="H1798">
        <v>27</v>
      </c>
      <c r="I1798" t="s">
        <v>19</v>
      </c>
      <c r="J1798">
        <v>2008</v>
      </c>
      <c r="K1798">
        <v>2008</v>
      </c>
      <c r="L1798" t="s">
        <v>20</v>
      </c>
      <c r="M1798">
        <v>2836</v>
      </c>
      <c r="N1798">
        <v>1032</v>
      </c>
    </row>
    <row r="1799" spans="1:14" x14ac:dyDescent="0.35">
      <c r="A1799" t="s">
        <v>1878</v>
      </c>
      <c r="B1799" t="s">
        <v>15</v>
      </c>
      <c r="C1799" t="s">
        <v>16</v>
      </c>
      <c r="D1799">
        <v>144</v>
      </c>
      <c r="E1799" t="s">
        <v>1856</v>
      </c>
      <c r="F1799">
        <v>5419</v>
      </c>
      <c r="G1799" t="s">
        <v>18</v>
      </c>
      <c r="H1799">
        <v>27</v>
      </c>
      <c r="I1799" t="s">
        <v>19</v>
      </c>
      <c r="J1799">
        <v>2009</v>
      </c>
      <c r="K1799">
        <v>2009</v>
      </c>
      <c r="L1799" t="s">
        <v>20</v>
      </c>
      <c r="M1799">
        <v>9835</v>
      </c>
      <c r="N1799">
        <v>1032</v>
      </c>
    </row>
    <row r="1800" spans="1:14" x14ac:dyDescent="0.35">
      <c r="A1800" t="s">
        <v>1879</v>
      </c>
      <c r="B1800" t="s">
        <v>15</v>
      </c>
      <c r="C1800" t="s">
        <v>16</v>
      </c>
      <c r="D1800">
        <v>144</v>
      </c>
      <c r="E1800" t="s">
        <v>1856</v>
      </c>
      <c r="F1800">
        <v>5419</v>
      </c>
      <c r="G1800" t="s">
        <v>18</v>
      </c>
      <c r="H1800">
        <v>27</v>
      </c>
      <c r="I1800" t="s">
        <v>19</v>
      </c>
      <c r="J1800">
        <v>2010</v>
      </c>
      <c r="K1800">
        <v>2010</v>
      </c>
      <c r="L1800" t="s">
        <v>20</v>
      </c>
      <c r="M1800">
        <v>11365</v>
      </c>
      <c r="N1800">
        <v>1032</v>
      </c>
    </row>
    <row r="1801" spans="1:14" x14ac:dyDescent="0.35">
      <c r="A1801" t="s">
        <v>1880</v>
      </c>
      <c r="B1801" t="s">
        <v>15</v>
      </c>
      <c r="C1801" t="s">
        <v>16</v>
      </c>
      <c r="D1801">
        <v>144</v>
      </c>
      <c r="E1801" t="s">
        <v>1856</v>
      </c>
      <c r="F1801">
        <v>5419</v>
      </c>
      <c r="G1801" t="s">
        <v>18</v>
      </c>
      <c r="H1801">
        <v>27</v>
      </c>
      <c r="I1801" t="s">
        <v>19</v>
      </c>
      <c r="J1801">
        <v>2011</v>
      </c>
      <c r="K1801">
        <v>2011</v>
      </c>
      <c r="L1801" t="s">
        <v>20</v>
      </c>
      <c r="M1801">
        <v>11366</v>
      </c>
      <c r="N1801">
        <v>1032</v>
      </c>
    </row>
    <row r="1802" spans="1:14" x14ac:dyDescent="0.35">
      <c r="A1802" t="s">
        <v>1881</v>
      </c>
      <c r="B1802" t="s">
        <v>15</v>
      </c>
      <c r="C1802" t="s">
        <v>16</v>
      </c>
      <c r="D1802">
        <v>144</v>
      </c>
      <c r="E1802" t="s">
        <v>1856</v>
      </c>
      <c r="F1802">
        <v>5419</v>
      </c>
      <c r="G1802" t="s">
        <v>18</v>
      </c>
      <c r="H1802">
        <v>27</v>
      </c>
      <c r="I1802" t="s">
        <v>19</v>
      </c>
      <c r="J1802">
        <v>2012</v>
      </c>
      <c r="K1802">
        <v>2012</v>
      </c>
      <c r="L1802" t="s">
        <v>20</v>
      </c>
      <c r="M1802">
        <v>5589</v>
      </c>
      <c r="N1802">
        <v>1032</v>
      </c>
    </row>
    <row r="1803" spans="1:14" x14ac:dyDescent="0.35">
      <c r="A1803" t="s">
        <v>1882</v>
      </c>
      <c r="B1803" t="s">
        <v>15</v>
      </c>
      <c r="C1803" t="s">
        <v>16</v>
      </c>
      <c r="D1803">
        <v>144</v>
      </c>
      <c r="E1803" t="s">
        <v>1856</v>
      </c>
      <c r="F1803">
        <v>5419</v>
      </c>
      <c r="G1803" t="s">
        <v>18</v>
      </c>
      <c r="H1803">
        <v>27</v>
      </c>
      <c r="I1803" t="s">
        <v>19</v>
      </c>
      <c r="J1803">
        <v>2013</v>
      </c>
      <c r="K1803">
        <v>2013</v>
      </c>
      <c r="L1803" t="s">
        <v>20</v>
      </c>
      <c r="M1803">
        <v>2824</v>
      </c>
      <c r="N1803">
        <v>1032</v>
      </c>
    </row>
    <row r="1804" spans="1:14" x14ac:dyDescent="0.35">
      <c r="A1804" t="s">
        <v>1883</v>
      </c>
      <c r="B1804" t="s">
        <v>15</v>
      </c>
      <c r="C1804" t="s">
        <v>16</v>
      </c>
      <c r="D1804">
        <v>144</v>
      </c>
      <c r="E1804" t="s">
        <v>1856</v>
      </c>
      <c r="F1804">
        <v>5419</v>
      </c>
      <c r="G1804" t="s">
        <v>18</v>
      </c>
      <c r="H1804">
        <v>27</v>
      </c>
      <c r="I1804" t="s">
        <v>19</v>
      </c>
      <c r="J1804">
        <v>2014</v>
      </c>
      <c r="K1804">
        <v>2014</v>
      </c>
      <c r="L1804" t="s">
        <v>20</v>
      </c>
      <c r="M1804">
        <v>4137</v>
      </c>
      <c r="N1804">
        <v>1032</v>
      </c>
    </row>
    <row r="1805" spans="1:14" x14ac:dyDescent="0.35">
      <c r="A1805" t="s">
        <v>1884</v>
      </c>
      <c r="B1805" t="s">
        <v>15</v>
      </c>
      <c r="C1805" t="s">
        <v>16</v>
      </c>
      <c r="D1805">
        <v>144</v>
      </c>
      <c r="E1805" t="s">
        <v>1856</v>
      </c>
      <c r="F1805">
        <v>5419</v>
      </c>
      <c r="G1805" t="s">
        <v>18</v>
      </c>
      <c r="H1805">
        <v>27</v>
      </c>
      <c r="I1805" t="s">
        <v>19</v>
      </c>
      <c r="J1805">
        <v>2015</v>
      </c>
      <c r="K1805">
        <v>2015</v>
      </c>
      <c r="L1805" t="s">
        <v>20</v>
      </c>
      <c r="M1805">
        <v>5458</v>
      </c>
      <c r="N1805">
        <v>1032</v>
      </c>
    </row>
    <row r="1806" spans="1:14" x14ac:dyDescent="0.35">
      <c r="A1806" t="s">
        <v>1885</v>
      </c>
      <c r="B1806" t="s">
        <v>15</v>
      </c>
      <c r="C1806" t="s">
        <v>16</v>
      </c>
      <c r="D1806">
        <v>144</v>
      </c>
      <c r="E1806" t="s">
        <v>1856</v>
      </c>
      <c r="F1806">
        <v>5419</v>
      </c>
      <c r="G1806" t="s">
        <v>18</v>
      </c>
      <c r="H1806">
        <v>27</v>
      </c>
      <c r="I1806" t="s">
        <v>19</v>
      </c>
      <c r="J1806">
        <v>2016</v>
      </c>
      <c r="K1806">
        <v>2016</v>
      </c>
      <c r="L1806" t="s">
        <v>20</v>
      </c>
      <c r="M1806">
        <v>6037</v>
      </c>
      <c r="N1806">
        <v>1032</v>
      </c>
    </row>
    <row r="1807" spans="1:14" x14ac:dyDescent="0.35">
      <c r="A1807" t="s">
        <v>1886</v>
      </c>
      <c r="B1807" t="s">
        <v>15</v>
      </c>
      <c r="C1807" t="s">
        <v>16</v>
      </c>
      <c r="D1807">
        <v>28</v>
      </c>
      <c r="E1807" t="s">
        <v>1887</v>
      </c>
      <c r="F1807">
        <v>5419</v>
      </c>
      <c r="G1807" t="s">
        <v>18</v>
      </c>
      <c r="H1807">
        <v>27</v>
      </c>
      <c r="I1807" t="s">
        <v>19</v>
      </c>
      <c r="J1807">
        <v>1985</v>
      </c>
      <c r="K1807">
        <v>1985</v>
      </c>
      <c r="L1807" t="s">
        <v>20</v>
      </c>
      <c r="M1807">
        <v>30718</v>
      </c>
      <c r="N1807">
        <v>2091</v>
      </c>
    </row>
    <row r="1808" spans="1:14" x14ac:dyDescent="0.35">
      <c r="A1808" t="s">
        <v>1888</v>
      </c>
      <c r="B1808" t="s">
        <v>15</v>
      </c>
      <c r="C1808" t="s">
        <v>16</v>
      </c>
      <c r="D1808">
        <v>28</v>
      </c>
      <c r="E1808" t="s">
        <v>1887</v>
      </c>
      <c r="F1808">
        <v>5419</v>
      </c>
      <c r="G1808" t="s">
        <v>18</v>
      </c>
      <c r="H1808">
        <v>27</v>
      </c>
      <c r="I1808" t="s">
        <v>19</v>
      </c>
      <c r="J1808">
        <v>1986</v>
      </c>
      <c r="K1808">
        <v>1986</v>
      </c>
      <c r="L1808" t="s">
        <v>20</v>
      </c>
      <c r="M1808">
        <v>30279</v>
      </c>
      <c r="N1808">
        <v>2091</v>
      </c>
    </row>
    <row r="1809" spans="1:14" x14ac:dyDescent="0.35">
      <c r="A1809" t="s">
        <v>1889</v>
      </c>
      <c r="B1809" t="s">
        <v>15</v>
      </c>
      <c r="C1809" t="s">
        <v>16</v>
      </c>
      <c r="D1809">
        <v>28</v>
      </c>
      <c r="E1809" t="s">
        <v>1887</v>
      </c>
      <c r="F1809">
        <v>5419</v>
      </c>
      <c r="G1809" t="s">
        <v>18</v>
      </c>
      <c r="H1809">
        <v>27</v>
      </c>
      <c r="I1809" t="s">
        <v>19</v>
      </c>
      <c r="J1809">
        <v>1987</v>
      </c>
      <c r="K1809">
        <v>1987</v>
      </c>
      <c r="L1809" t="s">
        <v>20</v>
      </c>
      <c r="M1809">
        <v>30424</v>
      </c>
      <c r="N1809">
        <v>2091</v>
      </c>
    </row>
    <row r="1810" spans="1:14" x14ac:dyDescent="0.35">
      <c r="A1810" t="s">
        <v>1890</v>
      </c>
      <c r="B1810" t="s">
        <v>15</v>
      </c>
      <c r="C1810" t="s">
        <v>16</v>
      </c>
      <c r="D1810">
        <v>28</v>
      </c>
      <c r="E1810" t="s">
        <v>1887</v>
      </c>
      <c r="F1810">
        <v>5419</v>
      </c>
      <c r="G1810" t="s">
        <v>18</v>
      </c>
      <c r="H1810">
        <v>27</v>
      </c>
      <c r="I1810" t="s">
        <v>19</v>
      </c>
      <c r="J1810">
        <v>1989</v>
      </c>
      <c r="K1810">
        <v>1989</v>
      </c>
      <c r="L1810" t="s">
        <v>20</v>
      </c>
      <c r="M1810">
        <v>29174</v>
      </c>
      <c r="N1810">
        <v>2091</v>
      </c>
    </row>
    <row r="1811" spans="1:14" x14ac:dyDescent="0.35">
      <c r="A1811" t="s">
        <v>1891</v>
      </c>
      <c r="B1811" t="s">
        <v>15</v>
      </c>
      <c r="C1811" t="s">
        <v>16</v>
      </c>
      <c r="D1811">
        <v>28</v>
      </c>
      <c r="E1811" t="s">
        <v>1887</v>
      </c>
      <c r="F1811">
        <v>5419</v>
      </c>
      <c r="G1811" t="s">
        <v>18</v>
      </c>
      <c r="H1811">
        <v>27</v>
      </c>
      <c r="I1811" t="s">
        <v>19</v>
      </c>
      <c r="J1811">
        <v>1990</v>
      </c>
      <c r="K1811">
        <v>1990</v>
      </c>
      <c r="L1811" t="s">
        <v>20</v>
      </c>
      <c r="M1811">
        <v>29353</v>
      </c>
      <c r="N1811">
        <v>2091</v>
      </c>
    </row>
    <row r="1812" spans="1:14" x14ac:dyDescent="0.35">
      <c r="A1812" t="s">
        <v>1892</v>
      </c>
      <c r="B1812" t="s">
        <v>15</v>
      </c>
      <c r="C1812" t="s">
        <v>16</v>
      </c>
      <c r="D1812">
        <v>28</v>
      </c>
      <c r="E1812" t="s">
        <v>1887</v>
      </c>
      <c r="F1812">
        <v>5419</v>
      </c>
      <c r="G1812" t="s">
        <v>18</v>
      </c>
      <c r="H1812">
        <v>27</v>
      </c>
      <c r="I1812" t="s">
        <v>19</v>
      </c>
      <c r="J1812">
        <v>1991</v>
      </c>
      <c r="K1812">
        <v>1991</v>
      </c>
      <c r="L1812" t="s">
        <v>20</v>
      </c>
      <c r="M1812">
        <v>28400</v>
      </c>
      <c r="N1812">
        <v>2091</v>
      </c>
    </row>
    <row r="1813" spans="1:14" x14ac:dyDescent="0.35">
      <c r="A1813" t="s">
        <v>1893</v>
      </c>
      <c r="B1813" t="s">
        <v>15</v>
      </c>
      <c r="C1813" t="s">
        <v>16</v>
      </c>
      <c r="D1813">
        <v>28</v>
      </c>
      <c r="E1813" t="s">
        <v>1887</v>
      </c>
      <c r="F1813">
        <v>5419</v>
      </c>
      <c r="G1813" t="s">
        <v>18</v>
      </c>
      <c r="H1813">
        <v>27</v>
      </c>
      <c r="I1813" t="s">
        <v>19</v>
      </c>
      <c r="J1813">
        <v>1992</v>
      </c>
      <c r="K1813">
        <v>1992</v>
      </c>
      <c r="L1813" t="s">
        <v>20</v>
      </c>
      <c r="M1813">
        <v>28882</v>
      </c>
      <c r="N1813">
        <v>2091</v>
      </c>
    </row>
    <row r="1814" spans="1:14" x14ac:dyDescent="0.35">
      <c r="A1814" t="s">
        <v>1894</v>
      </c>
      <c r="B1814" t="s">
        <v>15</v>
      </c>
      <c r="C1814" t="s">
        <v>16</v>
      </c>
      <c r="D1814">
        <v>28</v>
      </c>
      <c r="E1814" t="s">
        <v>1887</v>
      </c>
      <c r="F1814">
        <v>5419</v>
      </c>
      <c r="G1814" t="s">
        <v>18</v>
      </c>
      <c r="H1814">
        <v>27</v>
      </c>
      <c r="I1814" t="s">
        <v>19</v>
      </c>
      <c r="J1814">
        <v>1993</v>
      </c>
      <c r="K1814">
        <v>1993</v>
      </c>
      <c r="L1814" t="s">
        <v>20</v>
      </c>
      <c r="M1814">
        <v>30063</v>
      </c>
      <c r="N1814">
        <v>2091</v>
      </c>
    </row>
    <row r="1815" spans="1:14" x14ac:dyDescent="0.35">
      <c r="A1815" t="s">
        <v>1895</v>
      </c>
      <c r="B1815" t="s">
        <v>15</v>
      </c>
      <c r="C1815" t="s">
        <v>16</v>
      </c>
      <c r="D1815">
        <v>28</v>
      </c>
      <c r="E1815" t="s">
        <v>1887</v>
      </c>
      <c r="F1815">
        <v>5419</v>
      </c>
      <c r="G1815" t="s">
        <v>18</v>
      </c>
      <c r="H1815">
        <v>27</v>
      </c>
      <c r="I1815" t="s">
        <v>19</v>
      </c>
      <c r="J1815">
        <v>1994</v>
      </c>
      <c r="K1815">
        <v>1994</v>
      </c>
      <c r="L1815" t="s">
        <v>20</v>
      </c>
      <c r="M1815">
        <v>31182</v>
      </c>
      <c r="N1815">
        <v>2091</v>
      </c>
    </row>
    <row r="1816" spans="1:14" x14ac:dyDescent="0.35">
      <c r="A1816" t="s">
        <v>1896</v>
      </c>
      <c r="B1816" t="s">
        <v>15</v>
      </c>
      <c r="C1816" t="s">
        <v>16</v>
      </c>
      <c r="D1816">
        <v>28</v>
      </c>
      <c r="E1816" t="s">
        <v>1887</v>
      </c>
      <c r="F1816">
        <v>5419</v>
      </c>
      <c r="G1816" t="s">
        <v>18</v>
      </c>
      <c r="H1816">
        <v>27</v>
      </c>
      <c r="I1816" t="s">
        <v>19</v>
      </c>
      <c r="J1816">
        <v>1995</v>
      </c>
      <c r="K1816">
        <v>1995</v>
      </c>
      <c r="L1816" t="s">
        <v>20</v>
      </c>
      <c r="M1816">
        <v>29290</v>
      </c>
      <c r="N1816">
        <v>2091</v>
      </c>
    </row>
    <row r="1817" spans="1:14" x14ac:dyDescent="0.35">
      <c r="A1817" t="s">
        <v>1897</v>
      </c>
      <c r="B1817" t="s">
        <v>15</v>
      </c>
      <c r="C1817" t="s">
        <v>16</v>
      </c>
      <c r="D1817">
        <v>28</v>
      </c>
      <c r="E1817" t="s">
        <v>1887</v>
      </c>
      <c r="F1817">
        <v>5419</v>
      </c>
      <c r="G1817" t="s">
        <v>18</v>
      </c>
      <c r="H1817">
        <v>27</v>
      </c>
      <c r="I1817" t="s">
        <v>19</v>
      </c>
      <c r="J1817">
        <v>1996</v>
      </c>
      <c r="K1817">
        <v>1996</v>
      </c>
      <c r="L1817" t="s">
        <v>20</v>
      </c>
      <c r="M1817">
        <v>30159</v>
      </c>
      <c r="N1817">
        <v>2091</v>
      </c>
    </row>
    <row r="1818" spans="1:14" x14ac:dyDescent="0.35">
      <c r="A1818" t="s">
        <v>1898</v>
      </c>
      <c r="B1818" t="s">
        <v>15</v>
      </c>
      <c r="C1818" t="s">
        <v>16</v>
      </c>
      <c r="D1818">
        <v>28</v>
      </c>
      <c r="E1818" t="s">
        <v>1887</v>
      </c>
      <c r="F1818">
        <v>5419</v>
      </c>
      <c r="G1818" t="s">
        <v>18</v>
      </c>
      <c r="H1818">
        <v>27</v>
      </c>
      <c r="I1818" t="s">
        <v>19</v>
      </c>
      <c r="J1818">
        <v>1997</v>
      </c>
      <c r="K1818">
        <v>1997</v>
      </c>
      <c r="L1818" t="s">
        <v>20</v>
      </c>
      <c r="M1818">
        <v>30308</v>
      </c>
      <c r="N1818">
        <v>2091</v>
      </c>
    </row>
    <row r="1819" spans="1:14" x14ac:dyDescent="0.35">
      <c r="A1819" t="s">
        <v>1899</v>
      </c>
      <c r="B1819" t="s">
        <v>15</v>
      </c>
      <c r="C1819" t="s">
        <v>16</v>
      </c>
      <c r="D1819">
        <v>28</v>
      </c>
      <c r="E1819" t="s">
        <v>1887</v>
      </c>
      <c r="F1819">
        <v>5419</v>
      </c>
      <c r="G1819" t="s">
        <v>18</v>
      </c>
      <c r="H1819">
        <v>27</v>
      </c>
      <c r="I1819" t="s">
        <v>19</v>
      </c>
      <c r="J1819">
        <v>1998</v>
      </c>
      <c r="K1819">
        <v>1998</v>
      </c>
      <c r="L1819" t="s">
        <v>20</v>
      </c>
      <c r="M1819">
        <v>30793</v>
      </c>
      <c r="N1819">
        <v>2091</v>
      </c>
    </row>
    <row r="1820" spans="1:14" x14ac:dyDescent="0.35">
      <c r="A1820" t="s">
        <v>1900</v>
      </c>
      <c r="B1820" t="s">
        <v>15</v>
      </c>
      <c r="C1820" t="s">
        <v>16</v>
      </c>
      <c r="D1820">
        <v>28</v>
      </c>
      <c r="E1820" t="s">
        <v>1887</v>
      </c>
      <c r="F1820">
        <v>5419</v>
      </c>
      <c r="G1820" t="s">
        <v>18</v>
      </c>
      <c r="H1820">
        <v>27</v>
      </c>
      <c r="I1820" t="s">
        <v>19</v>
      </c>
      <c r="J1820">
        <v>1999</v>
      </c>
      <c r="K1820">
        <v>1999</v>
      </c>
      <c r="L1820" t="s">
        <v>20</v>
      </c>
      <c r="M1820">
        <v>32405</v>
      </c>
      <c r="N1820">
        <v>2091</v>
      </c>
    </row>
    <row r="1821" spans="1:14" x14ac:dyDescent="0.35">
      <c r="A1821" t="s">
        <v>1901</v>
      </c>
      <c r="B1821" t="s">
        <v>15</v>
      </c>
      <c r="C1821" t="s">
        <v>16</v>
      </c>
      <c r="D1821">
        <v>28</v>
      </c>
      <c r="E1821" t="s">
        <v>1887</v>
      </c>
      <c r="F1821">
        <v>5419</v>
      </c>
      <c r="G1821" t="s">
        <v>18</v>
      </c>
      <c r="H1821">
        <v>27</v>
      </c>
      <c r="I1821" t="s">
        <v>19</v>
      </c>
      <c r="J1821">
        <v>2000</v>
      </c>
      <c r="K1821">
        <v>2000</v>
      </c>
      <c r="L1821" t="s">
        <v>20</v>
      </c>
      <c r="M1821">
        <v>33301</v>
      </c>
      <c r="N1821">
        <v>2091</v>
      </c>
    </row>
    <row r="1822" spans="1:14" x14ac:dyDescent="0.35">
      <c r="A1822" t="s">
        <v>1902</v>
      </c>
      <c r="B1822" t="s">
        <v>15</v>
      </c>
      <c r="C1822" t="s">
        <v>16</v>
      </c>
      <c r="D1822">
        <v>28</v>
      </c>
      <c r="E1822" t="s">
        <v>1887</v>
      </c>
      <c r="F1822">
        <v>5419</v>
      </c>
      <c r="G1822" t="s">
        <v>18</v>
      </c>
      <c r="H1822">
        <v>27</v>
      </c>
      <c r="I1822" t="s">
        <v>19</v>
      </c>
      <c r="J1822">
        <v>2001</v>
      </c>
      <c r="K1822">
        <v>2001</v>
      </c>
      <c r="L1822" t="s">
        <v>20</v>
      </c>
      <c r="M1822">
        <v>33639</v>
      </c>
      <c r="N1822">
        <v>2091</v>
      </c>
    </row>
    <row r="1823" spans="1:14" x14ac:dyDescent="0.35">
      <c r="A1823" t="s">
        <v>1903</v>
      </c>
      <c r="B1823" t="s">
        <v>15</v>
      </c>
      <c r="C1823" t="s">
        <v>16</v>
      </c>
      <c r="D1823">
        <v>28</v>
      </c>
      <c r="E1823" t="s">
        <v>1887</v>
      </c>
      <c r="F1823">
        <v>5419</v>
      </c>
      <c r="G1823" t="s">
        <v>18</v>
      </c>
      <c r="H1823">
        <v>27</v>
      </c>
      <c r="I1823" t="s">
        <v>19</v>
      </c>
      <c r="J1823">
        <v>2002</v>
      </c>
      <c r="K1823">
        <v>2002</v>
      </c>
      <c r="L1823" t="s">
        <v>20</v>
      </c>
      <c r="M1823">
        <v>33655</v>
      </c>
      <c r="N1823">
        <v>2091</v>
      </c>
    </row>
    <row r="1824" spans="1:14" x14ac:dyDescent="0.35">
      <c r="A1824" t="s">
        <v>1904</v>
      </c>
      <c r="B1824" t="s">
        <v>15</v>
      </c>
      <c r="C1824" t="s">
        <v>16</v>
      </c>
      <c r="D1824">
        <v>28</v>
      </c>
      <c r="E1824" t="s">
        <v>1887</v>
      </c>
      <c r="F1824">
        <v>5419</v>
      </c>
      <c r="G1824" t="s">
        <v>18</v>
      </c>
      <c r="H1824">
        <v>27</v>
      </c>
      <c r="I1824" t="s">
        <v>19</v>
      </c>
      <c r="J1824">
        <v>2004</v>
      </c>
      <c r="K1824">
        <v>2004</v>
      </c>
      <c r="L1824" t="s">
        <v>20</v>
      </c>
      <c r="M1824">
        <v>35785</v>
      </c>
      <c r="N1824">
        <v>2091</v>
      </c>
    </row>
    <row r="1825" spans="1:14" x14ac:dyDescent="0.35">
      <c r="A1825" t="s">
        <v>1905</v>
      </c>
      <c r="B1825" t="s">
        <v>15</v>
      </c>
      <c r="C1825" t="s">
        <v>16</v>
      </c>
      <c r="D1825">
        <v>28</v>
      </c>
      <c r="E1825" t="s">
        <v>1887</v>
      </c>
      <c r="F1825">
        <v>5419</v>
      </c>
      <c r="G1825" t="s">
        <v>18</v>
      </c>
      <c r="H1825">
        <v>27</v>
      </c>
      <c r="I1825" t="s">
        <v>19</v>
      </c>
      <c r="J1825">
        <v>2005</v>
      </c>
      <c r="K1825">
        <v>2005</v>
      </c>
      <c r="L1825" t="s">
        <v>20</v>
      </c>
      <c r="M1825">
        <v>36899</v>
      </c>
      <c r="N1825">
        <v>2091</v>
      </c>
    </row>
    <row r="1826" spans="1:14" x14ac:dyDescent="0.35">
      <c r="A1826" t="s">
        <v>1906</v>
      </c>
      <c r="B1826" t="s">
        <v>15</v>
      </c>
      <c r="C1826" t="s">
        <v>16</v>
      </c>
      <c r="D1826">
        <v>28</v>
      </c>
      <c r="E1826" t="s">
        <v>1887</v>
      </c>
      <c r="F1826">
        <v>5419</v>
      </c>
      <c r="G1826" t="s">
        <v>18</v>
      </c>
      <c r="H1826">
        <v>27</v>
      </c>
      <c r="I1826" t="s">
        <v>19</v>
      </c>
      <c r="J1826">
        <v>2006</v>
      </c>
      <c r="K1826">
        <v>2006</v>
      </c>
      <c r="L1826" t="s">
        <v>20</v>
      </c>
      <c r="M1826">
        <v>37694</v>
      </c>
      <c r="N1826">
        <v>2091</v>
      </c>
    </row>
    <row r="1827" spans="1:14" x14ac:dyDescent="0.35">
      <c r="A1827" t="s">
        <v>1907</v>
      </c>
      <c r="B1827" t="s">
        <v>15</v>
      </c>
      <c r="C1827" t="s">
        <v>16</v>
      </c>
      <c r="D1827">
        <v>28</v>
      </c>
      <c r="E1827" t="s">
        <v>1887</v>
      </c>
      <c r="F1827">
        <v>5419</v>
      </c>
      <c r="G1827" t="s">
        <v>18</v>
      </c>
      <c r="H1827">
        <v>27</v>
      </c>
      <c r="I1827" t="s">
        <v>19</v>
      </c>
      <c r="J1827">
        <v>2007</v>
      </c>
      <c r="K1827">
        <v>2007</v>
      </c>
      <c r="L1827" t="s">
        <v>20</v>
      </c>
      <c r="M1827">
        <v>38639</v>
      </c>
      <c r="N1827">
        <v>2091</v>
      </c>
    </row>
    <row r="1828" spans="1:14" x14ac:dyDescent="0.35">
      <c r="A1828" t="s">
        <v>1908</v>
      </c>
      <c r="B1828" t="s">
        <v>15</v>
      </c>
      <c r="C1828" t="s">
        <v>16</v>
      </c>
      <c r="D1828">
        <v>28</v>
      </c>
      <c r="E1828" t="s">
        <v>1887</v>
      </c>
      <c r="F1828">
        <v>5419</v>
      </c>
      <c r="G1828" t="s">
        <v>18</v>
      </c>
      <c r="H1828">
        <v>27</v>
      </c>
      <c r="I1828" t="s">
        <v>19</v>
      </c>
      <c r="J1828">
        <v>2008</v>
      </c>
      <c r="K1828">
        <v>2008</v>
      </c>
      <c r="L1828" t="s">
        <v>20</v>
      </c>
      <c r="M1828">
        <v>39688</v>
      </c>
      <c r="N1828">
        <v>2091</v>
      </c>
    </row>
    <row r="1829" spans="1:14" x14ac:dyDescent="0.35">
      <c r="A1829" t="s">
        <v>1909</v>
      </c>
      <c r="B1829" t="s">
        <v>15</v>
      </c>
      <c r="C1829" t="s">
        <v>16</v>
      </c>
      <c r="D1829">
        <v>28</v>
      </c>
      <c r="E1829" t="s">
        <v>1887</v>
      </c>
      <c r="F1829">
        <v>5419</v>
      </c>
      <c r="G1829" t="s">
        <v>18</v>
      </c>
      <c r="H1829">
        <v>27</v>
      </c>
      <c r="I1829" t="s">
        <v>19</v>
      </c>
      <c r="J1829">
        <v>2009</v>
      </c>
      <c r="K1829">
        <v>2009</v>
      </c>
      <c r="L1829" t="s">
        <v>20</v>
      </c>
      <c r="M1829">
        <v>39917</v>
      </c>
      <c r="N1829">
        <v>2091</v>
      </c>
    </row>
    <row r="1830" spans="1:14" x14ac:dyDescent="0.35">
      <c r="A1830" t="s">
        <v>1910</v>
      </c>
      <c r="B1830" t="s">
        <v>15</v>
      </c>
      <c r="C1830" t="s">
        <v>16</v>
      </c>
      <c r="D1830">
        <v>28</v>
      </c>
      <c r="E1830" t="s">
        <v>1887</v>
      </c>
      <c r="F1830">
        <v>5419</v>
      </c>
      <c r="G1830" t="s">
        <v>18</v>
      </c>
      <c r="H1830">
        <v>27</v>
      </c>
      <c r="I1830" t="s">
        <v>19</v>
      </c>
      <c r="J1830">
        <v>2010</v>
      </c>
      <c r="K1830">
        <v>2010</v>
      </c>
      <c r="L1830" t="s">
        <v>20</v>
      </c>
      <c r="M1830">
        <v>40026</v>
      </c>
      <c r="N1830">
        <v>2091</v>
      </c>
    </row>
    <row r="1831" spans="1:14" x14ac:dyDescent="0.35">
      <c r="A1831" t="s">
        <v>1911</v>
      </c>
      <c r="B1831" t="s">
        <v>15</v>
      </c>
      <c r="C1831" t="s">
        <v>16</v>
      </c>
      <c r="D1831">
        <v>28</v>
      </c>
      <c r="E1831" t="s">
        <v>1887</v>
      </c>
      <c r="F1831">
        <v>5419</v>
      </c>
      <c r="G1831" t="s">
        <v>18</v>
      </c>
      <c r="H1831">
        <v>27</v>
      </c>
      <c r="I1831" t="s">
        <v>19</v>
      </c>
      <c r="J1831">
        <v>2011</v>
      </c>
      <c r="K1831">
        <v>2011</v>
      </c>
      <c r="L1831" t="s">
        <v>20</v>
      </c>
      <c r="M1831">
        <v>37733</v>
      </c>
      <c r="N1831">
        <v>2091</v>
      </c>
    </row>
    <row r="1832" spans="1:14" x14ac:dyDescent="0.35">
      <c r="A1832" t="s">
        <v>1912</v>
      </c>
      <c r="B1832" t="s">
        <v>15</v>
      </c>
      <c r="C1832" t="s">
        <v>16</v>
      </c>
      <c r="D1832">
        <v>28</v>
      </c>
      <c r="E1832" t="s">
        <v>1887</v>
      </c>
      <c r="F1832">
        <v>5419</v>
      </c>
      <c r="G1832" t="s">
        <v>18</v>
      </c>
      <c r="H1832">
        <v>27</v>
      </c>
      <c r="I1832" t="s">
        <v>19</v>
      </c>
      <c r="J1832">
        <v>2012</v>
      </c>
      <c r="K1832">
        <v>2012</v>
      </c>
      <c r="L1832" t="s">
        <v>20</v>
      </c>
      <c r="M1832">
        <v>37512</v>
      </c>
      <c r="N1832">
        <v>2091</v>
      </c>
    </row>
    <row r="1833" spans="1:14" x14ac:dyDescent="0.35">
      <c r="A1833" t="s">
        <v>1913</v>
      </c>
      <c r="B1833" t="s">
        <v>15</v>
      </c>
      <c r="C1833" t="s">
        <v>16</v>
      </c>
      <c r="D1833">
        <v>28</v>
      </c>
      <c r="E1833" t="s">
        <v>1887</v>
      </c>
      <c r="F1833">
        <v>5419</v>
      </c>
      <c r="G1833" t="s">
        <v>18</v>
      </c>
      <c r="H1833">
        <v>27</v>
      </c>
      <c r="I1833" t="s">
        <v>19</v>
      </c>
      <c r="J1833">
        <v>2013</v>
      </c>
      <c r="K1833">
        <v>2013</v>
      </c>
      <c r="L1833" t="s">
        <v>20</v>
      </c>
      <c r="M1833">
        <v>37930</v>
      </c>
      <c r="N1833">
        <v>2091</v>
      </c>
    </row>
    <row r="1834" spans="1:14" x14ac:dyDescent="0.35">
      <c r="A1834" t="s">
        <v>1914</v>
      </c>
      <c r="B1834" t="s">
        <v>15</v>
      </c>
      <c r="C1834" t="s">
        <v>16</v>
      </c>
      <c r="D1834">
        <v>28</v>
      </c>
      <c r="E1834" t="s">
        <v>1887</v>
      </c>
      <c r="F1834">
        <v>5419</v>
      </c>
      <c r="G1834" t="s">
        <v>18</v>
      </c>
      <c r="H1834">
        <v>27</v>
      </c>
      <c r="I1834" t="s">
        <v>19</v>
      </c>
      <c r="J1834">
        <v>2014</v>
      </c>
      <c r="K1834">
        <v>2014</v>
      </c>
      <c r="L1834" t="s">
        <v>20</v>
      </c>
      <c r="M1834">
        <v>38464</v>
      </c>
      <c r="N1834">
        <v>2091</v>
      </c>
    </row>
    <row r="1835" spans="1:14" x14ac:dyDescent="0.35">
      <c r="A1835" t="s">
        <v>1915</v>
      </c>
      <c r="B1835" t="s">
        <v>15</v>
      </c>
      <c r="C1835" t="s">
        <v>16</v>
      </c>
      <c r="D1835">
        <v>28</v>
      </c>
      <c r="E1835" t="s">
        <v>1887</v>
      </c>
      <c r="F1835">
        <v>5419</v>
      </c>
      <c r="G1835" t="s">
        <v>18</v>
      </c>
      <c r="H1835">
        <v>27</v>
      </c>
      <c r="I1835" t="s">
        <v>19</v>
      </c>
      <c r="J1835">
        <v>2015</v>
      </c>
      <c r="K1835">
        <v>2015</v>
      </c>
      <c r="L1835" t="s">
        <v>20</v>
      </c>
      <c r="M1835">
        <v>38718</v>
      </c>
      <c r="N1835">
        <v>2091</v>
      </c>
    </row>
    <row r="1836" spans="1:14" x14ac:dyDescent="0.35">
      <c r="A1836" t="s">
        <v>1916</v>
      </c>
      <c r="B1836" t="s">
        <v>15</v>
      </c>
      <c r="C1836" t="s">
        <v>16</v>
      </c>
      <c r="D1836">
        <v>28</v>
      </c>
      <c r="E1836" t="s">
        <v>1887</v>
      </c>
      <c r="F1836">
        <v>5419</v>
      </c>
      <c r="G1836" t="s">
        <v>18</v>
      </c>
      <c r="H1836">
        <v>27</v>
      </c>
      <c r="I1836" t="s">
        <v>19</v>
      </c>
      <c r="J1836">
        <v>2016</v>
      </c>
      <c r="K1836">
        <v>2016</v>
      </c>
      <c r="L1836" t="s">
        <v>20</v>
      </c>
      <c r="M1836">
        <v>38181</v>
      </c>
      <c r="N1836">
        <v>2091</v>
      </c>
    </row>
    <row r="1837" spans="1:14" x14ac:dyDescent="0.35">
      <c r="A1837" t="s">
        <v>1917</v>
      </c>
      <c r="B1837" t="s">
        <v>15</v>
      </c>
      <c r="C1837" t="s">
        <v>16</v>
      </c>
      <c r="D1837">
        <v>149</v>
      </c>
      <c r="E1837" t="s">
        <v>1918</v>
      </c>
      <c r="F1837">
        <v>5419</v>
      </c>
      <c r="G1837" t="s">
        <v>18</v>
      </c>
      <c r="H1837">
        <v>27</v>
      </c>
      <c r="I1837" t="s">
        <v>19</v>
      </c>
      <c r="J1837">
        <v>1985</v>
      </c>
      <c r="K1837">
        <v>1985</v>
      </c>
      <c r="L1837" t="s">
        <v>20</v>
      </c>
      <c r="M1837">
        <v>20161</v>
      </c>
      <c r="N1837">
        <v>1500</v>
      </c>
    </row>
    <row r="1838" spans="1:14" x14ac:dyDescent="0.35">
      <c r="A1838" t="s">
        <v>1919</v>
      </c>
      <c r="B1838" t="s">
        <v>15</v>
      </c>
      <c r="C1838" t="s">
        <v>16</v>
      </c>
      <c r="D1838">
        <v>149</v>
      </c>
      <c r="E1838" t="s">
        <v>1918</v>
      </c>
      <c r="F1838">
        <v>5419</v>
      </c>
      <c r="G1838" t="s">
        <v>18</v>
      </c>
      <c r="H1838">
        <v>27</v>
      </c>
      <c r="I1838" t="s">
        <v>19</v>
      </c>
      <c r="J1838">
        <v>1986</v>
      </c>
      <c r="K1838">
        <v>1986</v>
      </c>
      <c r="L1838" t="s">
        <v>20</v>
      </c>
      <c r="M1838">
        <v>17790</v>
      </c>
      <c r="N1838">
        <v>1500</v>
      </c>
    </row>
    <row r="1839" spans="1:14" x14ac:dyDescent="0.35">
      <c r="A1839" t="s">
        <v>1920</v>
      </c>
      <c r="B1839" t="s">
        <v>15</v>
      </c>
      <c r="C1839" t="s">
        <v>16</v>
      </c>
      <c r="D1839">
        <v>149</v>
      </c>
      <c r="E1839" t="s">
        <v>1918</v>
      </c>
      <c r="F1839">
        <v>5419</v>
      </c>
      <c r="G1839" t="s">
        <v>18</v>
      </c>
      <c r="H1839">
        <v>27</v>
      </c>
      <c r="I1839" t="s">
        <v>19</v>
      </c>
      <c r="J1839">
        <v>1987</v>
      </c>
      <c r="K1839">
        <v>1987</v>
      </c>
      <c r="L1839" t="s">
        <v>20</v>
      </c>
      <c r="M1839">
        <v>20950</v>
      </c>
      <c r="N1839">
        <v>1500</v>
      </c>
    </row>
    <row r="1840" spans="1:14" x14ac:dyDescent="0.35">
      <c r="A1840" t="s">
        <v>1921</v>
      </c>
      <c r="B1840" t="s">
        <v>15</v>
      </c>
      <c r="C1840" t="s">
        <v>16</v>
      </c>
      <c r="D1840">
        <v>149</v>
      </c>
      <c r="E1840" t="s">
        <v>1918</v>
      </c>
      <c r="F1840">
        <v>5419</v>
      </c>
      <c r="G1840" t="s">
        <v>18</v>
      </c>
      <c r="H1840">
        <v>27</v>
      </c>
      <c r="I1840" t="s">
        <v>19</v>
      </c>
      <c r="J1840">
        <v>1989</v>
      </c>
      <c r="K1840">
        <v>1989</v>
      </c>
      <c r="L1840" t="s">
        <v>20</v>
      </c>
      <c r="M1840">
        <v>23657</v>
      </c>
      <c r="N1840">
        <v>1500</v>
      </c>
    </row>
    <row r="1841" spans="1:14" x14ac:dyDescent="0.35">
      <c r="A1841" t="s">
        <v>1922</v>
      </c>
      <c r="B1841" t="s">
        <v>15</v>
      </c>
      <c r="C1841" t="s">
        <v>16</v>
      </c>
      <c r="D1841">
        <v>149</v>
      </c>
      <c r="E1841" t="s">
        <v>1918</v>
      </c>
      <c r="F1841">
        <v>5419</v>
      </c>
      <c r="G1841" t="s">
        <v>18</v>
      </c>
      <c r="H1841">
        <v>27</v>
      </c>
      <c r="I1841" t="s">
        <v>19</v>
      </c>
      <c r="J1841">
        <v>1990</v>
      </c>
      <c r="K1841">
        <v>1990</v>
      </c>
      <c r="L1841" t="s">
        <v>20</v>
      </c>
      <c r="M1841">
        <v>24067</v>
      </c>
      <c r="N1841">
        <v>1500</v>
      </c>
    </row>
    <row r="1842" spans="1:14" x14ac:dyDescent="0.35">
      <c r="A1842" t="s">
        <v>1923</v>
      </c>
      <c r="B1842" t="s">
        <v>15</v>
      </c>
      <c r="C1842" t="s">
        <v>16</v>
      </c>
      <c r="D1842">
        <v>149</v>
      </c>
      <c r="E1842" t="s">
        <v>1918</v>
      </c>
      <c r="F1842">
        <v>5419</v>
      </c>
      <c r="G1842" t="s">
        <v>18</v>
      </c>
      <c r="H1842">
        <v>27</v>
      </c>
      <c r="I1842" t="s">
        <v>19</v>
      </c>
      <c r="J1842">
        <v>1991</v>
      </c>
      <c r="K1842">
        <v>1991</v>
      </c>
      <c r="L1842" t="s">
        <v>20</v>
      </c>
      <c r="M1842">
        <v>22826</v>
      </c>
      <c r="N1842">
        <v>1500</v>
      </c>
    </row>
    <row r="1843" spans="1:14" x14ac:dyDescent="0.35">
      <c r="A1843" t="s">
        <v>1924</v>
      </c>
      <c r="B1843" t="s">
        <v>15</v>
      </c>
      <c r="C1843" t="s">
        <v>16</v>
      </c>
      <c r="D1843">
        <v>149</v>
      </c>
      <c r="E1843" t="s">
        <v>1918</v>
      </c>
      <c r="F1843">
        <v>5419</v>
      </c>
      <c r="G1843" t="s">
        <v>18</v>
      </c>
      <c r="H1843">
        <v>27</v>
      </c>
      <c r="I1843" t="s">
        <v>19</v>
      </c>
      <c r="J1843">
        <v>1992</v>
      </c>
      <c r="K1843">
        <v>1992</v>
      </c>
      <c r="L1843" t="s">
        <v>20</v>
      </c>
      <c r="M1843">
        <v>20481</v>
      </c>
      <c r="N1843">
        <v>1500</v>
      </c>
    </row>
    <row r="1844" spans="1:14" x14ac:dyDescent="0.35">
      <c r="A1844" t="s">
        <v>1925</v>
      </c>
      <c r="B1844" t="s">
        <v>15</v>
      </c>
      <c r="C1844" t="s">
        <v>16</v>
      </c>
      <c r="D1844">
        <v>149</v>
      </c>
      <c r="E1844" t="s">
        <v>1918</v>
      </c>
      <c r="F1844">
        <v>5419</v>
      </c>
      <c r="G1844" t="s">
        <v>18</v>
      </c>
      <c r="H1844">
        <v>27</v>
      </c>
      <c r="I1844" t="s">
        <v>19</v>
      </c>
      <c r="J1844">
        <v>1993</v>
      </c>
      <c r="K1844">
        <v>1993</v>
      </c>
      <c r="L1844" t="s">
        <v>20</v>
      </c>
      <c r="M1844">
        <v>24100</v>
      </c>
      <c r="N1844">
        <v>1500</v>
      </c>
    </row>
    <row r="1845" spans="1:14" x14ac:dyDescent="0.35">
      <c r="A1845" t="s">
        <v>1926</v>
      </c>
      <c r="B1845" t="s">
        <v>15</v>
      </c>
      <c r="C1845" t="s">
        <v>16</v>
      </c>
      <c r="D1845">
        <v>149</v>
      </c>
      <c r="E1845" t="s">
        <v>1918</v>
      </c>
      <c r="F1845">
        <v>5419</v>
      </c>
      <c r="G1845" t="s">
        <v>18</v>
      </c>
      <c r="H1845">
        <v>27</v>
      </c>
      <c r="I1845" t="s">
        <v>19</v>
      </c>
      <c r="J1845">
        <v>1994</v>
      </c>
      <c r="K1845">
        <v>1994</v>
      </c>
      <c r="L1845" t="s">
        <v>20</v>
      </c>
      <c r="M1845">
        <v>21237</v>
      </c>
      <c r="N1845">
        <v>1500</v>
      </c>
    </row>
    <row r="1846" spans="1:14" x14ac:dyDescent="0.35">
      <c r="A1846" t="s">
        <v>1927</v>
      </c>
      <c r="B1846" t="s">
        <v>15</v>
      </c>
      <c r="C1846" t="s">
        <v>16</v>
      </c>
      <c r="D1846">
        <v>149</v>
      </c>
      <c r="E1846" t="s">
        <v>1918</v>
      </c>
      <c r="F1846">
        <v>5419</v>
      </c>
      <c r="G1846" t="s">
        <v>18</v>
      </c>
      <c r="H1846">
        <v>27</v>
      </c>
      <c r="I1846" t="s">
        <v>19</v>
      </c>
      <c r="J1846">
        <v>1995</v>
      </c>
      <c r="K1846">
        <v>1995</v>
      </c>
      <c r="L1846" t="s">
        <v>20</v>
      </c>
      <c r="M1846">
        <v>23910</v>
      </c>
      <c r="N1846">
        <v>1500</v>
      </c>
    </row>
    <row r="1847" spans="1:14" x14ac:dyDescent="0.35">
      <c r="A1847" t="s">
        <v>1928</v>
      </c>
      <c r="B1847" t="s">
        <v>15</v>
      </c>
      <c r="C1847" t="s">
        <v>16</v>
      </c>
      <c r="D1847">
        <v>149</v>
      </c>
      <c r="E1847" t="s">
        <v>1918</v>
      </c>
      <c r="F1847">
        <v>5419</v>
      </c>
      <c r="G1847" t="s">
        <v>18</v>
      </c>
      <c r="H1847">
        <v>27</v>
      </c>
      <c r="I1847" t="s">
        <v>19</v>
      </c>
      <c r="J1847">
        <v>1996</v>
      </c>
      <c r="K1847">
        <v>1996</v>
      </c>
      <c r="L1847" t="s">
        <v>20</v>
      </c>
      <c r="M1847">
        <v>24554</v>
      </c>
      <c r="N1847">
        <v>1500</v>
      </c>
    </row>
    <row r="1848" spans="1:14" x14ac:dyDescent="0.35">
      <c r="A1848" t="s">
        <v>1929</v>
      </c>
      <c r="B1848" t="s">
        <v>15</v>
      </c>
      <c r="C1848" t="s">
        <v>16</v>
      </c>
      <c r="D1848">
        <v>149</v>
      </c>
      <c r="E1848" t="s">
        <v>1918</v>
      </c>
      <c r="F1848">
        <v>5419</v>
      </c>
      <c r="G1848" t="s">
        <v>18</v>
      </c>
      <c r="H1848">
        <v>27</v>
      </c>
      <c r="I1848" t="s">
        <v>19</v>
      </c>
      <c r="J1848">
        <v>1997</v>
      </c>
      <c r="K1848">
        <v>1997</v>
      </c>
      <c r="L1848" t="s">
        <v>20</v>
      </c>
      <c r="M1848">
        <v>24170</v>
      </c>
      <c r="N1848">
        <v>1500</v>
      </c>
    </row>
    <row r="1849" spans="1:14" x14ac:dyDescent="0.35">
      <c r="A1849" t="s">
        <v>1930</v>
      </c>
      <c r="B1849" t="s">
        <v>15</v>
      </c>
      <c r="C1849" t="s">
        <v>16</v>
      </c>
      <c r="D1849">
        <v>149</v>
      </c>
      <c r="E1849" t="s">
        <v>1918</v>
      </c>
      <c r="F1849">
        <v>5419</v>
      </c>
      <c r="G1849" t="s">
        <v>18</v>
      </c>
      <c r="H1849">
        <v>27</v>
      </c>
      <c r="I1849" t="s">
        <v>19</v>
      </c>
      <c r="J1849">
        <v>1998</v>
      </c>
      <c r="K1849">
        <v>1998</v>
      </c>
      <c r="L1849" t="s">
        <v>20</v>
      </c>
      <c r="M1849">
        <v>24434</v>
      </c>
      <c r="N1849">
        <v>1500</v>
      </c>
    </row>
    <row r="1850" spans="1:14" x14ac:dyDescent="0.35">
      <c r="A1850" t="s">
        <v>1931</v>
      </c>
      <c r="B1850" t="s">
        <v>15</v>
      </c>
      <c r="C1850" t="s">
        <v>16</v>
      </c>
      <c r="D1850">
        <v>149</v>
      </c>
      <c r="E1850" t="s">
        <v>1918</v>
      </c>
      <c r="F1850">
        <v>5419</v>
      </c>
      <c r="G1850" t="s">
        <v>18</v>
      </c>
      <c r="H1850">
        <v>27</v>
      </c>
      <c r="I1850" t="s">
        <v>19</v>
      </c>
      <c r="J1850">
        <v>1999</v>
      </c>
      <c r="K1850">
        <v>1999</v>
      </c>
      <c r="L1850" t="s">
        <v>20</v>
      </c>
      <c r="M1850">
        <v>24722</v>
      </c>
      <c r="N1850">
        <v>1500</v>
      </c>
    </row>
    <row r="1851" spans="1:14" x14ac:dyDescent="0.35">
      <c r="A1851" t="s">
        <v>1932</v>
      </c>
      <c r="B1851" t="s">
        <v>15</v>
      </c>
      <c r="C1851" t="s">
        <v>16</v>
      </c>
      <c r="D1851">
        <v>149</v>
      </c>
      <c r="E1851" t="s">
        <v>1918</v>
      </c>
      <c r="F1851">
        <v>5419</v>
      </c>
      <c r="G1851" t="s">
        <v>18</v>
      </c>
      <c r="H1851">
        <v>27</v>
      </c>
      <c r="I1851" t="s">
        <v>19</v>
      </c>
      <c r="J1851">
        <v>2000</v>
      </c>
      <c r="K1851">
        <v>2000</v>
      </c>
      <c r="L1851" t="s">
        <v>20</v>
      </c>
      <c r="M1851">
        <v>27028</v>
      </c>
      <c r="N1851">
        <v>1500</v>
      </c>
    </row>
    <row r="1852" spans="1:14" x14ac:dyDescent="0.35">
      <c r="A1852" t="s">
        <v>1933</v>
      </c>
      <c r="B1852" t="s">
        <v>15</v>
      </c>
      <c r="C1852" t="s">
        <v>16</v>
      </c>
      <c r="D1852">
        <v>149</v>
      </c>
      <c r="E1852" t="s">
        <v>1918</v>
      </c>
      <c r="F1852">
        <v>5419</v>
      </c>
      <c r="G1852" t="s">
        <v>18</v>
      </c>
      <c r="H1852">
        <v>27</v>
      </c>
      <c r="I1852" t="s">
        <v>19</v>
      </c>
      <c r="J1852">
        <v>2001</v>
      </c>
      <c r="K1852">
        <v>2001</v>
      </c>
      <c r="L1852" t="s">
        <v>20</v>
      </c>
      <c r="M1852">
        <v>27454</v>
      </c>
      <c r="N1852">
        <v>1500</v>
      </c>
    </row>
    <row r="1853" spans="1:14" x14ac:dyDescent="0.35">
      <c r="A1853" t="s">
        <v>1934</v>
      </c>
      <c r="B1853" t="s">
        <v>15</v>
      </c>
      <c r="C1853" t="s">
        <v>16</v>
      </c>
      <c r="D1853">
        <v>149</v>
      </c>
      <c r="E1853" t="s">
        <v>1918</v>
      </c>
      <c r="F1853">
        <v>5419</v>
      </c>
      <c r="G1853" t="s">
        <v>18</v>
      </c>
      <c r="H1853">
        <v>27</v>
      </c>
      <c r="I1853" t="s">
        <v>19</v>
      </c>
      <c r="J1853">
        <v>2002</v>
      </c>
      <c r="K1853">
        <v>2002</v>
      </c>
      <c r="L1853" t="s">
        <v>20</v>
      </c>
      <c r="M1853">
        <v>26754</v>
      </c>
      <c r="N1853">
        <v>1500</v>
      </c>
    </row>
    <row r="1854" spans="1:14" x14ac:dyDescent="0.35">
      <c r="A1854" t="s">
        <v>1935</v>
      </c>
      <c r="B1854" t="s">
        <v>15</v>
      </c>
      <c r="C1854" t="s">
        <v>16</v>
      </c>
      <c r="D1854">
        <v>149</v>
      </c>
      <c r="E1854" t="s">
        <v>1918</v>
      </c>
      <c r="F1854">
        <v>5419</v>
      </c>
      <c r="G1854" t="s">
        <v>18</v>
      </c>
      <c r="H1854">
        <v>27</v>
      </c>
      <c r="I1854" t="s">
        <v>19</v>
      </c>
      <c r="J1854">
        <v>2004</v>
      </c>
      <c r="K1854">
        <v>2004</v>
      </c>
      <c r="L1854" t="s">
        <v>20</v>
      </c>
      <c r="M1854">
        <v>28573</v>
      </c>
      <c r="N1854">
        <v>1500</v>
      </c>
    </row>
    <row r="1855" spans="1:14" x14ac:dyDescent="0.35">
      <c r="A1855" t="s">
        <v>1936</v>
      </c>
      <c r="B1855" t="s">
        <v>15</v>
      </c>
      <c r="C1855" t="s">
        <v>16</v>
      </c>
      <c r="D1855">
        <v>149</v>
      </c>
      <c r="E1855" t="s">
        <v>1918</v>
      </c>
      <c r="F1855">
        <v>5419</v>
      </c>
      <c r="G1855" t="s">
        <v>18</v>
      </c>
      <c r="H1855">
        <v>27</v>
      </c>
      <c r="I1855" t="s">
        <v>19</v>
      </c>
      <c r="J1855">
        <v>2005</v>
      </c>
      <c r="K1855">
        <v>2005</v>
      </c>
      <c r="L1855" t="s">
        <v>20</v>
      </c>
      <c r="M1855">
        <v>27825</v>
      </c>
      <c r="N1855">
        <v>1500</v>
      </c>
    </row>
    <row r="1856" spans="1:14" x14ac:dyDescent="0.35">
      <c r="A1856" t="s">
        <v>1937</v>
      </c>
      <c r="B1856" t="s">
        <v>15</v>
      </c>
      <c r="C1856" t="s">
        <v>16</v>
      </c>
      <c r="D1856">
        <v>149</v>
      </c>
      <c r="E1856" t="s">
        <v>1918</v>
      </c>
      <c r="F1856">
        <v>5419</v>
      </c>
      <c r="G1856" t="s">
        <v>18</v>
      </c>
      <c r="H1856">
        <v>27</v>
      </c>
      <c r="I1856" t="s">
        <v>19</v>
      </c>
      <c r="J1856">
        <v>2006</v>
      </c>
      <c r="K1856">
        <v>2006</v>
      </c>
      <c r="L1856" t="s">
        <v>20</v>
      </c>
      <c r="M1856">
        <v>27166</v>
      </c>
      <c r="N1856">
        <v>1500</v>
      </c>
    </row>
    <row r="1857" spans="1:14" x14ac:dyDescent="0.35">
      <c r="A1857" t="s">
        <v>1938</v>
      </c>
      <c r="B1857" t="s">
        <v>15</v>
      </c>
      <c r="C1857" t="s">
        <v>16</v>
      </c>
      <c r="D1857">
        <v>149</v>
      </c>
      <c r="E1857" t="s">
        <v>1918</v>
      </c>
      <c r="F1857">
        <v>5419</v>
      </c>
      <c r="G1857" t="s">
        <v>18</v>
      </c>
      <c r="H1857">
        <v>27</v>
      </c>
      <c r="I1857" t="s">
        <v>19</v>
      </c>
      <c r="J1857">
        <v>2007</v>
      </c>
      <c r="K1857">
        <v>2007</v>
      </c>
      <c r="L1857" t="s">
        <v>20</v>
      </c>
      <c r="M1857">
        <v>25570</v>
      </c>
      <c r="N1857">
        <v>1500</v>
      </c>
    </row>
    <row r="1858" spans="1:14" x14ac:dyDescent="0.35">
      <c r="A1858" t="s">
        <v>1939</v>
      </c>
      <c r="B1858" t="s">
        <v>15</v>
      </c>
      <c r="C1858" t="s">
        <v>16</v>
      </c>
      <c r="D1858">
        <v>149</v>
      </c>
      <c r="E1858" t="s">
        <v>1918</v>
      </c>
      <c r="F1858">
        <v>5419</v>
      </c>
      <c r="G1858" t="s">
        <v>18</v>
      </c>
      <c r="H1858">
        <v>27</v>
      </c>
      <c r="I1858" t="s">
        <v>19</v>
      </c>
      <c r="J1858">
        <v>2008</v>
      </c>
      <c r="K1858">
        <v>2008</v>
      </c>
      <c r="L1858" t="s">
        <v>20</v>
      </c>
      <c r="M1858">
        <v>27750</v>
      </c>
      <c r="N1858">
        <v>1500</v>
      </c>
    </row>
    <row r="1859" spans="1:14" x14ac:dyDescent="0.35">
      <c r="A1859" t="s">
        <v>1940</v>
      </c>
      <c r="B1859" t="s">
        <v>15</v>
      </c>
      <c r="C1859" t="s">
        <v>16</v>
      </c>
      <c r="D1859">
        <v>149</v>
      </c>
      <c r="E1859" t="s">
        <v>1918</v>
      </c>
      <c r="F1859">
        <v>5419</v>
      </c>
      <c r="G1859" t="s">
        <v>18</v>
      </c>
      <c r="H1859">
        <v>27</v>
      </c>
      <c r="I1859" t="s">
        <v>19</v>
      </c>
      <c r="J1859">
        <v>2009</v>
      </c>
      <c r="K1859">
        <v>2009</v>
      </c>
      <c r="L1859" t="s">
        <v>20</v>
      </c>
      <c r="M1859">
        <v>29074</v>
      </c>
      <c r="N1859">
        <v>1500</v>
      </c>
    </row>
    <row r="1860" spans="1:14" x14ac:dyDescent="0.35">
      <c r="A1860" t="s">
        <v>1941</v>
      </c>
      <c r="B1860" t="s">
        <v>15</v>
      </c>
      <c r="C1860" t="s">
        <v>16</v>
      </c>
      <c r="D1860">
        <v>149</v>
      </c>
      <c r="E1860" t="s">
        <v>1918</v>
      </c>
      <c r="F1860">
        <v>5419</v>
      </c>
      <c r="G1860" t="s">
        <v>18</v>
      </c>
      <c r="H1860">
        <v>27</v>
      </c>
      <c r="I1860" t="s">
        <v>19</v>
      </c>
      <c r="J1860">
        <v>2010</v>
      </c>
      <c r="K1860">
        <v>2010</v>
      </c>
      <c r="L1860" t="s">
        <v>20</v>
      </c>
      <c r="M1860">
        <v>27164</v>
      </c>
      <c r="N1860">
        <v>1500</v>
      </c>
    </row>
    <row r="1861" spans="1:14" x14ac:dyDescent="0.35">
      <c r="A1861" t="s">
        <v>1942</v>
      </c>
      <c r="B1861" t="s">
        <v>15</v>
      </c>
      <c r="C1861" t="s">
        <v>16</v>
      </c>
      <c r="D1861">
        <v>149</v>
      </c>
      <c r="E1861" t="s">
        <v>1918</v>
      </c>
      <c r="F1861">
        <v>5419</v>
      </c>
      <c r="G1861" t="s">
        <v>18</v>
      </c>
      <c r="H1861">
        <v>27</v>
      </c>
      <c r="I1861" t="s">
        <v>19</v>
      </c>
      <c r="J1861">
        <v>2011</v>
      </c>
      <c r="K1861">
        <v>2011</v>
      </c>
      <c r="L1861" t="s">
        <v>20</v>
      </c>
      <c r="M1861">
        <v>29805</v>
      </c>
      <c r="N1861">
        <v>1500</v>
      </c>
    </row>
    <row r="1862" spans="1:14" x14ac:dyDescent="0.35">
      <c r="A1862" t="s">
        <v>1943</v>
      </c>
      <c r="B1862" t="s">
        <v>15</v>
      </c>
      <c r="C1862" t="s">
        <v>16</v>
      </c>
      <c r="D1862">
        <v>149</v>
      </c>
      <c r="E1862" t="s">
        <v>1918</v>
      </c>
      <c r="F1862">
        <v>5419</v>
      </c>
      <c r="G1862" t="s">
        <v>18</v>
      </c>
      <c r="H1862">
        <v>27</v>
      </c>
      <c r="I1862" t="s">
        <v>19</v>
      </c>
      <c r="J1862">
        <v>2012</v>
      </c>
      <c r="K1862">
        <v>2012</v>
      </c>
      <c r="L1862" t="s">
        <v>20</v>
      </c>
      <c r="M1862">
        <v>33120</v>
      </c>
      <c r="N1862">
        <v>1500</v>
      </c>
    </row>
    <row r="1863" spans="1:14" x14ac:dyDescent="0.35">
      <c r="A1863" t="s">
        <v>1944</v>
      </c>
      <c r="B1863" t="s">
        <v>15</v>
      </c>
      <c r="C1863" t="s">
        <v>16</v>
      </c>
      <c r="D1863">
        <v>149</v>
      </c>
      <c r="E1863" t="s">
        <v>1918</v>
      </c>
      <c r="F1863">
        <v>5419</v>
      </c>
      <c r="G1863" t="s">
        <v>18</v>
      </c>
      <c r="H1863">
        <v>27</v>
      </c>
      <c r="I1863" t="s">
        <v>19</v>
      </c>
      <c r="J1863">
        <v>2013</v>
      </c>
      <c r="K1863">
        <v>2013</v>
      </c>
      <c r="L1863" t="s">
        <v>20</v>
      </c>
      <c r="M1863">
        <v>31709</v>
      </c>
      <c r="N1863">
        <v>1500</v>
      </c>
    </row>
    <row r="1864" spans="1:14" x14ac:dyDescent="0.35">
      <c r="A1864" t="s">
        <v>1945</v>
      </c>
      <c r="B1864" t="s">
        <v>15</v>
      </c>
      <c r="C1864" t="s">
        <v>16</v>
      </c>
      <c r="D1864">
        <v>149</v>
      </c>
      <c r="E1864" t="s">
        <v>1918</v>
      </c>
      <c r="F1864">
        <v>5419</v>
      </c>
      <c r="G1864" t="s">
        <v>18</v>
      </c>
      <c r="H1864">
        <v>27</v>
      </c>
      <c r="I1864" t="s">
        <v>19</v>
      </c>
      <c r="J1864">
        <v>2014</v>
      </c>
      <c r="K1864">
        <v>2014</v>
      </c>
      <c r="L1864" t="s">
        <v>20</v>
      </c>
      <c r="M1864">
        <v>33942</v>
      </c>
      <c r="N1864">
        <v>1500</v>
      </c>
    </row>
    <row r="1865" spans="1:14" x14ac:dyDescent="0.35">
      <c r="A1865" t="s">
        <v>1946</v>
      </c>
      <c r="B1865" t="s">
        <v>15</v>
      </c>
      <c r="C1865" t="s">
        <v>16</v>
      </c>
      <c r="D1865">
        <v>149</v>
      </c>
      <c r="E1865" t="s">
        <v>1918</v>
      </c>
      <c r="F1865">
        <v>5419</v>
      </c>
      <c r="G1865" t="s">
        <v>18</v>
      </c>
      <c r="H1865">
        <v>27</v>
      </c>
      <c r="I1865" t="s">
        <v>19</v>
      </c>
      <c r="J1865">
        <v>2015</v>
      </c>
      <c r="K1865">
        <v>2015</v>
      </c>
      <c r="L1865" t="s">
        <v>20</v>
      </c>
      <c r="M1865">
        <v>33596</v>
      </c>
      <c r="N1865">
        <v>1500</v>
      </c>
    </row>
    <row r="1866" spans="1:14" x14ac:dyDescent="0.35">
      <c r="A1866" t="s">
        <v>1947</v>
      </c>
      <c r="B1866" t="s">
        <v>15</v>
      </c>
      <c r="C1866" t="s">
        <v>16</v>
      </c>
      <c r="D1866">
        <v>149</v>
      </c>
      <c r="E1866" t="s">
        <v>1918</v>
      </c>
      <c r="F1866">
        <v>5419</v>
      </c>
      <c r="G1866" t="s">
        <v>18</v>
      </c>
      <c r="H1866">
        <v>27</v>
      </c>
      <c r="I1866" t="s">
        <v>19</v>
      </c>
      <c r="J1866">
        <v>2016</v>
      </c>
      <c r="K1866">
        <v>2016</v>
      </c>
      <c r="L1866" t="s">
        <v>20</v>
      </c>
      <c r="M1866">
        <v>31543</v>
      </c>
      <c r="N1866">
        <v>1500</v>
      </c>
    </row>
    <row r="1867" spans="1:14" x14ac:dyDescent="0.35">
      <c r="A1867" t="s">
        <v>1948</v>
      </c>
      <c r="B1867" t="s">
        <v>15</v>
      </c>
      <c r="C1867" t="s">
        <v>16</v>
      </c>
      <c r="D1867">
        <v>157</v>
      </c>
      <c r="E1867" t="s">
        <v>1949</v>
      </c>
      <c r="F1867">
        <v>5419</v>
      </c>
      <c r="G1867" t="s">
        <v>18</v>
      </c>
      <c r="H1867">
        <v>27</v>
      </c>
      <c r="I1867" t="s">
        <v>19</v>
      </c>
      <c r="J1867">
        <v>1985</v>
      </c>
      <c r="K1867">
        <v>1985</v>
      </c>
      <c r="L1867" t="s">
        <v>20</v>
      </c>
      <c r="M1867">
        <v>35284</v>
      </c>
      <c r="N1867">
        <v>2280</v>
      </c>
    </row>
    <row r="1868" spans="1:14" x14ac:dyDescent="0.35">
      <c r="A1868" t="s">
        <v>1950</v>
      </c>
      <c r="B1868" t="s">
        <v>15</v>
      </c>
      <c r="C1868" t="s">
        <v>16</v>
      </c>
      <c r="D1868">
        <v>157</v>
      </c>
      <c r="E1868" t="s">
        <v>1949</v>
      </c>
      <c r="F1868">
        <v>5419</v>
      </c>
      <c r="G1868" t="s">
        <v>18</v>
      </c>
      <c r="H1868">
        <v>27</v>
      </c>
      <c r="I1868" t="s">
        <v>19</v>
      </c>
      <c r="J1868">
        <v>1986</v>
      </c>
      <c r="K1868">
        <v>1986</v>
      </c>
      <c r="L1868" t="s">
        <v>20</v>
      </c>
      <c r="M1868">
        <v>30530</v>
      </c>
      <c r="N1868">
        <v>2280</v>
      </c>
    </row>
    <row r="1869" spans="1:14" x14ac:dyDescent="0.35">
      <c r="A1869" t="s">
        <v>1951</v>
      </c>
      <c r="B1869" t="s">
        <v>15</v>
      </c>
      <c r="C1869" t="s">
        <v>16</v>
      </c>
      <c r="D1869">
        <v>157</v>
      </c>
      <c r="E1869" t="s">
        <v>1949</v>
      </c>
      <c r="F1869">
        <v>5419</v>
      </c>
      <c r="G1869" t="s">
        <v>18</v>
      </c>
      <c r="H1869">
        <v>27</v>
      </c>
      <c r="I1869" t="s">
        <v>19</v>
      </c>
      <c r="J1869">
        <v>1987</v>
      </c>
      <c r="K1869">
        <v>1987</v>
      </c>
      <c r="L1869" t="s">
        <v>20</v>
      </c>
      <c r="M1869">
        <v>32883</v>
      </c>
      <c r="N1869">
        <v>2280</v>
      </c>
    </row>
    <row r="1870" spans="1:14" x14ac:dyDescent="0.35">
      <c r="A1870" t="s">
        <v>1952</v>
      </c>
      <c r="B1870" t="s">
        <v>15</v>
      </c>
      <c r="C1870" t="s">
        <v>16</v>
      </c>
      <c r="D1870">
        <v>157</v>
      </c>
      <c r="E1870" t="s">
        <v>1949</v>
      </c>
      <c r="F1870">
        <v>5419</v>
      </c>
      <c r="G1870" t="s">
        <v>18</v>
      </c>
      <c r="H1870">
        <v>27</v>
      </c>
      <c r="I1870" t="s">
        <v>19</v>
      </c>
      <c r="J1870">
        <v>1989</v>
      </c>
      <c r="K1870">
        <v>1989</v>
      </c>
      <c r="L1870" t="s">
        <v>20</v>
      </c>
      <c r="M1870">
        <v>26374</v>
      </c>
      <c r="N1870">
        <v>2280</v>
      </c>
    </row>
    <row r="1871" spans="1:14" x14ac:dyDescent="0.35">
      <c r="A1871" t="s">
        <v>1953</v>
      </c>
      <c r="B1871" t="s">
        <v>15</v>
      </c>
      <c r="C1871" t="s">
        <v>16</v>
      </c>
      <c r="D1871">
        <v>157</v>
      </c>
      <c r="E1871" t="s">
        <v>1949</v>
      </c>
      <c r="F1871">
        <v>5419</v>
      </c>
      <c r="G1871" t="s">
        <v>18</v>
      </c>
      <c r="H1871">
        <v>27</v>
      </c>
      <c r="I1871" t="s">
        <v>19</v>
      </c>
      <c r="J1871">
        <v>1990</v>
      </c>
      <c r="K1871">
        <v>1990</v>
      </c>
      <c r="L1871" t="s">
        <v>20</v>
      </c>
      <c r="M1871">
        <v>26326</v>
      </c>
      <c r="N1871">
        <v>2280</v>
      </c>
    </row>
    <row r="1872" spans="1:14" x14ac:dyDescent="0.35">
      <c r="A1872" t="s">
        <v>1954</v>
      </c>
      <c r="B1872" t="s">
        <v>15</v>
      </c>
      <c r="C1872" t="s">
        <v>16</v>
      </c>
      <c r="D1872">
        <v>157</v>
      </c>
      <c r="E1872" t="s">
        <v>1949</v>
      </c>
      <c r="F1872">
        <v>5419</v>
      </c>
      <c r="G1872" t="s">
        <v>18</v>
      </c>
      <c r="H1872">
        <v>27</v>
      </c>
      <c r="I1872" t="s">
        <v>19</v>
      </c>
      <c r="J1872">
        <v>1991</v>
      </c>
      <c r="K1872">
        <v>1991</v>
      </c>
      <c r="L1872" t="s">
        <v>20</v>
      </c>
      <c r="M1872">
        <v>32527</v>
      </c>
      <c r="N1872">
        <v>2280</v>
      </c>
    </row>
    <row r="1873" spans="1:14" x14ac:dyDescent="0.35">
      <c r="A1873" t="s">
        <v>1955</v>
      </c>
      <c r="B1873" t="s">
        <v>15</v>
      </c>
      <c r="C1873" t="s">
        <v>16</v>
      </c>
      <c r="D1873">
        <v>157</v>
      </c>
      <c r="E1873" t="s">
        <v>1949</v>
      </c>
      <c r="F1873">
        <v>5419</v>
      </c>
      <c r="G1873" t="s">
        <v>18</v>
      </c>
      <c r="H1873">
        <v>27</v>
      </c>
      <c r="I1873" t="s">
        <v>19</v>
      </c>
      <c r="J1873">
        <v>1992</v>
      </c>
      <c r="K1873">
        <v>1992</v>
      </c>
      <c r="L1873" t="s">
        <v>20</v>
      </c>
      <c r="M1873">
        <v>29255</v>
      </c>
      <c r="N1873">
        <v>2280</v>
      </c>
    </row>
    <row r="1874" spans="1:14" x14ac:dyDescent="0.35">
      <c r="A1874" t="s">
        <v>1956</v>
      </c>
      <c r="B1874" t="s">
        <v>15</v>
      </c>
      <c r="C1874" t="s">
        <v>16</v>
      </c>
      <c r="D1874">
        <v>157</v>
      </c>
      <c r="E1874" t="s">
        <v>1949</v>
      </c>
      <c r="F1874">
        <v>5419</v>
      </c>
      <c r="G1874" t="s">
        <v>18</v>
      </c>
      <c r="H1874">
        <v>27</v>
      </c>
      <c r="I1874" t="s">
        <v>19</v>
      </c>
      <c r="J1874">
        <v>1993</v>
      </c>
      <c r="K1874">
        <v>1993</v>
      </c>
      <c r="L1874" t="s">
        <v>20</v>
      </c>
      <c r="M1874">
        <v>35450</v>
      </c>
      <c r="N1874">
        <v>2280</v>
      </c>
    </row>
    <row r="1875" spans="1:14" x14ac:dyDescent="0.35">
      <c r="A1875" t="s">
        <v>1957</v>
      </c>
      <c r="B1875" t="s">
        <v>15</v>
      </c>
      <c r="C1875" t="s">
        <v>16</v>
      </c>
      <c r="D1875">
        <v>157</v>
      </c>
      <c r="E1875" t="s">
        <v>1949</v>
      </c>
      <c r="F1875">
        <v>5419</v>
      </c>
      <c r="G1875" t="s">
        <v>18</v>
      </c>
      <c r="H1875">
        <v>27</v>
      </c>
      <c r="I1875" t="s">
        <v>19</v>
      </c>
      <c r="J1875">
        <v>1994</v>
      </c>
      <c r="K1875">
        <v>1994</v>
      </c>
      <c r="L1875" t="s">
        <v>20</v>
      </c>
      <c r="M1875">
        <v>32528</v>
      </c>
      <c r="N1875">
        <v>2280</v>
      </c>
    </row>
    <row r="1876" spans="1:14" x14ac:dyDescent="0.35">
      <c r="A1876" t="s">
        <v>1958</v>
      </c>
      <c r="B1876" t="s">
        <v>15</v>
      </c>
      <c r="C1876" t="s">
        <v>16</v>
      </c>
      <c r="D1876">
        <v>157</v>
      </c>
      <c r="E1876" t="s">
        <v>1949</v>
      </c>
      <c r="F1876">
        <v>5419</v>
      </c>
      <c r="G1876" t="s">
        <v>18</v>
      </c>
      <c r="H1876">
        <v>27</v>
      </c>
      <c r="I1876" t="s">
        <v>19</v>
      </c>
      <c r="J1876">
        <v>1995</v>
      </c>
      <c r="K1876">
        <v>1995</v>
      </c>
      <c r="L1876" t="s">
        <v>20</v>
      </c>
      <c r="M1876">
        <v>37084</v>
      </c>
      <c r="N1876">
        <v>2280</v>
      </c>
    </row>
    <row r="1877" spans="1:14" x14ac:dyDescent="0.35">
      <c r="A1877" t="s">
        <v>1959</v>
      </c>
      <c r="B1877" t="s">
        <v>15</v>
      </c>
      <c r="C1877" t="s">
        <v>16</v>
      </c>
      <c r="D1877">
        <v>157</v>
      </c>
      <c r="E1877" t="s">
        <v>1949</v>
      </c>
      <c r="F1877">
        <v>5419</v>
      </c>
      <c r="G1877" t="s">
        <v>18</v>
      </c>
      <c r="H1877">
        <v>27</v>
      </c>
      <c r="I1877" t="s">
        <v>19</v>
      </c>
      <c r="J1877">
        <v>1996</v>
      </c>
      <c r="K1877">
        <v>1996</v>
      </c>
      <c r="L1877" t="s">
        <v>20</v>
      </c>
      <c r="M1877">
        <v>34195</v>
      </c>
      <c r="N1877">
        <v>2280</v>
      </c>
    </row>
    <row r="1878" spans="1:14" x14ac:dyDescent="0.35">
      <c r="A1878" t="s">
        <v>1960</v>
      </c>
      <c r="B1878" t="s">
        <v>15</v>
      </c>
      <c r="C1878" t="s">
        <v>16</v>
      </c>
      <c r="D1878">
        <v>157</v>
      </c>
      <c r="E1878" t="s">
        <v>1949</v>
      </c>
      <c r="F1878">
        <v>5419</v>
      </c>
      <c r="G1878" t="s">
        <v>18</v>
      </c>
      <c r="H1878">
        <v>27</v>
      </c>
      <c r="I1878" t="s">
        <v>19</v>
      </c>
      <c r="J1878">
        <v>1997</v>
      </c>
      <c r="K1878">
        <v>1997</v>
      </c>
      <c r="L1878" t="s">
        <v>20</v>
      </c>
      <c r="M1878">
        <v>34389</v>
      </c>
      <c r="N1878">
        <v>2280</v>
      </c>
    </row>
    <row r="1879" spans="1:14" x14ac:dyDescent="0.35">
      <c r="A1879" t="s">
        <v>1961</v>
      </c>
      <c r="B1879" t="s">
        <v>15</v>
      </c>
      <c r="C1879" t="s">
        <v>16</v>
      </c>
      <c r="D1879">
        <v>157</v>
      </c>
      <c r="E1879" t="s">
        <v>1949</v>
      </c>
      <c r="F1879">
        <v>5419</v>
      </c>
      <c r="G1879" t="s">
        <v>18</v>
      </c>
      <c r="H1879">
        <v>27</v>
      </c>
      <c r="I1879" t="s">
        <v>19</v>
      </c>
      <c r="J1879">
        <v>1998</v>
      </c>
      <c r="K1879">
        <v>1998</v>
      </c>
      <c r="L1879" t="s">
        <v>20</v>
      </c>
      <c r="M1879">
        <v>34730</v>
      </c>
      <c r="N1879">
        <v>2280</v>
      </c>
    </row>
    <row r="1880" spans="1:14" x14ac:dyDescent="0.35">
      <c r="A1880" t="s">
        <v>1962</v>
      </c>
      <c r="B1880" t="s">
        <v>15</v>
      </c>
      <c r="C1880" t="s">
        <v>16</v>
      </c>
      <c r="D1880">
        <v>157</v>
      </c>
      <c r="E1880" t="s">
        <v>1949</v>
      </c>
      <c r="F1880">
        <v>5419</v>
      </c>
      <c r="G1880" t="s">
        <v>18</v>
      </c>
      <c r="H1880">
        <v>27</v>
      </c>
      <c r="I1880" t="s">
        <v>19</v>
      </c>
      <c r="J1880">
        <v>1999</v>
      </c>
      <c r="K1880">
        <v>1999</v>
      </c>
      <c r="L1880" t="s">
        <v>20</v>
      </c>
      <c r="M1880">
        <v>36568</v>
      </c>
      <c r="N1880">
        <v>2280</v>
      </c>
    </row>
    <row r="1881" spans="1:14" x14ac:dyDescent="0.35">
      <c r="A1881" t="s">
        <v>1963</v>
      </c>
      <c r="B1881" t="s">
        <v>15</v>
      </c>
      <c r="C1881" t="s">
        <v>16</v>
      </c>
      <c r="D1881">
        <v>157</v>
      </c>
      <c r="E1881" t="s">
        <v>1949</v>
      </c>
      <c r="F1881">
        <v>5419</v>
      </c>
      <c r="G1881" t="s">
        <v>18</v>
      </c>
      <c r="H1881">
        <v>27</v>
      </c>
      <c r="I1881" t="s">
        <v>19</v>
      </c>
      <c r="J1881">
        <v>2000</v>
      </c>
      <c r="K1881">
        <v>2000</v>
      </c>
      <c r="L1881" t="s">
        <v>20</v>
      </c>
      <c r="M1881">
        <v>31201</v>
      </c>
      <c r="N1881">
        <v>2280</v>
      </c>
    </row>
    <row r="1882" spans="1:14" x14ac:dyDescent="0.35">
      <c r="A1882" t="s">
        <v>1964</v>
      </c>
      <c r="B1882" t="s">
        <v>15</v>
      </c>
      <c r="C1882" t="s">
        <v>16</v>
      </c>
      <c r="D1882">
        <v>157</v>
      </c>
      <c r="E1882" t="s">
        <v>1949</v>
      </c>
      <c r="F1882">
        <v>5419</v>
      </c>
      <c r="G1882" t="s">
        <v>18</v>
      </c>
      <c r="H1882">
        <v>27</v>
      </c>
      <c r="I1882" t="s">
        <v>19</v>
      </c>
      <c r="J1882">
        <v>2001</v>
      </c>
      <c r="K1882">
        <v>2001</v>
      </c>
      <c r="L1882" t="s">
        <v>20</v>
      </c>
      <c r="M1882">
        <v>29281</v>
      </c>
      <c r="N1882">
        <v>2280</v>
      </c>
    </row>
    <row r="1883" spans="1:14" x14ac:dyDescent="0.35">
      <c r="A1883" t="s">
        <v>1965</v>
      </c>
      <c r="B1883" t="s">
        <v>15</v>
      </c>
      <c r="C1883" t="s">
        <v>16</v>
      </c>
      <c r="D1883">
        <v>157</v>
      </c>
      <c r="E1883" t="s">
        <v>1949</v>
      </c>
      <c r="F1883">
        <v>5419</v>
      </c>
      <c r="G1883" t="s">
        <v>18</v>
      </c>
      <c r="H1883">
        <v>27</v>
      </c>
      <c r="I1883" t="s">
        <v>19</v>
      </c>
      <c r="J1883">
        <v>2002</v>
      </c>
      <c r="K1883">
        <v>2002</v>
      </c>
      <c r="L1883" t="s">
        <v>20</v>
      </c>
      <c r="M1883">
        <v>31853</v>
      </c>
      <c r="N1883">
        <v>2280</v>
      </c>
    </row>
    <row r="1884" spans="1:14" x14ac:dyDescent="0.35">
      <c r="A1884" t="s">
        <v>1966</v>
      </c>
      <c r="B1884" t="s">
        <v>15</v>
      </c>
      <c r="C1884" t="s">
        <v>16</v>
      </c>
      <c r="D1884">
        <v>157</v>
      </c>
      <c r="E1884" t="s">
        <v>1949</v>
      </c>
      <c r="F1884">
        <v>5419</v>
      </c>
      <c r="G1884" t="s">
        <v>18</v>
      </c>
      <c r="H1884">
        <v>27</v>
      </c>
      <c r="I1884" t="s">
        <v>19</v>
      </c>
      <c r="J1884">
        <v>2004</v>
      </c>
      <c r="K1884">
        <v>2004</v>
      </c>
      <c r="L1884" t="s">
        <v>20</v>
      </c>
      <c r="M1884">
        <v>35103</v>
      </c>
      <c r="N1884">
        <v>2280</v>
      </c>
    </row>
    <row r="1885" spans="1:14" x14ac:dyDescent="0.35">
      <c r="A1885" t="s">
        <v>1967</v>
      </c>
      <c r="B1885" t="s">
        <v>15</v>
      </c>
      <c r="C1885" t="s">
        <v>16</v>
      </c>
      <c r="D1885">
        <v>157</v>
      </c>
      <c r="E1885" t="s">
        <v>1949</v>
      </c>
      <c r="F1885">
        <v>5419</v>
      </c>
      <c r="G1885" t="s">
        <v>18</v>
      </c>
      <c r="H1885">
        <v>27</v>
      </c>
      <c r="I1885" t="s">
        <v>19</v>
      </c>
      <c r="J1885">
        <v>2005</v>
      </c>
      <c r="K1885">
        <v>2005</v>
      </c>
      <c r="L1885" t="s">
        <v>20</v>
      </c>
      <c r="M1885">
        <v>33106</v>
      </c>
      <c r="N1885">
        <v>2280</v>
      </c>
    </row>
    <row r="1886" spans="1:14" x14ac:dyDescent="0.35">
      <c r="A1886" t="s">
        <v>1968</v>
      </c>
      <c r="B1886" t="s">
        <v>15</v>
      </c>
      <c r="C1886" t="s">
        <v>16</v>
      </c>
      <c r="D1886">
        <v>157</v>
      </c>
      <c r="E1886" t="s">
        <v>1949</v>
      </c>
      <c r="F1886">
        <v>5419</v>
      </c>
      <c r="G1886" t="s">
        <v>18</v>
      </c>
      <c r="H1886">
        <v>27</v>
      </c>
      <c r="I1886" t="s">
        <v>19</v>
      </c>
      <c r="J1886">
        <v>2006</v>
      </c>
      <c r="K1886">
        <v>2006</v>
      </c>
      <c r="L1886" t="s">
        <v>20</v>
      </c>
      <c r="M1886">
        <v>36392</v>
      </c>
      <c r="N1886">
        <v>2280</v>
      </c>
    </row>
    <row r="1887" spans="1:14" x14ac:dyDescent="0.35">
      <c r="A1887" t="s">
        <v>1969</v>
      </c>
      <c r="B1887" t="s">
        <v>15</v>
      </c>
      <c r="C1887" t="s">
        <v>16</v>
      </c>
      <c r="D1887">
        <v>157</v>
      </c>
      <c r="E1887" t="s">
        <v>1949</v>
      </c>
      <c r="F1887">
        <v>5419</v>
      </c>
      <c r="G1887" t="s">
        <v>18</v>
      </c>
      <c r="H1887">
        <v>27</v>
      </c>
      <c r="I1887" t="s">
        <v>19</v>
      </c>
      <c r="J1887">
        <v>2007</v>
      </c>
      <c r="K1887">
        <v>2007</v>
      </c>
      <c r="L1887" t="s">
        <v>20</v>
      </c>
      <c r="M1887">
        <v>39482</v>
      </c>
      <c r="N1887">
        <v>2280</v>
      </c>
    </row>
    <row r="1888" spans="1:14" x14ac:dyDescent="0.35">
      <c r="A1888" t="s">
        <v>1970</v>
      </c>
      <c r="B1888" t="s">
        <v>15</v>
      </c>
      <c r="C1888" t="s">
        <v>16</v>
      </c>
      <c r="D1888">
        <v>157</v>
      </c>
      <c r="E1888" t="s">
        <v>1949</v>
      </c>
      <c r="F1888">
        <v>5419</v>
      </c>
      <c r="G1888" t="s">
        <v>18</v>
      </c>
      <c r="H1888">
        <v>27</v>
      </c>
      <c r="I1888" t="s">
        <v>19</v>
      </c>
      <c r="J1888">
        <v>2008</v>
      </c>
      <c r="K1888">
        <v>2008</v>
      </c>
      <c r="L1888" t="s">
        <v>20</v>
      </c>
      <c r="M1888">
        <v>40055</v>
      </c>
      <c r="N1888">
        <v>2280</v>
      </c>
    </row>
    <row r="1889" spans="1:14" x14ac:dyDescent="0.35">
      <c r="A1889" t="s">
        <v>1971</v>
      </c>
      <c r="B1889" t="s">
        <v>15</v>
      </c>
      <c r="C1889" t="s">
        <v>16</v>
      </c>
      <c r="D1889">
        <v>157</v>
      </c>
      <c r="E1889" t="s">
        <v>1949</v>
      </c>
      <c r="F1889">
        <v>5419</v>
      </c>
      <c r="G1889" t="s">
        <v>18</v>
      </c>
      <c r="H1889">
        <v>27</v>
      </c>
      <c r="I1889" t="s">
        <v>19</v>
      </c>
      <c r="J1889">
        <v>2009</v>
      </c>
      <c r="K1889">
        <v>2009</v>
      </c>
      <c r="L1889" t="s">
        <v>20</v>
      </c>
      <c r="M1889">
        <v>45355</v>
      </c>
      <c r="N1889">
        <v>2280</v>
      </c>
    </row>
    <row r="1890" spans="1:14" x14ac:dyDescent="0.35">
      <c r="A1890" t="s">
        <v>1972</v>
      </c>
      <c r="B1890" t="s">
        <v>15</v>
      </c>
      <c r="C1890" t="s">
        <v>16</v>
      </c>
      <c r="D1890">
        <v>157</v>
      </c>
      <c r="E1890" t="s">
        <v>1949</v>
      </c>
      <c r="F1890">
        <v>5419</v>
      </c>
      <c r="G1890" t="s">
        <v>18</v>
      </c>
      <c r="H1890">
        <v>27</v>
      </c>
      <c r="I1890" t="s">
        <v>19</v>
      </c>
      <c r="J1890">
        <v>2010</v>
      </c>
      <c r="K1890">
        <v>2010</v>
      </c>
      <c r="L1890" t="s">
        <v>20</v>
      </c>
      <c r="M1890">
        <v>51406</v>
      </c>
      <c r="N1890">
        <v>2280</v>
      </c>
    </row>
    <row r="1891" spans="1:14" x14ac:dyDescent="0.35">
      <c r="A1891" t="s">
        <v>1973</v>
      </c>
      <c r="B1891" t="s">
        <v>15</v>
      </c>
      <c r="C1891" t="s">
        <v>16</v>
      </c>
      <c r="D1891">
        <v>157</v>
      </c>
      <c r="E1891" t="s">
        <v>1949</v>
      </c>
      <c r="F1891">
        <v>5419</v>
      </c>
      <c r="G1891" t="s">
        <v>18</v>
      </c>
      <c r="H1891">
        <v>27</v>
      </c>
      <c r="I1891" t="s">
        <v>19</v>
      </c>
      <c r="J1891">
        <v>2011</v>
      </c>
      <c r="K1891">
        <v>2011</v>
      </c>
      <c r="L1891" t="s">
        <v>20</v>
      </c>
      <c r="M1891">
        <v>41177</v>
      </c>
      <c r="N1891">
        <v>2280</v>
      </c>
    </row>
    <row r="1892" spans="1:14" x14ac:dyDescent="0.35">
      <c r="A1892" t="s">
        <v>1974</v>
      </c>
      <c r="B1892" t="s">
        <v>15</v>
      </c>
      <c r="C1892" t="s">
        <v>16</v>
      </c>
      <c r="D1892">
        <v>157</v>
      </c>
      <c r="E1892" t="s">
        <v>1949</v>
      </c>
      <c r="F1892">
        <v>5419</v>
      </c>
      <c r="G1892" t="s">
        <v>18</v>
      </c>
      <c r="H1892">
        <v>27</v>
      </c>
      <c r="I1892" t="s">
        <v>19</v>
      </c>
      <c r="J1892">
        <v>2012</v>
      </c>
      <c r="K1892">
        <v>2012</v>
      </c>
      <c r="L1892" t="s">
        <v>20</v>
      </c>
      <c r="M1892">
        <v>37753</v>
      </c>
      <c r="N1892">
        <v>2280</v>
      </c>
    </row>
    <row r="1893" spans="1:14" x14ac:dyDescent="0.35">
      <c r="A1893" t="s">
        <v>1975</v>
      </c>
      <c r="B1893" t="s">
        <v>15</v>
      </c>
      <c r="C1893" t="s">
        <v>16</v>
      </c>
      <c r="D1893">
        <v>157</v>
      </c>
      <c r="E1893" t="s">
        <v>1949</v>
      </c>
      <c r="F1893">
        <v>5419</v>
      </c>
      <c r="G1893" t="s">
        <v>18</v>
      </c>
      <c r="H1893">
        <v>27</v>
      </c>
      <c r="I1893" t="s">
        <v>19</v>
      </c>
      <c r="J1893">
        <v>2013</v>
      </c>
      <c r="K1893">
        <v>2013</v>
      </c>
      <c r="L1893" t="s">
        <v>20</v>
      </c>
      <c r="M1893">
        <v>49680</v>
      </c>
      <c r="N1893">
        <v>2280</v>
      </c>
    </row>
    <row r="1894" spans="1:14" x14ac:dyDescent="0.35">
      <c r="A1894" t="s">
        <v>1976</v>
      </c>
      <c r="B1894" t="s">
        <v>15</v>
      </c>
      <c r="C1894" t="s">
        <v>16</v>
      </c>
      <c r="D1894">
        <v>157</v>
      </c>
      <c r="E1894" t="s">
        <v>1949</v>
      </c>
      <c r="F1894">
        <v>5419</v>
      </c>
      <c r="G1894" t="s">
        <v>18</v>
      </c>
      <c r="H1894">
        <v>27</v>
      </c>
      <c r="I1894" t="s">
        <v>19</v>
      </c>
      <c r="J1894">
        <v>2014</v>
      </c>
      <c r="K1894">
        <v>2014</v>
      </c>
      <c r="L1894" t="s">
        <v>20</v>
      </c>
      <c r="M1894">
        <v>55764</v>
      </c>
      <c r="N1894">
        <v>2280</v>
      </c>
    </row>
    <row r="1895" spans="1:14" x14ac:dyDescent="0.35">
      <c r="A1895" t="s">
        <v>1977</v>
      </c>
      <c r="B1895" t="s">
        <v>15</v>
      </c>
      <c r="C1895" t="s">
        <v>16</v>
      </c>
      <c r="D1895">
        <v>157</v>
      </c>
      <c r="E1895" t="s">
        <v>1949</v>
      </c>
      <c r="F1895">
        <v>5419</v>
      </c>
      <c r="G1895" t="s">
        <v>18</v>
      </c>
      <c r="H1895">
        <v>27</v>
      </c>
      <c r="I1895" t="s">
        <v>19</v>
      </c>
      <c r="J1895">
        <v>2015</v>
      </c>
      <c r="K1895">
        <v>2015</v>
      </c>
      <c r="L1895" t="s">
        <v>20</v>
      </c>
      <c r="M1895">
        <v>56648</v>
      </c>
      <c r="N1895">
        <v>2280</v>
      </c>
    </row>
    <row r="1896" spans="1:14" x14ac:dyDescent="0.35">
      <c r="A1896" t="s">
        <v>1978</v>
      </c>
      <c r="B1896" t="s">
        <v>15</v>
      </c>
      <c r="C1896" t="s">
        <v>16</v>
      </c>
      <c r="D1896">
        <v>157</v>
      </c>
      <c r="E1896" t="s">
        <v>1949</v>
      </c>
      <c r="F1896">
        <v>5419</v>
      </c>
      <c r="G1896" t="s">
        <v>18</v>
      </c>
      <c r="H1896">
        <v>27</v>
      </c>
      <c r="I1896" t="s">
        <v>19</v>
      </c>
      <c r="J1896">
        <v>2016</v>
      </c>
      <c r="K1896">
        <v>2016</v>
      </c>
      <c r="L1896" t="s">
        <v>20</v>
      </c>
      <c r="M1896">
        <v>50217</v>
      </c>
      <c r="N1896">
        <v>2280</v>
      </c>
    </row>
    <row r="1897" spans="1:14" x14ac:dyDescent="0.35">
      <c r="A1897" t="s">
        <v>1979</v>
      </c>
      <c r="B1897" t="s">
        <v>15</v>
      </c>
      <c r="C1897" t="s">
        <v>16</v>
      </c>
      <c r="D1897">
        <v>158</v>
      </c>
      <c r="E1897" t="s">
        <v>1980</v>
      </c>
      <c r="F1897">
        <v>5419</v>
      </c>
      <c r="G1897" t="s">
        <v>18</v>
      </c>
      <c r="H1897">
        <v>27</v>
      </c>
      <c r="I1897" t="s">
        <v>19</v>
      </c>
      <c r="J1897">
        <v>1985</v>
      </c>
      <c r="K1897">
        <v>1985</v>
      </c>
      <c r="L1897" t="s">
        <v>20</v>
      </c>
      <c r="M1897">
        <v>27524</v>
      </c>
      <c r="N1897">
        <v>151</v>
      </c>
    </row>
    <row r="1898" spans="1:14" x14ac:dyDescent="0.35">
      <c r="A1898" t="s">
        <v>1981</v>
      </c>
      <c r="B1898" t="s">
        <v>15</v>
      </c>
      <c r="C1898" t="s">
        <v>16</v>
      </c>
      <c r="D1898">
        <v>158</v>
      </c>
      <c r="E1898" t="s">
        <v>1980</v>
      </c>
      <c r="F1898">
        <v>5419</v>
      </c>
      <c r="G1898" t="s">
        <v>18</v>
      </c>
      <c r="H1898">
        <v>27</v>
      </c>
      <c r="I1898" t="s">
        <v>19</v>
      </c>
      <c r="J1898">
        <v>1986</v>
      </c>
      <c r="K1898">
        <v>1986</v>
      </c>
      <c r="L1898" t="s">
        <v>20</v>
      </c>
      <c r="M1898">
        <v>27283</v>
      </c>
      <c r="N1898">
        <v>151</v>
      </c>
    </row>
    <row r="1899" spans="1:14" x14ac:dyDescent="0.35">
      <c r="A1899" t="s">
        <v>1982</v>
      </c>
      <c r="B1899" t="s">
        <v>15</v>
      </c>
      <c r="C1899" t="s">
        <v>16</v>
      </c>
      <c r="D1899">
        <v>158</v>
      </c>
      <c r="E1899" t="s">
        <v>1980</v>
      </c>
      <c r="F1899">
        <v>5419</v>
      </c>
      <c r="G1899" t="s">
        <v>18</v>
      </c>
      <c r="H1899">
        <v>27</v>
      </c>
      <c r="I1899" t="s">
        <v>19</v>
      </c>
      <c r="J1899">
        <v>1987</v>
      </c>
      <c r="K1899">
        <v>1987</v>
      </c>
      <c r="L1899" t="s">
        <v>20</v>
      </c>
      <c r="M1899">
        <v>24498</v>
      </c>
      <c r="N1899">
        <v>151</v>
      </c>
    </row>
    <row r="1900" spans="1:14" x14ac:dyDescent="0.35">
      <c r="A1900" t="s">
        <v>1983</v>
      </c>
      <c r="B1900" t="s">
        <v>15</v>
      </c>
      <c r="C1900" t="s">
        <v>16</v>
      </c>
      <c r="D1900">
        <v>158</v>
      </c>
      <c r="E1900" t="s">
        <v>1980</v>
      </c>
      <c r="F1900">
        <v>5419</v>
      </c>
      <c r="G1900" t="s">
        <v>18</v>
      </c>
      <c r="H1900">
        <v>27</v>
      </c>
      <c r="I1900" t="s">
        <v>19</v>
      </c>
      <c r="J1900">
        <v>1989</v>
      </c>
      <c r="K1900">
        <v>1989</v>
      </c>
      <c r="L1900" t="s">
        <v>20</v>
      </c>
      <c r="M1900">
        <v>34147</v>
      </c>
      <c r="N1900">
        <v>151</v>
      </c>
    </row>
    <row r="1901" spans="1:14" x14ac:dyDescent="0.35">
      <c r="A1901" t="s">
        <v>1984</v>
      </c>
      <c r="B1901" t="s">
        <v>15</v>
      </c>
      <c r="C1901" t="s">
        <v>16</v>
      </c>
      <c r="D1901">
        <v>158</v>
      </c>
      <c r="E1901" t="s">
        <v>1980</v>
      </c>
      <c r="F1901">
        <v>5419</v>
      </c>
      <c r="G1901" t="s">
        <v>18</v>
      </c>
      <c r="H1901">
        <v>27</v>
      </c>
      <c r="I1901" t="s">
        <v>19</v>
      </c>
      <c r="J1901">
        <v>1990</v>
      </c>
      <c r="K1901">
        <v>1990</v>
      </c>
      <c r="L1901" t="s">
        <v>20</v>
      </c>
      <c r="M1901">
        <v>31432</v>
      </c>
      <c r="N1901">
        <v>151</v>
      </c>
    </row>
    <row r="1902" spans="1:14" x14ac:dyDescent="0.35">
      <c r="A1902" t="s">
        <v>1985</v>
      </c>
      <c r="B1902" t="s">
        <v>15</v>
      </c>
      <c r="C1902" t="s">
        <v>16</v>
      </c>
      <c r="D1902">
        <v>158</v>
      </c>
      <c r="E1902" t="s">
        <v>1980</v>
      </c>
      <c r="F1902">
        <v>5419</v>
      </c>
      <c r="G1902" t="s">
        <v>18</v>
      </c>
      <c r="H1902">
        <v>27</v>
      </c>
      <c r="I1902" t="s">
        <v>19</v>
      </c>
      <c r="J1902">
        <v>1991</v>
      </c>
      <c r="K1902">
        <v>1991</v>
      </c>
      <c r="L1902" t="s">
        <v>20</v>
      </c>
      <c r="M1902">
        <v>35605</v>
      </c>
      <c r="N1902">
        <v>151</v>
      </c>
    </row>
    <row r="1903" spans="1:14" x14ac:dyDescent="0.35">
      <c r="A1903" t="s">
        <v>1986</v>
      </c>
      <c r="B1903" t="s">
        <v>15</v>
      </c>
      <c r="C1903" t="s">
        <v>16</v>
      </c>
      <c r="D1903">
        <v>158</v>
      </c>
      <c r="E1903" t="s">
        <v>1980</v>
      </c>
      <c r="F1903">
        <v>5419</v>
      </c>
      <c r="G1903" t="s">
        <v>18</v>
      </c>
      <c r="H1903">
        <v>27</v>
      </c>
      <c r="I1903" t="s">
        <v>19</v>
      </c>
      <c r="J1903">
        <v>1992</v>
      </c>
      <c r="K1903">
        <v>1992</v>
      </c>
      <c r="L1903" t="s">
        <v>20</v>
      </c>
      <c r="M1903">
        <v>32828</v>
      </c>
      <c r="N1903">
        <v>151</v>
      </c>
    </row>
    <row r="1904" spans="1:14" x14ac:dyDescent="0.35">
      <c r="A1904" t="s">
        <v>1987</v>
      </c>
      <c r="B1904" t="s">
        <v>15</v>
      </c>
      <c r="C1904" t="s">
        <v>16</v>
      </c>
      <c r="D1904">
        <v>158</v>
      </c>
      <c r="E1904" t="s">
        <v>1980</v>
      </c>
      <c r="F1904">
        <v>5419</v>
      </c>
      <c r="G1904" t="s">
        <v>18</v>
      </c>
      <c r="H1904">
        <v>27</v>
      </c>
      <c r="I1904" t="s">
        <v>19</v>
      </c>
      <c r="J1904">
        <v>1993</v>
      </c>
      <c r="K1904">
        <v>1993</v>
      </c>
      <c r="L1904" t="s">
        <v>20</v>
      </c>
      <c r="M1904">
        <v>26233</v>
      </c>
      <c r="N1904">
        <v>151</v>
      </c>
    </row>
    <row r="1905" spans="1:14" x14ac:dyDescent="0.35">
      <c r="A1905" t="s">
        <v>1988</v>
      </c>
      <c r="B1905" t="s">
        <v>15</v>
      </c>
      <c r="C1905" t="s">
        <v>16</v>
      </c>
      <c r="D1905">
        <v>158</v>
      </c>
      <c r="E1905" t="s">
        <v>1980</v>
      </c>
      <c r="F1905">
        <v>5419</v>
      </c>
      <c r="G1905" t="s">
        <v>18</v>
      </c>
      <c r="H1905">
        <v>27</v>
      </c>
      <c r="I1905" t="s">
        <v>19</v>
      </c>
      <c r="J1905">
        <v>1994</v>
      </c>
      <c r="K1905">
        <v>1994</v>
      </c>
      <c r="L1905" t="s">
        <v>20</v>
      </c>
      <c r="M1905">
        <v>22143</v>
      </c>
      <c r="N1905">
        <v>151</v>
      </c>
    </row>
    <row r="1906" spans="1:14" x14ac:dyDescent="0.35">
      <c r="A1906" t="s">
        <v>1989</v>
      </c>
      <c r="B1906" t="s">
        <v>15</v>
      </c>
      <c r="C1906" t="s">
        <v>16</v>
      </c>
      <c r="D1906">
        <v>158</v>
      </c>
      <c r="E1906" t="s">
        <v>1980</v>
      </c>
      <c r="F1906">
        <v>5419</v>
      </c>
      <c r="G1906" t="s">
        <v>18</v>
      </c>
      <c r="H1906">
        <v>27</v>
      </c>
      <c r="I1906" t="s">
        <v>19</v>
      </c>
      <c r="J1906">
        <v>1995</v>
      </c>
      <c r="K1906">
        <v>1995</v>
      </c>
      <c r="L1906" t="s">
        <v>20</v>
      </c>
      <c r="M1906">
        <v>24286</v>
      </c>
      <c r="N1906">
        <v>151</v>
      </c>
    </row>
    <row r="1907" spans="1:14" x14ac:dyDescent="0.35">
      <c r="A1907" t="s">
        <v>1990</v>
      </c>
      <c r="B1907" t="s">
        <v>15</v>
      </c>
      <c r="C1907" t="s">
        <v>16</v>
      </c>
      <c r="D1907">
        <v>158</v>
      </c>
      <c r="E1907" t="s">
        <v>1980</v>
      </c>
      <c r="F1907">
        <v>5419</v>
      </c>
      <c r="G1907" t="s">
        <v>18</v>
      </c>
      <c r="H1907">
        <v>27</v>
      </c>
      <c r="I1907" t="s">
        <v>19</v>
      </c>
      <c r="J1907">
        <v>1996</v>
      </c>
      <c r="K1907">
        <v>1996</v>
      </c>
      <c r="L1907" t="s">
        <v>20</v>
      </c>
      <c r="M1907">
        <v>16254</v>
      </c>
      <c r="N1907">
        <v>151</v>
      </c>
    </row>
    <row r="1908" spans="1:14" x14ac:dyDescent="0.35">
      <c r="A1908" t="s">
        <v>1991</v>
      </c>
      <c r="B1908" t="s">
        <v>15</v>
      </c>
      <c r="C1908" t="s">
        <v>16</v>
      </c>
      <c r="D1908">
        <v>158</v>
      </c>
      <c r="E1908" t="s">
        <v>1980</v>
      </c>
      <c r="F1908">
        <v>5419</v>
      </c>
      <c r="G1908" t="s">
        <v>18</v>
      </c>
      <c r="H1908">
        <v>27</v>
      </c>
      <c r="I1908" t="s">
        <v>19</v>
      </c>
      <c r="J1908">
        <v>1997</v>
      </c>
      <c r="K1908">
        <v>1997</v>
      </c>
      <c r="L1908" t="s">
        <v>20</v>
      </c>
      <c r="M1908">
        <v>20244</v>
      </c>
      <c r="N1908">
        <v>151</v>
      </c>
    </row>
    <row r="1909" spans="1:14" x14ac:dyDescent="0.35">
      <c r="A1909" t="s">
        <v>1992</v>
      </c>
      <c r="B1909" t="s">
        <v>15</v>
      </c>
      <c r="C1909" t="s">
        <v>16</v>
      </c>
      <c r="D1909">
        <v>158</v>
      </c>
      <c r="E1909" t="s">
        <v>1980</v>
      </c>
      <c r="F1909">
        <v>5419</v>
      </c>
      <c r="G1909" t="s">
        <v>18</v>
      </c>
      <c r="H1909">
        <v>27</v>
      </c>
      <c r="I1909" t="s">
        <v>19</v>
      </c>
      <c r="J1909">
        <v>1998</v>
      </c>
      <c r="K1909">
        <v>1998</v>
      </c>
      <c r="L1909" t="s">
        <v>20</v>
      </c>
      <c r="M1909">
        <v>29100</v>
      </c>
      <c r="N1909">
        <v>151</v>
      </c>
    </row>
    <row r="1910" spans="1:14" x14ac:dyDescent="0.35">
      <c r="A1910" t="s">
        <v>1993</v>
      </c>
      <c r="B1910" t="s">
        <v>15</v>
      </c>
      <c r="C1910" t="s">
        <v>16</v>
      </c>
      <c r="D1910">
        <v>158</v>
      </c>
      <c r="E1910" t="s">
        <v>1980</v>
      </c>
      <c r="F1910">
        <v>5419</v>
      </c>
      <c r="G1910" t="s">
        <v>18</v>
      </c>
      <c r="H1910">
        <v>27</v>
      </c>
      <c r="I1910" t="s">
        <v>19</v>
      </c>
      <c r="J1910">
        <v>1999</v>
      </c>
      <c r="K1910">
        <v>1999</v>
      </c>
      <c r="L1910" t="s">
        <v>20</v>
      </c>
      <c r="M1910">
        <v>41112</v>
      </c>
      <c r="N1910">
        <v>151</v>
      </c>
    </row>
    <row r="1911" spans="1:14" x14ac:dyDescent="0.35">
      <c r="A1911" t="s">
        <v>1994</v>
      </c>
      <c r="B1911" t="s">
        <v>15</v>
      </c>
      <c r="C1911" t="s">
        <v>16</v>
      </c>
      <c r="D1911">
        <v>158</v>
      </c>
      <c r="E1911" t="s">
        <v>1980</v>
      </c>
      <c r="F1911">
        <v>5419</v>
      </c>
      <c r="G1911" t="s">
        <v>18</v>
      </c>
      <c r="H1911">
        <v>27</v>
      </c>
      <c r="I1911" t="s">
        <v>19</v>
      </c>
      <c r="J1911">
        <v>2000</v>
      </c>
      <c r="K1911">
        <v>2000</v>
      </c>
      <c r="L1911" t="s">
        <v>20</v>
      </c>
      <c r="M1911">
        <v>27479</v>
      </c>
      <c r="N1911">
        <v>151</v>
      </c>
    </row>
    <row r="1912" spans="1:14" x14ac:dyDescent="0.35">
      <c r="A1912" t="s">
        <v>1995</v>
      </c>
      <c r="B1912" t="s">
        <v>15</v>
      </c>
      <c r="C1912" t="s">
        <v>16</v>
      </c>
      <c r="D1912">
        <v>158</v>
      </c>
      <c r="E1912" t="s">
        <v>1980</v>
      </c>
      <c r="F1912">
        <v>5419</v>
      </c>
      <c r="G1912" t="s">
        <v>18</v>
      </c>
      <c r="H1912">
        <v>27</v>
      </c>
      <c r="I1912" t="s">
        <v>19</v>
      </c>
      <c r="J1912">
        <v>2001</v>
      </c>
      <c r="K1912">
        <v>2001</v>
      </c>
      <c r="L1912" t="s">
        <v>20</v>
      </c>
      <c r="M1912">
        <v>27565</v>
      </c>
      <c r="N1912">
        <v>151</v>
      </c>
    </row>
    <row r="1913" spans="1:14" x14ac:dyDescent="0.35">
      <c r="A1913" t="s">
        <v>1996</v>
      </c>
      <c r="B1913" t="s">
        <v>15</v>
      </c>
      <c r="C1913" t="s">
        <v>16</v>
      </c>
      <c r="D1913">
        <v>158</v>
      </c>
      <c r="E1913" t="s">
        <v>1980</v>
      </c>
      <c r="F1913">
        <v>5419</v>
      </c>
      <c r="G1913" t="s">
        <v>18</v>
      </c>
      <c r="H1913">
        <v>27</v>
      </c>
      <c r="I1913" t="s">
        <v>19</v>
      </c>
      <c r="J1913">
        <v>2002</v>
      </c>
      <c r="K1913">
        <v>2002</v>
      </c>
      <c r="L1913" t="s">
        <v>20</v>
      </c>
      <c r="M1913">
        <v>31638</v>
      </c>
      <c r="N1913">
        <v>151</v>
      </c>
    </row>
    <row r="1914" spans="1:14" x14ac:dyDescent="0.35">
      <c r="A1914" t="s">
        <v>1997</v>
      </c>
      <c r="B1914" t="s">
        <v>15</v>
      </c>
      <c r="C1914" t="s">
        <v>16</v>
      </c>
      <c r="D1914">
        <v>158</v>
      </c>
      <c r="E1914" t="s">
        <v>1980</v>
      </c>
      <c r="F1914">
        <v>5419</v>
      </c>
      <c r="G1914" t="s">
        <v>18</v>
      </c>
      <c r="H1914">
        <v>27</v>
      </c>
      <c r="I1914" t="s">
        <v>19</v>
      </c>
      <c r="J1914">
        <v>2004</v>
      </c>
      <c r="K1914">
        <v>2004</v>
      </c>
      <c r="L1914" t="s">
        <v>20</v>
      </c>
      <c r="M1914">
        <v>30949</v>
      </c>
      <c r="N1914">
        <v>151</v>
      </c>
    </row>
    <row r="1915" spans="1:14" x14ac:dyDescent="0.35">
      <c r="A1915" t="s">
        <v>1998</v>
      </c>
      <c r="B1915" t="s">
        <v>15</v>
      </c>
      <c r="C1915" t="s">
        <v>16</v>
      </c>
      <c r="D1915">
        <v>158</v>
      </c>
      <c r="E1915" t="s">
        <v>1980</v>
      </c>
      <c r="F1915">
        <v>5419</v>
      </c>
      <c r="G1915" t="s">
        <v>18</v>
      </c>
      <c r="H1915">
        <v>27</v>
      </c>
      <c r="I1915" t="s">
        <v>19</v>
      </c>
      <c r="J1915">
        <v>2005</v>
      </c>
      <c r="K1915">
        <v>2005</v>
      </c>
      <c r="L1915" t="s">
        <v>20</v>
      </c>
      <c r="M1915">
        <v>38290</v>
      </c>
      <c r="N1915">
        <v>151</v>
      </c>
    </row>
    <row r="1916" spans="1:14" x14ac:dyDescent="0.35">
      <c r="A1916" t="s">
        <v>1999</v>
      </c>
      <c r="B1916" t="s">
        <v>15</v>
      </c>
      <c r="C1916" t="s">
        <v>16</v>
      </c>
      <c r="D1916">
        <v>158</v>
      </c>
      <c r="E1916" t="s">
        <v>1980</v>
      </c>
      <c r="F1916">
        <v>5419</v>
      </c>
      <c r="G1916" t="s">
        <v>18</v>
      </c>
      <c r="H1916">
        <v>27</v>
      </c>
      <c r="I1916" t="s">
        <v>19</v>
      </c>
      <c r="J1916">
        <v>2006</v>
      </c>
      <c r="K1916">
        <v>2006</v>
      </c>
      <c r="L1916" t="s">
        <v>20</v>
      </c>
      <c r="M1916">
        <v>36637</v>
      </c>
      <c r="N1916">
        <v>151</v>
      </c>
    </row>
    <row r="1917" spans="1:14" x14ac:dyDescent="0.35">
      <c r="A1917" t="s">
        <v>2000</v>
      </c>
      <c r="B1917" t="s">
        <v>15</v>
      </c>
      <c r="C1917" t="s">
        <v>16</v>
      </c>
      <c r="D1917">
        <v>158</v>
      </c>
      <c r="E1917" t="s">
        <v>1980</v>
      </c>
      <c r="F1917">
        <v>5419</v>
      </c>
      <c r="G1917" t="s">
        <v>18</v>
      </c>
      <c r="H1917">
        <v>27</v>
      </c>
      <c r="I1917" t="s">
        <v>19</v>
      </c>
      <c r="J1917">
        <v>2007</v>
      </c>
      <c r="K1917">
        <v>2007</v>
      </c>
      <c r="L1917" t="s">
        <v>20</v>
      </c>
      <c r="M1917">
        <v>35900</v>
      </c>
      <c r="N1917">
        <v>151</v>
      </c>
    </row>
    <row r="1918" spans="1:14" x14ac:dyDescent="0.35">
      <c r="A1918" t="s">
        <v>2001</v>
      </c>
      <c r="B1918" t="s">
        <v>15</v>
      </c>
      <c r="C1918" t="s">
        <v>16</v>
      </c>
      <c r="D1918">
        <v>158</v>
      </c>
      <c r="E1918" t="s">
        <v>1980</v>
      </c>
      <c r="F1918">
        <v>5419</v>
      </c>
      <c r="G1918" t="s">
        <v>18</v>
      </c>
      <c r="H1918">
        <v>27</v>
      </c>
      <c r="I1918" t="s">
        <v>19</v>
      </c>
      <c r="J1918">
        <v>2008</v>
      </c>
      <c r="K1918">
        <v>2008</v>
      </c>
      <c r="L1918" t="s">
        <v>20</v>
      </c>
      <c r="M1918">
        <v>38110</v>
      </c>
      <c r="N1918">
        <v>151</v>
      </c>
    </row>
    <row r="1919" spans="1:14" x14ac:dyDescent="0.35">
      <c r="A1919" t="s">
        <v>2002</v>
      </c>
      <c r="B1919" t="s">
        <v>15</v>
      </c>
      <c r="C1919" t="s">
        <v>16</v>
      </c>
      <c r="D1919">
        <v>158</v>
      </c>
      <c r="E1919" t="s">
        <v>1980</v>
      </c>
      <c r="F1919">
        <v>5419</v>
      </c>
      <c r="G1919" t="s">
        <v>18</v>
      </c>
      <c r="H1919">
        <v>27</v>
      </c>
      <c r="I1919" t="s">
        <v>19</v>
      </c>
      <c r="J1919">
        <v>2009</v>
      </c>
      <c r="K1919">
        <v>2009</v>
      </c>
      <c r="L1919" t="s">
        <v>20</v>
      </c>
      <c r="M1919">
        <v>43571</v>
      </c>
      <c r="N1919">
        <v>151</v>
      </c>
    </row>
    <row r="1920" spans="1:14" x14ac:dyDescent="0.35">
      <c r="A1920" t="s">
        <v>2003</v>
      </c>
      <c r="B1920" t="s">
        <v>15</v>
      </c>
      <c r="C1920" t="s">
        <v>16</v>
      </c>
      <c r="D1920">
        <v>158</v>
      </c>
      <c r="E1920" t="s">
        <v>1980</v>
      </c>
      <c r="F1920">
        <v>5419</v>
      </c>
      <c r="G1920" t="s">
        <v>18</v>
      </c>
      <c r="H1920">
        <v>27</v>
      </c>
      <c r="I1920" t="s">
        <v>19</v>
      </c>
      <c r="J1920">
        <v>2010</v>
      </c>
      <c r="K1920">
        <v>2010</v>
      </c>
      <c r="L1920" t="s">
        <v>20</v>
      </c>
      <c r="M1920">
        <v>54407</v>
      </c>
      <c r="N1920">
        <v>151</v>
      </c>
    </row>
    <row r="1921" spans="1:14" x14ac:dyDescent="0.35">
      <c r="A1921" t="s">
        <v>2004</v>
      </c>
      <c r="B1921" t="s">
        <v>15</v>
      </c>
      <c r="C1921" t="s">
        <v>16</v>
      </c>
      <c r="D1921">
        <v>158</v>
      </c>
      <c r="E1921" t="s">
        <v>1980</v>
      </c>
      <c r="F1921">
        <v>5419</v>
      </c>
      <c r="G1921" t="s">
        <v>18</v>
      </c>
      <c r="H1921">
        <v>27</v>
      </c>
      <c r="I1921" t="s">
        <v>19</v>
      </c>
      <c r="J1921">
        <v>2011</v>
      </c>
      <c r="K1921">
        <v>2011</v>
      </c>
      <c r="L1921" t="s">
        <v>20</v>
      </c>
      <c r="M1921">
        <v>54739</v>
      </c>
      <c r="N1921">
        <v>151</v>
      </c>
    </row>
    <row r="1922" spans="1:14" x14ac:dyDescent="0.35">
      <c r="A1922" t="s">
        <v>2005</v>
      </c>
      <c r="B1922" t="s">
        <v>15</v>
      </c>
      <c r="C1922" t="s">
        <v>16</v>
      </c>
      <c r="D1922">
        <v>158</v>
      </c>
      <c r="E1922" t="s">
        <v>1980</v>
      </c>
      <c r="F1922">
        <v>5419</v>
      </c>
      <c r="G1922" t="s">
        <v>18</v>
      </c>
      <c r="H1922">
        <v>27</v>
      </c>
      <c r="I1922" t="s">
        <v>19</v>
      </c>
      <c r="J1922">
        <v>2012</v>
      </c>
      <c r="K1922">
        <v>2012</v>
      </c>
      <c r="L1922" t="s">
        <v>20</v>
      </c>
      <c r="M1922">
        <v>57490</v>
      </c>
      <c r="N1922">
        <v>151</v>
      </c>
    </row>
    <row r="1923" spans="1:14" x14ac:dyDescent="0.35">
      <c r="A1923" t="s">
        <v>2006</v>
      </c>
      <c r="B1923" t="s">
        <v>15</v>
      </c>
      <c r="C1923" t="s">
        <v>16</v>
      </c>
      <c r="D1923">
        <v>158</v>
      </c>
      <c r="E1923" t="s">
        <v>1980</v>
      </c>
      <c r="F1923">
        <v>5419</v>
      </c>
      <c r="G1923" t="s">
        <v>18</v>
      </c>
      <c r="H1923">
        <v>27</v>
      </c>
      <c r="I1923" t="s">
        <v>19</v>
      </c>
      <c r="J1923">
        <v>2013</v>
      </c>
      <c r="K1923">
        <v>2013</v>
      </c>
      <c r="L1923" t="s">
        <v>20</v>
      </c>
      <c r="M1923">
        <v>62834</v>
      </c>
      <c r="N1923">
        <v>151</v>
      </c>
    </row>
    <row r="1924" spans="1:14" x14ac:dyDescent="0.35">
      <c r="A1924" t="s">
        <v>2007</v>
      </c>
      <c r="B1924" t="s">
        <v>15</v>
      </c>
      <c r="C1924" t="s">
        <v>16</v>
      </c>
      <c r="D1924">
        <v>158</v>
      </c>
      <c r="E1924" t="s">
        <v>1980</v>
      </c>
      <c r="F1924">
        <v>5419</v>
      </c>
      <c r="G1924" t="s">
        <v>18</v>
      </c>
      <c r="H1924">
        <v>27</v>
      </c>
      <c r="I1924" t="s">
        <v>19</v>
      </c>
      <c r="J1924">
        <v>2014</v>
      </c>
      <c r="K1924">
        <v>2014</v>
      </c>
      <c r="L1924" t="s">
        <v>20</v>
      </c>
      <c r="M1924">
        <v>61350</v>
      </c>
      <c r="N1924">
        <v>151</v>
      </c>
    </row>
    <row r="1925" spans="1:14" x14ac:dyDescent="0.35">
      <c r="A1925" t="s">
        <v>2008</v>
      </c>
      <c r="B1925" t="s">
        <v>15</v>
      </c>
      <c r="C1925" t="s">
        <v>16</v>
      </c>
      <c r="D1925">
        <v>158</v>
      </c>
      <c r="E1925" t="s">
        <v>1980</v>
      </c>
      <c r="F1925">
        <v>5419</v>
      </c>
      <c r="G1925" t="s">
        <v>18</v>
      </c>
      <c r="H1925">
        <v>27</v>
      </c>
      <c r="I1925" t="s">
        <v>19</v>
      </c>
      <c r="J1925">
        <v>2015</v>
      </c>
      <c r="K1925">
        <v>2015</v>
      </c>
      <c r="L1925" t="s">
        <v>20</v>
      </c>
      <c r="M1925">
        <v>44383</v>
      </c>
      <c r="N1925">
        <v>151</v>
      </c>
    </row>
    <row r="1926" spans="1:14" x14ac:dyDescent="0.35">
      <c r="A1926" t="s">
        <v>2009</v>
      </c>
      <c r="B1926" t="s">
        <v>15</v>
      </c>
      <c r="C1926" t="s">
        <v>16</v>
      </c>
      <c r="D1926">
        <v>158</v>
      </c>
      <c r="E1926" t="s">
        <v>1980</v>
      </c>
      <c r="F1926">
        <v>5419</v>
      </c>
      <c r="G1926" t="s">
        <v>18</v>
      </c>
      <c r="H1926">
        <v>27</v>
      </c>
      <c r="I1926" t="s">
        <v>19</v>
      </c>
      <c r="J1926">
        <v>2016</v>
      </c>
      <c r="K1926">
        <v>2016</v>
      </c>
      <c r="L1926" t="s">
        <v>20</v>
      </c>
      <c r="M1926">
        <v>26372</v>
      </c>
      <c r="N1926">
        <v>151</v>
      </c>
    </row>
    <row r="1927" spans="1:14" x14ac:dyDescent="0.35">
      <c r="A1927" t="s">
        <v>2010</v>
      </c>
      <c r="B1927" t="s">
        <v>15</v>
      </c>
      <c r="C1927" t="s">
        <v>16</v>
      </c>
      <c r="D1927">
        <v>159</v>
      </c>
      <c r="E1927" t="s">
        <v>2011</v>
      </c>
      <c r="F1927">
        <v>5419</v>
      </c>
      <c r="G1927" t="s">
        <v>18</v>
      </c>
      <c r="H1927">
        <v>27</v>
      </c>
      <c r="I1927" t="s">
        <v>19</v>
      </c>
      <c r="J1927">
        <v>1985</v>
      </c>
      <c r="K1927">
        <v>1985</v>
      </c>
      <c r="L1927" t="s">
        <v>20</v>
      </c>
      <c r="M1927">
        <v>21343</v>
      </c>
      <c r="N1927">
        <v>1150</v>
      </c>
    </row>
    <row r="1928" spans="1:14" x14ac:dyDescent="0.35">
      <c r="A1928" t="s">
        <v>2012</v>
      </c>
      <c r="B1928" t="s">
        <v>15</v>
      </c>
      <c r="C1928" t="s">
        <v>16</v>
      </c>
      <c r="D1928">
        <v>159</v>
      </c>
      <c r="E1928" t="s">
        <v>2011</v>
      </c>
      <c r="F1928">
        <v>5419</v>
      </c>
      <c r="G1928" t="s">
        <v>18</v>
      </c>
      <c r="H1928">
        <v>27</v>
      </c>
      <c r="I1928" t="s">
        <v>19</v>
      </c>
      <c r="J1928">
        <v>1986</v>
      </c>
      <c r="K1928">
        <v>1986</v>
      </c>
      <c r="L1928" t="s">
        <v>20</v>
      </c>
      <c r="M1928">
        <v>20233</v>
      </c>
      <c r="N1928">
        <v>1150</v>
      </c>
    </row>
    <row r="1929" spans="1:14" x14ac:dyDescent="0.35">
      <c r="A1929" t="s">
        <v>2013</v>
      </c>
      <c r="B1929" t="s">
        <v>15</v>
      </c>
      <c r="C1929" t="s">
        <v>16</v>
      </c>
      <c r="D1929">
        <v>159</v>
      </c>
      <c r="E1929" t="s">
        <v>2011</v>
      </c>
      <c r="F1929">
        <v>5419</v>
      </c>
      <c r="G1929" t="s">
        <v>18</v>
      </c>
      <c r="H1929">
        <v>27</v>
      </c>
      <c r="I1929" t="s">
        <v>19</v>
      </c>
      <c r="J1929">
        <v>1987</v>
      </c>
      <c r="K1929">
        <v>1987</v>
      </c>
      <c r="L1929" t="s">
        <v>20</v>
      </c>
      <c r="M1929">
        <v>23893</v>
      </c>
      <c r="N1929">
        <v>1150</v>
      </c>
    </row>
    <row r="1930" spans="1:14" x14ac:dyDescent="0.35">
      <c r="A1930" t="s">
        <v>2014</v>
      </c>
      <c r="B1930" t="s">
        <v>15</v>
      </c>
      <c r="C1930" t="s">
        <v>16</v>
      </c>
      <c r="D1930">
        <v>159</v>
      </c>
      <c r="E1930" t="s">
        <v>2011</v>
      </c>
      <c r="F1930">
        <v>5419</v>
      </c>
      <c r="G1930" t="s">
        <v>18</v>
      </c>
      <c r="H1930">
        <v>27</v>
      </c>
      <c r="I1930" t="s">
        <v>19</v>
      </c>
      <c r="J1930">
        <v>1989</v>
      </c>
      <c r="K1930">
        <v>1989</v>
      </c>
      <c r="L1930" t="s">
        <v>20</v>
      </c>
      <c r="M1930">
        <v>19994</v>
      </c>
      <c r="N1930">
        <v>1150</v>
      </c>
    </row>
    <row r="1931" spans="1:14" x14ac:dyDescent="0.35">
      <c r="A1931" t="s">
        <v>2015</v>
      </c>
      <c r="B1931" t="s">
        <v>15</v>
      </c>
      <c r="C1931" t="s">
        <v>16</v>
      </c>
      <c r="D1931">
        <v>159</v>
      </c>
      <c r="E1931" t="s">
        <v>2011</v>
      </c>
      <c r="F1931">
        <v>5419</v>
      </c>
      <c r="G1931" t="s">
        <v>18</v>
      </c>
      <c r="H1931">
        <v>27</v>
      </c>
      <c r="I1931" t="s">
        <v>19</v>
      </c>
      <c r="J1931">
        <v>1990</v>
      </c>
      <c r="K1931">
        <v>1990</v>
      </c>
      <c r="L1931" t="s">
        <v>20</v>
      </c>
      <c r="M1931">
        <v>20695</v>
      </c>
      <c r="N1931">
        <v>1150</v>
      </c>
    </row>
    <row r="1932" spans="1:14" x14ac:dyDescent="0.35">
      <c r="A1932" t="s">
        <v>2016</v>
      </c>
      <c r="B1932" t="s">
        <v>15</v>
      </c>
      <c r="C1932" t="s">
        <v>16</v>
      </c>
      <c r="D1932">
        <v>159</v>
      </c>
      <c r="E1932" t="s">
        <v>2011</v>
      </c>
      <c r="F1932">
        <v>5419</v>
      </c>
      <c r="G1932" t="s">
        <v>18</v>
      </c>
      <c r="H1932">
        <v>27</v>
      </c>
      <c r="I1932" t="s">
        <v>19</v>
      </c>
      <c r="J1932">
        <v>1991</v>
      </c>
      <c r="K1932">
        <v>1991</v>
      </c>
      <c r="L1932" t="s">
        <v>20</v>
      </c>
      <c r="M1932">
        <v>19528</v>
      </c>
      <c r="N1932">
        <v>1150</v>
      </c>
    </row>
    <row r="1933" spans="1:14" x14ac:dyDescent="0.35">
      <c r="A1933" t="s">
        <v>2017</v>
      </c>
      <c r="B1933" t="s">
        <v>15</v>
      </c>
      <c r="C1933" t="s">
        <v>16</v>
      </c>
      <c r="D1933">
        <v>159</v>
      </c>
      <c r="E1933" t="s">
        <v>2011</v>
      </c>
      <c r="F1933">
        <v>5419</v>
      </c>
      <c r="G1933" t="s">
        <v>18</v>
      </c>
      <c r="H1933">
        <v>27</v>
      </c>
      <c r="I1933" t="s">
        <v>19</v>
      </c>
      <c r="J1933">
        <v>1992</v>
      </c>
      <c r="K1933">
        <v>1992</v>
      </c>
      <c r="L1933" t="s">
        <v>20</v>
      </c>
      <c r="M1933">
        <v>19591</v>
      </c>
      <c r="N1933">
        <v>1150</v>
      </c>
    </row>
    <row r="1934" spans="1:14" x14ac:dyDescent="0.35">
      <c r="A1934" t="s">
        <v>2018</v>
      </c>
      <c r="B1934" t="s">
        <v>15</v>
      </c>
      <c r="C1934" t="s">
        <v>16</v>
      </c>
      <c r="D1934">
        <v>159</v>
      </c>
      <c r="E1934" t="s">
        <v>2011</v>
      </c>
      <c r="F1934">
        <v>5419</v>
      </c>
      <c r="G1934" t="s">
        <v>18</v>
      </c>
      <c r="H1934">
        <v>27</v>
      </c>
      <c r="I1934" t="s">
        <v>19</v>
      </c>
      <c r="J1934">
        <v>1993</v>
      </c>
      <c r="K1934">
        <v>1993</v>
      </c>
      <c r="L1934" t="s">
        <v>20</v>
      </c>
      <c r="M1934">
        <v>19597</v>
      </c>
      <c r="N1934">
        <v>1150</v>
      </c>
    </row>
    <row r="1935" spans="1:14" x14ac:dyDescent="0.35">
      <c r="A1935" t="s">
        <v>2019</v>
      </c>
      <c r="B1935" t="s">
        <v>15</v>
      </c>
      <c r="C1935" t="s">
        <v>16</v>
      </c>
      <c r="D1935">
        <v>159</v>
      </c>
      <c r="E1935" t="s">
        <v>2011</v>
      </c>
      <c r="F1935">
        <v>5419</v>
      </c>
      <c r="G1935" t="s">
        <v>18</v>
      </c>
      <c r="H1935">
        <v>27</v>
      </c>
      <c r="I1935" t="s">
        <v>19</v>
      </c>
      <c r="J1935">
        <v>1994</v>
      </c>
      <c r="K1935">
        <v>1994</v>
      </c>
      <c r="L1935" t="s">
        <v>20</v>
      </c>
      <c r="M1935">
        <v>14160</v>
      </c>
      <c r="N1935">
        <v>1150</v>
      </c>
    </row>
    <row r="1936" spans="1:14" x14ac:dyDescent="0.35">
      <c r="A1936" t="s">
        <v>2020</v>
      </c>
      <c r="B1936" t="s">
        <v>15</v>
      </c>
      <c r="C1936" t="s">
        <v>16</v>
      </c>
      <c r="D1936">
        <v>159</v>
      </c>
      <c r="E1936" t="s">
        <v>2011</v>
      </c>
      <c r="F1936">
        <v>5419</v>
      </c>
      <c r="G1936" t="s">
        <v>18</v>
      </c>
      <c r="H1936">
        <v>27</v>
      </c>
      <c r="I1936" t="s">
        <v>19</v>
      </c>
      <c r="J1936">
        <v>1995</v>
      </c>
      <c r="K1936">
        <v>1995</v>
      </c>
      <c r="L1936" t="s">
        <v>20</v>
      </c>
      <c r="M1936">
        <v>16258</v>
      </c>
      <c r="N1936">
        <v>1150</v>
      </c>
    </row>
    <row r="1937" spans="1:14" x14ac:dyDescent="0.35">
      <c r="A1937" t="s">
        <v>2021</v>
      </c>
      <c r="B1937" t="s">
        <v>15</v>
      </c>
      <c r="C1937" t="s">
        <v>16</v>
      </c>
      <c r="D1937">
        <v>159</v>
      </c>
      <c r="E1937" t="s">
        <v>2011</v>
      </c>
      <c r="F1937">
        <v>5419</v>
      </c>
      <c r="G1937" t="s">
        <v>18</v>
      </c>
      <c r="H1937">
        <v>27</v>
      </c>
      <c r="I1937" t="s">
        <v>19</v>
      </c>
      <c r="J1937">
        <v>1996</v>
      </c>
      <c r="K1937">
        <v>1996</v>
      </c>
      <c r="L1937" t="s">
        <v>20</v>
      </c>
      <c r="M1937">
        <v>17498</v>
      </c>
      <c r="N1937">
        <v>1150</v>
      </c>
    </row>
    <row r="1938" spans="1:14" x14ac:dyDescent="0.35">
      <c r="A1938" t="s">
        <v>2022</v>
      </c>
      <c r="B1938" t="s">
        <v>15</v>
      </c>
      <c r="C1938" t="s">
        <v>16</v>
      </c>
      <c r="D1938">
        <v>159</v>
      </c>
      <c r="E1938" t="s">
        <v>2011</v>
      </c>
      <c r="F1938">
        <v>5419</v>
      </c>
      <c r="G1938" t="s">
        <v>18</v>
      </c>
      <c r="H1938">
        <v>27</v>
      </c>
      <c r="I1938" t="s">
        <v>19</v>
      </c>
      <c r="J1938">
        <v>1997</v>
      </c>
      <c r="K1938">
        <v>1997</v>
      </c>
      <c r="L1938" t="s">
        <v>20</v>
      </c>
      <c r="M1938">
        <v>15957</v>
      </c>
      <c r="N1938">
        <v>1150</v>
      </c>
    </row>
    <row r="1939" spans="1:14" x14ac:dyDescent="0.35">
      <c r="A1939" t="s">
        <v>2023</v>
      </c>
      <c r="B1939" t="s">
        <v>15</v>
      </c>
      <c r="C1939" t="s">
        <v>16</v>
      </c>
      <c r="D1939">
        <v>159</v>
      </c>
      <c r="E1939" t="s">
        <v>2011</v>
      </c>
      <c r="F1939">
        <v>5419</v>
      </c>
      <c r="G1939" t="s">
        <v>18</v>
      </c>
      <c r="H1939">
        <v>27</v>
      </c>
      <c r="I1939" t="s">
        <v>19</v>
      </c>
      <c r="J1939">
        <v>1998</v>
      </c>
      <c r="K1939">
        <v>1998</v>
      </c>
      <c r="L1939" t="s">
        <v>20</v>
      </c>
      <c r="M1939">
        <v>16023</v>
      </c>
      <c r="N1939">
        <v>1150</v>
      </c>
    </row>
    <row r="1940" spans="1:14" x14ac:dyDescent="0.35">
      <c r="A1940" t="s">
        <v>2024</v>
      </c>
      <c r="B1940" t="s">
        <v>15</v>
      </c>
      <c r="C1940" t="s">
        <v>16</v>
      </c>
      <c r="D1940">
        <v>159</v>
      </c>
      <c r="E1940" t="s">
        <v>2011</v>
      </c>
      <c r="F1940">
        <v>5419</v>
      </c>
      <c r="G1940" t="s">
        <v>18</v>
      </c>
      <c r="H1940">
        <v>27</v>
      </c>
      <c r="I1940" t="s">
        <v>19</v>
      </c>
      <c r="J1940">
        <v>1999</v>
      </c>
      <c r="K1940">
        <v>1999</v>
      </c>
      <c r="L1940" t="s">
        <v>20</v>
      </c>
      <c r="M1940">
        <v>14957</v>
      </c>
      <c r="N1940">
        <v>1150</v>
      </c>
    </row>
    <row r="1941" spans="1:14" x14ac:dyDescent="0.35">
      <c r="A1941" t="s">
        <v>2025</v>
      </c>
      <c r="B1941" t="s">
        <v>15</v>
      </c>
      <c r="C1941" t="s">
        <v>16</v>
      </c>
      <c r="D1941">
        <v>159</v>
      </c>
      <c r="E1941" t="s">
        <v>2011</v>
      </c>
      <c r="F1941">
        <v>5419</v>
      </c>
      <c r="G1941" t="s">
        <v>18</v>
      </c>
      <c r="H1941">
        <v>27</v>
      </c>
      <c r="I1941" t="s">
        <v>19</v>
      </c>
      <c r="J1941">
        <v>2000</v>
      </c>
      <c r="K1941">
        <v>2000</v>
      </c>
      <c r="L1941" t="s">
        <v>20</v>
      </c>
      <c r="M1941">
        <v>14998</v>
      </c>
      <c r="N1941">
        <v>1150</v>
      </c>
    </row>
    <row r="1942" spans="1:14" x14ac:dyDescent="0.35">
      <c r="A1942" t="s">
        <v>2026</v>
      </c>
      <c r="B1942" t="s">
        <v>15</v>
      </c>
      <c r="C1942" t="s">
        <v>16</v>
      </c>
      <c r="D1942">
        <v>159</v>
      </c>
      <c r="E1942" t="s">
        <v>2011</v>
      </c>
      <c r="F1942">
        <v>5419</v>
      </c>
      <c r="G1942" t="s">
        <v>18</v>
      </c>
      <c r="H1942">
        <v>27</v>
      </c>
      <c r="I1942" t="s">
        <v>19</v>
      </c>
      <c r="J1942">
        <v>2001</v>
      </c>
      <c r="K1942">
        <v>2001</v>
      </c>
      <c r="L1942" t="s">
        <v>20</v>
      </c>
      <c r="M1942">
        <v>13000</v>
      </c>
      <c r="N1942">
        <v>1150</v>
      </c>
    </row>
    <row r="1943" spans="1:14" x14ac:dyDescent="0.35">
      <c r="A1943" t="s">
        <v>2027</v>
      </c>
      <c r="B1943" t="s">
        <v>15</v>
      </c>
      <c r="C1943" t="s">
        <v>16</v>
      </c>
      <c r="D1943">
        <v>159</v>
      </c>
      <c r="E1943" t="s">
        <v>2011</v>
      </c>
      <c r="F1943">
        <v>5419</v>
      </c>
      <c r="G1943" t="s">
        <v>18</v>
      </c>
      <c r="H1943">
        <v>27</v>
      </c>
      <c r="I1943" t="s">
        <v>19</v>
      </c>
      <c r="J1943">
        <v>2002</v>
      </c>
      <c r="K1943">
        <v>2002</v>
      </c>
      <c r="L1943" t="s">
        <v>20</v>
      </c>
      <c r="M1943">
        <v>13400</v>
      </c>
      <c r="N1943">
        <v>1150</v>
      </c>
    </row>
    <row r="1944" spans="1:14" x14ac:dyDescent="0.35">
      <c r="A1944" t="s">
        <v>2028</v>
      </c>
      <c r="B1944" t="s">
        <v>15</v>
      </c>
      <c r="C1944" t="s">
        <v>16</v>
      </c>
      <c r="D1944">
        <v>159</v>
      </c>
      <c r="E1944" t="s">
        <v>2011</v>
      </c>
      <c r="F1944">
        <v>5419</v>
      </c>
      <c r="G1944" t="s">
        <v>18</v>
      </c>
      <c r="H1944">
        <v>27</v>
      </c>
      <c r="I1944" t="s">
        <v>19</v>
      </c>
      <c r="J1944">
        <v>2004</v>
      </c>
      <c r="K1944">
        <v>2004</v>
      </c>
      <c r="L1944" t="s">
        <v>20</v>
      </c>
      <c r="M1944">
        <v>14199</v>
      </c>
      <c r="N1944">
        <v>1150</v>
      </c>
    </row>
    <row r="1945" spans="1:14" x14ac:dyDescent="0.35">
      <c r="A1945" t="s">
        <v>2029</v>
      </c>
      <c r="B1945" t="s">
        <v>15</v>
      </c>
      <c r="C1945" t="s">
        <v>16</v>
      </c>
      <c r="D1945">
        <v>159</v>
      </c>
      <c r="E1945" t="s">
        <v>2011</v>
      </c>
      <c r="F1945">
        <v>5419</v>
      </c>
      <c r="G1945" t="s">
        <v>18</v>
      </c>
      <c r="H1945">
        <v>27</v>
      </c>
      <c r="I1945" t="s">
        <v>19</v>
      </c>
      <c r="J1945">
        <v>2005</v>
      </c>
      <c r="K1945">
        <v>2005</v>
      </c>
      <c r="L1945" t="s">
        <v>20</v>
      </c>
      <c r="M1945">
        <v>14302</v>
      </c>
      <c r="N1945">
        <v>1150</v>
      </c>
    </row>
    <row r="1946" spans="1:14" x14ac:dyDescent="0.35">
      <c r="A1946" t="s">
        <v>2030</v>
      </c>
      <c r="B1946" t="s">
        <v>15</v>
      </c>
      <c r="C1946" t="s">
        <v>16</v>
      </c>
      <c r="D1946">
        <v>159</v>
      </c>
      <c r="E1946" t="s">
        <v>2011</v>
      </c>
      <c r="F1946">
        <v>5419</v>
      </c>
      <c r="G1946" t="s">
        <v>18</v>
      </c>
      <c r="H1946">
        <v>27</v>
      </c>
      <c r="I1946" t="s">
        <v>19</v>
      </c>
      <c r="J1946">
        <v>2006</v>
      </c>
      <c r="K1946">
        <v>2006</v>
      </c>
      <c r="L1946" t="s">
        <v>20</v>
      </c>
      <c r="M1946">
        <v>14833</v>
      </c>
      <c r="N1946">
        <v>1150</v>
      </c>
    </row>
    <row r="1947" spans="1:14" x14ac:dyDescent="0.35">
      <c r="A1947" t="s">
        <v>2031</v>
      </c>
      <c r="B1947" t="s">
        <v>15</v>
      </c>
      <c r="C1947" t="s">
        <v>16</v>
      </c>
      <c r="D1947">
        <v>159</v>
      </c>
      <c r="E1947" t="s">
        <v>2011</v>
      </c>
      <c r="F1947">
        <v>5419</v>
      </c>
      <c r="G1947" t="s">
        <v>18</v>
      </c>
      <c r="H1947">
        <v>27</v>
      </c>
      <c r="I1947" t="s">
        <v>19</v>
      </c>
      <c r="J1947">
        <v>2007</v>
      </c>
      <c r="K1947">
        <v>2007</v>
      </c>
      <c r="L1947" t="s">
        <v>20</v>
      </c>
      <c r="M1947">
        <v>12999</v>
      </c>
      <c r="N1947">
        <v>1150</v>
      </c>
    </row>
    <row r="1948" spans="1:14" x14ac:dyDescent="0.35">
      <c r="A1948" t="s">
        <v>2032</v>
      </c>
      <c r="B1948" t="s">
        <v>15</v>
      </c>
      <c r="C1948" t="s">
        <v>16</v>
      </c>
      <c r="D1948">
        <v>159</v>
      </c>
      <c r="E1948" t="s">
        <v>2011</v>
      </c>
      <c r="F1948">
        <v>5419</v>
      </c>
      <c r="G1948" t="s">
        <v>18</v>
      </c>
      <c r="H1948">
        <v>27</v>
      </c>
      <c r="I1948" t="s">
        <v>19</v>
      </c>
      <c r="J1948">
        <v>2008</v>
      </c>
      <c r="K1948">
        <v>2008</v>
      </c>
      <c r="L1948" t="s">
        <v>20</v>
      </c>
      <c r="M1948">
        <v>17544</v>
      </c>
      <c r="N1948">
        <v>1150</v>
      </c>
    </row>
    <row r="1949" spans="1:14" x14ac:dyDescent="0.35">
      <c r="A1949" t="s">
        <v>2033</v>
      </c>
      <c r="B1949" t="s">
        <v>15</v>
      </c>
      <c r="C1949" t="s">
        <v>16</v>
      </c>
      <c r="D1949">
        <v>159</v>
      </c>
      <c r="E1949" t="s">
        <v>2011</v>
      </c>
      <c r="F1949">
        <v>5419</v>
      </c>
      <c r="G1949" t="s">
        <v>18</v>
      </c>
      <c r="H1949">
        <v>27</v>
      </c>
      <c r="I1949" t="s">
        <v>19</v>
      </c>
      <c r="J1949">
        <v>2009</v>
      </c>
      <c r="K1949">
        <v>2009</v>
      </c>
      <c r="L1949" t="s">
        <v>20</v>
      </c>
      <c r="M1949">
        <v>19306</v>
      </c>
      <c r="N1949">
        <v>1150</v>
      </c>
    </row>
    <row r="1950" spans="1:14" x14ac:dyDescent="0.35">
      <c r="A1950" t="s">
        <v>2034</v>
      </c>
      <c r="B1950" t="s">
        <v>15</v>
      </c>
      <c r="C1950" t="s">
        <v>16</v>
      </c>
      <c r="D1950">
        <v>159</v>
      </c>
      <c r="E1950" t="s">
        <v>2011</v>
      </c>
      <c r="F1950">
        <v>5419</v>
      </c>
      <c r="G1950" t="s">
        <v>18</v>
      </c>
      <c r="H1950">
        <v>27</v>
      </c>
      <c r="I1950" t="s">
        <v>19</v>
      </c>
      <c r="J1950">
        <v>2010</v>
      </c>
      <c r="K1950">
        <v>2010</v>
      </c>
      <c r="L1950" t="s">
        <v>20</v>
      </c>
      <c r="M1950">
        <v>18386</v>
      </c>
      <c r="N1950">
        <v>1150</v>
      </c>
    </row>
    <row r="1951" spans="1:14" x14ac:dyDescent="0.35">
      <c r="A1951" t="s">
        <v>2035</v>
      </c>
      <c r="B1951" t="s">
        <v>15</v>
      </c>
      <c r="C1951" t="s">
        <v>16</v>
      </c>
      <c r="D1951">
        <v>159</v>
      </c>
      <c r="E1951" t="s">
        <v>2011</v>
      </c>
      <c r="F1951">
        <v>5419</v>
      </c>
      <c r="G1951" t="s">
        <v>18</v>
      </c>
      <c r="H1951">
        <v>27</v>
      </c>
      <c r="I1951" t="s">
        <v>19</v>
      </c>
      <c r="J1951">
        <v>2011</v>
      </c>
      <c r="K1951">
        <v>2011</v>
      </c>
      <c r="L1951" t="s">
        <v>20</v>
      </c>
      <c r="M1951">
        <v>20325</v>
      </c>
      <c r="N1951">
        <v>1150</v>
      </c>
    </row>
    <row r="1952" spans="1:14" x14ac:dyDescent="0.35">
      <c r="A1952" t="s">
        <v>2036</v>
      </c>
      <c r="B1952" t="s">
        <v>15</v>
      </c>
      <c r="C1952" t="s">
        <v>16</v>
      </c>
      <c r="D1952">
        <v>159</v>
      </c>
      <c r="E1952" t="s">
        <v>2011</v>
      </c>
      <c r="F1952">
        <v>5419</v>
      </c>
      <c r="G1952" t="s">
        <v>18</v>
      </c>
      <c r="H1952">
        <v>27</v>
      </c>
      <c r="I1952" t="s">
        <v>19</v>
      </c>
      <c r="J1952">
        <v>2012</v>
      </c>
      <c r="K1952">
        <v>2012</v>
      </c>
      <c r="L1952" t="s">
        <v>20</v>
      </c>
      <c r="M1952">
        <v>18971</v>
      </c>
      <c r="N1952">
        <v>1150</v>
      </c>
    </row>
    <row r="1953" spans="1:14" x14ac:dyDescent="0.35">
      <c r="A1953" t="s">
        <v>2037</v>
      </c>
      <c r="B1953" t="s">
        <v>15</v>
      </c>
      <c r="C1953" t="s">
        <v>16</v>
      </c>
      <c r="D1953">
        <v>159</v>
      </c>
      <c r="E1953" t="s">
        <v>2011</v>
      </c>
      <c r="F1953">
        <v>5419</v>
      </c>
      <c r="G1953" t="s">
        <v>18</v>
      </c>
      <c r="H1953">
        <v>27</v>
      </c>
      <c r="I1953" t="s">
        <v>19</v>
      </c>
      <c r="J1953">
        <v>2013</v>
      </c>
      <c r="K1953">
        <v>2013</v>
      </c>
      <c r="L1953" t="s">
        <v>20</v>
      </c>
      <c r="M1953">
        <v>16454</v>
      </c>
      <c r="N1953">
        <v>1150</v>
      </c>
    </row>
    <row r="1954" spans="1:14" x14ac:dyDescent="0.35">
      <c r="A1954" t="s">
        <v>2038</v>
      </c>
      <c r="B1954" t="s">
        <v>15</v>
      </c>
      <c r="C1954" t="s">
        <v>16</v>
      </c>
      <c r="D1954">
        <v>159</v>
      </c>
      <c r="E1954" t="s">
        <v>2011</v>
      </c>
      <c r="F1954">
        <v>5419</v>
      </c>
      <c r="G1954" t="s">
        <v>18</v>
      </c>
      <c r="H1954">
        <v>27</v>
      </c>
      <c r="I1954" t="s">
        <v>19</v>
      </c>
      <c r="J1954">
        <v>2014</v>
      </c>
      <c r="K1954">
        <v>2014</v>
      </c>
      <c r="L1954" t="s">
        <v>20</v>
      </c>
      <c r="M1954">
        <v>19478</v>
      </c>
      <c r="N1954">
        <v>1150</v>
      </c>
    </row>
    <row r="1955" spans="1:14" x14ac:dyDescent="0.35">
      <c r="A1955" t="s">
        <v>2039</v>
      </c>
      <c r="B1955" t="s">
        <v>15</v>
      </c>
      <c r="C1955" t="s">
        <v>16</v>
      </c>
      <c r="D1955">
        <v>159</v>
      </c>
      <c r="E1955" t="s">
        <v>2011</v>
      </c>
      <c r="F1955">
        <v>5419</v>
      </c>
      <c r="G1955" t="s">
        <v>18</v>
      </c>
      <c r="H1955">
        <v>27</v>
      </c>
      <c r="I1955" t="s">
        <v>19</v>
      </c>
      <c r="J1955">
        <v>2015</v>
      </c>
      <c r="K1955">
        <v>2015</v>
      </c>
      <c r="L1955" t="s">
        <v>20</v>
      </c>
      <c r="M1955">
        <v>20042</v>
      </c>
      <c r="N1955">
        <v>1150</v>
      </c>
    </row>
    <row r="1956" spans="1:14" x14ac:dyDescent="0.35">
      <c r="A1956" t="s">
        <v>2040</v>
      </c>
      <c r="B1956" t="s">
        <v>15</v>
      </c>
      <c r="C1956" t="s">
        <v>16</v>
      </c>
      <c r="D1956">
        <v>159</v>
      </c>
      <c r="E1956" t="s">
        <v>2011</v>
      </c>
      <c r="F1956">
        <v>5419</v>
      </c>
      <c r="G1956" t="s">
        <v>18</v>
      </c>
      <c r="H1956">
        <v>27</v>
      </c>
      <c r="I1956" t="s">
        <v>19</v>
      </c>
      <c r="J1956">
        <v>2016</v>
      </c>
      <c r="K1956">
        <v>2016</v>
      </c>
      <c r="L1956" t="s">
        <v>20</v>
      </c>
      <c r="M1956">
        <v>20265</v>
      </c>
      <c r="N1956">
        <v>1150</v>
      </c>
    </row>
    <row r="1957" spans="1:14" x14ac:dyDescent="0.35">
      <c r="A1957" t="s">
        <v>2041</v>
      </c>
      <c r="B1957" t="s">
        <v>15</v>
      </c>
      <c r="C1957" t="s">
        <v>16</v>
      </c>
      <c r="D1957">
        <v>165</v>
      </c>
      <c r="E1957" t="s">
        <v>2042</v>
      </c>
      <c r="F1957">
        <v>5419</v>
      </c>
      <c r="G1957" t="s">
        <v>18</v>
      </c>
      <c r="H1957">
        <v>27</v>
      </c>
      <c r="I1957" t="s">
        <v>19</v>
      </c>
      <c r="J1957">
        <v>1985</v>
      </c>
      <c r="K1957">
        <v>1985</v>
      </c>
      <c r="L1957" t="s">
        <v>20</v>
      </c>
      <c r="M1957">
        <v>23499</v>
      </c>
      <c r="N1957">
        <v>494</v>
      </c>
    </row>
    <row r="1958" spans="1:14" x14ac:dyDescent="0.35">
      <c r="A1958" t="s">
        <v>2043</v>
      </c>
      <c r="B1958" t="s">
        <v>15</v>
      </c>
      <c r="C1958" t="s">
        <v>16</v>
      </c>
      <c r="D1958">
        <v>165</v>
      </c>
      <c r="E1958" t="s">
        <v>2042</v>
      </c>
      <c r="F1958">
        <v>5419</v>
      </c>
      <c r="G1958" t="s">
        <v>18</v>
      </c>
      <c r="H1958">
        <v>27</v>
      </c>
      <c r="I1958" t="s">
        <v>19</v>
      </c>
      <c r="J1958">
        <v>1986</v>
      </c>
      <c r="K1958">
        <v>1986</v>
      </c>
      <c r="L1958" t="s">
        <v>20</v>
      </c>
      <c r="M1958">
        <v>25320</v>
      </c>
      <c r="N1958">
        <v>494</v>
      </c>
    </row>
    <row r="1959" spans="1:14" x14ac:dyDescent="0.35">
      <c r="A1959" t="s">
        <v>2044</v>
      </c>
      <c r="B1959" t="s">
        <v>15</v>
      </c>
      <c r="C1959" t="s">
        <v>16</v>
      </c>
      <c r="D1959">
        <v>165</v>
      </c>
      <c r="E1959" t="s">
        <v>2042</v>
      </c>
      <c r="F1959">
        <v>5419</v>
      </c>
      <c r="G1959" t="s">
        <v>18</v>
      </c>
      <c r="H1959">
        <v>27</v>
      </c>
      <c r="I1959" t="s">
        <v>19</v>
      </c>
      <c r="J1959">
        <v>1987</v>
      </c>
      <c r="K1959">
        <v>1987</v>
      </c>
      <c r="L1959" t="s">
        <v>20</v>
      </c>
      <c r="M1959">
        <v>24765</v>
      </c>
      <c r="N1959">
        <v>494</v>
      </c>
    </row>
    <row r="1960" spans="1:14" x14ac:dyDescent="0.35">
      <c r="A1960" t="s">
        <v>2045</v>
      </c>
      <c r="B1960" t="s">
        <v>15</v>
      </c>
      <c r="C1960" t="s">
        <v>16</v>
      </c>
      <c r="D1960">
        <v>165</v>
      </c>
      <c r="E1960" t="s">
        <v>2042</v>
      </c>
      <c r="F1960">
        <v>5419</v>
      </c>
      <c r="G1960" t="s">
        <v>18</v>
      </c>
      <c r="H1960">
        <v>27</v>
      </c>
      <c r="I1960" t="s">
        <v>19</v>
      </c>
      <c r="J1960">
        <v>1989</v>
      </c>
      <c r="K1960">
        <v>1989</v>
      </c>
      <c r="L1960" t="s">
        <v>20</v>
      </c>
      <c r="M1960">
        <v>22925</v>
      </c>
      <c r="N1960">
        <v>494</v>
      </c>
    </row>
    <row r="1961" spans="1:14" x14ac:dyDescent="0.35">
      <c r="A1961" t="s">
        <v>2046</v>
      </c>
      <c r="B1961" t="s">
        <v>15</v>
      </c>
      <c r="C1961" t="s">
        <v>16</v>
      </c>
      <c r="D1961">
        <v>165</v>
      </c>
      <c r="E1961" t="s">
        <v>2042</v>
      </c>
      <c r="F1961">
        <v>5419</v>
      </c>
      <c r="G1961" t="s">
        <v>18</v>
      </c>
      <c r="H1961">
        <v>27</v>
      </c>
      <c r="I1961" t="s">
        <v>19</v>
      </c>
      <c r="J1961">
        <v>1990</v>
      </c>
      <c r="K1961">
        <v>1990</v>
      </c>
      <c r="L1961" t="s">
        <v>20</v>
      </c>
      <c r="M1961">
        <v>23151</v>
      </c>
      <c r="N1961">
        <v>494</v>
      </c>
    </row>
    <row r="1962" spans="1:14" x14ac:dyDescent="0.35">
      <c r="A1962" t="s">
        <v>2047</v>
      </c>
      <c r="B1962" t="s">
        <v>15</v>
      </c>
      <c r="C1962" t="s">
        <v>16</v>
      </c>
      <c r="D1962">
        <v>165</v>
      </c>
      <c r="E1962" t="s">
        <v>2042</v>
      </c>
      <c r="F1962">
        <v>5419</v>
      </c>
      <c r="G1962" t="s">
        <v>18</v>
      </c>
      <c r="H1962">
        <v>27</v>
      </c>
      <c r="I1962" t="s">
        <v>19</v>
      </c>
      <c r="J1962">
        <v>1991</v>
      </c>
      <c r="K1962">
        <v>1991</v>
      </c>
      <c r="L1962" t="s">
        <v>20</v>
      </c>
      <c r="M1962">
        <v>23199</v>
      </c>
      <c r="N1962">
        <v>494</v>
      </c>
    </row>
    <row r="1963" spans="1:14" x14ac:dyDescent="0.35">
      <c r="A1963" t="s">
        <v>2048</v>
      </c>
      <c r="B1963" t="s">
        <v>15</v>
      </c>
      <c r="C1963" t="s">
        <v>16</v>
      </c>
      <c r="D1963">
        <v>165</v>
      </c>
      <c r="E1963" t="s">
        <v>2042</v>
      </c>
      <c r="F1963">
        <v>5419</v>
      </c>
      <c r="G1963" t="s">
        <v>18</v>
      </c>
      <c r="H1963">
        <v>27</v>
      </c>
      <c r="I1963" t="s">
        <v>19</v>
      </c>
      <c r="J1963">
        <v>1992</v>
      </c>
      <c r="K1963">
        <v>1992</v>
      </c>
      <c r="L1963" t="s">
        <v>20</v>
      </c>
      <c r="M1963">
        <v>23686</v>
      </c>
      <c r="N1963">
        <v>494</v>
      </c>
    </row>
    <row r="1964" spans="1:14" x14ac:dyDescent="0.35">
      <c r="A1964" t="s">
        <v>2049</v>
      </c>
      <c r="B1964" t="s">
        <v>15</v>
      </c>
      <c r="C1964" t="s">
        <v>16</v>
      </c>
      <c r="D1964">
        <v>165</v>
      </c>
      <c r="E1964" t="s">
        <v>2042</v>
      </c>
      <c r="F1964">
        <v>5419</v>
      </c>
      <c r="G1964" t="s">
        <v>18</v>
      </c>
      <c r="H1964">
        <v>27</v>
      </c>
      <c r="I1964" t="s">
        <v>19</v>
      </c>
      <c r="J1964">
        <v>1993</v>
      </c>
      <c r="K1964">
        <v>1993</v>
      </c>
      <c r="L1964" t="s">
        <v>20</v>
      </c>
      <c r="M1964">
        <v>27397</v>
      </c>
      <c r="N1964">
        <v>494</v>
      </c>
    </row>
    <row r="1965" spans="1:14" x14ac:dyDescent="0.35">
      <c r="A1965" t="s">
        <v>2050</v>
      </c>
      <c r="B1965" t="s">
        <v>15</v>
      </c>
      <c r="C1965" t="s">
        <v>16</v>
      </c>
      <c r="D1965">
        <v>165</v>
      </c>
      <c r="E1965" t="s">
        <v>2042</v>
      </c>
      <c r="F1965">
        <v>5419</v>
      </c>
      <c r="G1965" t="s">
        <v>18</v>
      </c>
      <c r="H1965">
        <v>27</v>
      </c>
      <c r="I1965" t="s">
        <v>19</v>
      </c>
      <c r="J1965">
        <v>1994</v>
      </c>
      <c r="K1965">
        <v>1994</v>
      </c>
      <c r="L1965" t="s">
        <v>20</v>
      </c>
      <c r="M1965">
        <v>24333</v>
      </c>
      <c r="N1965">
        <v>494</v>
      </c>
    </row>
    <row r="1966" spans="1:14" x14ac:dyDescent="0.35">
      <c r="A1966" t="s">
        <v>2051</v>
      </c>
      <c r="B1966" t="s">
        <v>15</v>
      </c>
      <c r="C1966" t="s">
        <v>16</v>
      </c>
      <c r="D1966">
        <v>165</v>
      </c>
      <c r="E1966" t="s">
        <v>2042</v>
      </c>
      <c r="F1966">
        <v>5419</v>
      </c>
      <c r="G1966" t="s">
        <v>18</v>
      </c>
      <c r="H1966">
        <v>27</v>
      </c>
      <c r="I1966" t="s">
        <v>19</v>
      </c>
      <c r="J1966">
        <v>1995</v>
      </c>
      <c r="K1966">
        <v>1995</v>
      </c>
      <c r="L1966" t="s">
        <v>20</v>
      </c>
      <c r="M1966">
        <v>27522</v>
      </c>
      <c r="N1966">
        <v>494</v>
      </c>
    </row>
    <row r="1967" spans="1:14" x14ac:dyDescent="0.35">
      <c r="A1967" t="s">
        <v>2052</v>
      </c>
      <c r="B1967" t="s">
        <v>15</v>
      </c>
      <c r="C1967" t="s">
        <v>16</v>
      </c>
      <c r="D1967">
        <v>165</v>
      </c>
      <c r="E1967" t="s">
        <v>2042</v>
      </c>
      <c r="F1967">
        <v>5419</v>
      </c>
      <c r="G1967" t="s">
        <v>18</v>
      </c>
      <c r="H1967">
        <v>27</v>
      </c>
      <c r="I1967" t="s">
        <v>19</v>
      </c>
      <c r="J1967">
        <v>1996</v>
      </c>
      <c r="K1967">
        <v>1996</v>
      </c>
      <c r="L1967" t="s">
        <v>20</v>
      </c>
      <c r="M1967">
        <v>28685</v>
      </c>
      <c r="N1967">
        <v>494</v>
      </c>
    </row>
    <row r="1968" spans="1:14" x14ac:dyDescent="0.35">
      <c r="A1968" t="s">
        <v>2053</v>
      </c>
      <c r="B1968" t="s">
        <v>15</v>
      </c>
      <c r="C1968" t="s">
        <v>16</v>
      </c>
      <c r="D1968">
        <v>165</v>
      </c>
      <c r="E1968" t="s">
        <v>2042</v>
      </c>
      <c r="F1968">
        <v>5419</v>
      </c>
      <c r="G1968" t="s">
        <v>18</v>
      </c>
      <c r="H1968">
        <v>27</v>
      </c>
      <c r="I1968" t="s">
        <v>19</v>
      </c>
      <c r="J1968">
        <v>1997</v>
      </c>
      <c r="K1968">
        <v>1997</v>
      </c>
      <c r="L1968" t="s">
        <v>20</v>
      </c>
      <c r="M1968">
        <v>28048</v>
      </c>
      <c r="N1968">
        <v>494</v>
      </c>
    </row>
    <row r="1969" spans="1:14" x14ac:dyDescent="0.35">
      <c r="A1969" t="s">
        <v>2054</v>
      </c>
      <c r="B1969" t="s">
        <v>15</v>
      </c>
      <c r="C1969" t="s">
        <v>16</v>
      </c>
      <c r="D1969">
        <v>165</v>
      </c>
      <c r="E1969" t="s">
        <v>2042</v>
      </c>
      <c r="F1969">
        <v>5419</v>
      </c>
      <c r="G1969" t="s">
        <v>18</v>
      </c>
      <c r="H1969">
        <v>27</v>
      </c>
      <c r="I1969" t="s">
        <v>19</v>
      </c>
      <c r="J1969">
        <v>1998</v>
      </c>
      <c r="K1969">
        <v>1998</v>
      </c>
      <c r="L1969" t="s">
        <v>20</v>
      </c>
      <c r="M1969">
        <v>28930</v>
      </c>
      <c r="N1969">
        <v>494</v>
      </c>
    </row>
    <row r="1970" spans="1:14" x14ac:dyDescent="0.35">
      <c r="A1970" t="s">
        <v>2055</v>
      </c>
      <c r="B1970" t="s">
        <v>15</v>
      </c>
      <c r="C1970" t="s">
        <v>16</v>
      </c>
      <c r="D1970">
        <v>165</v>
      </c>
      <c r="E1970" t="s">
        <v>2042</v>
      </c>
      <c r="F1970">
        <v>5419</v>
      </c>
      <c r="G1970" t="s">
        <v>18</v>
      </c>
      <c r="H1970">
        <v>27</v>
      </c>
      <c r="I1970" t="s">
        <v>19</v>
      </c>
      <c r="J1970">
        <v>1999</v>
      </c>
      <c r="K1970">
        <v>1999</v>
      </c>
      <c r="L1970" t="s">
        <v>20</v>
      </c>
      <c r="M1970">
        <v>30744</v>
      </c>
      <c r="N1970">
        <v>494</v>
      </c>
    </row>
    <row r="1971" spans="1:14" x14ac:dyDescent="0.35">
      <c r="A1971" t="s">
        <v>2056</v>
      </c>
      <c r="B1971" t="s">
        <v>15</v>
      </c>
      <c r="C1971" t="s">
        <v>16</v>
      </c>
      <c r="D1971">
        <v>165</v>
      </c>
      <c r="E1971" t="s">
        <v>2042</v>
      </c>
      <c r="F1971">
        <v>5419</v>
      </c>
      <c r="G1971" t="s">
        <v>18</v>
      </c>
      <c r="H1971">
        <v>27</v>
      </c>
      <c r="I1971" t="s">
        <v>19</v>
      </c>
      <c r="J1971">
        <v>2000</v>
      </c>
      <c r="K1971">
        <v>2000</v>
      </c>
      <c r="L1971" t="s">
        <v>20</v>
      </c>
      <c r="M1971">
        <v>30312</v>
      </c>
      <c r="N1971">
        <v>494</v>
      </c>
    </row>
    <row r="1972" spans="1:14" x14ac:dyDescent="0.35">
      <c r="A1972" t="s">
        <v>2057</v>
      </c>
      <c r="B1972" t="s">
        <v>15</v>
      </c>
      <c r="C1972" t="s">
        <v>16</v>
      </c>
      <c r="D1972">
        <v>165</v>
      </c>
      <c r="E1972" t="s">
        <v>2042</v>
      </c>
      <c r="F1972">
        <v>5419</v>
      </c>
      <c r="G1972" t="s">
        <v>18</v>
      </c>
      <c r="H1972">
        <v>27</v>
      </c>
      <c r="I1972" t="s">
        <v>19</v>
      </c>
      <c r="J1972">
        <v>2001</v>
      </c>
      <c r="K1972">
        <v>2001</v>
      </c>
      <c r="L1972" t="s">
        <v>20</v>
      </c>
      <c r="M1972">
        <v>27542</v>
      </c>
      <c r="N1972">
        <v>494</v>
      </c>
    </row>
    <row r="1973" spans="1:14" x14ac:dyDescent="0.35">
      <c r="A1973" t="s">
        <v>2058</v>
      </c>
      <c r="B1973" t="s">
        <v>15</v>
      </c>
      <c r="C1973" t="s">
        <v>16</v>
      </c>
      <c r="D1973">
        <v>165</v>
      </c>
      <c r="E1973" t="s">
        <v>2042</v>
      </c>
      <c r="F1973">
        <v>5419</v>
      </c>
      <c r="G1973" t="s">
        <v>18</v>
      </c>
      <c r="H1973">
        <v>27</v>
      </c>
      <c r="I1973" t="s">
        <v>19</v>
      </c>
      <c r="J1973">
        <v>2002</v>
      </c>
      <c r="K1973">
        <v>2002</v>
      </c>
      <c r="L1973" t="s">
        <v>20</v>
      </c>
      <c r="M1973">
        <v>30192</v>
      </c>
      <c r="N1973">
        <v>494</v>
      </c>
    </row>
    <row r="1974" spans="1:14" x14ac:dyDescent="0.35">
      <c r="A1974" t="s">
        <v>2059</v>
      </c>
      <c r="B1974" t="s">
        <v>15</v>
      </c>
      <c r="C1974" t="s">
        <v>16</v>
      </c>
      <c r="D1974">
        <v>165</v>
      </c>
      <c r="E1974" t="s">
        <v>2042</v>
      </c>
      <c r="F1974">
        <v>5419</v>
      </c>
      <c r="G1974" t="s">
        <v>18</v>
      </c>
      <c r="H1974">
        <v>27</v>
      </c>
      <c r="I1974" t="s">
        <v>19</v>
      </c>
      <c r="J1974">
        <v>2004</v>
      </c>
      <c r="K1974">
        <v>2004</v>
      </c>
      <c r="L1974" t="s">
        <v>20</v>
      </c>
      <c r="M1974">
        <v>29914</v>
      </c>
      <c r="N1974">
        <v>494</v>
      </c>
    </row>
    <row r="1975" spans="1:14" x14ac:dyDescent="0.35">
      <c r="A1975" t="s">
        <v>2060</v>
      </c>
      <c r="B1975" t="s">
        <v>15</v>
      </c>
      <c r="C1975" t="s">
        <v>16</v>
      </c>
      <c r="D1975">
        <v>165</v>
      </c>
      <c r="E1975" t="s">
        <v>2042</v>
      </c>
      <c r="F1975">
        <v>5419</v>
      </c>
      <c r="G1975" t="s">
        <v>18</v>
      </c>
      <c r="H1975">
        <v>27</v>
      </c>
      <c r="I1975" t="s">
        <v>19</v>
      </c>
      <c r="J1975">
        <v>2005</v>
      </c>
      <c r="K1975">
        <v>2005</v>
      </c>
      <c r="L1975" t="s">
        <v>20</v>
      </c>
      <c r="M1975">
        <v>31742</v>
      </c>
      <c r="N1975">
        <v>494</v>
      </c>
    </row>
    <row r="1976" spans="1:14" x14ac:dyDescent="0.35">
      <c r="A1976" t="s">
        <v>2061</v>
      </c>
      <c r="B1976" t="s">
        <v>15</v>
      </c>
      <c r="C1976" t="s">
        <v>16</v>
      </c>
      <c r="D1976">
        <v>165</v>
      </c>
      <c r="E1976" t="s">
        <v>2042</v>
      </c>
      <c r="F1976">
        <v>5419</v>
      </c>
      <c r="G1976" t="s">
        <v>18</v>
      </c>
      <c r="H1976">
        <v>27</v>
      </c>
      <c r="I1976" t="s">
        <v>19</v>
      </c>
      <c r="J1976">
        <v>2006</v>
      </c>
      <c r="K1976">
        <v>2006</v>
      </c>
      <c r="L1976" t="s">
        <v>20</v>
      </c>
      <c r="M1976">
        <v>31604</v>
      </c>
      <c r="N1976">
        <v>494</v>
      </c>
    </row>
    <row r="1977" spans="1:14" x14ac:dyDescent="0.35">
      <c r="A1977" t="s">
        <v>2062</v>
      </c>
      <c r="B1977" t="s">
        <v>15</v>
      </c>
      <c r="C1977" t="s">
        <v>16</v>
      </c>
      <c r="D1977">
        <v>165</v>
      </c>
      <c r="E1977" t="s">
        <v>2042</v>
      </c>
      <c r="F1977">
        <v>5419</v>
      </c>
      <c r="G1977" t="s">
        <v>18</v>
      </c>
      <c r="H1977">
        <v>27</v>
      </c>
      <c r="I1977" t="s">
        <v>19</v>
      </c>
      <c r="J1977">
        <v>2007</v>
      </c>
      <c r="K1977">
        <v>2007</v>
      </c>
      <c r="L1977" t="s">
        <v>20</v>
      </c>
      <c r="M1977">
        <v>33176</v>
      </c>
      <c r="N1977">
        <v>494</v>
      </c>
    </row>
    <row r="1978" spans="1:14" x14ac:dyDescent="0.35">
      <c r="A1978" t="s">
        <v>2063</v>
      </c>
      <c r="B1978" t="s">
        <v>15</v>
      </c>
      <c r="C1978" t="s">
        <v>16</v>
      </c>
      <c r="D1978">
        <v>165</v>
      </c>
      <c r="E1978" t="s">
        <v>2042</v>
      </c>
      <c r="F1978">
        <v>5419</v>
      </c>
      <c r="G1978" t="s">
        <v>18</v>
      </c>
      <c r="H1978">
        <v>27</v>
      </c>
      <c r="I1978" t="s">
        <v>19</v>
      </c>
      <c r="J1978">
        <v>2008</v>
      </c>
      <c r="K1978">
        <v>2008</v>
      </c>
      <c r="L1978" t="s">
        <v>20</v>
      </c>
      <c r="M1978">
        <v>35199</v>
      </c>
      <c r="N1978">
        <v>494</v>
      </c>
    </row>
    <row r="1979" spans="1:14" x14ac:dyDescent="0.35">
      <c r="A1979" t="s">
        <v>2064</v>
      </c>
      <c r="B1979" t="s">
        <v>15</v>
      </c>
      <c r="C1979" t="s">
        <v>16</v>
      </c>
      <c r="D1979">
        <v>165</v>
      </c>
      <c r="E1979" t="s">
        <v>2042</v>
      </c>
      <c r="F1979">
        <v>5419</v>
      </c>
      <c r="G1979" t="s">
        <v>18</v>
      </c>
      <c r="H1979">
        <v>27</v>
      </c>
      <c r="I1979" t="s">
        <v>19</v>
      </c>
      <c r="J1979">
        <v>2009</v>
      </c>
      <c r="K1979">
        <v>2009</v>
      </c>
      <c r="L1979" t="s">
        <v>20</v>
      </c>
      <c r="M1979">
        <v>35809</v>
      </c>
      <c r="N1979">
        <v>494</v>
      </c>
    </row>
    <row r="1980" spans="1:14" x14ac:dyDescent="0.35">
      <c r="A1980" t="s">
        <v>2065</v>
      </c>
      <c r="B1980" t="s">
        <v>15</v>
      </c>
      <c r="C1980" t="s">
        <v>16</v>
      </c>
      <c r="D1980">
        <v>165</v>
      </c>
      <c r="E1980" t="s">
        <v>2042</v>
      </c>
      <c r="F1980">
        <v>5419</v>
      </c>
      <c r="G1980" t="s">
        <v>18</v>
      </c>
      <c r="H1980">
        <v>27</v>
      </c>
      <c r="I1980" t="s">
        <v>19</v>
      </c>
      <c r="J1980">
        <v>2010</v>
      </c>
      <c r="K1980">
        <v>2010</v>
      </c>
      <c r="L1980" t="s">
        <v>20</v>
      </c>
      <c r="M1980">
        <v>30588</v>
      </c>
      <c r="N1980">
        <v>494</v>
      </c>
    </row>
    <row r="1981" spans="1:14" x14ac:dyDescent="0.35">
      <c r="A1981" t="s">
        <v>2066</v>
      </c>
      <c r="B1981" t="s">
        <v>15</v>
      </c>
      <c r="C1981" t="s">
        <v>16</v>
      </c>
      <c r="D1981">
        <v>165</v>
      </c>
      <c r="E1981" t="s">
        <v>2042</v>
      </c>
      <c r="F1981">
        <v>5419</v>
      </c>
      <c r="G1981" t="s">
        <v>18</v>
      </c>
      <c r="H1981">
        <v>27</v>
      </c>
      <c r="I1981" t="s">
        <v>19</v>
      </c>
      <c r="J1981">
        <v>2011</v>
      </c>
      <c r="K1981">
        <v>2011</v>
      </c>
      <c r="L1981" t="s">
        <v>20</v>
      </c>
      <c r="M1981">
        <v>35939</v>
      </c>
      <c r="N1981">
        <v>494</v>
      </c>
    </row>
    <row r="1982" spans="1:14" x14ac:dyDescent="0.35">
      <c r="A1982" t="s">
        <v>2067</v>
      </c>
      <c r="B1982" t="s">
        <v>15</v>
      </c>
      <c r="C1982" t="s">
        <v>16</v>
      </c>
      <c r="D1982">
        <v>165</v>
      </c>
      <c r="E1982" t="s">
        <v>2042</v>
      </c>
      <c r="F1982">
        <v>5419</v>
      </c>
      <c r="G1982" t="s">
        <v>18</v>
      </c>
      <c r="H1982">
        <v>27</v>
      </c>
      <c r="I1982" t="s">
        <v>19</v>
      </c>
      <c r="J1982">
        <v>2012</v>
      </c>
      <c r="K1982">
        <v>2012</v>
      </c>
      <c r="L1982" t="s">
        <v>20</v>
      </c>
      <c r="M1982">
        <v>35966</v>
      </c>
      <c r="N1982">
        <v>494</v>
      </c>
    </row>
    <row r="1983" spans="1:14" x14ac:dyDescent="0.35">
      <c r="A1983" t="s">
        <v>2068</v>
      </c>
      <c r="B1983" t="s">
        <v>15</v>
      </c>
      <c r="C1983" t="s">
        <v>16</v>
      </c>
      <c r="D1983">
        <v>165</v>
      </c>
      <c r="E1983" t="s">
        <v>2042</v>
      </c>
      <c r="F1983">
        <v>5419</v>
      </c>
      <c r="G1983" t="s">
        <v>18</v>
      </c>
      <c r="H1983">
        <v>27</v>
      </c>
      <c r="I1983" t="s">
        <v>19</v>
      </c>
      <c r="J1983">
        <v>2013</v>
      </c>
      <c r="K1983">
        <v>2013</v>
      </c>
      <c r="L1983" t="s">
        <v>20</v>
      </c>
      <c r="M1983">
        <v>37528</v>
      </c>
      <c r="N1983">
        <v>494</v>
      </c>
    </row>
    <row r="1984" spans="1:14" x14ac:dyDescent="0.35">
      <c r="A1984" t="s">
        <v>2069</v>
      </c>
      <c r="B1984" t="s">
        <v>15</v>
      </c>
      <c r="C1984" t="s">
        <v>16</v>
      </c>
      <c r="D1984">
        <v>165</v>
      </c>
      <c r="E1984" t="s">
        <v>2042</v>
      </c>
      <c r="F1984">
        <v>5419</v>
      </c>
      <c r="G1984" t="s">
        <v>18</v>
      </c>
      <c r="H1984">
        <v>27</v>
      </c>
      <c r="I1984" t="s">
        <v>19</v>
      </c>
      <c r="J1984">
        <v>2014</v>
      </c>
      <c r="K1984">
        <v>2014</v>
      </c>
      <c r="L1984" t="s">
        <v>20</v>
      </c>
      <c r="M1984">
        <v>36339</v>
      </c>
      <c r="N1984">
        <v>494</v>
      </c>
    </row>
    <row r="1985" spans="1:14" x14ac:dyDescent="0.35">
      <c r="A1985" t="s">
        <v>2070</v>
      </c>
      <c r="B1985" t="s">
        <v>15</v>
      </c>
      <c r="C1985" t="s">
        <v>16</v>
      </c>
      <c r="D1985">
        <v>165</v>
      </c>
      <c r="E1985" t="s">
        <v>2042</v>
      </c>
      <c r="F1985">
        <v>5419</v>
      </c>
      <c r="G1985" t="s">
        <v>18</v>
      </c>
      <c r="H1985">
        <v>27</v>
      </c>
      <c r="I1985" t="s">
        <v>19</v>
      </c>
      <c r="J1985">
        <v>2015</v>
      </c>
      <c r="K1985">
        <v>2015</v>
      </c>
      <c r="L1985" t="s">
        <v>20</v>
      </c>
      <c r="M1985">
        <v>37240</v>
      </c>
      <c r="N1985">
        <v>494</v>
      </c>
    </row>
    <row r="1986" spans="1:14" x14ac:dyDescent="0.35">
      <c r="A1986" t="s">
        <v>2071</v>
      </c>
      <c r="B1986" t="s">
        <v>15</v>
      </c>
      <c r="C1986" t="s">
        <v>16</v>
      </c>
      <c r="D1986">
        <v>165</v>
      </c>
      <c r="E1986" t="s">
        <v>2042</v>
      </c>
      <c r="F1986">
        <v>5419</v>
      </c>
      <c r="G1986" t="s">
        <v>18</v>
      </c>
      <c r="H1986">
        <v>27</v>
      </c>
      <c r="I1986" t="s">
        <v>19</v>
      </c>
      <c r="J1986">
        <v>2016</v>
      </c>
      <c r="K1986">
        <v>2016</v>
      </c>
      <c r="L1986" t="s">
        <v>20</v>
      </c>
      <c r="M1986">
        <v>37649</v>
      </c>
      <c r="N1986">
        <v>494</v>
      </c>
    </row>
    <row r="1987" spans="1:14" x14ac:dyDescent="0.35">
      <c r="A1987" t="s">
        <v>2072</v>
      </c>
      <c r="B1987" t="s">
        <v>15</v>
      </c>
      <c r="C1987" t="s">
        <v>16</v>
      </c>
      <c r="D1987">
        <v>166</v>
      </c>
      <c r="E1987" t="s">
        <v>2073</v>
      </c>
      <c r="F1987">
        <v>5419</v>
      </c>
      <c r="G1987" t="s">
        <v>18</v>
      </c>
      <c r="H1987">
        <v>27</v>
      </c>
      <c r="I1987" t="s">
        <v>19</v>
      </c>
      <c r="J1987">
        <v>1985</v>
      </c>
      <c r="K1987">
        <v>1985</v>
      </c>
      <c r="L1987" t="s">
        <v>20</v>
      </c>
      <c r="M1987">
        <v>20648</v>
      </c>
      <c r="N1987">
        <v>2928</v>
      </c>
    </row>
    <row r="1988" spans="1:14" x14ac:dyDescent="0.35">
      <c r="A1988" t="s">
        <v>2074</v>
      </c>
      <c r="B1988" t="s">
        <v>15</v>
      </c>
      <c r="C1988" t="s">
        <v>16</v>
      </c>
      <c r="D1988">
        <v>166</v>
      </c>
      <c r="E1988" t="s">
        <v>2073</v>
      </c>
      <c r="F1988">
        <v>5419</v>
      </c>
      <c r="G1988" t="s">
        <v>18</v>
      </c>
      <c r="H1988">
        <v>27</v>
      </c>
      <c r="I1988" t="s">
        <v>19</v>
      </c>
      <c r="J1988">
        <v>1986</v>
      </c>
      <c r="K1988">
        <v>1986</v>
      </c>
      <c r="L1988" t="s">
        <v>20</v>
      </c>
      <c r="M1988">
        <v>20925</v>
      </c>
      <c r="N1988">
        <v>2928</v>
      </c>
    </row>
    <row r="1989" spans="1:14" x14ac:dyDescent="0.35">
      <c r="A1989" t="s">
        <v>2075</v>
      </c>
      <c r="B1989" t="s">
        <v>15</v>
      </c>
      <c r="C1989" t="s">
        <v>16</v>
      </c>
      <c r="D1989">
        <v>166</v>
      </c>
      <c r="E1989" t="s">
        <v>2073</v>
      </c>
      <c r="F1989">
        <v>5419</v>
      </c>
      <c r="G1989" t="s">
        <v>18</v>
      </c>
      <c r="H1989">
        <v>27</v>
      </c>
      <c r="I1989" t="s">
        <v>19</v>
      </c>
      <c r="J1989">
        <v>1987</v>
      </c>
      <c r="K1989">
        <v>1987</v>
      </c>
      <c r="L1989" t="s">
        <v>20</v>
      </c>
      <c r="M1989">
        <v>21712</v>
      </c>
      <c r="N1989">
        <v>2928</v>
      </c>
    </row>
    <row r="1990" spans="1:14" x14ac:dyDescent="0.35">
      <c r="A1990" t="s">
        <v>2076</v>
      </c>
      <c r="B1990" t="s">
        <v>15</v>
      </c>
      <c r="C1990" t="s">
        <v>16</v>
      </c>
      <c r="D1990">
        <v>166</v>
      </c>
      <c r="E1990" t="s">
        <v>2073</v>
      </c>
      <c r="F1990">
        <v>5419</v>
      </c>
      <c r="G1990" t="s">
        <v>18</v>
      </c>
      <c r="H1990">
        <v>27</v>
      </c>
      <c r="I1990" t="s">
        <v>19</v>
      </c>
      <c r="J1990">
        <v>1989</v>
      </c>
      <c r="K1990">
        <v>1989</v>
      </c>
      <c r="L1990" t="s">
        <v>20</v>
      </c>
      <c r="M1990">
        <v>23565</v>
      </c>
      <c r="N1990">
        <v>2928</v>
      </c>
    </row>
    <row r="1991" spans="1:14" x14ac:dyDescent="0.35">
      <c r="A1991" t="s">
        <v>2077</v>
      </c>
      <c r="B1991" t="s">
        <v>15</v>
      </c>
      <c r="C1991" t="s">
        <v>16</v>
      </c>
      <c r="D1991">
        <v>166</v>
      </c>
      <c r="E1991" t="s">
        <v>2073</v>
      </c>
      <c r="F1991">
        <v>5419</v>
      </c>
      <c r="G1991" t="s">
        <v>18</v>
      </c>
      <c r="H1991">
        <v>27</v>
      </c>
      <c r="I1991" t="s">
        <v>19</v>
      </c>
      <c r="J1991">
        <v>1990</v>
      </c>
      <c r="K1991">
        <v>1990</v>
      </c>
      <c r="L1991" t="s">
        <v>20</v>
      </c>
      <c r="M1991">
        <v>22600</v>
      </c>
      <c r="N1991">
        <v>2928</v>
      </c>
    </row>
    <row r="1992" spans="1:14" x14ac:dyDescent="0.35">
      <c r="A1992" t="s">
        <v>2078</v>
      </c>
      <c r="B1992" t="s">
        <v>15</v>
      </c>
      <c r="C1992" t="s">
        <v>16</v>
      </c>
      <c r="D1992">
        <v>166</v>
      </c>
      <c r="E1992" t="s">
        <v>2073</v>
      </c>
      <c r="F1992">
        <v>5419</v>
      </c>
      <c r="G1992" t="s">
        <v>18</v>
      </c>
      <c r="H1992">
        <v>27</v>
      </c>
      <c r="I1992" t="s">
        <v>19</v>
      </c>
      <c r="J1992">
        <v>1991</v>
      </c>
      <c r="K1992">
        <v>1991</v>
      </c>
      <c r="L1992" t="s">
        <v>20</v>
      </c>
      <c r="M1992">
        <v>20940</v>
      </c>
      <c r="N1992">
        <v>2928</v>
      </c>
    </row>
    <row r="1993" spans="1:14" x14ac:dyDescent="0.35">
      <c r="A1993" t="s">
        <v>2079</v>
      </c>
      <c r="B1993" t="s">
        <v>15</v>
      </c>
      <c r="C1993" t="s">
        <v>16</v>
      </c>
      <c r="D1993">
        <v>166</v>
      </c>
      <c r="E1993" t="s">
        <v>2073</v>
      </c>
      <c r="F1993">
        <v>5419</v>
      </c>
      <c r="G1993" t="s">
        <v>18</v>
      </c>
      <c r="H1993">
        <v>27</v>
      </c>
      <c r="I1993" t="s">
        <v>19</v>
      </c>
      <c r="J1993">
        <v>1992</v>
      </c>
      <c r="K1993">
        <v>1992</v>
      </c>
      <c r="L1993" t="s">
        <v>20</v>
      </c>
      <c r="M1993">
        <v>21316</v>
      </c>
      <c r="N1993">
        <v>2928</v>
      </c>
    </row>
    <row r="1994" spans="1:14" x14ac:dyDescent="0.35">
      <c r="A1994" t="s">
        <v>2080</v>
      </c>
      <c r="B1994" t="s">
        <v>15</v>
      </c>
      <c r="C1994" t="s">
        <v>16</v>
      </c>
      <c r="D1994">
        <v>166</v>
      </c>
      <c r="E1994" t="s">
        <v>2073</v>
      </c>
      <c r="F1994">
        <v>5419</v>
      </c>
      <c r="G1994" t="s">
        <v>18</v>
      </c>
      <c r="H1994">
        <v>27</v>
      </c>
      <c r="I1994" t="s">
        <v>19</v>
      </c>
      <c r="J1994">
        <v>1993</v>
      </c>
      <c r="K1994">
        <v>1993</v>
      </c>
      <c r="L1994" t="s">
        <v>20</v>
      </c>
      <c r="M1994">
        <v>22460</v>
      </c>
      <c r="N1994">
        <v>2928</v>
      </c>
    </row>
    <row r="1995" spans="1:14" x14ac:dyDescent="0.35">
      <c r="A1995" t="s">
        <v>2081</v>
      </c>
      <c r="B1995" t="s">
        <v>15</v>
      </c>
      <c r="C1995" t="s">
        <v>16</v>
      </c>
      <c r="D1995">
        <v>166</v>
      </c>
      <c r="E1995" t="s">
        <v>2073</v>
      </c>
      <c r="F1995">
        <v>5419</v>
      </c>
      <c r="G1995" t="s">
        <v>18</v>
      </c>
      <c r="H1995">
        <v>27</v>
      </c>
      <c r="I1995" t="s">
        <v>19</v>
      </c>
      <c r="J1995">
        <v>1994</v>
      </c>
      <c r="K1995">
        <v>1994</v>
      </c>
      <c r="L1995" t="s">
        <v>20</v>
      </c>
      <c r="M1995">
        <v>22921</v>
      </c>
      <c r="N1995">
        <v>2928</v>
      </c>
    </row>
    <row r="1996" spans="1:14" x14ac:dyDescent="0.35">
      <c r="A1996" t="s">
        <v>2082</v>
      </c>
      <c r="B1996" t="s">
        <v>15</v>
      </c>
      <c r="C1996" t="s">
        <v>16</v>
      </c>
      <c r="D1996">
        <v>166</v>
      </c>
      <c r="E1996" t="s">
        <v>2073</v>
      </c>
      <c r="F1996">
        <v>5419</v>
      </c>
      <c r="G1996" t="s">
        <v>18</v>
      </c>
      <c r="H1996">
        <v>27</v>
      </c>
      <c r="I1996" t="s">
        <v>19</v>
      </c>
      <c r="J1996">
        <v>1995</v>
      </c>
      <c r="K1996">
        <v>1995</v>
      </c>
      <c r="L1996" t="s">
        <v>20</v>
      </c>
      <c r="M1996">
        <v>22413</v>
      </c>
      <c r="N1996">
        <v>2928</v>
      </c>
    </row>
    <row r="1997" spans="1:14" x14ac:dyDescent="0.35">
      <c r="A1997" t="s">
        <v>2083</v>
      </c>
      <c r="B1997" t="s">
        <v>15</v>
      </c>
      <c r="C1997" t="s">
        <v>16</v>
      </c>
      <c r="D1997">
        <v>166</v>
      </c>
      <c r="E1997" t="s">
        <v>2073</v>
      </c>
      <c r="F1997">
        <v>5419</v>
      </c>
      <c r="G1997" t="s">
        <v>18</v>
      </c>
      <c r="H1997">
        <v>27</v>
      </c>
      <c r="I1997" t="s">
        <v>19</v>
      </c>
      <c r="J1997">
        <v>1996</v>
      </c>
      <c r="K1997">
        <v>1996</v>
      </c>
      <c r="L1997" t="s">
        <v>20</v>
      </c>
      <c r="M1997">
        <v>24683</v>
      </c>
      <c r="N1997">
        <v>2928</v>
      </c>
    </row>
    <row r="1998" spans="1:14" x14ac:dyDescent="0.35">
      <c r="A1998" t="s">
        <v>2084</v>
      </c>
      <c r="B1998" t="s">
        <v>15</v>
      </c>
      <c r="C1998" t="s">
        <v>16</v>
      </c>
      <c r="D1998">
        <v>166</v>
      </c>
      <c r="E1998" t="s">
        <v>2073</v>
      </c>
      <c r="F1998">
        <v>5419</v>
      </c>
      <c r="G1998" t="s">
        <v>18</v>
      </c>
      <c r="H1998">
        <v>27</v>
      </c>
      <c r="I1998" t="s">
        <v>19</v>
      </c>
      <c r="J1998">
        <v>1997</v>
      </c>
      <c r="K1998">
        <v>1997</v>
      </c>
      <c r="L1998" t="s">
        <v>20</v>
      </c>
      <c r="M1998">
        <v>22046</v>
      </c>
      <c r="N1998">
        <v>2928</v>
      </c>
    </row>
    <row r="1999" spans="1:14" x14ac:dyDescent="0.35">
      <c r="A1999" t="s">
        <v>2085</v>
      </c>
      <c r="B1999" t="s">
        <v>15</v>
      </c>
      <c r="C1999" t="s">
        <v>16</v>
      </c>
      <c r="D1999">
        <v>166</v>
      </c>
      <c r="E1999" t="s">
        <v>2073</v>
      </c>
      <c r="F1999">
        <v>5419</v>
      </c>
      <c r="G1999" t="s">
        <v>18</v>
      </c>
      <c r="H1999">
        <v>27</v>
      </c>
      <c r="I1999" t="s">
        <v>19</v>
      </c>
      <c r="J1999">
        <v>1998</v>
      </c>
      <c r="K1999">
        <v>1998</v>
      </c>
      <c r="L1999" t="s">
        <v>20</v>
      </c>
      <c r="M1999">
        <v>26337</v>
      </c>
      <c r="N1999">
        <v>2928</v>
      </c>
    </row>
    <row r="2000" spans="1:14" x14ac:dyDescent="0.35">
      <c r="A2000" t="s">
        <v>2086</v>
      </c>
      <c r="B2000" t="s">
        <v>15</v>
      </c>
      <c r="C2000" t="s">
        <v>16</v>
      </c>
      <c r="D2000">
        <v>166</v>
      </c>
      <c r="E2000" t="s">
        <v>2073</v>
      </c>
      <c r="F2000">
        <v>5419</v>
      </c>
      <c r="G2000" t="s">
        <v>18</v>
      </c>
      <c r="H2000">
        <v>27</v>
      </c>
      <c r="I2000" t="s">
        <v>19</v>
      </c>
      <c r="J2000">
        <v>1999</v>
      </c>
      <c r="K2000">
        <v>1999</v>
      </c>
      <c r="L2000" t="s">
        <v>20</v>
      </c>
      <c r="M2000">
        <v>28776</v>
      </c>
      <c r="N2000">
        <v>2928</v>
      </c>
    </row>
    <row r="2001" spans="1:14" x14ac:dyDescent="0.35">
      <c r="A2001" t="s">
        <v>2087</v>
      </c>
      <c r="B2001" t="s">
        <v>15</v>
      </c>
      <c r="C2001" t="s">
        <v>16</v>
      </c>
      <c r="D2001">
        <v>166</v>
      </c>
      <c r="E2001" t="s">
        <v>2073</v>
      </c>
      <c r="F2001">
        <v>5419</v>
      </c>
      <c r="G2001" t="s">
        <v>18</v>
      </c>
      <c r="H2001">
        <v>27</v>
      </c>
      <c r="I2001" t="s">
        <v>19</v>
      </c>
      <c r="J2001">
        <v>2000</v>
      </c>
      <c r="K2001">
        <v>2000</v>
      </c>
      <c r="L2001" t="s">
        <v>20</v>
      </c>
      <c r="M2001">
        <v>26600</v>
      </c>
      <c r="N2001">
        <v>2928</v>
      </c>
    </row>
    <row r="2002" spans="1:14" x14ac:dyDescent="0.35">
      <c r="A2002" t="s">
        <v>2088</v>
      </c>
      <c r="B2002" t="s">
        <v>15</v>
      </c>
      <c r="C2002" t="s">
        <v>16</v>
      </c>
      <c r="D2002">
        <v>166</v>
      </c>
      <c r="E2002" t="s">
        <v>2073</v>
      </c>
      <c r="F2002">
        <v>5419</v>
      </c>
      <c r="G2002" t="s">
        <v>18</v>
      </c>
      <c r="H2002">
        <v>27</v>
      </c>
      <c r="I2002" t="s">
        <v>19</v>
      </c>
      <c r="J2002">
        <v>2001</v>
      </c>
      <c r="K2002">
        <v>2001</v>
      </c>
      <c r="L2002" t="s">
        <v>20</v>
      </c>
      <c r="M2002">
        <v>31699</v>
      </c>
      <c r="N2002">
        <v>2928</v>
      </c>
    </row>
    <row r="2003" spans="1:14" x14ac:dyDescent="0.35">
      <c r="A2003" t="s">
        <v>2089</v>
      </c>
      <c r="B2003" t="s">
        <v>15</v>
      </c>
      <c r="C2003" t="s">
        <v>16</v>
      </c>
      <c r="D2003">
        <v>166</v>
      </c>
      <c r="E2003" t="s">
        <v>2073</v>
      </c>
      <c r="F2003">
        <v>5419</v>
      </c>
      <c r="G2003" t="s">
        <v>18</v>
      </c>
      <c r="H2003">
        <v>27</v>
      </c>
      <c r="I2003" t="s">
        <v>19</v>
      </c>
      <c r="J2003">
        <v>2002</v>
      </c>
      <c r="K2003">
        <v>2002</v>
      </c>
      <c r="L2003" t="s">
        <v>20</v>
      </c>
      <c r="M2003">
        <v>30832</v>
      </c>
      <c r="N2003">
        <v>2928</v>
      </c>
    </row>
    <row r="2004" spans="1:14" x14ac:dyDescent="0.35">
      <c r="A2004" t="s">
        <v>2090</v>
      </c>
      <c r="B2004" t="s">
        <v>15</v>
      </c>
      <c r="C2004" t="s">
        <v>16</v>
      </c>
      <c r="D2004">
        <v>166</v>
      </c>
      <c r="E2004" t="s">
        <v>2073</v>
      </c>
      <c r="F2004">
        <v>5419</v>
      </c>
      <c r="G2004" t="s">
        <v>18</v>
      </c>
      <c r="H2004">
        <v>27</v>
      </c>
      <c r="I2004" t="s">
        <v>19</v>
      </c>
      <c r="J2004">
        <v>2004</v>
      </c>
      <c r="K2004">
        <v>2004</v>
      </c>
      <c r="L2004" t="s">
        <v>20</v>
      </c>
      <c r="M2004">
        <v>24600</v>
      </c>
      <c r="N2004">
        <v>2928</v>
      </c>
    </row>
    <row r="2005" spans="1:14" x14ac:dyDescent="0.35">
      <c r="A2005" t="s">
        <v>2091</v>
      </c>
      <c r="B2005" t="s">
        <v>15</v>
      </c>
      <c r="C2005" t="s">
        <v>16</v>
      </c>
      <c r="D2005">
        <v>166</v>
      </c>
      <c r="E2005" t="s">
        <v>2073</v>
      </c>
      <c r="F2005">
        <v>5419</v>
      </c>
      <c r="G2005" t="s">
        <v>18</v>
      </c>
      <c r="H2005">
        <v>27</v>
      </c>
      <c r="I2005" t="s">
        <v>19</v>
      </c>
      <c r="J2005">
        <v>2005</v>
      </c>
      <c r="K2005">
        <v>2005</v>
      </c>
      <c r="L2005" t="s">
        <v>20</v>
      </c>
      <c r="M2005">
        <v>30229</v>
      </c>
      <c r="N2005">
        <v>2928</v>
      </c>
    </row>
    <row r="2006" spans="1:14" x14ac:dyDescent="0.35">
      <c r="A2006" t="s">
        <v>2092</v>
      </c>
      <c r="B2006" t="s">
        <v>15</v>
      </c>
      <c r="C2006" t="s">
        <v>16</v>
      </c>
      <c r="D2006">
        <v>166</v>
      </c>
      <c r="E2006" t="s">
        <v>2073</v>
      </c>
      <c r="F2006">
        <v>5419</v>
      </c>
      <c r="G2006" t="s">
        <v>18</v>
      </c>
      <c r="H2006">
        <v>27</v>
      </c>
      <c r="I2006" t="s">
        <v>19</v>
      </c>
      <c r="J2006">
        <v>2006</v>
      </c>
      <c r="K2006">
        <v>2006</v>
      </c>
      <c r="L2006" t="s">
        <v>20</v>
      </c>
      <c r="M2006">
        <v>26414</v>
      </c>
      <c r="N2006">
        <v>2928</v>
      </c>
    </row>
    <row r="2007" spans="1:14" x14ac:dyDescent="0.35">
      <c r="A2007" t="s">
        <v>2093</v>
      </c>
      <c r="B2007" t="s">
        <v>15</v>
      </c>
      <c r="C2007" t="s">
        <v>16</v>
      </c>
      <c r="D2007">
        <v>166</v>
      </c>
      <c r="E2007" t="s">
        <v>2073</v>
      </c>
      <c r="F2007">
        <v>5419</v>
      </c>
      <c r="G2007" t="s">
        <v>18</v>
      </c>
      <c r="H2007">
        <v>27</v>
      </c>
      <c r="I2007" t="s">
        <v>19</v>
      </c>
      <c r="J2007">
        <v>2007</v>
      </c>
      <c r="K2007">
        <v>2007</v>
      </c>
      <c r="L2007" t="s">
        <v>20</v>
      </c>
      <c r="M2007">
        <v>29451</v>
      </c>
      <c r="N2007">
        <v>2928</v>
      </c>
    </row>
    <row r="2008" spans="1:14" x14ac:dyDescent="0.35">
      <c r="A2008" t="s">
        <v>2094</v>
      </c>
      <c r="B2008" t="s">
        <v>15</v>
      </c>
      <c r="C2008" t="s">
        <v>16</v>
      </c>
      <c r="D2008">
        <v>166</v>
      </c>
      <c r="E2008" t="s">
        <v>2073</v>
      </c>
      <c r="F2008">
        <v>5419</v>
      </c>
      <c r="G2008" t="s">
        <v>18</v>
      </c>
      <c r="H2008">
        <v>27</v>
      </c>
      <c r="I2008" t="s">
        <v>19</v>
      </c>
      <c r="J2008">
        <v>2008</v>
      </c>
      <c r="K2008">
        <v>2008</v>
      </c>
      <c r="L2008" t="s">
        <v>20</v>
      </c>
      <c r="M2008">
        <v>31209</v>
      </c>
      <c r="N2008">
        <v>2928</v>
      </c>
    </row>
    <row r="2009" spans="1:14" x14ac:dyDescent="0.35">
      <c r="A2009" t="s">
        <v>2095</v>
      </c>
      <c r="B2009" t="s">
        <v>15</v>
      </c>
      <c r="C2009" t="s">
        <v>16</v>
      </c>
      <c r="D2009">
        <v>166</v>
      </c>
      <c r="E2009" t="s">
        <v>2073</v>
      </c>
      <c r="F2009">
        <v>5419</v>
      </c>
      <c r="G2009" t="s">
        <v>18</v>
      </c>
      <c r="H2009">
        <v>27</v>
      </c>
      <c r="I2009" t="s">
        <v>19</v>
      </c>
      <c r="J2009">
        <v>2009</v>
      </c>
      <c r="K2009">
        <v>2009</v>
      </c>
      <c r="L2009" t="s">
        <v>20</v>
      </c>
      <c r="M2009">
        <v>29846</v>
      </c>
      <c r="N2009">
        <v>2928</v>
      </c>
    </row>
    <row r="2010" spans="1:14" x14ac:dyDescent="0.35">
      <c r="A2010" t="s">
        <v>2096</v>
      </c>
      <c r="B2010" t="s">
        <v>15</v>
      </c>
      <c r="C2010" t="s">
        <v>16</v>
      </c>
      <c r="D2010">
        <v>166</v>
      </c>
      <c r="E2010" t="s">
        <v>2073</v>
      </c>
      <c r="F2010">
        <v>5419</v>
      </c>
      <c r="G2010" t="s">
        <v>18</v>
      </c>
      <c r="H2010">
        <v>27</v>
      </c>
      <c r="I2010" t="s">
        <v>19</v>
      </c>
      <c r="J2010">
        <v>2010</v>
      </c>
      <c r="K2010">
        <v>2010</v>
      </c>
      <c r="L2010" t="s">
        <v>20</v>
      </c>
      <c r="M2010">
        <v>26130</v>
      </c>
      <c r="N2010">
        <v>2928</v>
      </c>
    </row>
    <row r="2011" spans="1:14" x14ac:dyDescent="0.35">
      <c r="A2011" t="s">
        <v>2097</v>
      </c>
      <c r="B2011" t="s">
        <v>15</v>
      </c>
      <c r="C2011" t="s">
        <v>16</v>
      </c>
      <c r="D2011">
        <v>166</v>
      </c>
      <c r="E2011" t="s">
        <v>2073</v>
      </c>
      <c r="F2011">
        <v>5419</v>
      </c>
      <c r="G2011" t="s">
        <v>18</v>
      </c>
      <c r="H2011">
        <v>27</v>
      </c>
      <c r="I2011" t="s">
        <v>19</v>
      </c>
      <c r="J2011">
        <v>2011</v>
      </c>
      <c r="K2011">
        <v>2011</v>
      </c>
      <c r="L2011" t="s">
        <v>20</v>
      </c>
      <c r="M2011">
        <v>29504</v>
      </c>
      <c r="N2011">
        <v>2928</v>
      </c>
    </row>
    <row r="2012" spans="1:14" x14ac:dyDescent="0.35">
      <c r="A2012" t="s">
        <v>2098</v>
      </c>
      <c r="B2012" t="s">
        <v>15</v>
      </c>
      <c r="C2012" t="s">
        <v>16</v>
      </c>
      <c r="D2012">
        <v>166</v>
      </c>
      <c r="E2012" t="s">
        <v>2073</v>
      </c>
      <c r="F2012">
        <v>5419</v>
      </c>
      <c r="G2012" t="s">
        <v>18</v>
      </c>
      <c r="H2012">
        <v>27</v>
      </c>
      <c r="I2012" t="s">
        <v>19</v>
      </c>
      <c r="J2012">
        <v>2012</v>
      </c>
      <c r="K2012">
        <v>2012</v>
      </c>
      <c r="L2012" t="s">
        <v>20</v>
      </c>
      <c r="M2012">
        <v>28751</v>
      </c>
      <c r="N2012">
        <v>2928</v>
      </c>
    </row>
    <row r="2013" spans="1:14" x14ac:dyDescent="0.35">
      <c r="A2013" t="s">
        <v>2099</v>
      </c>
      <c r="B2013" t="s">
        <v>15</v>
      </c>
      <c r="C2013" t="s">
        <v>16</v>
      </c>
      <c r="D2013">
        <v>166</v>
      </c>
      <c r="E2013" t="s">
        <v>2073</v>
      </c>
      <c r="F2013">
        <v>5419</v>
      </c>
      <c r="G2013" t="s">
        <v>18</v>
      </c>
      <c r="H2013">
        <v>27</v>
      </c>
      <c r="I2013" t="s">
        <v>19</v>
      </c>
      <c r="J2013">
        <v>2013</v>
      </c>
      <c r="K2013">
        <v>2013</v>
      </c>
      <c r="L2013" t="s">
        <v>20</v>
      </c>
      <c r="M2013">
        <v>30886</v>
      </c>
      <c r="N2013">
        <v>2928</v>
      </c>
    </row>
    <row r="2014" spans="1:14" x14ac:dyDescent="0.35">
      <c r="A2014" t="s">
        <v>2100</v>
      </c>
      <c r="B2014" t="s">
        <v>15</v>
      </c>
      <c r="C2014" t="s">
        <v>16</v>
      </c>
      <c r="D2014">
        <v>166</v>
      </c>
      <c r="E2014" t="s">
        <v>2073</v>
      </c>
      <c r="F2014">
        <v>5419</v>
      </c>
      <c r="G2014" t="s">
        <v>18</v>
      </c>
      <c r="H2014">
        <v>27</v>
      </c>
      <c r="I2014" t="s">
        <v>19</v>
      </c>
      <c r="J2014">
        <v>2014</v>
      </c>
      <c r="K2014">
        <v>2014</v>
      </c>
      <c r="L2014" t="s">
        <v>20</v>
      </c>
      <c r="M2014">
        <v>32618</v>
      </c>
      <c r="N2014">
        <v>2928</v>
      </c>
    </row>
    <row r="2015" spans="1:14" x14ac:dyDescent="0.35">
      <c r="A2015" t="s">
        <v>2101</v>
      </c>
      <c r="B2015" t="s">
        <v>15</v>
      </c>
      <c r="C2015" t="s">
        <v>16</v>
      </c>
      <c r="D2015">
        <v>166</v>
      </c>
      <c r="E2015" t="s">
        <v>2073</v>
      </c>
      <c r="F2015">
        <v>5419</v>
      </c>
      <c r="G2015" t="s">
        <v>18</v>
      </c>
      <c r="H2015">
        <v>27</v>
      </c>
      <c r="I2015" t="s">
        <v>19</v>
      </c>
      <c r="J2015">
        <v>2015</v>
      </c>
      <c r="K2015">
        <v>2015</v>
      </c>
      <c r="L2015" t="s">
        <v>20</v>
      </c>
      <c r="M2015">
        <v>30524</v>
      </c>
      <c r="N2015">
        <v>2928</v>
      </c>
    </row>
    <row r="2016" spans="1:14" x14ac:dyDescent="0.35">
      <c r="A2016" t="s">
        <v>2102</v>
      </c>
      <c r="B2016" t="s">
        <v>15</v>
      </c>
      <c r="C2016" t="s">
        <v>16</v>
      </c>
      <c r="D2016">
        <v>166</v>
      </c>
      <c r="E2016" t="s">
        <v>2073</v>
      </c>
      <c r="F2016">
        <v>5419</v>
      </c>
      <c r="G2016" t="s">
        <v>18</v>
      </c>
      <c r="H2016">
        <v>27</v>
      </c>
      <c r="I2016" t="s">
        <v>19</v>
      </c>
      <c r="J2016">
        <v>2016</v>
      </c>
      <c r="K2016">
        <v>2016</v>
      </c>
      <c r="L2016" t="s">
        <v>20</v>
      </c>
      <c r="M2016">
        <v>30417</v>
      </c>
      <c r="N2016">
        <v>2928</v>
      </c>
    </row>
    <row r="2017" spans="1:14" x14ac:dyDescent="0.35">
      <c r="A2017" t="s">
        <v>2103</v>
      </c>
      <c r="B2017" t="s">
        <v>15</v>
      </c>
      <c r="C2017" t="s">
        <v>16</v>
      </c>
      <c r="D2017">
        <v>168</v>
      </c>
      <c r="E2017" t="s">
        <v>2104</v>
      </c>
      <c r="F2017">
        <v>5419</v>
      </c>
      <c r="G2017" t="s">
        <v>18</v>
      </c>
      <c r="H2017">
        <v>27</v>
      </c>
      <c r="I2017" t="s">
        <v>19</v>
      </c>
      <c r="J2017">
        <v>1985</v>
      </c>
      <c r="K2017">
        <v>1985</v>
      </c>
      <c r="L2017" t="s">
        <v>20</v>
      </c>
      <c r="M2017">
        <v>20000</v>
      </c>
      <c r="N2017">
        <v>3142</v>
      </c>
    </row>
    <row r="2018" spans="1:14" x14ac:dyDescent="0.35">
      <c r="A2018" t="s">
        <v>2105</v>
      </c>
      <c r="B2018" t="s">
        <v>15</v>
      </c>
      <c r="C2018" t="s">
        <v>16</v>
      </c>
      <c r="D2018">
        <v>168</v>
      </c>
      <c r="E2018" t="s">
        <v>2104</v>
      </c>
      <c r="F2018">
        <v>5419</v>
      </c>
      <c r="G2018" t="s">
        <v>18</v>
      </c>
      <c r="H2018">
        <v>27</v>
      </c>
      <c r="I2018" t="s">
        <v>19</v>
      </c>
      <c r="J2018">
        <v>1986</v>
      </c>
      <c r="K2018">
        <v>1986</v>
      </c>
      <c r="L2018" t="s">
        <v>20</v>
      </c>
      <c r="M2018">
        <v>18182</v>
      </c>
      <c r="N2018">
        <v>3142</v>
      </c>
    </row>
    <row r="2019" spans="1:14" x14ac:dyDescent="0.35">
      <c r="A2019" t="s">
        <v>2106</v>
      </c>
      <c r="B2019" t="s">
        <v>15</v>
      </c>
      <c r="C2019" t="s">
        <v>16</v>
      </c>
      <c r="D2019">
        <v>168</v>
      </c>
      <c r="E2019" t="s">
        <v>2104</v>
      </c>
      <c r="F2019">
        <v>5419</v>
      </c>
      <c r="G2019" t="s">
        <v>18</v>
      </c>
      <c r="H2019">
        <v>27</v>
      </c>
      <c r="I2019" t="s">
        <v>19</v>
      </c>
      <c r="J2019">
        <v>1987</v>
      </c>
      <c r="K2019">
        <v>1987</v>
      </c>
      <c r="L2019" t="s">
        <v>20</v>
      </c>
      <c r="M2019">
        <v>18182</v>
      </c>
      <c r="N2019">
        <v>3142</v>
      </c>
    </row>
    <row r="2020" spans="1:14" x14ac:dyDescent="0.35">
      <c r="A2020" t="s">
        <v>2107</v>
      </c>
      <c r="B2020" t="s">
        <v>15</v>
      </c>
      <c r="C2020" t="s">
        <v>16</v>
      </c>
      <c r="D2020">
        <v>168</v>
      </c>
      <c r="E2020" t="s">
        <v>2104</v>
      </c>
      <c r="F2020">
        <v>5419</v>
      </c>
      <c r="G2020" t="s">
        <v>18</v>
      </c>
      <c r="H2020">
        <v>27</v>
      </c>
      <c r="I2020" t="s">
        <v>19</v>
      </c>
      <c r="J2020">
        <v>1989</v>
      </c>
      <c r="K2020">
        <v>1989</v>
      </c>
      <c r="L2020" t="s">
        <v>20</v>
      </c>
      <c r="M2020">
        <v>18750</v>
      </c>
      <c r="N2020">
        <v>3142</v>
      </c>
    </row>
    <row r="2021" spans="1:14" x14ac:dyDescent="0.35">
      <c r="A2021" t="s">
        <v>2108</v>
      </c>
      <c r="B2021" t="s">
        <v>15</v>
      </c>
      <c r="C2021" t="s">
        <v>16</v>
      </c>
      <c r="D2021">
        <v>168</v>
      </c>
      <c r="E2021" t="s">
        <v>2104</v>
      </c>
      <c r="F2021">
        <v>5419</v>
      </c>
      <c r="G2021" t="s">
        <v>18</v>
      </c>
      <c r="H2021">
        <v>27</v>
      </c>
      <c r="I2021" t="s">
        <v>19</v>
      </c>
      <c r="J2021">
        <v>1990</v>
      </c>
      <c r="K2021">
        <v>1990</v>
      </c>
      <c r="L2021" t="s">
        <v>20</v>
      </c>
      <c r="M2021">
        <v>18235</v>
      </c>
      <c r="N2021">
        <v>3142</v>
      </c>
    </row>
    <row r="2022" spans="1:14" x14ac:dyDescent="0.35">
      <c r="A2022" t="s">
        <v>2109</v>
      </c>
      <c r="B2022" t="s">
        <v>15</v>
      </c>
      <c r="C2022" t="s">
        <v>16</v>
      </c>
      <c r="D2022">
        <v>168</v>
      </c>
      <c r="E2022" t="s">
        <v>2104</v>
      </c>
      <c r="F2022">
        <v>5419</v>
      </c>
      <c r="G2022" t="s">
        <v>18</v>
      </c>
      <c r="H2022">
        <v>27</v>
      </c>
      <c r="I2022" t="s">
        <v>19</v>
      </c>
      <c r="J2022">
        <v>1991</v>
      </c>
      <c r="K2022">
        <v>1991</v>
      </c>
      <c r="L2022" t="s">
        <v>20</v>
      </c>
      <c r="M2022">
        <v>17458</v>
      </c>
      <c r="N2022">
        <v>3142</v>
      </c>
    </row>
    <row r="2023" spans="1:14" x14ac:dyDescent="0.35">
      <c r="A2023" t="s">
        <v>2110</v>
      </c>
      <c r="B2023" t="s">
        <v>15</v>
      </c>
      <c r="C2023" t="s">
        <v>16</v>
      </c>
      <c r="D2023">
        <v>168</v>
      </c>
      <c r="E2023" t="s">
        <v>2104</v>
      </c>
      <c r="F2023">
        <v>5419</v>
      </c>
      <c r="G2023" t="s">
        <v>18</v>
      </c>
      <c r="H2023">
        <v>27</v>
      </c>
      <c r="I2023" t="s">
        <v>19</v>
      </c>
      <c r="J2023">
        <v>1992</v>
      </c>
      <c r="K2023">
        <v>1992</v>
      </c>
      <c r="L2023" t="s">
        <v>20</v>
      </c>
      <c r="M2023">
        <v>17695</v>
      </c>
      <c r="N2023">
        <v>3142</v>
      </c>
    </row>
    <row r="2024" spans="1:14" x14ac:dyDescent="0.35">
      <c r="A2024" t="s">
        <v>2111</v>
      </c>
      <c r="B2024" t="s">
        <v>15</v>
      </c>
      <c r="C2024" t="s">
        <v>16</v>
      </c>
      <c r="D2024">
        <v>168</v>
      </c>
      <c r="E2024" t="s">
        <v>2104</v>
      </c>
      <c r="F2024">
        <v>5419</v>
      </c>
      <c r="G2024" t="s">
        <v>18</v>
      </c>
      <c r="H2024">
        <v>27</v>
      </c>
      <c r="I2024" t="s">
        <v>19</v>
      </c>
      <c r="J2024">
        <v>1993</v>
      </c>
      <c r="K2024">
        <v>1993</v>
      </c>
      <c r="L2024" t="s">
        <v>20</v>
      </c>
      <c r="M2024">
        <v>18000</v>
      </c>
      <c r="N2024">
        <v>3142</v>
      </c>
    </row>
    <row r="2025" spans="1:14" x14ac:dyDescent="0.35">
      <c r="A2025" t="s">
        <v>2112</v>
      </c>
      <c r="B2025" t="s">
        <v>15</v>
      </c>
      <c r="C2025" t="s">
        <v>16</v>
      </c>
      <c r="D2025">
        <v>168</v>
      </c>
      <c r="E2025" t="s">
        <v>2104</v>
      </c>
      <c r="F2025">
        <v>5419</v>
      </c>
      <c r="G2025" t="s">
        <v>18</v>
      </c>
      <c r="H2025">
        <v>27</v>
      </c>
      <c r="I2025" t="s">
        <v>19</v>
      </c>
      <c r="J2025">
        <v>1994</v>
      </c>
      <c r="K2025">
        <v>1994</v>
      </c>
      <c r="L2025" t="s">
        <v>20</v>
      </c>
      <c r="M2025">
        <v>17844</v>
      </c>
      <c r="N2025">
        <v>3142</v>
      </c>
    </row>
    <row r="2026" spans="1:14" x14ac:dyDescent="0.35">
      <c r="A2026" t="s">
        <v>2113</v>
      </c>
      <c r="B2026" t="s">
        <v>15</v>
      </c>
      <c r="C2026" t="s">
        <v>16</v>
      </c>
      <c r="D2026">
        <v>168</v>
      </c>
      <c r="E2026" t="s">
        <v>2104</v>
      </c>
      <c r="F2026">
        <v>5419</v>
      </c>
      <c r="G2026" t="s">
        <v>18</v>
      </c>
      <c r="H2026">
        <v>27</v>
      </c>
      <c r="I2026" t="s">
        <v>19</v>
      </c>
      <c r="J2026">
        <v>1995</v>
      </c>
      <c r="K2026">
        <v>1995</v>
      </c>
      <c r="L2026" t="s">
        <v>20</v>
      </c>
      <c r="M2026">
        <v>17872</v>
      </c>
      <c r="N2026">
        <v>3142</v>
      </c>
    </row>
    <row r="2027" spans="1:14" x14ac:dyDescent="0.35">
      <c r="A2027" t="s">
        <v>2114</v>
      </c>
      <c r="B2027" t="s">
        <v>15</v>
      </c>
      <c r="C2027" t="s">
        <v>16</v>
      </c>
      <c r="D2027">
        <v>168</v>
      </c>
      <c r="E2027" t="s">
        <v>2104</v>
      </c>
      <c r="F2027">
        <v>5419</v>
      </c>
      <c r="G2027" t="s">
        <v>18</v>
      </c>
      <c r="H2027">
        <v>27</v>
      </c>
      <c r="I2027" t="s">
        <v>19</v>
      </c>
      <c r="J2027">
        <v>1996</v>
      </c>
      <c r="K2027">
        <v>1996</v>
      </c>
      <c r="L2027" t="s">
        <v>20</v>
      </c>
      <c r="M2027">
        <v>17914</v>
      </c>
      <c r="N2027">
        <v>3142</v>
      </c>
    </row>
    <row r="2028" spans="1:14" x14ac:dyDescent="0.35">
      <c r="A2028" t="s">
        <v>2115</v>
      </c>
      <c r="B2028" t="s">
        <v>15</v>
      </c>
      <c r="C2028" t="s">
        <v>16</v>
      </c>
      <c r="D2028">
        <v>168</v>
      </c>
      <c r="E2028" t="s">
        <v>2104</v>
      </c>
      <c r="F2028">
        <v>5419</v>
      </c>
      <c r="G2028" t="s">
        <v>18</v>
      </c>
      <c r="H2028">
        <v>27</v>
      </c>
      <c r="I2028" t="s">
        <v>19</v>
      </c>
      <c r="J2028">
        <v>1997</v>
      </c>
      <c r="K2028">
        <v>1997</v>
      </c>
      <c r="L2028" t="s">
        <v>20</v>
      </c>
      <c r="M2028">
        <v>17143</v>
      </c>
      <c r="N2028">
        <v>3142</v>
      </c>
    </row>
    <row r="2029" spans="1:14" x14ac:dyDescent="0.35">
      <c r="A2029" t="s">
        <v>2116</v>
      </c>
      <c r="B2029" t="s">
        <v>15</v>
      </c>
      <c r="C2029" t="s">
        <v>16</v>
      </c>
      <c r="D2029">
        <v>168</v>
      </c>
      <c r="E2029" t="s">
        <v>2104</v>
      </c>
      <c r="F2029">
        <v>5419</v>
      </c>
      <c r="G2029" t="s">
        <v>18</v>
      </c>
      <c r="H2029">
        <v>27</v>
      </c>
      <c r="I2029" t="s">
        <v>19</v>
      </c>
      <c r="J2029">
        <v>1998</v>
      </c>
      <c r="K2029">
        <v>1998</v>
      </c>
      <c r="L2029" t="s">
        <v>20</v>
      </c>
      <c r="M2029">
        <v>18270</v>
      </c>
      <c r="N2029">
        <v>3142</v>
      </c>
    </row>
    <row r="2030" spans="1:14" x14ac:dyDescent="0.35">
      <c r="A2030" t="s">
        <v>2117</v>
      </c>
      <c r="B2030" t="s">
        <v>15</v>
      </c>
      <c r="C2030" t="s">
        <v>16</v>
      </c>
      <c r="D2030">
        <v>168</v>
      </c>
      <c r="E2030" t="s">
        <v>2104</v>
      </c>
      <c r="F2030">
        <v>5419</v>
      </c>
      <c r="G2030" t="s">
        <v>18</v>
      </c>
      <c r="H2030">
        <v>27</v>
      </c>
      <c r="I2030" t="s">
        <v>19</v>
      </c>
      <c r="J2030">
        <v>1999</v>
      </c>
      <c r="K2030">
        <v>1999</v>
      </c>
      <c r="L2030" t="s">
        <v>20</v>
      </c>
      <c r="M2030">
        <v>18583</v>
      </c>
      <c r="N2030">
        <v>3142</v>
      </c>
    </row>
    <row r="2031" spans="1:14" x14ac:dyDescent="0.35">
      <c r="A2031" t="s">
        <v>2118</v>
      </c>
      <c r="B2031" t="s">
        <v>15</v>
      </c>
      <c r="C2031" t="s">
        <v>16</v>
      </c>
      <c r="D2031">
        <v>168</v>
      </c>
      <c r="E2031" t="s">
        <v>2104</v>
      </c>
      <c r="F2031">
        <v>5419</v>
      </c>
      <c r="G2031" t="s">
        <v>18</v>
      </c>
      <c r="H2031">
        <v>27</v>
      </c>
      <c r="I2031" t="s">
        <v>19</v>
      </c>
      <c r="J2031">
        <v>2000</v>
      </c>
      <c r="K2031">
        <v>2000</v>
      </c>
      <c r="L2031" t="s">
        <v>20</v>
      </c>
      <c r="M2031">
        <v>18910</v>
      </c>
      <c r="N2031">
        <v>3142</v>
      </c>
    </row>
    <row r="2032" spans="1:14" x14ac:dyDescent="0.35">
      <c r="A2032" t="s">
        <v>2119</v>
      </c>
      <c r="B2032" t="s">
        <v>15</v>
      </c>
      <c r="C2032" t="s">
        <v>16</v>
      </c>
      <c r="D2032">
        <v>168</v>
      </c>
      <c r="E2032" t="s">
        <v>2104</v>
      </c>
      <c r="F2032">
        <v>5419</v>
      </c>
      <c r="G2032" t="s">
        <v>18</v>
      </c>
      <c r="H2032">
        <v>27</v>
      </c>
      <c r="I2032" t="s">
        <v>19</v>
      </c>
      <c r="J2032">
        <v>2001</v>
      </c>
      <c r="K2032">
        <v>2001</v>
      </c>
      <c r="L2032" t="s">
        <v>20</v>
      </c>
      <c r="M2032">
        <v>20000</v>
      </c>
      <c r="N2032">
        <v>3142</v>
      </c>
    </row>
    <row r="2033" spans="1:14" x14ac:dyDescent="0.35">
      <c r="A2033" t="s">
        <v>2120</v>
      </c>
      <c r="B2033" t="s">
        <v>15</v>
      </c>
      <c r="C2033" t="s">
        <v>16</v>
      </c>
      <c r="D2033">
        <v>168</v>
      </c>
      <c r="E2033" t="s">
        <v>2104</v>
      </c>
      <c r="F2033">
        <v>5419</v>
      </c>
      <c r="G2033" t="s">
        <v>18</v>
      </c>
      <c r="H2033">
        <v>27</v>
      </c>
      <c r="I2033" t="s">
        <v>19</v>
      </c>
      <c r="J2033">
        <v>2002</v>
      </c>
      <c r="K2033">
        <v>2002</v>
      </c>
      <c r="L2033" t="s">
        <v>20</v>
      </c>
      <c r="M2033">
        <v>19276</v>
      </c>
      <c r="N2033">
        <v>3142</v>
      </c>
    </row>
    <row r="2034" spans="1:14" x14ac:dyDescent="0.35">
      <c r="A2034" t="s">
        <v>2121</v>
      </c>
      <c r="B2034" t="s">
        <v>15</v>
      </c>
      <c r="C2034" t="s">
        <v>16</v>
      </c>
      <c r="D2034">
        <v>168</v>
      </c>
      <c r="E2034" t="s">
        <v>2104</v>
      </c>
      <c r="F2034">
        <v>5419</v>
      </c>
      <c r="G2034" t="s">
        <v>18</v>
      </c>
      <c r="H2034">
        <v>27</v>
      </c>
      <c r="I2034" t="s">
        <v>19</v>
      </c>
      <c r="J2034">
        <v>2004</v>
      </c>
      <c r="K2034">
        <v>2004</v>
      </c>
      <c r="L2034" t="s">
        <v>20</v>
      </c>
      <c r="M2034">
        <v>19266</v>
      </c>
      <c r="N2034">
        <v>3142</v>
      </c>
    </row>
    <row r="2035" spans="1:14" x14ac:dyDescent="0.35">
      <c r="A2035" t="s">
        <v>2122</v>
      </c>
      <c r="B2035" t="s">
        <v>15</v>
      </c>
      <c r="C2035" t="s">
        <v>16</v>
      </c>
      <c r="D2035">
        <v>168</v>
      </c>
      <c r="E2035" t="s">
        <v>2104</v>
      </c>
      <c r="F2035">
        <v>5419</v>
      </c>
      <c r="G2035" t="s">
        <v>18</v>
      </c>
      <c r="H2035">
        <v>27</v>
      </c>
      <c r="I2035" t="s">
        <v>19</v>
      </c>
      <c r="J2035">
        <v>2005</v>
      </c>
      <c r="K2035">
        <v>2005</v>
      </c>
      <c r="L2035" t="s">
        <v>20</v>
      </c>
      <c r="M2035">
        <v>19409</v>
      </c>
      <c r="N2035">
        <v>3142</v>
      </c>
    </row>
    <row r="2036" spans="1:14" x14ac:dyDescent="0.35">
      <c r="A2036" t="s">
        <v>2123</v>
      </c>
      <c r="B2036" t="s">
        <v>15</v>
      </c>
      <c r="C2036" t="s">
        <v>16</v>
      </c>
      <c r="D2036">
        <v>168</v>
      </c>
      <c r="E2036" t="s">
        <v>2104</v>
      </c>
      <c r="F2036">
        <v>5419</v>
      </c>
      <c r="G2036" t="s">
        <v>18</v>
      </c>
      <c r="H2036">
        <v>27</v>
      </c>
      <c r="I2036" t="s">
        <v>19</v>
      </c>
      <c r="J2036">
        <v>2006</v>
      </c>
      <c r="K2036">
        <v>2006</v>
      </c>
      <c r="L2036" t="s">
        <v>20</v>
      </c>
      <c r="M2036">
        <v>19552</v>
      </c>
      <c r="N2036">
        <v>3142</v>
      </c>
    </row>
    <row r="2037" spans="1:14" x14ac:dyDescent="0.35">
      <c r="A2037" t="s">
        <v>2124</v>
      </c>
      <c r="B2037" t="s">
        <v>15</v>
      </c>
      <c r="C2037" t="s">
        <v>16</v>
      </c>
      <c r="D2037">
        <v>168</v>
      </c>
      <c r="E2037" t="s">
        <v>2104</v>
      </c>
      <c r="F2037">
        <v>5419</v>
      </c>
      <c r="G2037" t="s">
        <v>18</v>
      </c>
      <c r="H2037">
        <v>27</v>
      </c>
      <c r="I2037" t="s">
        <v>19</v>
      </c>
      <c r="J2037">
        <v>2007</v>
      </c>
      <c r="K2037">
        <v>2007</v>
      </c>
      <c r="L2037" t="s">
        <v>20</v>
      </c>
      <c r="M2037">
        <v>19694</v>
      </c>
      <c r="N2037">
        <v>3142</v>
      </c>
    </row>
    <row r="2038" spans="1:14" x14ac:dyDescent="0.35">
      <c r="A2038" t="s">
        <v>2125</v>
      </c>
      <c r="B2038" t="s">
        <v>15</v>
      </c>
      <c r="C2038" t="s">
        <v>16</v>
      </c>
      <c r="D2038">
        <v>168</v>
      </c>
      <c r="E2038" t="s">
        <v>2104</v>
      </c>
      <c r="F2038">
        <v>5419</v>
      </c>
      <c r="G2038" t="s">
        <v>18</v>
      </c>
      <c r="H2038">
        <v>27</v>
      </c>
      <c r="I2038" t="s">
        <v>19</v>
      </c>
      <c r="J2038">
        <v>2008</v>
      </c>
      <c r="K2038">
        <v>2008</v>
      </c>
      <c r="L2038" t="s">
        <v>20</v>
      </c>
      <c r="M2038">
        <v>19837</v>
      </c>
      <c r="N2038">
        <v>3142</v>
      </c>
    </row>
    <row r="2039" spans="1:14" x14ac:dyDescent="0.35">
      <c r="A2039" t="s">
        <v>2126</v>
      </c>
      <c r="B2039" t="s">
        <v>15</v>
      </c>
      <c r="C2039" t="s">
        <v>16</v>
      </c>
      <c r="D2039">
        <v>168</v>
      </c>
      <c r="E2039" t="s">
        <v>2104</v>
      </c>
      <c r="F2039">
        <v>5419</v>
      </c>
      <c r="G2039" t="s">
        <v>18</v>
      </c>
      <c r="H2039">
        <v>27</v>
      </c>
      <c r="I2039" t="s">
        <v>19</v>
      </c>
      <c r="J2039">
        <v>2009</v>
      </c>
      <c r="K2039">
        <v>2009</v>
      </c>
      <c r="L2039" t="s">
        <v>20</v>
      </c>
      <c r="M2039">
        <v>19979</v>
      </c>
      <c r="N2039">
        <v>3142</v>
      </c>
    </row>
    <row r="2040" spans="1:14" x14ac:dyDescent="0.35">
      <c r="A2040" t="s">
        <v>2127</v>
      </c>
      <c r="B2040" t="s">
        <v>15</v>
      </c>
      <c r="C2040" t="s">
        <v>16</v>
      </c>
      <c r="D2040">
        <v>168</v>
      </c>
      <c r="E2040" t="s">
        <v>2104</v>
      </c>
      <c r="F2040">
        <v>5419</v>
      </c>
      <c r="G2040" t="s">
        <v>18</v>
      </c>
      <c r="H2040">
        <v>27</v>
      </c>
      <c r="I2040" t="s">
        <v>19</v>
      </c>
      <c r="J2040">
        <v>2010</v>
      </c>
      <c r="K2040">
        <v>2010</v>
      </c>
      <c r="L2040" t="s">
        <v>20</v>
      </c>
      <c r="M2040">
        <v>20122</v>
      </c>
      <c r="N2040">
        <v>3142</v>
      </c>
    </row>
    <row r="2041" spans="1:14" x14ac:dyDescent="0.35">
      <c r="A2041" t="s">
        <v>2128</v>
      </c>
      <c r="B2041" t="s">
        <v>15</v>
      </c>
      <c r="C2041" t="s">
        <v>16</v>
      </c>
      <c r="D2041">
        <v>168</v>
      </c>
      <c r="E2041" t="s">
        <v>2104</v>
      </c>
      <c r="F2041">
        <v>5419</v>
      </c>
      <c r="G2041" t="s">
        <v>18</v>
      </c>
      <c r="H2041">
        <v>27</v>
      </c>
      <c r="I2041" t="s">
        <v>19</v>
      </c>
      <c r="J2041">
        <v>2011</v>
      </c>
      <c r="K2041">
        <v>2011</v>
      </c>
      <c r="L2041" t="s">
        <v>20</v>
      </c>
      <c r="M2041">
        <v>20264</v>
      </c>
      <c r="N2041">
        <v>3142</v>
      </c>
    </row>
    <row r="2042" spans="1:14" x14ac:dyDescent="0.35">
      <c r="A2042" t="s">
        <v>2129</v>
      </c>
      <c r="B2042" t="s">
        <v>15</v>
      </c>
      <c r="C2042" t="s">
        <v>16</v>
      </c>
      <c r="D2042">
        <v>168</v>
      </c>
      <c r="E2042" t="s">
        <v>2104</v>
      </c>
      <c r="F2042">
        <v>5419</v>
      </c>
      <c r="G2042" t="s">
        <v>18</v>
      </c>
      <c r="H2042">
        <v>27</v>
      </c>
      <c r="I2042" t="s">
        <v>19</v>
      </c>
      <c r="J2042">
        <v>2012</v>
      </c>
      <c r="K2042">
        <v>2012</v>
      </c>
      <c r="L2042" t="s">
        <v>20</v>
      </c>
      <c r="M2042">
        <v>20407</v>
      </c>
      <c r="N2042">
        <v>3142</v>
      </c>
    </row>
    <row r="2043" spans="1:14" x14ac:dyDescent="0.35">
      <c r="A2043" t="s">
        <v>2130</v>
      </c>
      <c r="B2043" t="s">
        <v>15</v>
      </c>
      <c r="C2043" t="s">
        <v>16</v>
      </c>
      <c r="D2043">
        <v>168</v>
      </c>
      <c r="E2043" t="s">
        <v>2104</v>
      </c>
      <c r="F2043">
        <v>5419</v>
      </c>
      <c r="G2043" t="s">
        <v>18</v>
      </c>
      <c r="H2043">
        <v>27</v>
      </c>
      <c r="I2043" t="s">
        <v>19</v>
      </c>
      <c r="J2043">
        <v>2013</v>
      </c>
      <c r="K2043">
        <v>2013</v>
      </c>
      <c r="L2043" t="s">
        <v>20</v>
      </c>
      <c r="M2043">
        <v>20549</v>
      </c>
      <c r="N2043">
        <v>3142</v>
      </c>
    </row>
    <row r="2044" spans="1:14" x14ac:dyDescent="0.35">
      <c r="A2044" t="s">
        <v>2131</v>
      </c>
      <c r="B2044" t="s">
        <v>15</v>
      </c>
      <c r="C2044" t="s">
        <v>16</v>
      </c>
      <c r="D2044">
        <v>168</v>
      </c>
      <c r="E2044" t="s">
        <v>2104</v>
      </c>
      <c r="F2044">
        <v>5419</v>
      </c>
      <c r="G2044" t="s">
        <v>18</v>
      </c>
      <c r="H2044">
        <v>27</v>
      </c>
      <c r="I2044" t="s">
        <v>19</v>
      </c>
      <c r="J2044">
        <v>2014</v>
      </c>
      <c r="K2044">
        <v>2014</v>
      </c>
      <c r="L2044" t="s">
        <v>20</v>
      </c>
      <c r="M2044">
        <v>20692</v>
      </c>
      <c r="N2044">
        <v>3142</v>
      </c>
    </row>
    <row r="2045" spans="1:14" x14ac:dyDescent="0.35">
      <c r="A2045" t="s">
        <v>2132</v>
      </c>
      <c r="B2045" t="s">
        <v>15</v>
      </c>
      <c r="C2045" t="s">
        <v>16</v>
      </c>
      <c r="D2045">
        <v>168</v>
      </c>
      <c r="E2045" t="s">
        <v>2104</v>
      </c>
      <c r="F2045">
        <v>5419</v>
      </c>
      <c r="G2045" t="s">
        <v>18</v>
      </c>
      <c r="H2045">
        <v>27</v>
      </c>
      <c r="I2045" t="s">
        <v>19</v>
      </c>
      <c r="J2045">
        <v>2015</v>
      </c>
      <c r="K2045">
        <v>2015</v>
      </c>
      <c r="L2045" t="s">
        <v>20</v>
      </c>
      <c r="M2045">
        <v>20835</v>
      </c>
      <c r="N2045">
        <v>3142</v>
      </c>
    </row>
    <row r="2046" spans="1:14" x14ac:dyDescent="0.35">
      <c r="A2046" t="s">
        <v>2133</v>
      </c>
      <c r="B2046" t="s">
        <v>15</v>
      </c>
      <c r="C2046" t="s">
        <v>16</v>
      </c>
      <c r="D2046">
        <v>168</v>
      </c>
      <c r="E2046" t="s">
        <v>2104</v>
      </c>
      <c r="F2046">
        <v>5419</v>
      </c>
      <c r="G2046" t="s">
        <v>18</v>
      </c>
      <c r="H2046">
        <v>27</v>
      </c>
      <c r="I2046" t="s">
        <v>19</v>
      </c>
      <c r="J2046">
        <v>2016</v>
      </c>
      <c r="K2046">
        <v>2016</v>
      </c>
      <c r="L2046" t="s">
        <v>20</v>
      </c>
      <c r="M2046">
        <v>20977</v>
      </c>
      <c r="N2046">
        <v>3142</v>
      </c>
    </row>
    <row r="2047" spans="1:14" x14ac:dyDescent="0.35">
      <c r="A2047" t="s">
        <v>2134</v>
      </c>
      <c r="B2047" t="s">
        <v>15</v>
      </c>
      <c r="C2047" t="s">
        <v>16</v>
      </c>
      <c r="D2047">
        <v>169</v>
      </c>
      <c r="E2047" t="s">
        <v>2135</v>
      </c>
      <c r="F2047">
        <v>5419</v>
      </c>
      <c r="G2047" t="s">
        <v>18</v>
      </c>
      <c r="H2047">
        <v>27</v>
      </c>
      <c r="I2047" t="s">
        <v>19</v>
      </c>
      <c r="J2047">
        <v>1985</v>
      </c>
      <c r="K2047">
        <v>1985</v>
      </c>
      <c r="L2047" t="s">
        <v>20</v>
      </c>
      <c r="M2047">
        <v>24925</v>
      </c>
      <c r="N2047">
        <v>3142</v>
      </c>
    </row>
    <row r="2048" spans="1:14" x14ac:dyDescent="0.35">
      <c r="A2048" t="s">
        <v>2136</v>
      </c>
      <c r="B2048" t="s">
        <v>15</v>
      </c>
      <c r="C2048" t="s">
        <v>16</v>
      </c>
      <c r="D2048">
        <v>169</v>
      </c>
      <c r="E2048" t="s">
        <v>2135</v>
      </c>
      <c r="F2048">
        <v>5419</v>
      </c>
      <c r="G2048" t="s">
        <v>18</v>
      </c>
      <c r="H2048">
        <v>27</v>
      </c>
      <c r="I2048" t="s">
        <v>19</v>
      </c>
      <c r="J2048">
        <v>1986</v>
      </c>
      <c r="K2048">
        <v>1986</v>
      </c>
      <c r="L2048" t="s">
        <v>20</v>
      </c>
      <c r="M2048">
        <v>20066</v>
      </c>
      <c r="N2048">
        <v>1130</v>
      </c>
    </row>
    <row r="2049" spans="1:14" x14ac:dyDescent="0.35">
      <c r="A2049" t="s">
        <v>2137</v>
      </c>
      <c r="B2049" t="s">
        <v>15</v>
      </c>
      <c r="C2049" t="s">
        <v>16</v>
      </c>
      <c r="D2049">
        <v>169</v>
      </c>
      <c r="E2049" t="s">
        <v>2135</v>
      </c>
      <c r="F2049">
        <v>5419</v>
      </c>
      <c r="G2049" t="s">
        <v>18</v>
      </c>
      <c r="H2049">
        <v>27</v>
      </c>
      <c r="I2049" t="s">
        <v>19</v>
      </c>
      <c r="J2049">
        <v>1987</v>
      </c>
      <c r="K2049">
        <v>1987</v>
      </c>
      <c r="L2049" t="s">
        <v>20</v>
      </c>
      <c r="M2049">
        <v>25731</v>
      </c>
      <c r="N2049">
        <v>1130</v>
      </c>
    </row>
    <row r="2050" spans="1:14" x14ac:dyDescent="0.35">
      <c r="A2050" t="s">
        <v>2138</v>
      </c>
      <c r="B2050" t="s">
        <v>15</v>
      </c>
      <c r="C2050" t="s">
        <v>16</v>
      </c>
      <c r="D2050">
        <v>169</v>
      </c>
      <c r="E2050" t="s">
        <v>2135</v>
      </c>
      <c r="F2050">
        <v>5419</v>
      </c>
      <c r="G2050" t="s">
        <v>18</v>
      </c>
      <c r="H2050">
        <v>27</v>
      </c>
      <c r="I2050" t="s">
        <v>19</v>
      </c>
      <c r="J2050">
        <v>1989</v>
      </c>
      <c r="K2050">
        <v>1989</v>
      </c>
      <c r="L2050" t="s">
        <v>20</v>
      </c>
      <c r="M2050">
        <v>26996</v>
      </c>
      <c r="N2050">
        <v>1130</v>
      </c>
    </row>
    <row r="2051" spans="1:14" x14ac:dyDescent="0.35">
      <c r="A2051" t="s">
        <v>2139</v>
      </c>
      <c r="B2051" t="s">
        <v>15</v>
      </c>
      <c r="C2051" t="s">
        <v>16</v>
      </c>
      <c r="D2051">
        <v>169</v>
      </c>
      <c r="E2051" t="s">
        <v>2135</v>
      </c>
      <c r="F2051">
        <v>5419</v>
      </c>
      <c r="G2051" t="s">
        <v>18</v>
      </c>
      <c r="H2051">
        <v>27</v>
      </c>
      <c r="I2051" t="s">
        <v>19</v>
      </c>
      <c r="J2051">
        <v>1990</v>
      </c>
      <c r="K2051">
        <v>1990</v>
      </c>
      <c r="L2051" t="s">
        <v>20</v>
      </c>
      <c r="M2051">
        <v>25206</v>
      </c>
      <c r="N2051">
        <v>1130</v>
      </c>
    </row>
    <row r="2052" spans="1:14" x14ac:dyDescent="0.35">
      <c r="A2052" t="s">
        <v>2140</v>
      </c>
      <c r="B2052" t="s">
        <v>15</v>
      </c>
      <c r="C2052" t="s">
        <v>16</v>
      </c>
      <c r="D2052">
        <v>169</v>
      </c>
      <c r="E2052" t="s">
        <v>2135</v>
      </c>
      <c r="F2052">
        <v>5419</v>
      </c>
      <c r="G2052" t="s">
        <v>18</v>
      </c>
      <c r="H2052">
        <v>27</v>
      </c>
      <c r="I2052" t="s">
        <v>19</v>
      </c>
      <c r="J2052">
        <v>1991</v>
      </c>
      <c r="K2052">
        <v>1991</v>
      </c>
      <c r="L2052" t="s">
        <v>20</v>
      </c>
      <c r="M2052">
        <v>31698</v>
      </c>
      <c r="N2052">
        <v>1130</v>
      </c>
    </row>
    <row r="2053" spans="1:14" x14ac:dyDescent="0.35">
      <c r="A2053" t="s">
        <v>2141</v>
      </c>
      <c r="B2053" t="s">
        <v>15</v>
      </c>
      <c r="C2053" t="s">
        <v>16</v>
      </c>
      <c r="D2053">
        <v>169</v>
      </c>
      <c r="E2053" t="s">
        <v>2135</v>
      </c>
      <c r="F2053">
        <v>5419</v>
      </c>
      <c r="G2053" t="s">
        <v>18</v>
      </c>
      <c r="H2053">
        <v>27</v>
      </c>
      <c r="I2053" t="s">
        <v>19</v>
      </c>
      <c r="J2053">
        <v>1992</v>
      </c>
      <c r="K2053">
        <v>1992</v>
      </c>
      <c r="L2053" t="s">
        <v>20</v>
      </c>
      <c r="M2053">
        <v>38317</v>
      </c>
      <c r="N2053">
        <v>1130</v>
      </c>
    </row>
    <row r="2054" spans="1:14" x14ac:dyDescent="0.35">
      <c r="A2054" t="s">
        <v>2142</v>
      </c>
      <c r="B2054" t="s">
        <v>15</v>
      </c>
      <c r="C2054" t="s">
        <v>16</v>
      </c>
      <c r="D2054">
        <v>169</v>
      </c>
      <c r="E2054" t="s">
        <v>2135</v>
      </c>
      <c r="F2054">
        <v>5419</v>
      </c>
      <c r="G2054" t="s">
        <v>18</v>
      </c>
      <c r="H2054">
        <v>27</v>
      </c>
      <c r="I2054" t="s">
        <v>19</v>
      </c>
      <c r="J2054">
        <v>1993</v>
      </c>
      <c r="K2054">
        <v>1993</v>
      </c>
      <c r="L2054" t="s">
        <v>20</v>
      </c>
      <c r="M2054">
        <v>37715</v>
      </c>
      <c r="N2054">
        <v>1130</v>
      </c>
    </row>
    <row r="2055" spans="1:14" x14ac:dyDescent="0.35">
      <c r="A2055" t="s">
        <v>2143</v>
      </c>
      <c r="B2055" t="s">
        <v>15</v>
      </c>
      <c r="C2055" t="s">
        <v>16</v>
      </c>
      <c r="D2055">
        <v>169</v>
      </c>
      <c r="E2055" t="s">
        <v>2135</v>
      </c>
      <c r="F2055">
        <v>5419</v>
      </c>
      <c r="G2055" t="s">
        <v>18</v>
      </c>
      <c r="H2055">
        <v>27</v>
      </c>
      <c r="I2055" t="s">
        <v>19</v>
      </c>
      <c r="J2055">
        <v>1994</v>
      </c>
      <c r="K2055">
        <v>1994</v>
      </c>
      <c r="L2055" t="s">
        <v>20</v>
      </c>
      <c r="M2055">
        <v>39785</v>
      </c>
      <c r="N2055">
        <v>1130</v>
      </c>
    </row>
    <row r="2056" spans="1:14" x14ac:dyDescent="0.35">
      <c r="A2056" t="s">
        <v>2144</v>
      </c>
      <c r="B2056" t="s">
        <v>15</v>
      </c>
      <c r="C2056" t="s">
        <v>16</v>
      </c>
      <c r="D2056">
        <v>169</v>
      </c>
      <c r="E2056" t="s">
        <v>2135</v>
      </c>
      <c r="F2056">
        <v>5419</v>
      </c>
      <c r="G2056" t="s">
        <v>18</v>
      </c>
      <c r="H2056">
        <v>27</v>
      </c>
      <c r="I2056" t="s">
        <v>19</v>
      </c>
      <c r="J2056">
        <v>1995</v>
      </c>
      <c r="K2056">
        <v>1995</v>
      </c>
      <c r="L2056" t="s">
        <v>20</v>
      </c>
      <c r="M2056">
        <v>41143</v>
      </c>
      <c r="N2056">
        <v>1130</v>
      </c>
    </row>
    <row r="2057" spans="1:14" x14ac:dyDescent="0.35">
      <c r="A2057" t="s">
        <v>2145</v>
      </c>
      <c r="B2057" t="s">
        <v>15</v>
      </c>
      <c r="C2057" t="s">
        <v>16</v>
      </c>
      <c r="D2057">
        <v>169</v>
      </c>
      <c r="E2057" t="s">
        <v>2135</v>
      </c>
      <c r="F2057">
        <v>5419</v>
      </c>
      <c r="G2057" t="s">
        <v>18</v>
      </c>
      <c r="H2057">
        <v>27</v>
      </c>
      <c r="I2057" t="s">
        <v>19</v>
      </c>
      <c r="J2057">
        <v>1996</v>
      </c>
      <c r="K2057">
        <v>1996</v>
      </c>
      <c r="L2057" t="s">
        <v>20</v>
      </c>
      <c r="M2057">
        <v>36692</v>
      </c>
      <c r="N2057">
        <v>1130</v>
      </c>
    </row>
    <row r="2058" spans="1:14" x14ac:dyDescent="0.35">
      <c r="A2058" t="s">
        <v>2146</v>
      </c>
      <c r="B2058" t="s">
        <v>15</v>
      </c>
      <c r="C2058" t="s">
        <v>16</v>
      </c>
      <c r="D2058">
        <v>169</v>
      </c>
      <c r="E2058" t="s">
        <v>2135</v>
      </c>
      <c r="F2058">
        <v>5419</v>
      </c>
      <c r="G2058" t="s">
        <v>18</v>
      </c>
      <c r="H2058">
        <v>27</v>
      </c>
      <c r="I2058" t="s">
        <v>19</v>
      </c>
      <c r="J2058">
        <v>1997</v>
      </c>
      <c r="K2058">
        <v>1997</v>
      </c>
      <c r="L2058" t="s">
        <v>20</v>
      </c>
      <c r="M2058">
        <v>36988</v>
      </c>
      <c r="N2058">
        <v>1130</v>
      </c>
    </row>
    <row r="2059" spans="1:14" x14ac:dyDescent="0.35">
      <c r="A2059" t="s">
        <v>2147</v>
      </c>
      <c r="B2059" t="s">
        <v>15</v>
      </c>
      <c r="C2059" t="s">
        <v>16</v>
      </c>
      <c r="D2059">
        <v>169</v>
      </c>
      <c r="E2059" t="s">
        <v>2135</v>
      </c>
      <c r="F2059">
        <v>5419</v>
      </c>
      <c r="G2059" t="s">
        <v>18</v>
      </c>
      <c r="H2059">
        <v>27</v>
      </c>
      <c r="I2059" t="s">
        <v>19</v>
      </c>
      <c r="J2059">
        <v>1998</v>
      </c>
      <c r="K2059">
        <v>1998</v>
      </c>
      <c r="L2059" t="s">
        <v>20</v>
      </c>
      <c r="M2059">
        <v>38792</v>
      </c>
      <c r="N2059">
        <v>1130</v>
      </c>
    </row>
    <row r="2060" spans="1:14" x14ac:dyDescent="0.35">
      <c r="A2060" t="s">
        <v>2148</v>
      </c>
      <c r="B2060" t="s">
        <v>15</v>
      </c>
      <c r="C2060" t="s">
        <v>16</v>
      </c>
      <c r="D2060">
        <v>169</v>
      </c>
      <c r="E2060" t="s">
        <v>2135</v>
      </c>
      <c r="F2060">
        <v>5419</v>
      </c>
      <c r="G2060" t="s">
        <v>18</v>
      </c>
      <c r="H2060">
        <v>27</v>
      </c>
      <c r="I2060" t="s">
        <v>19</v>
      </c>
      <c r="J2060">
        <v>1999</v>
      </c>
      <c r="K2060">
        <v>1999</v>
      </c>
      <c r="L2060" t="s">
        <v>20</v>
      </c>
      <c r="M2060">
        <v>46126</v>
      </c>
      <c r="N2060">
        <v>1130</v>
      </c>
    </row>
    <row r="2061" spans="1:14" x14ac:dyDescent="0.35">
      <c r="A2061" t="s">
        <v>2149</v>
      </c>
      <c r="B2061" t="s">
        <v>15</v>
      </c>
      <c r="C2061" t="s">
        <v>16</v>
      </c>
      <c r="D2061">
        <v>169</v>
      </c>
      <c r="E2061" t="s">
        <v>2135</v>
      </c>
      <c r="F2061">
        <v>5419</v>
      </c>
      <c r="G2061" t="s">
        <v>18</v>
      </c>
      <c r="H2061">
        <v>27</v>
      </c>
      <c r="I2061" t="s">
        <v>19</v>
      </c>
      <c r="J2061">
        <v>2000</v>
      </c>
      <c r="K2061">
        <v>2000</v>
      </c>
      <c r="L2061" t="s">
        <v>20</v>
      </c>
      <c r="M2061">
        <v>38492</v>
      </c>
      <c r="N2061">
        <v>1130</v>
      </c>
    </row>
    <row r="2062" spans="1:14" x14ac:dyDescent="0.35">
      <c r="A2062" t="s">
        <v>2150</v>
      </c>
      <c r="B2062" t="s">
        <v>15</v>
      </c>
      <c r="C2062" t="s">
        <v>16</v>
      </c>
      <c r="D2062">
        <v>169</v>
      </c>
      <c r="E2062" t="s">
        <v>2135</v>
      </c>
      <c r="F2062">
        <v>5419</v>
      </c>
      <c r="G2062" t="s">
        <v>18</v>
      </c>
      <c r="H2062">
        <v>27</v>
      </c>
      <c r="I2062" t="s">
        <v>19</v>
      </c>
      <c r="J2062">
        <v>2001</v>
      </c>
      <c r="K2062">
        <v>2001</v>
      </c>
      <c r="L2062" t="s">
        <v>20</v>
      </c>
      <c r="M2062">
        <v>39797</v>
      </c>
      <c r="N2062">
        <v>1130</v>
      </c>
    </row>
    <row r="2063" spans="1:14" x14ac:dyDescent="0.35">
      <c r="A2063" t="s">
        <v>2151</v>
      </c>
      <c r="B2063" t="s">
        <v>15</v>
      </c>
      <c r="C2063" t="s">
        <v>16</v>
      </c>
      <c r="D2063">
        <v>169</v>
      </c>
      <c r="E2063" t="s">
        <v>2135</v>
      </c>
      <c r="F2063">
        <v>5419</v>
      </c>
      <c r="G2063" t="s">
        <v>18</v>
      </c>
      <c r="H2063">
        <v>27</v>
      </c>
      <c r="I2063" t="s">
        <v>19</v>
      </c>
      <c r="J2063">
        <v>2002</v>
      </c>
      <c r="K2063">
        <v>2002</v>
      </c>
      <c r="L2063" t="s">
        <v>20</v>
      </c>
      <c r="M2063">
        <v>38841</v>
      </c>
      <c r="N2063">
        <v>1130</v>
      </c>
    </row>
    <row r="2064" spans="1:14" x14ac:dyDescent="0.35">
      <c r="A2064" t="s">
        <v>2152</v>
      </c>
      <c r="B2064" t="s">
        <v>15</v>
      </c>
      <c r="C2064" t="s">
        <v>16</v>
      </c>
      <c r="D2064">
        <v>169</v>
      </c>
      <c r="E2064" t="s">
        <v>2135</v>
      </c>
      <c r="F2064">
        <v>5419</v>
      </c>
      <c r="G2064" t="s">
        <v>18</v>
      </c>
      <c r="H2064">
        <v>27</v>
      </c>
      <c r="I2064" t="s">
        <v>19</v>
      </c>
      <c r="J2064">
        <v>2004</v>
      </c>
      <c r="K2064">
        <v>2004</v>
      </c>
      <c r="L2064" t="s">
        <v>20</v>
      </c>
      <c r="M2064">
        <v>40323</v>
      </c>
      <c r="N2064">
        <v>1130</v>
      </c>
    </row>
    <row r="2065" spans="1:14" x14ac:dyDescent="0.35">
      <c r="A2065" t="s">
        <v>2153</v>
      </c>
      <c r="B2065" t="s">
        <v>15</v>
      </c>
      <c r="C2065" t="s">
        <v>16</v>
      </c>
      <c r="D2065">
        <v>169</v>
      </c>
      <c r="E2065" t="s">
        <v>2135</v>
      </c>
      <c r="F2065">
        <v>5419</v>
      </c>
      <c r="G2065" t="s">
        <v>18</v>
      </c>
      <c r="H2065">
        <v>27</v>
      </c>
      <c r="I2065" t="s">
        <v>19</v>
      </c>
      <c r="J2065">
        <v>2005</v>
      </c>
      <c r="K2065">
        <v>2005</v>
      </c>
      <c r="L2065" t="s">
        <v>20</v>
      </c>
      <c r="M2065">
        <v>30448</v>
      </c>
      <c r="N2065">
        <v>1130</v>
      </c>
    </row>
    <row r="2066" spans="1:14" x14ac:dyDescent="0.35">
      <c r="A2066" t="s">
        <v>2154</v>
      </c>
      <c r="B2066" t="s">
        <v>15</v>
      </c>
      <c r="C2066" t="s">
        <v>16</v>
      </c>
      <c r="D2066">
        <v>169</v>
      </c>
      <c r="E2066" t="s">
        <v>2135</v>
      </c>
      <c r="F2066">
        <v>5419</v>
      </c>
      <c r="G2066" t="s">
        <v>18</v>
      </c>
      <c r="H2066">
        <v>27</v>
      </c>
      <c r="I2066" t="s">
        <v>19</v>
      </c>
      <c r="J2066">
        <v>2006</v>
      </c>
      <c r="K2066">
        <v>2006</v>
      </c>
      <c r="L2066" t="s">
        <v>20</v>
      </c>
      <c r="M2066">
        <v>30000</v>
      </c>
      <c r="N2066">
        <v>1130</v>
      </c>
    </row>
    <row r="2067" spans="1:14" x14ac:dyDescent="0.35">
      <c r="A2067" t="s">
        <v>2155</v>
      </c>
      <c r="B2067" t="s">
        <v>15</v>
      </c>
      <c r="C2067" t="s">
        <v>16</v>
      </c>
      <c r="D2067">
        <v>169</v>
      </c>
      <c r="E2067" t="s">
        <v>2135</v>
      </c>
      <c r="F2067">
        <v>5419</v>
      </c>
      <c r="G2067" t="s">
        <v>18</v>
      </c>
      <c r="H2067">
        <v>27</v>
      </c>
      <c r="I2067" t="s">
        <v>19</v>
      </c>
      <c r="J2067">
        <v>2007</v>
      </c>
      <c r="K2067">
        <v>2007</v>
      </c>
      <c r="L2067" t="s">
        <v>20</v>
      </c>
      <c r="M2067">
        <v>30952</v>
      </c>
      <c r="N2067">
        <v>1130</v>
      </c>
    </row>
    <row r="2068" spans="1:14" x14ac:dyDescent="0.35">
      <c r="A2068" t="s">
        <v>2156</v>
      </c>
      <c r="B2068" t="s">
        <v>15</v>
      </c>
      <c r="C2068" t="s">
        <v>16</v>
      </c>
      <c r="D2068">
        <v>169</v>
      </c>
      <c r="E2068" t="s">
        <v>2135</v>
      </c>
      <c r="F2068">
        <v>5419</v>
      </c>
      <c r="G2068" t="s">
        <v>18</v>
      </c>
      <c r="H2068">
        <v>27</v>
      </c>
      <c r="I2068" t="s">
        <v>19</v>
      </c>
      <c r="J2068">
        <v>2008</v>
      </c>
      <c r="K2068">
        <v>2008</v>
      </c>
      <c r="L2068" t="s">
        <v>20</v>
      </c>
      <c r="M2068">
        <v>42720</v>
      </c>
      <c r="N2068">
        <v>1130</v>
      </c>
    </row>
    <row r="2069" spans="1:14" x14ac:dyDescent="0.35">
      <c r="A2069" t="s">
        <v>2157</v>
      </c>
      <c r="B2069" t="s">
        <v>15</v>
      </c>
      <c r="C2069" t="s">
        <v>16</v>
      </c>
      <c r="D2069">
        <v>169</v>
      </c>
      <c r="E2069" t="s">
        <v>2135</v>
      </c>
      <c r="F2069">
        <v>5419</v>
      </c>
      <c r="G2069" t="s">
        <v>18</v>
      </c>
      <c r="H2069">
        <v>27</v>
      </c>
      <c r="I2069" t="s">
        <v>19</v>
      </c>
      <c r="J2069">
        <v>2009</v>
      </c>
      <c r="K2069">
        <v>2009</v>
      </c>
      <c r="L2069" t="s">
        <v>20</v>
      </c>
      <c r="M2069">
        <v>43000</v>
      </c>
      <c r="N2069">
        <v>1130</v>
      </c>
    </row>
    <row r="2070" spans="1:14" x14ac:dyDescent="0.35">
      <c r="A2070" t="s">
        <v>2158</v>
      </c>
      <c r="B2070" t="s">
        <v>15</v>
      </c>
      <c r="C2070" t="s">
        <v>16</v>
      </c>
      <c r="D2070">
        <v>169</v>
      </c>
      <c r="E2070" t="s">
        <v>2135</v>
      </c>
      <c r="F2070">
        <v>5419</v>
      </c>
      <c r="G2070" t="s">
        <v>18</v>
      </c>
      <c r="H2070">
        <v>27</v>
      </c>
      <c r="I2070" t="s">
        <v>19</v>
      </c>
      <c r="J2070">
        <v>2010</v>
      </c>
      <c r="K2070">
        <v>2010</v>
      </c>
      <c r="L2070" t="s">
        <v>20</v>
      </c>
      <c r="M2070">
        <v>52998</v>
      </c>
      <c r="N2070">
        <v>1130</v>
      </c>
    </row>
    <row r="2071" spans="1:14" x14ac:dyDescent="0.35">
      <c r="A2071" t="s">
        <v>2159</v>
      </c>
      <c r="B2071" t="s">
        <v>15</v>
      </c>
      <c r="C2071" t="s">
        <v>16</v>
      </c>
      <c r="D2071">
        <v>169</v>
      </c>
      <c r="E2071" t="s">
        <v>2135</v>
      </c>
      <c r="F2071">
        <v>5419</v>
      </c>
      <c r="G2071" t="s">
        <v>18</v>
      </c>
      <c r="H2071">
        <v>27</v>
      </c>
      <c r="I2071" t="s">
        <v>19</v>
      </c>
      <c r="J2071">
        <v>2011</v>
      </c>
      <c r="K2071">
        <v>2011</v>
      </c>
      <c r="L2071" t="s">
        <v>20</v>
      </c>
      <c r="M2071">
        <v>51936</v>
      </c>
      <c r="N2071">
        <v>1130</v>
      </c>
    </row>
    <row r="2072" spans="1:14" x14ac:dyDescent="0.35">
      <c r="A2072" t="s">
        <v>2160</v>
      </c>
      <c r="B2072" t="s">
        <v>15</v>
      </c>
      <c r="C2072" t="s">
        <v>16</v>
      </c>
      <c r="D2072">
        <v>169</v>
      </c>
      <c r="E2072" t="s">
        <v>2135</v>
      </c>
      <c r="F2072">
        <v>5419</v>
      </c>
      <c r="G2072" t="s">
        <v>18</v>
      </c>
      <c r="H2072">
        <v>27</v>
      </c>
      <c r="I2072" t="s">
        <v>19</v>
      </c>
      <c r="J2072">
        <v>2012</v>
      </c>
      <c r="K2072">
        <v>2012</v>
      </c>
      <c r="L2072" t="s">
        <v>20</v>
      </c>
      <c r="M2072">
        <v>49500</v>
      </c>
      <c r="N2072">
        <v>1130</v>
      </c>
    </row>
    <row r="2073" spans="1:14" x14ac:dyDescent="0.35">
      <c r="A2073" t="s">
        <v>2161</v>
      </c>
      <c r="B2073" t="s">
        <v>15</v>
      </c>
      <c r="C2073" t="s">
        <v>16</v>
      </c>
      <c r="D2073">
        <v>169</v>
      </c>
      <c r="E2073" t="s">
        <v>2135</v>
      </c>
      <c r="F2073">
        <v>5419</v>
      </c>
      <c r="G2073" t="s">
        <v>18</v>
      </c>
      <c r="H2073">
        <v>27</v>
      </c>
      <c r="I2073" t="s">
        <v>19</v>
      </c>
      <c r="J2073">
        <v>2013</v>
      </c>
      <c r="K2073">
        <v>2013</v>
      </c>
      <c r="L2073" t="s">
        <v>20</v>
      </c>
      <c r="M2073">
        <v>63000</v>
      </c>
      <c r="N2073">
        <v>1130</v>
      </c>
    </row>
    <row r="2074" spans="1:14" x14ac:dyDescent="0.35">
      <c r="A2074" t="s">
        <v>2162</v>
      </c>
      <c r="B2074" t="s">
        <v>15</v>
      </c>
      <c r="C2074" t="s">
        <v>16</v>
      </c>
      <c r="D2074">
        <v>169</v>
      </c>
      <c r="E2074" t="s">
        <v>2135</v>
      </c>
      <c r="F2074">
        <v>5419</v>
      </c>
      <c r="G2074" t="s">
        <v>18</v>
      </c>
      <c r="H2074">
        <v>27</v>
      </c>
      <c r="I2074" t="s">
        <v>19</v>
      </c>
      <c r="J2074">
        <v>2014</v>
      </c>
      <c r="K2074">
        <v>2014</v>
      </c>
      <c r="L2074" t="s">
        <v>20</v>
      </c>
      <c r="M2074">
        <v>67000</v>
      </c>
      <c r="N2074">
        <v>1130</v>
      </c>
    </row>
    <row r="2075" spans="1:14" x14ac:dyDescent="0.35">
      <c r="A2075" t="s">
        <v>2163</v>
      </c>
      <c r="B2075" t="s">
        <v>15</v>
      </c>
      <c r="C2075" t="s">
        <v>16</v>
      </c>
      <c r="D2075">
        <v>169</v>
      </c>
      <c r="E2075" t="s">
        <v>2135</v>
      </c>
      <c r="F2075">
        <v>5419</v>
      </c>
      <c r="G2075" t="s">
        <v>18</v>
      </c>
      <c r="H2075">
        <v>27</v>
      </c>
      <c r="I2075" t="s">
        <v>19</v>
      </c>
      <c r="J2075">
        <v>2015</v>
      </c>
      <c r="K2075">
        <v>2015</v>
      </c>
      <c r="L2075" t="s">
        <v>20</v>
      </c>
      <c r="M2075">
        <v>67013</v>
      </c>
      <c r="N2075">
        <v>1130</v>
      </c>
    </row>
    <row r="2076" spans="1:14" x14ac:dyDescent="0.35">
      <c r="A2076" t="s">
        <v>2164</v>
      </c>
      <c r="B2076" t="s">
        <v>15</v>
      </c>
      <c r="C2076" t="s">
        <v>16</v>
      </c>
      <c r="D2076">
        <v>169</v>
      </c>
      <c r="E2076" t="s">
        <v>2135</v>
      </c>
      <c r="F2076">
        <v>5419</v>
      </c>
      <c r="G2076" t="s">
        <v>18</v>
      </c>
      <c r="H2076">
        <v>27</v>
      </c>
      <c r="I2076" t="s">
        <v>19</v>
      </c>
      <c r="J2076">
        <v>2016</v>
      </c>
      <c r="K2076">
        <v>2016</v>
      </c>
      <c r="L2076" t="s">
        <v>20</v>
      </c>
      <c r="M2076">
        <v>66000</v>
      </c>
      <c r="N2076">
        <v>1130</v>
      </c>
    </row>
    <row r="2077" spans="1:14" x14ac:dyDescent="0.35">
      <c r="A2077" t="s">
        <v>2165</v>
      </c>
      <c r="B2077" t="s">
        <v>15</v>
      </c>
      <c r="C2077" t="s">
        <v>16</v>
      </c>
      <c r="D2077">
        <v>170</v>
      </c>
      <c r="E2077" t="s">
        <v>2166</v>
      </c>
      <c r="F2077">
        <v>5419</v>
      </c>
      <c r="G2077" t="s">
        <v>18</v>
      </c>
      <c r="H2077">
        <v>27</v>
      </c>
      <c r="I2077" t="s">
        <v>19</v>
      </c>
      <c r="J2077">
        <v>1985</v>
      </c>
      <c r="K2077">
        <v>1985</v>
      </c>
      <c r="L2077" t="s">
        <v>20</v>
      </c>
      <c r="M2077">
        <v>45575</v>
      </c>
      <c r="N2077">
        <v>1738</v>
      </c>
    </row>
    <row r="2078" spans="1:14" x14ac:dyDescent="0.35">
      <c r="A2078" t="s">
        <v>2167</v>
      </c>
      <c r="B2078" t="s">
        <v>15</v>
      </c>
      <c r="C2078" t="s">
        <v>16</v>
      </c>
      <c r="D2078">
        <v>170</v>
      </c>
      <c r="E2078" t="s">
        <v>2166</v>
      </c>
      <c r="F2078">
        <v>5419</v>
      </c>
      <c r="G2078" t="s">
        <v>18</v>
      </c>
      <c r="H2078">
        <v>27</v>
      </c>
      <c r="I2078" t="s">
        <v>19</v>
      </c>
      <c r="J2078">
        <v>1986</v>
      </c>
      <c r="K2078">
        <v>1986</v>
      </c>
      <c r="L2078" t="s">
        <v>20</v>
      </c>
      <c r="M2078">
        <v>45045</v>
      </c>
      <c r="N2078">
        <v>1738</v>
      </c>
    </row>
    <row r="2079" spans="1:14" x14ac:dyDescent="0.35">
      <c r="A2079" t="s">
        <v>2168</v>
      </c>
      <c r="B2079" t="s">
        <v>15</v>
      </c>
      <c r="C2079" t="s">
        <v>16</v>
      </c>
      <c r="D2079">
        <v>170</v>
      </c>
      <c r="E2079" t="s">
        <v>2166</v>
      </c>
      <c r="F2079">
        <v>5419</v>
      </c>
      <c r="G2079" t="s">
        <v>18</v>
      </c>
      <c r="H2079">
        <v>27</v>
      </c>
      <c r="I2079" t="s">
        <v>19</v>
      </c>
      <c r="J2079">
        <v>1987</v>
      </c>
      <c r="K2079">
        <v>1987</v>
      </c>
      <c r="L2079" t="s">
        <v>20</v>
      </c>
      <c r="M2079">
        <v>50927</v>
      </c>
      <c r="N2079">
        <v>1738</v>
      </c>
    </row>
    <row r="2080" spans="1:14" x14ac:dyDescent="0.35">
      <c r="A2080" t="s">
        <v>2169</v>
      </c>
      <c r="B2080" t="s">
        <v>15</v>
      </c>
      <c r="C2080" t="s">
        <v>16</v>
      </c>
      <c r="D2080">
        <v>170</v>
      </c>
      <c r="E2080" t="s">
        <v>2166</v>
      </c>
      <c r="F2080">
        <v>5419</v>
      </c>
      <c r="G2080" t="s">
        <v>18</v>
      </c>
      <c r="H2080">
        <v>27</v>
      </c>
      <c r="I2080" t="s">
        <v>19</v>
      </c>
      <c r="J2080">
        <v>1989</v>
      </c>
      <c r="K2080">
        <v>1989</v>
      </c>
      <c r="L2080" t="s">
        <v>20</v>
      </c>
      <c r="M2080">
        <v>51166</v>
      </c>
      <c r="N2080">
        <v>1738</v>
      </c>
    </row>
    <row r="2081" spans="1:14" x14ac:dyDescent="0.35">
      <c r="A2081" t="s">
        <v>2170</v>
      </c>
      <c r="B2081" t="s">
        <v>15</v>
      </c>
      <c r="C2081" t="s">
        <v>16</v>
      </c>
      <c r="D2081">
        <v>170</v>
      </c>
      <c r="E2081" t="s">
        <v>2166</v>
      </c>
      <c r="F2081">
        <v>5419</v>
      </c>
      <c r="G2081" t="s">
        <v>18</v>
      </c>
      <c r="H2081">
        <v>27</v>
      </c>
      <c r="I2081" t="s">
        <v>19</v>
      </c>
      <c r="J2081">
        <v>1990</v>
      </c>
      <c r="K2081">
        <v>1990</v>
      </c>
      <c r="L2081" t="s">
        <v>20</v>
      </c>
      <c r="M2081">
        <v>52290</v>
      </c>
      <c r="N2081">
        <v>1738</v>
      </c>
    </row>
    <row r="2082" spans="1:14" x14ac:dyDescent="0.35">
      <c r="A2082" t="s">
        <v>2171</v>
      </c>
      <c r="B2082" t="s">
        <v>15</v>
      </c>
      <c r="C2082" t="s">
        <v>16</v>
      </c>
      <c r="D2082">
        <v>170</v>
      </c>
      <c r="E2082" t="s">
        <v>2166</v>
      </c>
      <c r="F2082">
        <v>5419</v>
      </c>
      <c r="G2082" t="s">
        <v>18</v>
      </c>
      <c r="H2082">
        <v>27</v>
      </c>
      <c r="I2082" t="s">
        <v>19</v>
      </c>
      <c r="J2082">
        <v>1991</v>
      </c>
      <c r="K2082">
        <v>1991</v>
      </c>
      <c r="L2082" t="s">
        <v>20</v>
      </c>
      <c r="M2082">
        <v>51416</v>
      </c>
      <c r="N2082">
        <v>1738</v>
      </c>
    </row>
    <row r="2083" spans="1:14" x14ac:dyDescent="0.35">
      <c r="A2083" t="s">
        <v>2172</v>
      </c>
      <c r="B2083" t="s">
        <v>15</v>
      </c>
      <c r="C2083" t="s">
        <v>16</v>
      </c>
      <c r="D2083">
        <v>170</v>
      </c>
      <c r="E2083" t="s">
        <v>2166</v>
      </c>
      <c r="F2083">
        <v>5419</v>
      </c>
      <c r="G2083" t="s">
        <v>18</v>
      </c>
      <c r="H2083">
        <v>27</v>
      </c>
      <c r="I2083" t="s">
        <v>19</v>
      </c>
      <c r="J2083">
        <v>1992</v>
      </c>
      <c r="K2083">
        <v>1992</v>
      </c>
      <c r="L2083" t="s">
        <v>20</v>
      </c>
      <c r="M2083">
        <v>49812</v>
      </c>
      <c r="N2083">
        <v>1738</v>
      </c>
    </row>
    <row r="2084" spans="1:14" x14ac:dyDescent="0.35">
      <c r="A2084" t="s">
        <v>2173</v>
      </c>
      <c r="B2084" t="s">
        <v>15</v>
      </c>
      <c r="C2084" t="s">
        <v>16</v>
      </c>
      <c r="D2084">
        <v>170</v>
      </c>
      <c r="E2084" t="s">
        <v>2166</v>
      </c>
      <c r="F2084">
        <v>5419</v>
      </c>
      <c r="G2084" t="s">
        <v>18</v>
      </c>
      <c r="H2084">
        <v>27</v>
      </c>
      <c r="I2084" t="s">
        <v>19</v>
      </c>
      <c r="J2084">
        <v>1993</v>
      </c>
      <c r="K2084">
        <v>1993</v>
      </c>
      <c r="L2084" t="s">
        <v>20</v>
      </c>
      <c r="M2084">
        <v>54506</v>
      </c>
      <c r="N2084">
        <v>1738</v>
      </c>
    </row>
    <row r="2085" spans="1:14" x14ac:dyDescent="0.35">
      <c r="A2085" t="s">
        <v>2174</v>
      </c>
      <c r="B2085" t="s">
        <v>15</v>
      </c>
      <c r="C2085" t="s">
        <v>16</v>
      </c>
      <c r="D2085">
        <v>170</v>
      </c>
      <c r="E2085" t="s">
        <v>2166</v>
      </c>
      <c r="F2085">
        <v>5419</v>
      </c>
      <c r="G2085" t="s">
        <v>18</v>
      </c>
      <c r="H2085">
        <v>27</v>
      </c>
      <c r="I2085" t="s">
        <v>19</v>
      </c>
      <c r="J2085">
        <v>1994</v>
      </c>
      <c r="K2085">
        <v>1994</v>
      </c>
      <c r="L2085" t="s">
        <v>20</v>
      </c>
      <c r="M2085">
        <v>58525</v>
      </c>
      <c r="N2085">
        <v>1738</v>
      </c>
    </row>
    <row r="2086" spans="1:14" x14ac:dyDescent="0.35">
      <c r="A2086" t="s">
        <v>2175</v>
      </c>
      <c r="B2086" t="s">
        <v>15</v>
      </c>
      <c r="C2086" t="s">
        <v>16</v>
      </c>
      <c r="D2086">
        <v>170</v>
      </c>
      <c r="E2086" t="s">
        <v>2166</v>
      </c>
      <c r="F2086">
        <v>5419</v>
      </c>
      <c r="G2086" t="s">
        <v>18</v>
      </c>
      <c r="H2086">
        <v>27</v>
      </c>
      <c r="I2086" t="s">
        <v>19</v>
      </c>
      <c r="J2086">
        <v>1995</v>
      </c>
      <c r="K2086">
        <v>1995</v>
      </c>
      <c r="L2086" t="s">
        <v>20</v>
      </c>
      <c r="M2086">
        <v>56180</v>
      </c>
      <c r="N2086">
        <v>1738</v>
      </c>
    </row>
    <row r="2087" spans="1:14" x14ac:dyDescent="0.35">
      <c r="A2087" t="s">
        <v>2176</v>
      </c>
      <c r="B2087" t="s">
        <v>15</v>
      </c>
      <c r="C2087" t="s">
        <v>16</v>
      </c>
      <c r="D2087">
        <v>170</v>
      </c>
      <c r="E2087" t="s">
        <v>2166</v>
      </c>
      <c r="F2087">
        <v>5419</v>
      </c>
      <c r="G2087" t="s">
        <v>18</v>
      </c>
      <c r="H2087">
        <v>27</v>
      </c>
      <c r="I2087" t="s">
        <v>19</v>
      </c>
      <c r="J2087">
        <v>1996</v>
      </c>
      <c r="K2087">
        <v>1996</v>
      </c>
      <c r="L2087" t="s">
        <v>20</v>
      </c>
      <c r="M2087">
        <v>57198</v>
      </c>
      <c r="N2087">
        <v>1738</v>
      </c>
    </row>
    <row r="2088" spans="1:14" x14ac:dyDescent="0.35">
      <c r="A2088" t="s">
        <v>2177</v>
      </c>
      <c r="B2088" t="s">
        <v>15</v>
      </c>
      <c r="C2088" t="s">
        <v>16</v>
      </c>
      <c r="D2088">
        <v>170</v>
      </c>
      <c r="E2088" t="s">
        <v>2166</v>
      </c>
      <c r="F2088">
        <v>5419</v>
      </c>
      <c r="G2088" t="s">
        <v>18</v>
      </c>
      <c r="H2088">
        <v>27</v>
      </c>
      <c r="I2088" t="s">
        <v>19</v>
      </c>
      <c r="J2088">
        <v>1997</v>
      </c>
      <c r="K2088">
        <v>1997</v>
      </c>
      <c r="L2088" t="s">
        <v>20</v>
      </c>
      <c r="M2088">
        <v>61154</v>
      </c>
      <c r="N2088">
        <v>1738</v>
      </c>
    </row>
    <row r="2089" spans="1:14" x14ac:dyDescent="0.35">
      <c r="A2089" t="s">
        <v>2178</v>
      </c>
      <c r="B2089" t="s">
        <v>15</v>
      </c>
      <c r="C2089" t="s">
        <v>16</v>
      </c>
      <c r="D2089">
        <v>170</v>
      </c>
      <c r="E2089" t="s">
        <v>2166</v>
      </c>
      <c r="F2089">
        <v>5419</v>
      </c>
      <c r="G2089" t="s">
        <v>18</v>
      </c>
      <c r="H2089">
        <v>27</v>
      </c>
      <c r="I2089" t="s">
        <v>19</v>
      </c>
      <c r="J2089">
        <v>1998</v>
      </c>
      <c r="K2089">
        <v>1998</v>
      </c>
      <c r="L2089" t="s">
        <v>20</v>
      </c>
      <c r="M2089">
        <v>57558</v>
      </c>
      <c r="N2089">
        <v>1738</v>
      </c>
    </row>
    <row r="2090" spans="1:14" x14ac:dyDescent="0.35">
      <c r="A2090" t="s">
        <v>2179</v>
      </c>
      <c r="B2090" t="s">
        <v>15</v>
      </c>
      <c r="C2090" t="s">
        <v>16</v>
      </c>
      <c r="D2090">
        <v>170</v>
      </c>
      <c r="E2090" t="s">
        <v>2166</v>
      </c>
      <c r="F2090">
        <v>5419</v>
      </c>
      <c r="G2090" t="s">
        <v>18</v>
      </c>
      <c r="H2090">
        <v>27</v>
      </c>
      <c r="I2090" t="s">
        <v>19</v>
      </c>
      <c r="J2090">
        <v>1999</v>
      </c>
      <c r="K2090">
        <v>1999</v>
      </c>
      <c r="L2090" t="s">
        <v>20</v>
      </c>
      <c r="M2090">
        <v>62514</v>
      </c>
      <c r="N2090">
        <v>1738</v>
      </c>
    </row>
    <row r="2091" spans="1:14" x14ac:dyDescent="0.35">
      <c r="A2091" t="s">
        <v>2180</v>
      </c>
      <c r="B2091" t="s">
        <v>15</v>
      </c>
      <c r="C2091" t="s">
        <v>16</v>
      </c>
      <c r="D2091">
        <v>170</v>
      </c>
      <c r="E2091" t="s">
        <v>2166</v>
      </c>
      <c r="F2091">
        <v>5419</v>
      </c>
      <c r="G2091" t="s">
        <v>18</v>
      </c>
      <c r="H2091">
        <v>27</v>
      </c>
      <c r="I2091" t="s">
        <v>19</v>
      </c>
      <c r="J2091">
        <v>2000</v>
      </c>
      <c r="K2091">
        <v>2000</v>
      </c>
      <c r="L2091" t="s">
        <v>20</v>
      </c>
      <c r="M2091">
        <v>65901</v>
      </c>
      <c r="N2091">
        <v>1738</v>
      </c>
    </row>
    <row r="2092" spans="1:14" x14ac:dyDescent="0.35">
      <c r="A2092" t="s">
        <v>2181</v>
      </c>
      <c r="B2092" t="s">
        <v>15</v>
      </c>
      <c r="C2092" t="s">
        <v>16</v>
      </c>
      <c r="D2092">
        <v>170</v>
      </c>
      <c r="E2092" t="s">
        <v>2166</v>
      </c>
      <c r="F2092">
        <v>5419</v>
      </c>
      <c r="G2092" t="s">
        <v>18</v>
      </c>
      <c r="H2092">
        <v>27</v>
      </c>
      <c r="I2092" t="s">
        <v>19</v>
      </c>
      <c r="J2092">
        <v>2001</v>
      </c>
      <c r="K2092">
        <v>2001</v>
      </c>
      <c r="L2092" t="s">
        <v>20</v>
      </c>
      <c r="M2092">
        <v>66941</v>
      </c>
      <c r="N2092">
        <v>1738</v>
      </c>
    </row>
    <row r="2093" spans="1:14" x14ac:dyDescent="0.35">
      <c r="A2093" t="s">
        <v>2182</v>
      </c>
      <c r="B2093" t="s">
        <v>15</v>
      </c>
      <c r="C2093" t="s">
        <v>16</v>
      </c>
      <c r="D2093">
        <v>170</v>
      </c>
      <c r="E2093" t="s">
        <v>2166</v>
      </c>
      <c r="F2093">
        <v>5419</v>
      </c>
      <c r="G2093" t="s">
        <v>18</v>
      </c>
      <c r="H2093">
        <v>27</v>
      </c>
      <c r="I2093" t="s">
        <v>19</v>
      </c>
      <c r="J2093">
        <v>2002</v>
      </c>
      <c r="K2093">
        <v>2002</v>
      </c>
      <c r="L2093" t="s">
        <v>20</v>
      </c>
      <c r="M2093">
        <v>66876</v>
      </c>
      <c r="N2093">
        <v>1738</v>
      </c>
    </row>
    <row r="2094" spans="1:14" x14ac:dyDescent="0.35">
      <c r="A2094" t="s">
        <v>2183</v>
      </c>
      <c r="B2094" t="s">
        <v>15</v>
      </c>
      <c r="C2094" t="s">
        <v>16</v>
      </c>
      <c r="D2094">
        <v>170</v>
      </c>
      <c r="E2094" t="s">
        <v>2166</v>
      </c>
      <c r="F2094">
        <v>5419</v>
      </c>
      <c r="G2094" t="s">
        <v>18</v>
      </c>
      <c r="H2094">
        <v>27</v>
      </c>
      <c r="I2094" t="s">
        <v>19</v>
      </c>
      <c r="J2094">
        <v>2004</v>
      </c>
      <c r="K2094">
        <v>2004</v>
      </c>
      <c r="L2094" t="s">
        <v>20</v>
      </c>
      <c r="M2094">
        <v>64401</v>
      </c>
      <c r="N2094">
        <v>1738</v>
      </c>
    </row>
    <row r="2095" spans="1:14" x14ac:dyDescent="0.35">
      <c r="A2095" t="s">
        <v>2184</v>
      </c>
      <c r="B2095" t="s">
        <v>15</v>
      </c>
      <c r="C2095" t="s">
        <v>16</v>
      </c>
      <c r="D2095">
        <v>170</v>
      </c>
      <c r="E2095" t="s">
        <v>2166</v>
      </c>
      <c r="F2095">
        <v>5419</v>
      </c>
      <c r="G2095" t="s">
        <v>18</v>
      </c>
      <c r="H2095">
        <v>27</v>
      </c>
      <c r="I2095" t="s">
        <v>19</v>
      </c>
      <c r="J2095">
        <v>2005</v>
      </c>
      <c r="K2095">
        <v>2005</v>
      </c>
      <c r="L2095" t="s">
        <v>20</v>
      </c>
      <c r="M2095">
        <v>68971</v>
      </c>
      <c r="N2095">
        <v>1738</v>
      </c>
    </row>
    <row r="2096" spans="1:14" x14ac:dyDescent="0.35">
      <c r="A2096" t="s">
        <v>2185</v>
      </c>
      <c r="B2096" t="s">
        <v>15</v>
      </c>
      <c r="C2096" t="s">
        <v>16</v>
      </c>
      <c r="D2096">
        <v>170</v>
      </c>
      <c r="E2096" t="s">
        <v>2166</v>
      </c>
      <c r="F2096">
        <v>5419</v>
      </c>
      <c r="G2096" t="s">
        <v>18</v>
      </c>
      <c r="H2096">
        <v>27</v>
      </c>
      <c r="I2096" t="s">
        <v>19</v>
      </c>
      <c r="J2096">
        <v>2006</v>
      </c>
      <c r="K2096">
        <v>2006</v>
      </c>
      <c r="L2096" t="s">
        <v>20</v>
      </c>
      <c r="M2096">
        <v>68732</v>
      </c>
      <c r="N2096">
        <v>1738</v>
      </c>
    </row>
    <row r="2097" spans="1:14" x14ac:dyDescent="0.35">
      <c r="A2097" t="s">
        <v>2186</v>
      </c>
      <c r="B2097" t="s">
        <v>15</v>
      </c>
      <c r="C2097" t="s">
        <v>16</v>
      </c>
      <c r="D2097">
        <v>170</v>
      </c>
      <c r="E2097" t="s">
        <v>2166</v>
      </c>
      <c r="F2097">
        <v>5419</v>
      </c>
      <c r="G2097" t="s">
        <v>18</v>
      </c>
      <c r="H2097">
        <v>27</v>
      </c>
      <c r="I2097" t="s">
        <v>19</v>
      </c>
      <c r="J2097">
        <v>2007</v>
      </c>
      <c r="K2097">
        <v>2007</v>
      </c>
      <c r="L2097" t="s">
        <v>20</v>
      </c>
      <c r="M2097">
        <v>66817</v>
      </c>
      <c r="N2097">
        <v>1738</v>
      </c>
    </row>
    <row r="2098" spans="1:14" x14ac:dyDescent="0.35">
      <c r="A2098" t="s">
        <v>2187</v>
      </c>
      <c r="B2098" t="s">
        <v>15</v>
      </c>
      <c r="C2098" t="s">
        <v>16</v>
      </c>
      <c r="D2098">
        <v>170</v>
      </c>
      <c r="E2098" t="s">
        <v>2166</v>
      </c>
      <c r="F2098">
        <v>5419</v>
      </c>
      <c r="G2098" t="s">
        <v>18</v>
      </c>
      <c r="H2098">
        <v>27</v>
      </c>
      <c r="I2098" t="s">
        <v>19</v>
      </c>
      <c r="J2098">
        <v>2008</v>
      </c>
      <c r="K2098">
        <v>2008</v>
      </c>
      <c r="L2098" t="s">
        <v>20</v>
      </c>
      <c r="M2098">
        <v>73089</v>
      </c>
      <c r="N2098">
        <v>1738</v>
      </c>
    </row>
    <row r="2099" spans="1:14" x14ac:dyDescent="0.35">
      <c r="A2099" t="s">
        <v>2188</v>
      </c>
      <c r="B2099" t="s">
        <v>15</v>
      </c>
      <c r="C2099" t="s">
        <v>16</v>
      </c>
      <c r="D2099">
        <v>170</v>
      </c>
      <c r="E2099" t="s">
        <v>2166</v>
      </c>
      <c r="F2099">
        <v>5419</v>
      </c>
      <c r="G2099" t="s">
        <v>18</v>
      </c>
      <c r="H2099">
        <v>27</v>
      </c>
      <c r="I2099" t="s">
        <v>19</v>
      </c>
      <c r="J2099">
        <v>2009</v>
      </c>
      <c r="K2099">
        <v>2009</v>
      </c>
      <c r="L2099" t="s">
        <v>20</v>
      </c>
      <c r="M2099">
        <v>73926</v>
      </c>
      <c r="N2099">
        <v>1738</v>
      </c>
    </row>
    <row r="2100" spans="1:14" x14ac:dyDescent="0.35">
      <c r="A2100" t="s">
        <v>2189</v>
      </c>
      <c r="B2100" t="s">
        <v>15</v>
      </c>
      <c r="C2100" t="s">
        <v>16</v>
      </c>
      <c r="D2100">
        <v>170</v>
      </c>
      <c r="E2100" t="s">
        <v>2166</v>
      </c>
      <c r="F2100">
        <v>5419</v>
      </c>
      <c r="G2100" t="s">
        <v>18</v>
      </c>
      <c r="H2100">
        <v>27</v>
      </c>
      <c r="I2100" t="s">
        <v>19</v>
      </c>
      <c r="J2100">
        <v>2010</v>
      </c>
      <c r="K2100">
        <v>2010</v>
      </c>
      <c r="L2100" t="s">
        <v>20</v>
      </c>
      <c r="M2100">
        <v>72850</v>
      </c>
      <c r="N2100">
        <v>1738</v>
      </c>
    </row>
    <row r="2101" spans="1:14" x14ac:dyDescent="0.35">
      <c r="A2101" t="s">
        <v>2190</v>
      </c>
      <c r="B2101" t="s">
        <v>15</v>
      </c>
      <c r="C2101" t="s">
        <v>16</v>
      </c>
      <c r="D2101">
        <v>170</v>
      </c>
      <c r="E2101" t="s">
        <v>2166</v>
      </c>
      <c r="F2101">
        <v>5419</v>
      </c>
      <c r="G2101" t="s">
        <v>18</v>
      </c>
      <c r="H2101">
        <v>27</v>
      </c>
      <c r="I2101" t="s">
        <v>19</v>
      </c>
      <c r="J2101">
        <v>2011</v>
      </c>
      <c r="K2101">
        <v>2011</v>
      </c>
      <c r="L2101" t="s">
        <v>20</v>
      </c>
      <c r="M2101">
        <v>72980</v>
      </c>
      <c r="N2101">
        <v>1738</v>
      </c>
    </row>
    <row r="2102" spans="1:14" x14ac:dyDescent="0.35">
      <c r="A2102" t="s">
        <v>2191</v>
      </c>
      <c r="B2102" t="s">
        <v>15</v>
      </c>
      <c r="C2102" t="s">
        <v>16</v>
      </c>
      <c r="D2102">
        <v>170</v>
      </c>
      <c r="E2102" t="s">
        <v>2166</v>
      </c>
      <c r="F2102">
        <v>5419</v>
      </c>
      <c r="G2102" t="s">
        <v>18</v>
      </c>
      <c r="H2102">
        <v>27</v>
      </c>
      <c r="I2102" t="s">
        <v>19</v>
      </c>
      <c r="J2102">
        <v>2012</v>
      </c>
      <c r="K2102">
        <v>2012</v>
      </c>
      <c r="L2102" t="s">
        <v>20</v>
      </c>
      <c r="M2102">
        <v>77851</v>
      </c>
      <c r="N2102">
        <v>1738</v>
      </c>
    </row>
    <row r="2103" spans="1:14" x14ac:dyDescent="0.35">
      <c r="A2103" t="s">
        <v>2192</v>
      </c>
      <c r="B2103" t="s">
        <v>15</v>
      </c>
      <c r="C2103" t="s">
        <v>16</v>
      </c>
      <c r="D2103">
        <v>170</v>
      </c>
      <c r="E2103" t="s">
        <v>2166</v>
      </c>
      <c r="F2103">
        <v>5419</v>
      </c>
      <c r="G2103" t="s">
        <v>18</v>
      </c>
      <c r="H2103">
        <v>27</v>
      </c>
      <c r="I2103" t="s">
        <v>19</v>
      </c>
      <c r="J2103">
        <v>2013</v>
      </c>
      <c r="K2103">
        <v>2013</v>
      </c>
      <c r="L2103" t="s">
        <v>20</v>
      </c>
      <c r="M2103">
        <v>77112</v>
      </c>
      <c r="N2103">
        <v>1738</v>
      </c>
    </row>
    <row r="2104" spans="1:14" x14ac:dyDescent="0.35">
      <c r="A2104" t="s">
        <v>2193</v>
      </c>
      <c r="B2104" t="s">
        <v>15</v>
      </c>
      <c r="C2104" t="s">
        <v>16</v>
      </c>
      <c r="D2104">
        <v>170</v>
      </c>
      <c r="E2104" t="s">
        <v>2166</v>
      </c>
      <c r="F2104">
        <v>5419</v>
      </c>
      <c r="G2104" t="s">
        <v>18</v>
      </c>
      <c r="H2104">
        <v>27</v>
      </c>
      <c r="I2104" t="s">
        <v>19</v>
      </c>
      <c r="J2104">
        <v>2014</v>
      </c>
      <c r="K2104">
        <v>2014</v>
      </c>
      <c r="L2104" t="s">
        <v>20</v>
      </c>
      <c r="M2104">
        <v>75953</v>
      </c>
      <c r="N2104">
        <v>1738</v>
      </c>
    </row>
    <row r="2105" spans="1:14" x14ac:dyDescent="0.35">
      <c r="A2105" t="s">
        <v>2194</v>
      </c>
      <c r="B2105" t="s">
        <v>15</v>
      </c>
      <c r="C2105" t="s">
        <v>16</v>
      </c>
      <c r="D2105">
        <v>170</v>
      </c>
      <c r="E2105" t="s">
        <v>2166</v>
      </c>
      <c r="F2105">
        <v>5419</v>
      </c>
      <c r="G2105" t="s">
        <v>18</v>
      </c>
      <c r="H2105">
        <v>27</v>
      </c>
      <c r="I2105" t="s">
        <v>19</v>
      </c>
      <c r="J2105">
        <v>2015</v>
      </c>
      <c r="K2105">
        <v>2015</v>
      </c>
      <c r="L2105" t="s">
        <v>20</v>
      </c>
      <c r="M2105">
        <v>78884</v>
      </c>
      <c r="N2105">
        <v>1738</v>
      </c>
    </row>
    <row r="2106" spans="1:14" x14ac:dyDescent="0.35">
      <c r="A2106" t="s">
        <v>2195</v>
      </c>
      <c r="B2106" t="s">
        <v>15</v>
      </c>
      <c r="C2106" t="s">
        <v>16</v>
      </c>
      <c r="D2106">
        <v>170</v>
      </c>
      <c r="E2106" t="s">
        <v>2166</v>
      </c>
      <c r="F2106">
        <v>5419</v>
      </c>
      <c r="G2106" t="s">
        <v>18</v>
      </c>
      <c r="H2106">
        <v>27</v>
      </c>
      <c r="I2106" t="s">
        <v>19</v>
      </c>
      <c r="J2106">
        <v>2016</v>
      </c>
      <c r="K2106">
        <v>2016</v>
      </c>
      <c r="L2106" t="s">
        <v>20</v>
      </c>
      <c r="M2106">
        <v>75453</v>
      </c>
      <c r="N2106">
        <v>1738</v>
      </c>
    </row>
    <row r="2107" spans="1:14" x14ac:dyDescent="0.35">
      <c r="A2107" t="s">
        <v>2196</v>
      </c>
      <c r="B2107" t="s">
        <v>15</v>
      </c>
      <c r="C2107" t="s">
        <v>16</v>
      </c>
      <c r="D2107">
        <v>171</v>
      </c>
      <c r="E2107" t="s">
        <v>2197</v>
      </c>
      <c r="F2107">
        <v>5419</v>
      </c>
      <c r="G2107" t="s">
        <v>18</v>
      </c>
      <c r="H2107">
        <v>27</v>
      </c>
      <c r="I2107" t="s">
        <v>19</v>
      </c>
      <c r="J2107">
        <v>1985</v>
      </c>
      <c r="K2107">
        <v>1985</v>
      </c>
      <c r="L2107" t="s">
        <v>20</v>
      </c>
      <c r="M2107">
        <v>25879</v>
      </c>
      <c r="N2107">
        <v>2348</v>
      </c>
    </row>
    <row r="2108" spans="1:14" x14ac:dyDescent="0.35">
      <c r="A2108" t="s">
        <v>2198</v>
      </c>
      <c r="B2108" t="s">
        <v>15</v>
      </c>
      <c r="C2108" t="s">
        <v>16</v>
      </c>
      <c r="D2108">
        <v>171</v>
      </c>
      <c r="E2108" t="s">
        <v>2197</v>
      </c>
      <c r="F2108">
        <v>5419</v>
      </c>
      <c r="G2108" t="s">
        <v>18</v>
      </c>
      <c r="H2108">
        <v>27</v>
      </c>
      <c r="I2108" t="s">
        <v>19</v>
      </c>
      <c r="J2108">
        <v>1986</v>
      </c>
      <c r="K2108">
        <v>1986</v>
      </c>
      <c r="L2108" t="s">
        <v>20</v>
      </c>
      <c r="M2108">
        <v>27173</v>
      </c>
      <c r="N2108">
        <v>2348</v>
      </c>
    </row>
    <row r="2109" spans="1:14" x14ac:dyDescent="0.35">
      <c r="A2109" t="s">
        <v>2199</v>
      </c>
      <c r="B2109" t="s">
        <v>15</v>
      </c>
      <c r="C2109" t="s">
        <v>16</v>
      </c>
      <c r="D2109">
        <v>171</v>
      </c>
      <c r="E2109" t="s">
        <v>2197</v>
      </c>
      <c r="F2109">
        <v>5419</v>
      </c>
      <c r="G2109" t="s">
        <v>18</v>
      </c>
      <c r="H2109">
        <v>27</v>
      </c>
      <c r="I2109" t="s">
        <v>19</v>
      </c>
      <c r="J2109">
        <v>1987</v>
      </c>
      <c r="K2109">
        <v>1987</v>
      </c>
      <c r="L2109" t="s">
        <v>20</v>
      </c>
      <c r="M2109">
        <v>26229</v>
      </c>
      <c r="N2109">
        <v>2348</v>
      </c>
    </row>
    <row r="2110" spans="1:14" x14ac:dyDescent="0.35">
      <c r="A2110" t="s">
        <v>2200</v>
      </c>
      <c r="B2110" t="s">
        <v>15</v>
      </c>
      <c r="C2110" t="s">
        <v>16</v>
      </c>
      <c r="D2110">
        <v>171</v>
      </c>
      <c r="E2110" t="s">
        <v>2197</v>
      </c>
      <c r="F2110">
        <v>5419</v>
      </c>
      <c r="G2110" t="s">
        <v>18</v>
      </c>
      <c r="H2110">
        <v>27</v>
      </c>
      <c r="I2110" t="s">
        <v>19</v>
      </c>
      <c r="J2110">
        <v>1989</v>
      </c>
      <c r="K2110">
        <v>1989</v>
      </c>
      <c r="L2110" t="s">
        <v>20</v>
      </c>
      <c r="M2110">
        <v>27046</v>
      </c>
      <c r="N2110">
        <v>2348</v>
      </c>
    </row>
    <row r="2111" spans="1:14" x14ac:dyDescent="0.35">
      <c r="A2111" t="s">
        <v>2201</v>
      </c>
      <c r="B2111" t="s">
        <v>15</v>
      </c>
      <c r="C2111" t="s">
        <v>16</v>
      </c>
      <c r="D2111">
        <v>171</v>
      </c>
      <c r="E2111" t="s">
        <v>2197</v>
      </c>
      <c r="F2111">
        <v>5419</v>
      </c>
      <c r="G2111" t="s">
        <v>18</v>
      </c>
      <c r="H2111">
        <v>27</v>
      </c>
      <c r="I2111" t="s">
        <v>19</v>
      </c>
      <c r="J2111">
        <v>1990</v>
      </c>
      <c r="K2111">
        <v>1990</v>
      </c>
      <c r="L2111" t="s">
        <v>20</v>
      </c>
      <c r="M2111">
        <v>29786</v>
      </c>
      <c r="N2111">
        <v>2348</v>
      </c>
    </row>
    <row r="2112" spans="1:14" x14ac:dyDescent="0.35">
      <c r="A2112" t="s">
        <v>2202</v>
      </c>
      <c r="B2112" t="s">
        <v>15</v>
      </c>
      <c r="C2112" t="s">
        <v>16</v>
      </c>
      <c r="D2112">
        <v>171</v>
      </c>
      <c r="E2112" t="s">
        <v>2197</v>
      </c>
      <c r="F2112">
        <v>5419</v>
      </c>
      <c r="G2112" t="s">
        <v>18</v>
      </c>
      <c r="H2112">
        <v>27</v>
      </c>
      <c r="I2112" t="s">
        <v>19</v>
      </c>
      <c r="J2112">
        <v>1991</v>
      </c>
      <c r="K2112">
        <v>1991</v>
      </c>
      <c r="L2112" t="s">
        <v>20</v>
      </c>
      <c r="M2112">
        <v>28243</v>
      </c>
      <c r="N2112">
        <v>2348</v>
      </c>
    </row>
    <row r="2113" spans="1:14" x14ac:dyDescent="0.35">
      <c r="A2113" t="s">
        <v>2203</v>
      </c>
      <c r="B2113" t="s">
        <v>15</v>
      </c>
      <c r="C2113" t="s">
        <v>16</v>
      </c>
      <c r="D2113">
        <v>171</v>
      </c>
      <c r="E2113" t="s">
        <v>2197</v>
      </c>
      <c r="F2113">
        <v>5419</v>
      </c>
      <c r="G2113" t="s">
        <v>18</v>
      </c>
      <c r="H2113">
        <v>27</v>
      </c>
      <c r="I2113" t="s">
        <v>19</v>
      </c>
      <c r="J2113">
        <v>1992</v>
      </c>
      <c r="K2113">
        <v>1992</v>
      </c>
      <c r="L2113" t="s">
        <v>20</v>
      </c>
      <c r="M2113">
        <v>28545</v>
      </c>
      <c r="N2113">
        <v>2348</v>
      </c>
    </row>
    <row r="2114" spans="1:14" x14ac:dyDescent="0.35">
      <c r="A2114" t="s">
        <v>2204</v>
      </c>
      <c r="B2114" t="s">
        <v>15</v>
      </c>
      <c r="C2114" t="s">
        <v>16</v>
      </c>
      <c r="D2114">
        <v>171</v>
      </c>
      <c r="E2114" t="s">
        <v>2197</v>
      </c>
      <c r="F2114">
        <v>5419</v>
      </c>
      <c r="G2114" t="s">
        <v>18</v>
      </c>
      <c r="H2114">
        <v>27</v>
      </c>
      <c r="I2114" t="s">
        <v>19</v>
      </c>
      <c r="J2114">
        <v>1993</v>
      </c>
      <c r="K2114">
        <v>1993</v>
      </c>
      <c r="L2114" t="s">
        <v>20</v>
      </c>
      <c r="M2114">
        <v>28742</v>
      </c>
      <c r="N2114">
        <v>2348</v>
      </c>
    </row>
    <row r="2115" spans="1:14" x14ac:dyDescent="0.35">
      <c r="A2115" t="s">
        <v>2205</v>
      </c>
      <c r="B2115" t="s">
        <v>15</v>
      </c>
      <c r="C2115" t="s">
        <v>16</v>
      </c>
      <c r="D2115">
        <v>171</v>
      </c>
      <c r="E2115" t="s">
        <v>2197</v>
      </c>
      <c r="F2115">
        <v>5419</v>
      </c>
      <c r="G2115" t="s">
        <v>18</v>
      </c>
      <c r="H2115">
        <v>27</v>
      </c>
      <c r="I2115" t="s">
        <v>19</v>
      </c>
      <c r="J2115">
        <v>1994</v>
      </c>
      <c r="K2115">
        <v>1994</v>
      </c>
      <c r="L2115" t="s">
        <v>20</v>
      </c>
      <c r="M2115">
        <v>28859</v>
      </c>
      <c r="N2115">
        <v>2348</v>
      </c>
    </row>
    <row r="2116" spans="1:14" x14ac:dyDescent="0.35">
      <c r="A2116" t="s">
        <v>2206</v>
      </c>
      <c r="B2116" t="s">
        <v>15</v>
      </c>
      <c r="C2116" t="s">
        <v>16</v>
      </c>
      <c r="D2116">
        <v>171</v>
      </c>
      <c r="E2116" t="s">
        <v>2197</v>
      </c>
      <c r="F2116">
        <v>5419</v>
      </c>
      <c r="G2116" t="s">
        <v>18</v>
      </c>
      <c r="H2116">
        <v>27</v>
      </c>
      <c r="I2116" t="s">
        <v>19</v>
      </c>
      <c r="J2116">
        <v>1995</v>
      </c>
      <c r="K2116">
        <v>1995</v>
      </c>
      <c r="L2116" t="s">
        <v>20</v>
      </c>
      <c r="M2116">
        <v>28043</v>
      </c>
      <c r="N2116">
        <v>2348</v>
      </c>
    </row>
    <row r="2117" spans="1:14" x14ac:dyDescent="0.35">
      <c r="A2117" t="s">
        <v>2207</v>
      </c>
      <c r="B2117" t="s">
        <v>15</v>
      </c>
      <c r="C2117" t="s">
        <v>16</v>
      </c>
      <c r="D2117">
        <v>171</v>
      </c>
      <c r="E2117" t="s">
        <v>2197</v>
      </c>
      <c r="F2117">
        <v>5419</v>
      </c>
      <c r="G2117" t="s">
        <v>18</v>
      </c>
      <c r="H2117">
        <v>27</v>
      </c>
      <c r="I2117" t="s">
        <v>19</v>
      </c>
      <c r="J2117">
        <v>1996</v>
      </c>
      <c r="K2117">
        <v>1996</v>
      </c>
      <c r="L2117" t="s">
        <v>20</v>
      </c>
      <c r="M2117">
        <v>28558</v>
      </c>
      <c r="N2117">
        <v>2348</v>
      </c>
    </row>
    <row r="2118" spans="1:14" x14ac:dyDescent="0.35">
      <c r="A2118" t="s">
        <v>2208</v>
      </c>
      <c r="B2118" t="s">
        <v>15</v>
      </c>
      <c r="C2118" t="s">
        <v>16</v>
      </c>
      <c r="D2118">
        <v>171</v>
      </c>
      <c r="E2118" t="s">
        <v>2197</v>
      </c>
      <c r="F2118">
        <v>5419</v>
      </c>
      <c r="G2118" t="s">
        <v>18</v>
      </c>
      <c r="H2118">
        <v>27</v>
      </c>
      <c r="I2118" t="s">
        <v>19</v>
      </c>
      <c r="J2118">
        <v>1997</v>
      </c>
      <c r="K2118">
        <v>1997</v>
      </c>
      <c r="L2118" t="s">
        <v>20</v>
      </c>
      <c r="M2118">
        <v>29329</v>
      </c>
      <c r="N2118">
        <v>2348</v>
      </c>
    </row>
    <row r="2119" spans="1:14" x14ac:dyDescent="0.35">
      <c r="A2119" t="s">
        <v>2209</v>
      </c>
      <c r="B2119" t="s">
        <v>15</v>
      </c>
      <c r="C2119" t="s">
        <v>16</v>
      </c>
      <c r="D2119">
        <v>171</v>
      </c>
      <c r="E2119" t="s">
        <v>2197</v>
      </c>
      <c r="F2119">
        <v>5419</v>
      </c>
      <c r="G2119" t="s">
        <v>18</v>
      </c>
      <c r="H2119">
        <v>27</v>
      </c>
      <c r="I2119" t="s">
        <v>19</v>
      </c>
      <c r="J2119">
        <v>1998</v>
      </c>
      <c r="K2119">
        <v>1998</v>
      </c>
      <c r="L2119" t="s">
        <v>20</v>
      </c>
      <c r="M2119">
        <v>26986</v>
      </c>
      <c r="N2119">
        <v>2348</v>
      </c>
    </row>
    <row r="2120" spans="1:14" x14ac:dyDescent="0.35">
      <c r="A2120" t="s">
        <v>2210</v>
      </c>
      <c r="B2120" t="s">
        <v>15</v>
      </c>
      <c r="C2120" t="s">
        <v>16</v>
      </c>
      <c r="D2120">
        <v>171</v>
      </c>
      <c r="E2120" t="s">
        <v>2197</v>
      </c>
      <c r="F2120">
        <v>5419</v>
      </c>
      <c r="G2120" t="s">
        <v>18</v>
      </c>
      <c r="H2120">
        <v>27</v>
      </c>
      <c r="I2120" t="s">
        <v>19</v>
      </c>
      <c r="J2120">
        <v>1999</v>
      </c>
      <c r="K2120">
        <v>1999</v>
      </c>
      <c r="L2120" t="s">
        <v>20</v>
      </c>
      <c r="M2120">
        <v>29468</v>
      </c>
      <c r="N2120">
        <v>2348</v>
      </c>
    </row>
    <row r="2121" spans="1:14" x14ac:dyDescent="0.35">
      <c r="A2121" t="s">
        <v>2211</v>
      </c>
      <c r="B2121" t="s">
        <v>15</v>
      </c>
      <c r="C2121" t="s">
        <v>16</v>
      </c>
      <c r="D2121">
        <v>171</v>
      </c>
      <c r="E2121" t="s">
        <v>2197</v>
      </c>
      <c r="F2121">
        <v>5419</v>
      </c>
      <c r="G2121" t="s">
        <v>18</v>
      </c>
      <c r="H2121">
        <v>27</v>
      </c>
      <c r="I2121" t="s">
        <v>19</v>
      </c>
      <c r="J2121">
        <v>2000</v>
      </c>
      <c r="K2121">
        <v>2000</v>
      </c>
      <c r="L2121" t="s">
        <v>20</v>
      </c>
      <c r="M2121">
        <v>30681</v>
      </c>
      <c r="N2121">
        <v>2348</v>
      </c>
    </row>
    <row r="2122" spans="1:14" x14ac:dyDescent="0.35">
      <c r="A2122" t="s">
        <v>2212</v>
      </c>
      <c r="B2122" t="s">
        <v>15</v>
      </c>
      <c r="C2122" t="s">
        <v>16</v>
      </c>
      <c r="D2122">
        <v>171</v>
      </c>
      <c r="E2122" t="s">
        <v>2197</v>
      </c>
      <c r="F2122">
        <v>5419</v>
      </c>
      <c r="G2122" t="s">
        <v>18</v>
      </c>
      <c r="H2122">
        <v>27</v>
      </c>
      <c r="I2122" t="s">
        <v>19</v>
      </c>
      <c r="J2122">
        <v>2001</v>
      </c>
      <c r="K2122">
        <v>2001</v>
      </c>
      <c r="L2122" t="s">
        <v>20</v>
      </c>
      <c r="M2122">
        <v>31866</v>
      </c>
      <c r="N2122">
        <v>2348</v>
      </c>
    </row>
    <row r="2123" spans="1:14" x14ac:dyDescent="0.35">
      <c r="A2123" t="s">
        <v>2213</v>
      </c>
      <c r="B2123" t="s">
        <v>15</v>
      </c>
      <c r="C2123" t="s">
        <v>16</v>
      </c>
      <c r="D2123">
        <v>171</v>
      </c>
      <c r="E2123" t="s">
        <v>2197</v>
      </c>
      <c r="F2123">
        <v>5419</v>
      </c>
      <c r="G2123" t="s">
        <v>18</v>
      </c>
      <c r="H2123">
        <v>27</v>
      </c>
      <c r="I2123" t="s">
        <v>19</v>
      </c>
      <c r="J2123">
        <v>2002</v>
      </c>
      <c r="K2123">
        <v>2002</v>
      </c>
      <c r="L2123" t="s">
        <v>20</v>
      </c>
      <c r="M2123">
        <v>32797</v>
      </c>
      <c r="N2123">
        <v>2348</v>
      </c>
    </row>
    <row r="2124" spans="1:14" x14ac:dyDescent="0.35">
      <c r="A2124" t="s">
        <v>2214</v>
      </c>
      <c r="B2124" t="s">
        <v>15</v>
      </c>
      <c r="C2124" t="s">
        <v>16</v>
      </c>
      <c r="D2124">
        <v>171</v>
      </c>
      <c r="E2124" t="s">
        <v>2197</v>
      </c>
      <c r="F2124">
        <v>5419</v>
      </c>
      <c r="G2124" t="s">
        <v>18</v>
      </c>
      <c r="H2124">
        <v>27</v>
      </c>
      <c r="I2124" t="s">
        <v>19</v>
      </c>
      <c r="J2124">
        <v>2004</v>
      </c>
      <c r="K2124">
        <v>2004</v>
      </c>
      <c r="L2124" t="s">
        <v>20</v>
      </c>
      <c r="M2124">
        <v>35130</v>
      </c>
      <c r="N2124">
        <v>2348</v>
      </c>
    </row>
    <row r="2125" spans="1:14" x14ac:dyDescent="0.35">
      <c r="A2125" t="s">
        <v>2215</v>
      </c>
      <c r="B2125" t="s">
        <v>15</v>
      </c>
      <c r="C2125" t="s">
        <v>16</v>
      </c>
      <c r="D2125">
        <v>171</v>
      </c>
      <c r="E2125" t="s">
        <v>2197</v>
      </c>
      <c r="F2125">
        <v>5419</v>
      </c>
      <c r="G2125" t="s">
        <v>18</v>
      </c>
      <c r="H2125">
        <v>27</v>
      </c>
      <c r="I2125" t="s">
        <v>19</v>
      </c>
      <c r="J2125">
        <v>2005</v>
      </c>
      <c r="K2125">
        <v>2005</v>
      </c>
      <c r="L2125" t="s">
        <v>20</v>
      </c>
      <c r="M2125">
        <v>35876</v>
      </c>
      <c r="N2125">
        <v>2348</v>
      </c>
    </row>
    <row r="2126" spans="1:14" x14ac:dyDescent="0.35">
      <c r="A2126" t="s">
        <v>2216</v>
      </c>
      <c r="B2126" t="s">
        <v>15</v>
      </c>
      <c r="C2126" t="s">
        <v>16</v>
      </c>
      <c r="D2126">
        <v>171</v>
      </c>
      <c r="E2126" t="s">
        <v>2197</v>
      </c>
      <c r="F2126">
        <v>5419</v>
      </c>
      <c r="G2126" t="s">
        <v>18</v>
      </c>
      <c r="H2126">
        <v>27</v>
      </c>
      <c r="I2126" t="s">
        <v>19</v>
      </c>
      <c r="J2126">
        <v>2006</v>
      </c>
      <c r="K2126">
        <v>2006</v>
      </c>
      <c r="L2126" t="s">
        <v>20</v>
      </c>
      <c r="M2126">
        <v>36844</v>
      </c>
      <c r="N2126">
        <v>2348</v>
      </c>
    </row>
    <row r="2127" spans="1:14" x14ac:dyDescent="0.35">
      <c r="A2127" t="s">
        <v>2217</v>
      </c>
      <c r="B2127" t="s">
        <v>15</v>
      </c>
      <c r="C2127" t="s">
        <v>16</v>
      </c>
      <c r="D2127">
        <v>171</v>
      </c>
      <c r="E2127" t="s">
        <v>2197</v>
      </c>
      <c r="F2127">
        <v>5419</v>
      </c>
      <c r="G2127" t="s">
        <v>18</v>
      </c>
      <c r="H2127">
        <v>27</v>
      </c>
      <c r="I2127" t="s">
        <v>19</v>
      </c>
      <c r="J2127">
        <v>2007</v>
      </c>
      <c r="K2127">
        <v>2007</v>
      </c>
      <c r="L2127" t="s">
        <v>20</v>
      </c>
      <c r="M2127">
        <v>38008</v>
      </c>
      <c r="N2127">
        <v>2348</v>
      </c>
    </row>
    <row r="2128" spans="1:14" x14ac:dyDescent="0.35">
      <c r="A2128" t="s">
        <v>2218</v>
      </c>
      <c r="B2128" t="s">
        <v>15</v>
      </c>
      <c r="C2128" t="s">
        <v>16</v>
      </c>
      <c r="D2128">
        <v>171</v>
      </c>
      <c r="E2128" t="s">
        <v>2197</v>
      </c>
      <c r="F2128">
        <v>5419</v>
      </c>
      <c r="G2128" t="s">
        <v>18</v>
      </c>
      <c r="H2128">
        <v>27</v>
      </c>
      <c r="I2128" t="s">
        <v>19</v>
      </c>
      <c r="J2128">
        <v>2008</v>
      </c>
      <c r="K2128">
        <v>2008</v>
      </c>
      <c r="L2128" t="s">
        <v>20</v>
      </c>
      <c r="M2128">
        <v>37703</v>
      </c>
      <c r="N2128">
        <v>2348</v>
      </c>
    </row>
    <row r="2129" spans="1:14" x14ac:dyDescent="0.35">
      <c r="A2129" t="s">
        <v>2219</v>
      </c>
      <c r="B2129" t="s">
        <v>15</v>
      </c>
      <c r="C2129" t="s">
        <v>16</v>
      </c>
      <c r="D2129">
        <v>171</v>
      </c>
      <c r="E2129" t="s">
        <v>2197</v>
      </c>
      <c r="F2129">
        <v>5419</v>
      </c>
      <c r="G2129" t="s">
        <v>18</v>
      </c>
      <c r="H2129">
        <v>27</v>
      </c>
      <c r="I2129" t="s">
        <v>19</v>
      </c>
      <c r="J2129">
        <v>2009</v>
      </c>
      <c r="K2129">
        <v>2009</v>
      </c>
      <c r="L2129" t="s">
        <v>20</v>
      </c>
      <c r="M2129">
        <v>35890</v>
      </c>
      <c r="N2129">
        <v>2348</v>
      </c>
    </row>
    <row r="2130" spans="1:14" x14ac:dyDescent="0.35">
      <c r="A2130" t="s">
        <v>2220</v>
      </c>
      <c r="B2130" t="s">
        <v>15</v>
      </c>
      <c r="C2130" t="s">
        <v>16</v>
      </c>
      <c r="D2130">
        <v>171</v>
      </c>
      <c r="E2130" t="s">
        <v>2197</v>
      </c>
      <c r="F2130">
        <v>5419</v>
      </c>
      <c r="G2130" t="s">
        <v>18</v>
      </c>
      <c r="H2130">
        <v>27</v>
      </c>
      <c r="I2130" t="s">
        <v>19</v>
      </c>
      <c r="J2130">
        <v>2010</v>
      </c>
      <c r="K2130">
        <v>2010</v>
      </c>
      <c r="L2130" t="s">
        <v>20</v>
      </c>
      <c r="M2130">
        <v>36224</v>
      </c>
      <c r="N2130">
        <v>2348</v>
      </c>
    </row>
    <row r="2131" spans="1:14" x14ac:dyDescent="0.35">
      <c r="A2131" t="s">
        <v>2221</v>
      </c>
      <c r="B2131" t="s">
        <v>15</v>
      </c>
      <c r="C2131" t="s">
        <v>16</v>
      </c>
      <c r="D2131">
        <v>171</v>
      </c>
      <c r="E2131" t="s">
        <v>2197</v>
      </c>
      <c r="F2131">
        <v>5419</v>
      </c>
      <c r="G2131" t="s">
        <v>18</v>
      </c>
      <c r="H2131">
        <v>27</v>
      </c>
      <c r="I2131" t="s">
        <v>19</v>
      </c>
      <c r="J2131">
        <v>2011</v>
      </c>
      <c r="K2131">
        <v>2011</v>
      </c>
      <c r="L2131" t="s">
        <v>20</v>
      </c>
      <c r="M2131">
        <v>36776</v>
      </c>
      <c r="N2131">
        <v>2348</v>
      </c>
    </row>
    <row r="2132" spans="1:14" x14ac:dyDescent="0.35">
      <c r="A2132" t="s">
        <v>2222</v>
      </c>
      <c r="B2132" t="s">
        <v>15</v>
      </c>
      <c r="C2132" t="s">
        <v>16</v>
      </c>
      <c r="D2132">
        <v>171</v>
      </c>
      <c r="E2132" t="s">
        <v>2197</v>
      </c>
      <c r="F2132">
        <v>5419</v>
      </c>
      <c r="G2132" t="s">
        <v>18</v>
      </c>
      <c r="H2132">
        <v>27</v>
      </c>
      <c r="I2132" t="s">
        <v>19</v>
      </c>
      <c r="J2132">
        <v>2012</v>
      </c>
      <c r="K2132">
        <v>2012</v>
      </c>
      <c r="L2132" t="s">
        <v>20</v>
      </c>
      <c r="M2132">
        <v>38448</v>
      </c>
      <c r="N2132">
        <v>2348</v>
      </c>
    </row>
    <row r="2133" spans="1:14" x14ac:dyDescent="0.35">
      <c r="A2133" t="s">
        <v>2223</v>
      </c>
      <c r="B2133" t="s">
        <v>15</v>
      </c>
      <c r="C2133" t="s">
        <v>16</v>
      </c>
      <c r="D2133">
        <v>171</v>
      </c>
      <c r="E2133" t="s">
        <v>2197</v>
      </c>
      <c r="F2133">
        <v>5419</v>
      </c>
      <c r="G2133" t="s">
        <v>18</v>
      </c>
      <c r="H2133">
        <v>27</v>
      </c>
      <c r="I2133" t="s">
        <v>19</v>
      </c>
      <c r="J2133">
        <v>2013</v>
      </c>
      <c r="K2133">
        <v>2013</v>
      </c>
      <c r="L2133" t="s">
        <v>20</v>
      </c>
      <c r="M2133">
        <v>38852</v>
      </c>
      <c r="N2133">
        <v>2348</v>
      </c>
    </row>
    <row r="2134" spans="1:14" x14ac:dyDescent="0.35">
      <c r="A2134" t="s">
        <v>2224</v>
      </c>
      <c r="B2134" t="s">
        <v>15</v>
      </c>
      <c r="C2134" t="s">
        <v>16</v>
      </c>
      <c r="D2134">
        <v>171</v>
      </c>
      <c r="E2134" t="s">
        <v>2197</v>
      </c>
      <c r="F2134">
        <v>5419</v>
      </c>
      <c r="G2134" t="s">
        <v>18</v>
      </c>
      <c r="H2134">
        <v>27</v>
      </c>
      <c r="I2134" t="s">
        <v>19</v>
      </c>
      <c r="J2134">
        <v>2014</v>
      </c>
      <c r="K2134">
        <v>2014</v>
      </c>
      <c r="L2134" t="s">
        <v>20</v>
      </c>
      <c r="M2134">
        <v>40019</v>
      </c>
      <c r="N2134">
        <v>2348</v>
      </c>
    </row>
    <row r="2135" spans="1:14" x14ac:dyDescent="0.35">
      <c r="A2135" t="s">
        <v>2225</v>
      </c>
      <c r="B2135" t="s">
        <v>15</v>
      </c>
      <c r="C2135" t="s">
        <v>16</v>
      </c>
      <c r="D2135">
        <v>171</v>
      </c>
      <c r="E2135" t="s">
        <v>2197</v>
      </c>
      <c r="F2135">
        <v>5419</v>
      </c>
      <c r="G2135" t="s">
        <v>18</v>
      </c>
      <c r="H2135">
        <v>27</v>
      </c>
      <c r="I2135" t="s">
        <v>19</v>
      </c>
      <c r="J2135">
        <v>2015</v>
      </c>
      <c r="K2135">
        <v>2015</v>
      </c>
      <c r="L2135" t="s">
        <v>20</v>
      </c>
      <c r="M2135">
        <v>38980</v>
      </c>
      <c r="N2135">
        <v>2348</v>
      </c>
    </row>
    <row r="2136" spans="1:14" x14ac:dyDescent="0.35">
      <c r="A2136" t="s">
        <v>2226</v>
      </c>
      <c r="B2136" t="s">
        <v>15</v>
      </c>
      <c r="C2136" t="s">
        <v>16</v>
      </c>
      <c r="D2136">
        <v>171</v>
      </c>
      <c r="E2136" t="s">
        <v>2197</v>
      </c>
      <c r="F2136">
        <v>5419</v>
      </c>
      <c r="G2136" t="s">
        <v>18</v>
      </c>
      <c r="H2136">
        <v>27</v>
      </c>
      <c r="I2136" t="s">
        <v>19</v>
      </c>
      <c r="J2136">
        <v>2016</v>
      </c>
      <c r="K2136">
        <v>2016</v>
      </c>
      <c r="L2136" t="s">
        <v>20</v>
      </c>
      <c r="M2136">
        <v>38690</v>
      </c>
      <c r="N2136">
        <v>2348</v>
      </c>
    </row>
    <row r="2137" spans="1:14" x14ac:dyDescent="0.35">
      <c r="A2137" t="s">
        <v>2227</v>
      </c>
      <c r="B2137" t="s">
        <v>15</v>
      </c>
      <c r="C2137" t="s">
        <v>16</v>
      </c>
      <c r="D2137">
        <v>174</v>
      </c>
      <c r="E2137" t="s">
        <v>2228</v>
      </c>
      <c r="F2137">
        <v>5419</v>
      </c>
      <c r="G2137" t="s">
        <v>18</v>
      </c>
      <c r="H2137">
        <v>27</v>
      </c>
      <c r="I2137" t="s">
        <v>19</v>
      </c>
      <c r="J2137">
        <v>1985</v>
      </c>
      <c r="K2137">
        <v>1985</v>
      </c>
      <c r="L2137" t="s">
        <v>20</v>
      </c>
      <c r="M2137">
        <v>48355</v>
      </c>
      <c r="N2137">
        <v>854</v>
      </c>
    </row>
    <row r="2138" spans="1:14" x14ac:dyDescent="0.35">
      <c r="A2138" t="s">
        <v>2229</v>
      </c>
      <c r="B2138" t="s">
        <v>15</v>
      </c>
      <c r="C2138" t="s">
        <v>16</v>
      </c>
      <c r="D2138">
        <v>174</v>
      </c>
      <c r="E2138" t="s">
        <v>2228</v>
      </c>
      <c r="F2138">
        <v>5419</v>
      </c>
      <c r="G2138" t="s">
        <v>18</v>
      </c>
      <c r="H2138">
        <v>27</v>
      </c>
      <c r="I2138" t="s">
        <v>19</v>
      </c>
      <c r="J2138">
        <v>1986</v>
      </c>
      <c r="K2138">
        <v>1986</v>
      </c>
      <c r="L2138" t="s">
        <v>20</v>
      </c>
      <c r="M2138">
        <v>44630</v>
      </c>
      <c r="N2138">
        <v>854</v>
      </c>
    </row>
    <row r="2139" spans="1:14" x14ac:dyDescent="0.35">
      <c r="A2139" t="s">
        <v>2230</v>
      </c>
      <c r="B2139" t="s">
        <v>15</v>
      </c>
      <c r="C2139" t="s">
        <v>16</v>
      </c>
      <c r="D2139">
        <v>174</v>
      </c>
      <c r="E2139" t="s">
        <v>2228</v>
      </c>
      <c r="F2139">
        <v>5419</v>
      </c>
      <c r="G2139" t="s">
        <v>18</v>
      </c>
      <c r="H2139">
        <v>27</v>
      </c>
      <c r="I2139" t="s">
        <v>19</v>
      </c>
      <c r="J2139">
        <v>1987</v>
      </c>
      <c r="K2139">
        <v>1987</v>
      </c>
      <c r="L2139" t="s">
        <v>20</v>
      </c>
      <c r="M2139">
        <v>43215</v>
      </c>
      <c r="N2139">
        <v>854</v>
      </c>
    </row>
    <row r="2140" spans="1:14" x14ac:dyDescent="0.35">
      <c r="A2140" t="s">
        <v>2231</v>
      </c>
      <c r="B2140" t="s">
        <v>15</v>
      </c>
      <c r="C2140" t="s">
        <v>16</v>
      </c>
      <c r="D2140">
        <v>174</v>
      </c>
      <c r="E2140" t="s">
        <v>2228</v>
      </c>
      <c r="F2140">
        <v>5419</v>
      </c>
      <c r="G2140" t="s">
        <v>18</v>
      </c>
      <c r="H2140">
        <v>27</v>
      </c>
      <c r="I2140" t="s">
        <v>19</v>
      </c>
      <c r="J2140">
        <v>1989</v>
      </c>
      <c r="K2140">
        <v>1989</v>
      </c>
      <c r="L2140" t="s">
        <v>20</v>
      </c>
      <c r="M2140">
        <v>42899</v>
      </c>
      <c r="N2140">
        <v>854</v>
      </c>
    </row>
    <row r="2141" spans="1:14" x14ac:dyDescent="0.35">
      <c r="A2141" t="s">
        <v>2232</v>
      </c>
      <c r="B2141" t="s">
        <v>15</v>
      </c>
      <c r="C2141" t="s">
        <v>16</v>
      </c>
      <c r="D2141">
        <v>174</v>
      </c>
      <c r="E2141" t="s">
        <v>2228</v>
      </c>
      <c r="F2141">
        <v>5419</v>
      </c>
      <c r="G2141" t="s">
        <v>18</v>
      </c>
      <c r="H2141">
        <v>27</v>
      </c>
      <c r="I2141" t="s">
        <v>19</v>
      </c>
      <c r="J2141">
        <v>1990</v>
      </c>
      <c r="K2141">
        <v>1990</v>
      </c>
      <c r="L2141" t="s">
        <v>20</v>
      </c>
      <c r="M2141">
        <v>46142</v>
      </c>
      <c r="N2141">
        <v>854</v>
      </c>
    </row>
    <row r="2142" spans="1:14" x14ac:dyDescent="0.35">
      <c r="A2142" t="s">
        <v>2233</v>
      </c>
      <c r="B2142" t="s">
        <v>15</v>
      </c>
      <c r="C2142" t="s">
        <v>16</v>
      </c>
      <c r="D2142">
        <v>174</v>
      </c>
      <c r="E2142" t="s">
        <v>2228</v>
      </c>
      <c r="F2142">
        <v>5419</v>
      </c>
      <c r="G2142" t="s">
        <v>18</v>
      </c>
      <c r="H2142">
        <v>27</v>
      </c>
      <c r="I2142" t="s">
        <v>19</v>
      </c>
      <c r="J2142">
        <v>1991</v>
      </c>
      <c r="K2142">
        <v>1991</v>
      </c>
      <c r="L2142" t="s">
        <v>20</v>
      </c>
      <c r="M2142">
        <v>50940</v>
      </c>
      <c r="N2142">
        <v>854</v>
      </c>
    </row>
    <row r="2143" spans="1:14" x14ac:dyDescent="0.35">
      <c r="A2143" t="s">
        <v>2234</v>
      </c>
      <c r="B2143" t="s">
        <v>15</v>
      </c>
      <c r="C2143" t="s">
        <v>16</v>
      </c>
      <c r="D2143">
        <v>174</v>
      </c>
      <c r="E2143" t="s">
        <v>2228</v>
      </c>
      <c r="F2143">
        <v>5419</v>
      </c>
      <c r="G2143" t="s">
        <v>18</v>
      </c>
      <c r="H2143">
        <v>27</v>
      </c>
      <c r="I2143" t="s">
        <v>19</v>
      </c>
      <c r="J2143">
        <v>1992</v>
      </c>
      <c r="K2143">
        <v>1992</v>
      </c>
      <c r="L2143" t="s">
        <v>20</v>
      </c>
      <c r="M2143">
        <v>51948</v>
      </c>
      <c r="N2143">
        <v>854</v>
      </c>
    </row>
    <row r="2144" spans="1:14" x14ac:dyDescent="0.35">
      <c r="A2144" t="s">
        <v>2235</v>
      </c>
      <c r="B2144" t="s">
        <v>15</v>
      </c>
      <c r="C2144" t="s">
        <v>16</v>
      </c>
      <c r="D2144">
        <v>174</v>
      </c>
      <c r="E2144" t="s">
        <v>2228</v>
      </c>
      <c r="F2144">
        <v>5419</v>
      </c>
      <c r="G2144" t="s">
        <v>18</v>
      </c>
      <c r="H2144">
        <v>27</v>
      </c>
      <c r="I2144" t="s">
        <v>19</v>
      </c>
      <c r="J2144">
        <v>1993</v>
      </c>
      <c r="K2144">
        <v>1993</v>
      </c>
      <c r="L2144" t="s">
        <v>20</v>
      </c>
      <c r="M2144">
        <v>52273</v>
      </c>
      <c r="N2144">
        <v>854</v>
      </c>
    </row>
    <row r="2145" spans="1:14" x14ac:dyDescent="0.35">
      <c r="A2145" t="s">
        <v>2236</v>
      </c>
      <c r="B2145" t="s">
        <v>15</v>
      </c>
      <c r="C2145" t="s">
        <v>16</v>
      </c>
      <c r="D2145">
        <v>174</v>
      </c>
      <c r="E2145" t="s">
        <v>2228</v>
      </c>
      <c r="F2145">
        <v>5419</v>
      </c>
      <c r="G2145" t="s">
        <v>18</v>
      </c>
      <c r="H2145">
        <v>27</v>
      </c>
      <c r="I2145" t="s">
        <v>19</v>
      </c>
      <c r="J2145">
        <v>1994</v>
      </c>
      <c r="K2145">
        <v>1994</v>
      </c>
      <c r="L2145" t="s">
        <v>20</v>
      </c>
      <c r="M2145">
        <v>54776</v>
      </c>
      <c r="N2145">
        <v>854</v>
      </c>
    </row>
    <row r="2146" spans="1:14" x14ac:dyDescent="0.35">
      <c r="A2146" t="s">
        <v>2237</v>
      </c>
      <c r="B2146" t="s">
        <v>15</v>
      </c>
      <c r="C2146" t="s">
        <v>16</v>
      </c>
      <c r="D2146">
        <v>174</v>
      </c>
      <c r="E2146" t="s">
        <v>2228</v>
      </c>
      <c r="F2146">
        <v>5419</v>
      </c>
      <c r="G2146" t="s">
        <v>18</v>
      </c>
      <c r="H2146">
        <v>27</v>
      </c>
      <c r="I2146" t="s">
        <v>19</v>
      </c>
      <c r="J2146">
        <v>1995</v>
      </c>
      <c r="K2146">
        <v>1995</v>
      </c>
      <c r="L2146" t="s">
        <v>20</v>
      </c>
      <c r="M2146">
        <v>57329</v>
      </c>
      <c r="N2146">
        <v>854</v>
      </c>
    </row>
    <row r="2147" spans="1:14" x14ac:dyDescent="0.35">
      <c r="A2147" t="s">
        <v>2238</v>
      </c>
      <c r="B2147" t="s">
        <v>15</v>
      </c>
      <c r="C2147" t="s">
        <v>16</v>
      </c>
      <c r="D2147">
        <v>174</v>
      </c>
      <c r="E2147" t="s">
        <v>2228</v>
      </c>
      <c r="F2147">
        <v>5419</v>
      </c>
      <c r="G2147" t="s">
        <v>18</v>
      </c>
      <c r="H2147">
        <v>27</v>
      </c>
      <c r="I2147" t="s">
        <v>19</v>
      </c>
      <c r="J2147">
        <v>1996</v>
      </c>
      <c r="K2147">
        <v>1996</v>
      </c>
      <c r="L2147" t="s">
        <v>20</v>
      </c>
      <c r="M2147">
        <v>60906</v>
      </c>
      <c r="N2147">
        <v>854</v>
      </c>
    </row>
    <row r="2148" spans="1:14" x14ac:dyDescent="0.35">
      <c r="A2148" t="s">
        <v>2239</v>
      </c>
      <c r="B2148" t="s">
        <v>15</v>
      </c>
      <c r="C2148" t="s">
        <v>16</v>
      </c>
      <c r="D2148">
        <v>174</v>
      </c>
      <c r="E2148" t="s">
        <v>2228</v>
      </c>
      <c r="F2148">
        <v>5419</v>
      </c>
      <c r="G2148" t="s">
        <v>18</v>
      </c>
      <c r="H2148">
        <v>27</v>
      </c>
      <c r="I2148" t="s">
        <v>19</v>
      </c>
      <c r="J2148">
        <v>1997</v>
      </c>
      <c r="K2148">
        <v>1997</v>
      </c>
      <c r="L2148" t="s">
        <v>20</v>
      </c>
      <c r="M2148">
        <v>57529</v>
      </c>
      <c r="N2148">
        <v>854</v>
      </c>
    </row>
    <row r="2149" spans="1:14" x14ac:dyDescent="0.35">
      <c r="A2149" t="s">
        <v>2240</v>
      </c>
      <c r="B2149" t="s">
        <v>15</v>
      </c>
      <c r="C2149" t="s">
        <v>16</v>
      </c>
      <c r="D2149">
        <v>174</v>
      </c>
      <c r="E2149" t="s">
        <v>2228</v>
      </c>
      <c r="F2149">
        <v>5419</v>
      </c>
      <c r="G2149" t="s">
        <v>18</v>
      </c>
      <c r="H2149">
        <v>27</v>
      </c>
      <c r="I2149" t="s">
        <v>19</v>
      </c>
      <c r="J2149">
        <v>1998</v>
      </c>
      <c r="K2149">
        <v>1998</v>
      </c>
      <c r="L2149" t="s">
        <v>20</v>
      </c>
      <c r="M2149">
        <v>59872</v>
      </c>
      <c r="N2149">
        <v>854</v>
      </c>
    </row>
    <row r="2150" spans="1:14" x14ac:dyDescent="0.35">
      <c r="A2150" t="s">
        <v>2241</v>
      </c>
      <c r="B2150" t="s">
        <v>15</v>
      </c>
      <c r="C2150" t="s">
        <v>16</v>
      </c>
      <c r="D2150">
        <v>174</v>
      </c>
      <c r="E2150" t="s">
        <v>2228</v>
      </c>
      <c r="F2150">
        <v>5419</v>
      </c>
      <c r="G2150" t="s">
        <v>18</v>
      </c>
      <c r="H2150">
        <v>27</v>
      </c>
      <c r="I2150" t="s">
        <v>19</v>
      </c>
      <c r="J2150">
        <v>1999</v>
      </c>
      <c r="K2150">
        <v>1999</v>
      </c>
      <c r="L2150" t="s">
        <v>20</v>
      </c>
      <c r="M2150">
        <v>59924</v>
      </c>
      <c r="N2150">
        <v>854</v>
      </c>
    </row>
    <row r="2151" spans="1:14" x14ac:dyDescent="0.35">
      <c r="A2151" t="s">
        <v>2242</v>
      </c>
      <c r="B2151" t="s">
        <v>15</v>
      </c>
      <c r="C2151" t="s">
        <v>16</v>
      </c>
      <c r="D2151">
        <v>174</v>
      </c>
      <c r="E2151" t="s">
        <v>2228</v>
      </c>
      <c r="F2151">
        <v>5419</v>
      </c>
      <c r="G2151" t="s">
        <v>18</v>
      </c>
      <c r="H2151">
        <v>27</v>
      </c>
      <c r="I2151" t="s">
        <v>19</v>
      </c>
      <c r="J2151">
        <v>2000</v>
      </c>
      <c r="K2151">
        <v>2000</v>
      </c>
      <c r="L2151" t="s">
        <v>20</v>
      </c>
      <c r="M2151">
        <v>59772</v>
      </c>
      <c r="N2151">
        <v>854</v>
      </c>
    </row>
    <row r="2152" spans="1:14" x14ac:dyDescent="0.35">
      <c r="A2152" t="s">
        <v>2243</v>
      </c>
      <c r="B2152" t="s">
        <v>15</v>
      </c>
      <c r="C2152" t="s">
        <v>16</v>
      </c>
      <c r="D2152">
        <v>174</v>
      </c>
      <c r="E2152" t="s">
        <v>2228</v>
      </c>
      <c r="F2152">
        <v>5419</v>
      </c>
      <c r="G2152" t="s">
        <v>18</v>
      </c>
      <c r="H2152">
        <v>27</v>
      </c>
      <c r="I2152" t="s">
        <v>19</v>
      </c>
      <c r="J2152">
        <v>2001</v>
      </c>
      <c r="K2152">
        <v>2001</v>
      </c>
      <c r="L2152" t="s">
        <v>20</v>
      </c>
      <c r="M2152">
        <v>58523</v>
      </c>
      <c r="N2152">
        <v>854</v>
      </c>
    </row>
    <row r="2153" spans="1:14" x14ac:dyDescent="0.35">
      <c r="A2153" t="s">
        <v>2244</v>
      </c>
      <c r="B2153" t="s">
        <v>15</v>
      </c>
      <c r="C2153" t="s">
        <v>16</v>
      </c>
      <c r="D2153">
        <v>174</v>
      </c>
      <c r="E2153" t="s">
        <v>2228</v>
      </c>
      <c r="F2153">
        <v>5419</v>
      </c>
      <c r="G2153" t="s">
        <v>18</v>
      </c>
      <c r="H2153">
        <v>27</v>
      </c>
      <c r="I2153" t="s">
        <v>19</v>
      </c>
      <c r="J2153">
        <v>2002</v>
      </c>
      <c r="K2153">
        <v>2002</v>
      </c>
      <c r="L2153" t="s">
        <v>20</v>
      </c>
      <c r="M2153">
        <v>57862</v>
      </c>
      <c r="N2153">
        <v>854</v>
      </c>
    </row>
    <row r="2154" spans="1:14" x14ac:dyDescent="0.35">
      <c r="A2154" t="s">
        <v>2245</v>
      </c>
      <c r="B2154" t="s">
        <v>15</v>
      </c>
      <c r="C2154" t="s">
        <v>16</v>
      </c>
      <c r="D2154">
        <v>174</v>
      </c>
      <c r="E2154" t="s">
        <v>2228</v>
      </c>
      <c r="F2154">
        <v>5419</v>
      </c>
      <c r="G2154" t="s">
        <v>18</v>
      </c>
      <c r="H2154">
        <v>27</v>
      </c>
      <c r="I2154" t="s">
        <v>19</v>
      </c>
      <c r="J2154">
        <v>2004</v>
      </c>
      <c r="K2154">
        <v>2004</v>
      </c>
      <c r="L2154" t="s">
        <v>20</v>
      </c>
      <c r="M2154">
        <v>58527</v>
      </c>
      <c r="N2154">
        <v>854</v>
      </c>
    </row>
    <row r="2155" spans="1:14" x14ac:dyDescent="0.35">
      <c r="A2155" t="s">
        <v>2246</v>
      </c>
      <c r="B2155" t="s">
        <v>15</v>
      </c>
      <c r="C2155" t="s">
        <v>16</v>
      </c>
      <c r="D2155">
        <v>174</v>
      </c>
      <c r="E2155" t="s">
        <v>2228</v>
      </c>
      <c r="F2155">
        <v>5419</v>
      </c>
      <c r="G2155" t="s">
        <v>18</v>
      </c>
      <c r="H2155">
        <v>27</v>
      </c>
      <c r="I2155" t="s">
        <v>19</v>
      </c>
      <c r="J2155">
        <v>2005</v>
      </c>
      <c r="K2155">
        <v>2005</v>
      </c>
      <c r="L2155" t="s">
        <v>20</v>
      </c>
      <c r="M2155">
        <v>55044</v>
      </c>
      <c r="N2155">
        <v>854</v>
      </c>
    </row>
    <row r="2156" spans="1:14" x14ac:dyDescent="0.35">
      <c r="A2156" t="s">
        <v>2247</v>
      </c>
      <c r="B2156" t="s">
        <v>15</v>
      </c>
      <c r="C2156" t="s">
        <v>16</v>
      </c>
      <c r="D2156">
        <v>174</v>
      </c>
      <c r="E2156" t="s">
        <v>2228</v>
      </c>
      <c r="F2156">
        <v>5419</v>
      </c>
      <c r="G2156" t="s">
        <v>18</v>
      </c>
      <c r="H2156">
        <v>27</v>
      </c>
      <c r="I2156" t="s">
        <v>19</v>
      </c>
      <c r="J2156">
        <v>2006</v>
      </c>
      <c r="K2156">
        <v>2006</v>
      </c>
      <c r="L2156" t="s">
        <v>20</v>
      </c>
      <c r="M2156">
        <v>58551</v>
      </c>
      <c r="N2156">
        <v>854</v>
      </c>
    </row>
    <row r="2157" spans="1:14" x14ac:dyDescent="0.35">
      <c r="A2157" t="s">
        <v>2248</v>
      </c>
      <c r="B2157" t="s">
        <v>15</v>
      </c>
      <c r="C2157" t="s">
        <v>16</v>
      </c>
      <c r="D2157">
        <v>174</v>
      </c>
      <c r="E2157" t="s">
        <v>2228</v>
      </c>
      <c r="F2157">
        <v>5419</v>
      </c>
      <c r="G2157" t="s">
        <v>18</v>
      </c>
      <c r="H2157">
        <v>27</v>
      </c>
      <c r="I2157" t="s">
        <v>19</v>
      </c>
      <c r="J2157">
        <v>2007</v>
      </c>
      <c r="K2157">
        <v>2007</v>
      </c>
      <c r="L2157" t="s">
        <v>20</v>
      </c>
      <c r="M2157">
        <v>58062</v>
      </c>
      <c r="N2157">
        <v>854</v>
      </c>
    </row>
    <row r="2158" spans="1:14" x14ac:dyDescent="0.35">
      <c r="A2158" t="s">
        <v>2249</v>
      </c>
      <c r="B2158" t="s">
        <v>15</v>
      </c>
      <c r="C2158" t="s">
        <v>16</v>
      </c>
      <c r="D2158">
        <v>174</v>
      </c>
      <c r="E2158" t="s">
        <v>2228</v>
      </c>
      <c r="F2158">
        <v>5419</v>
      </c>
      <c r="G2158" t="s">
        <v>18</v>
      </c>
      <c r="H2158">
        <v>27</v>
      </c>
      <c r="I2158" t="s">
        <v>19</v>
      </c>
      <c r="J2158">
        <v>2008</v>
      </c>
      <c r="K2158">
        <v>2008</v>
      </c>
      <c r="L2158" t="s">
        <v>20</v>
      </c>
      <c r="M2158">
        <v>57219</v>
      </c>
      <c r="N2158">
        <v>854</v>
      </c>
    </row>
    <row r="2159" spans="1:14" x14ac:dyDescent="0.35">
      <c r="A2159" t="s">
        <v>2250</v>
      </c>
      <c r="B2159" t="s">
        <v>15</v>
      </c>
      <c r="C2159" t="s">
        <v>16</v>
      </c>
      <c r="D2159">
        <v>174</v>
      </c>
      <c r="E2159" t="s">
        <v>2228</v>
      </c>
      <c r="F2159">
        <v>5419</v>
      </c>
      <c r="G2159" t="s">
        <v>18</v>
      </c>
      <c r="H2159">
        <v>27</v>
      </c>
      <c r="I2159" t="s">
        <v>19</v>
      </c>
      <c r="J2159">
        <v>2009</v>
      </c>
      <c r="K2159">
        <v>2009</v>
      </c>
      <c r="L2159" t="s">
        <v>20</v>
      </c>
      <c r="M2159">
        <v>56818</v>
      </c>
      <c r="N2159">
        <v>854</v>
      </c>
    </row>
    <row r="2160" spans="1:14" x14ac:dyDescent="0.35">
      <c r="A2160" t="s">
        <v>2251</v>
      </c>
      <c r="B2160" t="s">
        <v>15</v>
      </c>
      <c r="C2160" t="s">
        <v>16</v>
      </c>
      <c r="D2160">
        <v>174</v>
      </c>
      <c r="E2160" t="s">
        <v>2228</v>
      </c>
      <c r="F2160">
        <v>5419</v>
      </c>
      <c r="G2160" t="s">
        <v>18</v>
      </c>
      <c r="H2160">
        <v>27</v>
      </c>
      <c r="I2160" t="s">
        <v>19</v>
      </c>
      <c r="J2160">
        <v>2010</v>
      </c>
      <c r="K2160">
        <v>2010</v>
      </c>
      <c r="L2160" t="s">
        <v>20</v>
      </c>
      <c r="M2160">
        <v>58453</v>
      </c>
      <c r="N2160">
        <v>854</v>
      </c>
    </row>
    <row r="2161" spans="1:14" x14ac:dyDescent="0.35">
      <c r="A2161" t="s">
        <v>2252</v>
      </c>
      <c r="B2161" t="s">
        <v>15</v>
      </c>
      <c r="C2161" t="s">
        <v>16</v>
      </c>
      <c r="D2161">
        <v>174</v>
      </c>
      <c r="E2161" t="s">
        <v>2228</v>
      </c>
      <c r="F2161">
        <v>5419</v>
      </c>
      <c r="G2161" t="s">
        <v>18</v>
      </c>
      <c r="H2161">
        <v>27</v>
      </c>
      <c r="I2161" t="s">
        <v>19</v>
      </c>
      <c r="J2161">
        <v>2011</v>
      </c>
      <c r="K2161">
        <v>2011</v>
      </c>
      <c r="L2161" t="s">
        <v>20</v>
      </c>
      <c r="M2161">
        <v>58855</v>
      </c>
      <c r="N2161">
        <v>854</v>
      </c>
    </row>
    <row r="2162" spans="1:14" x14ac:dyDescent="0.35">
      <c r="A2162" t="s">
        <v>2253</v>
      </c>
      <c r="B2162" t="s">
        <v>15</v>
      </c>
      <c r="C2162" t="s">
        <v>16</v>
      </c>
      <c r="D2162">
        <v>174</v>
      </c>
      <c r="E2162" t="s">
        <v>2228</v>
      </c>
      <c r="F2162">
        <v>5419</v>
      </c>
      <c r="G2162" t="s">
        <v>18</v>
      </c>
      <c r="H2162">
        <v>27</v>
      </c>
      <c r="I2162" t="s">
        <v>19</v>
      </c>
      <c r="J2162">
        <v>2012</v>
      </c>
      <c r="K2162">
        <v>2012</v>
      </c>
      <c r="L2162" t="s">
        <v>20</v>
      </c>
      <c r="M2162">
        <v>59995</v>
      </c>
      <c r="N2162">
        <v>854</v>
      </c>
    </row>
    <row r="2163" spans="1:14" x14ac:dyDescent="0.35">
      <c r="A2163" t="s">
        <v>2254</v>
      </c>
      <c r="B2163" t="s">
        <v>15</v>
      </c>
      <c r="C2163" t="s">
        <v>16</v>
      </c>
      <c r="D2163">
        <v>174</v>
      </c>
      <c r="E2163" t="s">
        <v>2228</v>
      </c>
      <c r="F2163">
        <v>5419</v>
      </c>
      <c r="G2163" t="s">
        <v>18</v>
      </c>
      <c r="H2163">
        <v>27</v>
      </c>
      <c r="I2163" t="s">
        <v>19</v>
      </c>
      <c r="J2163">
        <v>2013</v>
      </c>
      <c r="K2163">
        <v>2013</v>
      </c>
      <c r="L2163" t="s">
        <v>20</v>
      </c>
      <c r="M2163">
        <v>59699</v>
      </c>
      <c r="N2163">
        <v>854</v>
      </c>
    </row>
    <row r="2164" spans="1:14" x14ac:dyDescent="0.35">
      <c r="A2164" t="s">
        <v>2255</v>
      </c>
      <c r="B2164" t="s">
        <v>15</v>
      </c>
      <c r="C2164" t="s">
        <v>16</v>
      </c>
      <c r="D2164">
        <v>174</v>
      </c>
      <c r="E2164" t="s">
        <v>2228</v>
      </c>
      <c r="F2164">
        <v>5419</v>
      </c>
      <c r="G2164" t="s">
        <v>18</v>
      </c>
      <c r="H2164">
        <v>27</v>
      </c>
      <c r="I2164" t="s">
        <v>19</v>
      </c>
      <c r="J2164">
        <v>2014</v>
      </c>
      <c r="K2164">
        <v>2014</v>
      </c>
      <c r="L2164" t="s">
        <v>20</v>
      </c>
      <c r="M2164">
        <v>58191</v>
      </c>
      <c r="N2164">
        <v>854</v>
      </c>
    </row>
    <row r="2165" spans="1:14" x14ac:dyDescent="0.35">
      <c r="A2165" t="s">
        <v>2256</v>
      </c>
      <c r="B2165" t="s">
        <v>15</v>
      </c>
      <c r="C2165" t="s">
        <v>16</v>
      </c>
      <c r="D2165">
        <v>174</v>
      </c>
      <c r="E2165" t="s">
        <v>2228</v>
      </c>
      <c r="F2165">
        <v>5419</v>
      </c>
      <c r="G2165" t="s">
        <v>18</v>
      </c>
      <c r="H2165">
        <v>27</v>
      </c>
      <c r="I2165" t="s">
        <v>19</v>
      </c>
      <c r="J2165">
        <v>2015</v>
      </c>
      <c r="K2165">
        <v>2015</v>
      </c>
      <c r="L2165" t="s">
        <v>20</v>
      </c>
      <c r="M2165">
        <v>63454</v>
      </c>
      <c r="N2165">
        <v>854</v>
      </c>
    </row>
    <row r="2166" spans="1:14" x14ac:dyDescent="0.35">
      <c r="A2166" t="s">
        <v>2257</v>
      </c>
      <c r="B2166" t="s">
        <v>15</v>
      </c>
      <c r="C2166" t="s">
        <v>16</v>
      </c>
      <c r="D2166">
        <v>174</v>
      </c>
      <c r="E2166" t="s">
        <v>2228</v>
      </c>
      <c r="F2166">
        <v>5419</v>
      </c>
      <c r="G2166" t="s">
        <v>18</v>
      </c>
      <c r="H2166">
        <v>27</v>
      </c>
      <c r="I2166" t="s">
        <v>19</v>
      </c>
      <c r="J2166">
        <v>2016</v>
      </c>
      <c r="K2166">
        <v>2016</v>
      </c>
      <c r="L2166" t="s">
        <v>20</v>
      </c>
      <c r="M2166">
        <v>58077</v>
      </c>
      <c r="N2166">
        <v>854</v>
      </c>
    </row>
    <row r="2167" spans="1:14" x14ac:dyDescent="0.35">
      <c r="A2167" t="s">
        <v>2258</v>
      </c>
      <c r="B2167" t="s">
        <v>15</v>
      </c>
      <c r="C2167" t="s">
        <v>16</v>
      </c>
      <c r="D2167">
        <v>177</v>
      </c>
      <c r="E2167" t="s">
        <v>2259</v>
      </c>
      <c r="F2167">
        <v>5419</v>
      </c>
      <c r="G2167" t="s">
        <v>18</v>
      </c>
      <c r="H2167">
        <v>27</v>
      </c>
      <c r="I2167" t="s">
        <v>19</v>
      </c>
      <c r="J2167">
        <v>1985</v>
      </c>
      <c r="K2167">
        <v>1985</v>
      </c>
      <c r="L2167" t="s">
        <v>20</v>
      </c>
      <c r="M2167">
        <v>30212</v>
      </c>
      <c r="N2167">
        <v>2054</v>
      </c>
    </row>
    <row r="2168" spans="1:14" x14ac:dyDescent="0.35">
      <c r="A2168" t="s">
        <v>2260</v>
      </c>
      <c r="B2168" t="s">
        <v>15</v>
      </c>
      <c r="C2168" t="s">
        <v>16</v>
      </c>
      <c r="D2168">
        <v>177</v>
      </c>
      <c r="E2168" t="s">
        <v>2259</v>
      </c>
      <c r="F2168">
        <v>5419</v>
      </c>
      <c r="G2168" t="s">
        <v>18</v>
      </c>
      <c r="H2168">
        <v>27</v>
      </c>
      <c r="I2168" t="s">
        <v>19</v>
      </c>
      <c r="J2168">
        <v>1986</v>
      </c>
      <c r="K2168">
        <v>1986</v>
      </c>
      <c r="L2168" t="s">
        <v>20</v>
      </c>
      <c r="M2168">
        <v>32582</v>
      </c>
      <c r="N2168">
        <v>2054</v>
      </c>
    </row>
    <row r="2169" spans="1:14" x14ac:dyDescent="0.35">
      <c r="A2169" t="s">
        <v>2261</v>
      </c>
      <c r="B2169" t="s">
        <v>15</v>
      </c>
      <c r="C2169" t="s">
        <v>16</v>
      </c>
      <c r="D2169">
        <v>177</v>
      </c>
      <c r="E2169" t="s">
        <v>2259</v>
      </c>
      <c r="F2169">
        <v>5419</v>
      </c>
      <c r="G2169" t="s">
        <v>18</v>
      </c>
      <c r="H2169">
        <v>27</v>
      </c>
      <c r="I2169" t="s">
        <v>19</v>
      </c>
      <c r="J2169">
        <v>1987</v>
      </c>
      <c r="K2169">
        <v>1987</v>
      </c>
      <c r="L2169" t="s">
        <v>20</v>
      </c>
      <c r="M2169">
        <v>30262</v>
      </c>
      <c r="N2169">
        <v>2054</v>
      </c>
    </row>
    <row r="2170" spans="1:14" x14ac:dyDescent="0.35">
      <c r="A2170" t="s">
        <v>2262</v>
      </c>
      <c r="B2170" t="s">
        <v>15</v>
      </c>
      <c r="C2170" t="s">
        <v>16</v>
      </c>
      <c r="D2170">
        <v>177</v>
      </c>
      <c r="E2170" t="s">
        <v>2259</v>
      </c>
      <c r="F2170">
        <v>5419</v>
      </c>
      <c r="G2170" t="s">
        <v>18</v>
      </c>
      <c r="H2170">
        <v>27</v>
      </c>
      <c r="I2170" t="s">
        <v>19</v>
      </c>
      <c r="J2170">
        <v>1989</v>
      </c>
      <c r="K2170">
        <v>1989</v>
      </c>
      <c r="L2170" t="s">
        <v>20</v>
      </c>
      <c r="M2170">
        <v>32000</v>
      </c>
      <c r="N2170">
        <v>2054</v>
      </c>
    </row>
    <row r="2171" spans="1:14" x14ac:dyDescent="0.35">
      <c r="A2171" t="s">
        <v>2263</v>
      </c>
      <c r="B2171" t="s">
        <v>15</v>
      </c>
      <c r="C2171" t="s">
        <v>16</v>
      </c>
      <c r="D2171">
        <v>177</v>
      </c>
      <c r="E2171" t="s">
        <v>2259</v>
      </c>
      <c r="F2171">
        <v>5419</v>
      </c>
      <c r="G2171" t="s">
        <v>18</v>
      </c>
      <c r="H2171">
        <v>27</v>
      </c>
      <c r="I2171" t="s">
        <v>19</v>
      </c>
      <c r="J2171">
        <v>1998</v>
      </c>
      <c r="K2171">
        <v>1998</v>
      </c>
      <c r="L2171" t="s">
        <v>20</v>
      </c>
      <c r="M2171">
        <v>14266</v>
      </c>
      <c r="N2171">
        <v>2054</v>
      </c>
    </row>
    <row r="2172" spans="1:14" x14ac:dyDescent="0.35">
      <c r="A2172" t="s">
        <v>2264</v>
      </c>
      <c r="B2172" t="s">
        <v>15</v>
      </c>
      <c r="C2172" t="s">
        <v>16</v>
      </c>
      <c r="D2172">
        <v>177</v>
      </c>
      <c r="E2172" t="s">
        <v>2259</v>
      </c>
      <c r="F2172">
        <v>5419</v>
      </c>
      <c r="G2172" t="s">
        <v>18</v>
      </c>
      <c r="H2172">
        <v>27</v>
      </c>
      <c r="I2172" t="s">
        <v>19</v>
      </c>
      <c r="J2172">
        <v>1999</v>
      </c>
      <c r="K2172">
        <v>1999</v>
      </c>
      <c r="L2172" t="s">
        <v>20</v>
      </c>
      <c r="M2172">
        <v>14325</v>
      </c>
      <c r="N2172">
        <v>2054</v>
      </c>
    </row>
    <row r="2173" spans="1:14" x14ac:dyDescent="0.35">
      <c r="A2173" t="s">
        <v>2265</v>
      </c>
      <c r="B2173" t="s">
        <v>15</v>
      </c>
      <c r="C2173" t="s">
        <v>16</v>
      </c>
      <c r="D2173">
        <v>177</v>
      </c>
      <c r="E2173" t="s">
        <v>2259</v>
      </c>
      <c r="F2173">
        <v>5419</v>
      </c>
      <c r="G2173" t="s">
        <v>18</v>
      </c>
      <c r="H2173">
        <v>27</v>
      </c>
      <c r="I2173" t="s">
        <v>19</v>
      </c>
      <c r="J2173">
        <v>2000</v>
      </c>
      <c r="K2173">
        <v>2000</v>
      </c>
      <c r="L2173" t="s">
        <v>20</v>
      </c>
      <c r="M2173">
        <v>14384</v>
      </c>
      <c r="N2173">
        <v>2054</v>
      </c>
    </row>
    <row r="2174" spans="1:14" x14ac:dyDescent="0.35">
      <c r="A2174" t="s">
        <v>2266</v>
      </c>
      <c r="B2174" t="s">
        <v>15</v>
      </c>
      <c r="C2174" t="s">
        <v>16</v>
      </c>
      <c r="D2174">
        <v>177</v>
      </c>
      <c r="E2174" t="s">
        <v>2259</v>
      </c>
      <c r="F2174">
        <v>5419</v>
      </c>
      <c r="G2174" t="s">
        <v>18</v>
      </c>
      <c r="H2174">
        <v>27</v>
      </c>
      <c r="I2174" t="s">
        <v>19</v>
      </c>
      <c r="J2174">
        <v>2001</v>
      </c>
      <c r="K2174">
        <v>2001</v>
      </c>
      <c r="L2174" t="s">
        <v>20</v>
      </c>
      <c r="M2174">
        <v>14444</v>
      </c>
      <c r="N2174">
        <v>2054</v>
      </c>
    </row>
    <row r="2175" spans="1:14" x14ac:dyDescent="0.35">
      <c r="A2175" t="s">
        <v>2267</v>
      </c>
      <c r="B2175" t="s">
        <v>15</v>
      </c>
      <c r="C2175" t="s">
        <v>16</v>
      </c>
      <c r="D2175">
        <v>177</v>
      </c>
      <c r="E2175" t="s">
        <v>2259</v>
      </c>
      <c r="F2175">
        <v>5419</v>
      </c>
      <c r="G2175" t="s">
        <v>18</v>
      </c>
      <c r="H2175">
        <v>27</v>
      </c>
      <c r="I2175" t="s">
        <v>19</v>
      </c>
      <c r="J2175">
        <v>2002</v>
      </c>
      <c r="K2175">
        <v>2002</v>
      </c>
      <c r="L2175" t="s">
        <v>20</v>
      </c>
      <c r="M2175">
        <v>14503</v>
      </c>
      <c r="N2175">
        <v>2054</v>
      </c>
    </row>
    <row r="2176" spans="1:14" x14ac:dyDescent="0.35">
      <c r="A2176" t="s">
        <v>2268</v>
      </c>
      <c r="B2176" t="s">
        <v>15</v>
      </c>
      <c r="C2176" t="s">
        <v>16</v>
      </c>
      <c r="D2176">
        <v>177</v>
      </c>
      <c r="E2176" t="s">
        <v>2259</v>
      </c>
      <c r="F2176">
        <v>5419</v>
      </c>
      <c r="G2176" t="s">
        <v>18</v>
      </c>
      <c r="H2176">
        <v>27</v>
      </c>
      <c r="I2176" t="s">
        <v>19</v>
      </c>
      <c r="J2176">
        <v>2004</v>
      </c>
      <c r="K2176">
        <v>2004</v>
      </c>
      <c r="L2176" t="s">
        <v>20</v>
      </c>
      <c r="M2176">
        <v>14760</v>
      </c>
      <c r="N2176">
        <v>2054</v>
      </c>
    </row>
    <row r="2177" spans="1:14" x14ac:dyDescent="0.35">
      <c r="A2177" t="s">
        <v>2269</v>
      </c>
      <c r="B2177" t="s">
        <v>15</v>
      </c>
      <c r="C2177" t="s">
        <v>16</v>
      </c>
      <c r="D2177">
        <v>177</v>
      </c>
      <c r="E2177" t="s">
        <v>2259</v>
      </c>
      <c r="F2177">
        <v>5419</v>
      </c>
      <c r="G2177" t="s">
        <v>18</v>
      </c>
      <c r="H2177">
        <v>27</v>
      </c>
      <c r="I2177" t="s">
        <v>19</v>
      </c>
      <c r="J2177">
        <v>2008</v>
      </c>
      <c r="K2177">
        <v>2008</v>
      </c>
      <c r="L2177" t="s">
        <v>20</v>
      </c>
      <c r="M2177">
        <v>15547</v>
      </c>
      <c r="N2177">
        <v>2054</v>
      </c>
    </row>
    <row r="2178" spans="1:14" x14ac:dyDescent="0.35">
      <c r="A2178" t="s">
        <v>2270</v>
      </c>
      <c r="B2178" t="s">
        <v>15</v>
      </c>
      <c r="C2178" t="s">
        <v>16</v>
      </c>
      <c r="D2178">
        <v>177</v>
      </c>
      <c r="E2178" t="s">
        <v>2259</v>
      </c>
      <c r="F2178">
        <v>5419</v>
      </c>
      <c r="G2178" t="s">
        <v>18</v>
      </c>
      <c r="H2178">
        <v>27</v>
      </c>
      <c r="I2178" t="s">
        <v>19</v>
      </c>
      <c r="J2178">
        <v>2009</v>
      </c>
      <c r="K2178">
        <v>2009</v>
      </c>
      <c r="L2178" t="s">
        <v>20</v>
      </c>
      <c r="M2178">
        <v>15744</v>
      </c>
      <c r="N2178">
        <v>2054</v>
      </c>
    </row>
    <row r="2179" spans="1:14" x14ac:dyDescent="0.35">
      <c r="A2179" t="s">
        <v>2271</v>
      </c>
      <c r="B2179" t="s">
        <v>15</v>
      </c>
      <c r="C2179" t="s">
        <v>16</v>
      </c>
      <c r="D2179">
        <v>177</v>
      </c>
      <c r="E2179" t="s">
        <v>2259</v>
      </c>
      <c r="F2179">
        <v>5419</v>
      </c>
      <c r="G2179" t="s">
        <v>18</v>
      </c>
      <c r="H2179">
        <v>27</v>
      </c>
      <c r="I2179" t="s">
        <v>19</v>
      </c>
      <c r="J2179">
        <v>2010</v>
      </c>
      <c r="K2179">
        <v>2010</v>
      </c>
      <c r="L2179" t="s">
        <v>20</v>
      </c>
      <c r="M2179">
        <v>15941</v>
      </c>
      <c r="N2179">
        <v>2054</v>
      </c>
    </row>
    <row r="2180" spans="1:14" x14ac:dyDescent="0.35">
      <c r="A2180" t="s">
        <v>2272</v>
      </c>
      <c r="B2180" t="s">
        <v>15</v>
      </c>
      <c r="C2180" t="s">
        <v>16</v>
      </c>
      <c r="D2180">
        <v>177</v>
      </c>
      <c r="E2180" t="s">
        <v>2259</v>
      </c>
      <c r="F2180">
        <v>5419</v>
      </c>
      <c r="G2180" t="s">
        <v>18</v>
      </c>
      <c r="H2180">
        <v>27</v>
      </c>
      <c r="I2180" t="s">
        <v>19</v>
      </c>
      <c r="J2180">
        <v>2011</v>
      </c>
      <c r="K2180">
        <v>2011</v>
      </c>
      <c r="L2180" t="s">
        <v>20</v>
      </c>
      <c r="M2180">
        <v>16138</v>
      </c>
      <c r="N2180">
        <v>2054</v>
      </c>
    </row>
    <row r="2181" spans="1:14" x14ac:dyDescent="0.35">
      <c r="A2181" t="s">
        <v>2273</v>
      </c>
      <c r="B2181" t="s">
        <v>15</v>
      </c>
      <c r="C2181" t="s">
        <v>16</v>
      </c>
      <c r="D2181">
        <v>177</v>
      </c>
      <c r="E2181" t="s">
        <v>2259</v>
      </c>
      <c r="F2181">
        <v>5419</v>
      </c>
      <c r="G2181" t="s">
        <v>18</v>
      </c>
      <c r="H2181">
        <v>27</v>
      </c>
      <c r="I2181" t="s">
        <v>19</v>
      </c>
      <c r="J2181">
        <v>2012</v>
      </c>
      <c r="K2181">
        <v>2012</v>
      </c>
      <c r="L2181" t="s">
        <v>20</v>
      </c>
      <c r="M2181">
        <v>13977</v>
      </c>
      <c r="N2181">
        <v>2054</v>
      </c>
    </row>
    <row r="2182" spans="1:14" x14ac:dyDescent="0.35">
      <c r="A2182" t="s">
        <v>2274</v>
      </c>
      <c r="B2182" t="s">
        <v>15</v>
      </c>
      <c r="C2182" t="s">
        <v>16</v>
      </c>
      <c r="D2182">
        <v>177</v>
      </c>
      <c r="E2182" t="s">
        <v>2259</v>
      </c>
      <c r="F2182">
        <v>5419</v>
      </c>
      <c r="G2182" t="s">
        <v>18</v>
      </c>
      <c r="H2182">
        <v>27</v>
      </c>
      <c r="I2182" t="s">
        <v>19</v>
      </c>
      <c r="J2182">
        <v>2013</v>
      </c>
      <c r="K2182">
        <v>2013</v>
      </c>
      <c r="L2182" t="s">
        <v>20</v>
      </c>
      <c r="M2182">
        <v>13536</v>
      </c>
      <c r="N2182">
        <v>2054</v>
      </c>
    </row>
    <row r="2183" spans="1:14" x14ac:dyDescent="0.35">
      <c r="A2183" t="s">
        <v>2275</v>
      </c>
      <c r="B2183" t="s">
        <v>15</v>
      </c>
      <c r="C2183" t="s">
        <v>16</v>
      </c>
      <c r="D2183">
        <v>177</v>
      </c>
      <c r="E2183" t="s">
        <v>2259</v>
      </c>
      <c r="F2183">
        <v>5419</v>
      </c>
      <c r="G2183" t="s">
        <v>18</v>
      </c>
      <c r="H2183">
        <v>27</v>
      </c>
      <c r="I2183" t="s">
        <v>19</v>
      </c>
      <c r="J2183">
        <v>2014</v>
      </c>
      <c r="K2183">
        <v>2014</v>
      </c>
      <c r="L2183" t="s">
        <v>20</v>
      </c>
      <c r="M2183">
        <v>19729</v>
      </c>
      <c r="N2183">
        <v>2054</v>
      </c>
    </row>
    <row r="2184" spans="1:14" x14ac:dyDescent="0.35">
      <c r="A2184" t="s">
        <v>2276</v>
      </c>
      <c r="B2184" t="s">
        <v>15</v>
      </c>
      <c r="C2184" t="s">
        <v>16</v>
      </c>
      <c r="D2184">
        <v>177</v>
      </c>
      <c r="E2184" t="s">
        <v>2259</v>
      </c>
      <c r="F2184">
        <v>5419</v>
      </c>
      <c r="G2184" t="s">
        <v>18</v>
      </c>
      <c r="H2184">
        <v>27</v>
      </c>
      <c r="I2184" t="s">
        <v>19</v>
      </c>
      <c r="J2184">
        <v>2015</v>
      </c>
      <c r="K2184">
        <v>2015</v>
      </c>
      <c r="L2184" t="s">
        <v>20</v>
      </c>
      <c r="M2184">
        <v>30004</v>
      </c>
      <c r="N2184">
        <v>2054</v>
      </c>
    </row>
    <row r="2185" spans="1:14" x14ac:dyDescent="0.35">
      <c r="A2185" t="s">
        <v>2277</v>
      </c>
      <c r="B2185" t="s">
        <v>15</v>
      </c>
      <c r="C2185" t="s">
        <v>16</v>
      </c>
      <c r="D2185">
        <v>177</v>
      </c>
      <c r="E2185" t="s">
        <v>2259</v>
      </c>
      <c r="F2185">
        <v>5419</v>
      </c>
      <c r="G2185" t="s">
        <v>18</v>
      </c>
      <c r="H2185">
        <v>27</v>
      </c>
      <c r="I2185" t="s">
        <v>19</v>
      </c>
      <c r="J2185">
        <v>2016</v>
      </c>
      <c r="K2185">
        <v>2016</v>
      </c>
      <c r="L2185" t="s">
        <v>20</v>
      </c>
      <c r="M2185">
        <v>33724</v>
      </c>
      <c r="N2185">
        <v>2054</v>
      </c>
    </row>
    <row r="2186" spans="1:14" x14ac:dyDescent="0.35">
      <c r="A2186" t="s">
        <v>2278</v>
      </c>
      <c r="B2186" t="s">
        <v>15</v>
      </c>
      <c r="C2186" t="s">
        <v>16</v>
      </c>
      <c r="D2186">
        <v>183</v>
      </c>
      <c r="E2186" t="s">
        <v>2279</v>
      </c>
      <c r="F2186">
        <v>5419</v>
      </c>
      <c r="G2186" t="s">
        <v>18</v>
      </c>
      <c r="H2186">
        <v>27</v>
      </c>
      <c r="I2186" t="s">
        <v>19</v>
      </c>
      <c r="J2186">
        <v>1985</v>
      </c>
      <c r="K2186">
        <v>1985</v>
      </c>
      <c r="L2186" t="s">
        <v>20</v>
      </c>
      <c r="M2186">
        <v>36436</v>
      </c>
      <c r="N2186">
        <v>637</v>
      </c>
    </row>
    <row r="2187" spans="1:14" x14ac:dyDescent="0.35">
      <c r="A2187" t="s">
        <v>2280</v>
      </c>
      <c r="B2187" t="s">
        <v>15</v>
      </c>
      <c r="C2187" t="s">
        <v>16</v>
      </c>
      <c r="D2187">
        <v>183</v>
      </c>
      <c r="E2187" t="s">
        <v>2279</v>
      </c>
      <c r="F2187">
        <v>5419</v>
      </c>
      <c r="G2187" t="s">
        <v>18</v>
      </c>
      <c r="H2187">
        <v>27</v>
      </c>
      <c r="I2187" t="s">
        <v>19</v>
      </c>
      <c r="J2187">
        <v>1986</v>
      </c>
      <c r="K2187">
        <v>1986</v>
      </c>
      <c r="L2187" t="s">
        <v>20</v>
      </c>
      <c r="M2187">
        <v>35324</v>
      </c>
      <c r="N2187">
        <v>637</v>
      </c>
    </row>
    <row r="2188" spans="1:14" x14ac:dyDescent="0.35">
      <c r="A2188" t="s">
        <v>2281</v>
      </c>
      <c r="B2188" t="s">
        <v>15</v>
      </c>
      <c r="C2188" t="s">
        <v>16</v>
      </c>
      <c r="D2188">
        <v>183</v>
      </c>
      <c r="E2188" t="s">
        <v>2279</v>
      </c>
      <c r="F2188">
        <v>5419</v>
      </c>
      <c r="G2188" t="s">
        <v>18</v>
      </c>
      <c r="H2188">
        <v>27</v>
      </c>
      <c r="I2188" t="s">
        <v>19</v>
      </c>
      <c r="J2188">
        <v>1987</v>
      </c>
      <c r="K2188">
        <v>1987</v>
      </c>
      <c r="L2188" t="s">
        <v>20</v>
      </c>
      <c r="M2188">
        <v>25839</v>
      </c>
      <c r="N2188">
        <v>637</v>
      </c>
    </row>
    <row r="2189" spans="1:14" x14ac:dyDescent="0.35">
      <c r="A2189" t="s">
        <v>2282</v>
      </c>
      <c r="B2189" t="s">
        <v>15</v>
      </c>
      <c r="C2189" t="s">
        <v>16</v>
      </c>
      <c r="D2189">
        <v>183</v>
      </c>
      <c r="E2189" t="s">
        <v>2279</v>
      </c>
      <c r="F2189">
        <v>5419</v>
      </c>
      <c r="G2189" t="s">
        <v>18</v>
      </c>
      <c r="H2189">
        <v>27</v>
      </c>
      <c r="I2189" t="s">
        <v>19</v>
      </c>
      <c r="J2189">
        <v>1989</v>
      </c>
      <c r="K2189">
        <v>1989</v>
      </c>
      <c r="L2189" t="s">
        <v>20</v>
      </c>
      <c r="M2189">
        <v>14239</v>
      </c>
      <c r="N2189">
        <v>637</v>
      </c>
    </row>
    <row r="2190" spans="1:14" x14ac:dyDescent="0.35">
      <c r="A2190" t="s">
        <v>2283</v>
      </c>
      <c r="B2190" t="s">
        <v>15</v>
      </c>
      <c r="C2190" t="s">
        <v>16</v>
      </c>
      <c r="D2190">
        <v>183</v>
      </c>
      <c r="E2190" t="s">
        <v>2279</v>
      </c>
      <c r="F2190">
        <v>5419</v>
      </c>
      <c r="G2190" t="s">
        <v>18</v>
      </c>
      <c r="H2190">
        <v>27</v>
      </c>
      <c r="I2190" t="s">
        <v>19</v>
      </c>
      <c r="J2190">
        <v>1990</v>
      </c>
      <c r="K2190">
        <v>1990</v>
      </c>
      <c r="L2190" t="s">
        <v>20</v>
      </c>
      <c r="M2190">
        <v>16667</v>
      </c>
      <c r="N2190">
        <v>637</v>
      </c>
    </row>
    <row r="2191" spans="1:14" x14ac:dyDescent="0.35">
      <c r="A2191" t="s">
        <v>2284</v>
      </c>
      <c r="B2191" t="s">
        <v>15</v>
      </c>
      <c r="C2191" t="s">
        <v>16</v>
      </c>
      <c r="D2191">
        <v>183</v>
      </c>
      <c r="E2191" t="s">
        <v>2279</v>
      </c>
      <c r="F2191">
        <v>5419</v>
      </c>
      <c r="G2191" t="s">
        <v>18</v>
      </c>
      <c r="H2191">
        <v>27</v>
      </c>
      <c r="I2191" t="s">
        <v>19</v>
      </c>
      <c r="J2191">
        <v>1991</v>
      </c>
      <c r="K2191">
        <v>1991</v>
      </c>
      <c r="L2191" t="s">
        <v>20</v>
      </c>
      <c r="M2191">
        <v>14560</v>
      </c>
      <c r="N2191">
        <v>637</v>
      </c>
    </row>
    <row r="2192" spans="1:14" x14ac:dyDescent="0.35">
      <c r="A2192" t="s">
        <v>2285</v>
      </c>
      <c r="B2192" t="s">
        <v>15</v>
      </c>
      <c r="C2192" t="s">
        <v>16</v>
      </c>
      <c r="D2192">
        <v>183</v>
      </c>
      <c r="E2192" t="s">
        <v>2279</v>
      </c>
      <c r="F2192">
        <v>5419</v>
      </c>
      <c r="G2192" t="s">
        <v>18</v>
      </c>
      <c r="H2192">
        <v>27</v>
      </c>
      <c r="I2192" t="s">
        <v>19</v>
      </c>
      <c r="J2192">
        <v>1992</v>
      </c>
      <c r="K2192">
        <v>1992</v>
      </c>
      <c r="L2192" t="s">
        <v>20</v>
      </c>
      <c r="M2192">
        <v>23742</v>
      </c>
      <c r="N2192">
        <v>637</v>
      </c>
    </row>
    <row r="2193" spans="1:14" x14ac:dyDescent="0.35">
      <c r="A2193" t="s">
        <v>2286</v>
      </c>
      <c r="B2193" t="s">
        <v>15</v>
      </c>
      <c r="C2193" t="s">
        <v>16</v>
      </c>
      <c r="D2193">
        <v>183</v>
      </c>
      <c r="E2193" t="s">
        <v>2279</v>
      </c>
      <c r="F2193">
        <v>5419</v>
      </c>
      <c r="G2193" t="s">
        <v>18</v>
      </c>
      <c r="H2193">
        <v>27</v>
      </c>
      <c r="I2193" t="s">
        <v>19</v>
      </c>
      <c r="J2193">
        <v>1993</v>
      </c>
      <c r="K2193">
        <v>1993</v>
      </c>
      <c r="L2193" t="s">
        <v>20</v>
      </c>
      <c r="M2193">
        <v>30351</v>
      </c>
      <c r="N2193">
        <v>637</v>
      </c>
    </row>
    <row r="2194" spans="1:14" x14ac:dyDescent="0.35">
      <c r="A2194" t="s">
        <v>2287</v>
      </c>
      <c r="B2194" t="s">
        <v>15</v>
      </c>
      <c r="C2194" t="s">
        <v>16</v>
      </c>
      <c r="D2194">
        <v>183</v>
      </c>
      <c r="E2194" t="s">
        <v>2279</v>
      </c>
      <c r="F2194">
        <v>5419</v>
      </c>
      <c r="G2194" t="s">
        <v>18</v>
      </c>
      <c r="H2194">
        <v>27</v>
      </c>
      <c r="I2194" t="s">
        <v>19</v>
      </c>
      <c r="J2194">
        <v>1994</v>
      </c>
      <c r="K2194">
        <v>1994</v>
      </c>
      <c r="L2194" t="s">
        <v>20</v>
      </c>
      <c r="M2194">
        <v>32835</v>
      </c>
      <c r="N2194">
        <v>637</v>
      </c>
    </row>
    <row r="2195" spans="1:14" x14ac:dyDescent="0.35">
      <c r="A2195" t="s">
        <v>2288</v>
      </c>
      <c r="B2195" t="s">
        <v>15</v>
      </c>
      <c r="C2195" t="s">
        <v>16</v>
      </c>
      <c r="D2195">
        <v>183</v>
      </c>
      <c r="E2195" t="s">
        <v>2279</v>
      </c>
      <c r="F2195">
        <v>5419</v>
      </c>
      <c r="G2195" t="s">
        <v>18</v>
      </c>
      <c r="H2195">
        <v>27</v>
      </c>
      <c r="I2195" t="s">
        <v>19</v>
      </c>
      <c r="J2195">
        <v>1995</v>
      </c>
      <c r="K2195">
        <v>1995</v>
      </c>
      <c r="L2195" t="s">
        <v>20</v>
      </c>
      <c r="M2195">
        <v>39030</v>
      </c>
      <c r="N2195">
        <v>637</v>
      </c>
    </row>
    <row r="2196" spans="1:14" x14ac:dyDescent="0.35">
      <c r="A2196" t="s">
        <v>2289</v>
      </c>
      <c r="B2196" t="s">
        <v>15</v>
      </c>
      <c r="C2196" t="s">
        <v>16</v>
      </c>
      <c r="D2196">
        <v>183</v>
      </c>
      <c r="E2196" t="s">
        <v>2279</v>
      </c>
      <c r="F2196">
        <v>5419</v>
      </c>
      <c r="G2196" t="s">
        <v>18</v>
      </c>
      <c r="H2196">
        <v>27</v>
      </c>
      <c r="I2196" t="s">
        <v>19</v>
      </c>
      <c r="J2196">
        <v>1996</v>
      </c>
      <c r="K2196">
        <v>1996</v>
      </c>
      <c r="L2196" t="s">
        <v>20</v>
      </c>
      <c r="M2196">
        <v>27075</v>
      </c>
      <c r="N2196">
        <v>637</v>
      </c>
    </row>
    <row r="2197" spans="1:14" x14ac:dyDescent="0.35">
      <c r="A2197" t="s">
        <v>2290</v>
      </c>
      <c r="B2197" t="s">
        <v>15</v>
      </c>
      <c r="C2197" t="s">
        <v>16</v>
      </c>
      <c r="D2197">
        <v>183</v>
      </c>
      <c r="E2197" t="s">
        <v>2279</v>
      </c>
      <c r="F2197">
        <v>5419</v>
      </c>
      <c r="G2197" t="s">
        <v>18</v>
      </c>
      <c r="H2197">
        <v>27</v>
      </c>
      <c r="I2197" t="s">
        <v>19</v>
      </c>
      <c r="J2197">
        <v>1997</v>
      </c>
      <c r="K2197">
        <v>1997</v>
      </c>
      <c r="L2197" t="s">
        <v>20</v>
      </c>
      <c r="M2197">
        <v>26766</v>
      </c>
      <c r="N2197">
        <v>637</v>
      </c>
    </row>
    <row r="2198" spans="1:14" x14ac:dyDescent="0.35">
      <c r="A2198" t="s">
        <v>2291</v>
      </c>
      <c r="B2198" t="s">
        <v>15</v>
      </c>
      <c r="C2198" t="s">
        <v>16</v>
      </c>
      <c r="D2198">
        <v>183</v>
      </c>
      <c r="E2198" t="s">
        <v>2279</v>
      </c>
      <c r="F2198">
        <v>5419</v>
      </c>
      <c r="G2198" t="s">
        <v>18</v>
      </c>
      <c r="H2198">
        <v>27</v>
      </c>
      <c r="I2198" t="s">
        <v>19</v>
      </c>
      <c r="J2198">
        <v>1998</v>
      </c>
      <c r="K2198">
        <v>1998</v>
      </c>
      <c r="L2198" t="s">
        <v>20</v>
      </c>
      <c r="M2198">
        <v>29791</v>
      </c>
      <c r="N2198">
        <v>637</v>
      </c>
    </row>
    <row r="2199" spans="1:14" x14ac:dyDescent="0.35">
      <c r="A2199" t="s">
        <v>2292</v>
      </c>
      <c r="B2199" t="s">
        <v>15</v>
      </c>
      <c r="C2199" t="s">
        <v>16</v>
      </c>
      <c r="D2199">
        <v>183</v>
      </c>
      <c r="E2199" t="s">
        <v>2279</v>
      </c>
      <c r="F2199">
        <v>5419</v>
      </c>
      <c r="G2199" t="s">
        <v>18</v>
      </c>
      <c r="H2199">
        <v>27</v>
      </c>
      <c r="I2199" t="s">
        <v>19</v>
      </c>
      <c r="J2199">
        <v>1999</v>
      </c>
      <c r="K2199">
        <v>1999</v>
      </c>
      <c r="L2199" t="s">
        <v>20</v>
      </c>
      <c r="M2199">
        <v>24427</v>
      </c>
      <c r="N2199">
        <v>637</v>
      </c>
    </row>
    <row r="2200" spans="1:14" x14ac:dyDescent="0.35">
      <c r="A2200" t="s">
        <v>2293</v>
      </c>
      <c r="B2200" t="s">
        <v>15</v>
      </c>
      <c r="C2200" t="s">
        <v>16</v>
      </c>
      <c r="D2200">
        <v>183</v>
      </c>
      <c r="E2200" t="s">
        <v>2279</v>
      </c>
      <c r="F2200">
        <v>5419</v>
      </c>
      <c r="G2200" t="s">
        <v>18</v>
      </c>
      <c r="H2200">
        <v>27</v>
      </c>
      <c r="I2200" t="s">
        <v>19</v>
      </c>
      <c r="J2200">
        <v>2000</v>
      </c>
      <c r="K2200">
        <v>2000</v>
      </c>
      <c r="L2200" t="s">
        <v>20</v>
      </c>
      <c r="M2200">
        <v>26441</v>
      </c>
      <c r="N2200">
        <v>637</v>
      </c>
    </row>
    <row r="2201" spans="1:14" x14ac:dyDescent="0.35">
      <c r="A2201" t="s">
        <v>2294</v>
      </c>
      <c r="B2201" t="s">
        <v>15</v>
      </c>
      <c r="C2201" t="s">
        <v>16</v>
      </c>
      <c r="D2201">
        <v>183</v>
      </c>
      <c r="E2201" t="s">
        <v>2279</v>
      </c>
      <c r="F2201">
        <v>5419</v>
      </c>
      <c r="G2201" t="s">
        <v>18</v>
      </c>
      <c r="H2201">
        <v>27</v>
      </c>
      <c r="I2201" t="s">
        <v>19</v>
      </c>
      <c r="J2201">
        <v>2001</v>
      </c>
      <c r="K2201">
        <v>2001</v>
      </c>
      <c r="L2201" t="s">
        <v>20</v>
      </c>
      <c r="M2201">
        <v>12632</v>
      </c>
      <c r="N2201">
        <v>637</v>
      </c>
    </row>
    <row r="2202" spans="1:14" x14ac:dyDescent="0.35">
      <c r="A2202" t="s">
        <v>2295</v>
      </c>
      <c r="B2202" t="s">
        <v>15</v>
      </c>
      <c r="C2202" t="s">
        <v>16</v>
      </c>
      <c r="D2202">
        <v>183</v>
      </c>
      <c r="E2202" t="s">
        <v>2279</v>
      </c>
      <c r="F2202">
        <v>5419</v>
      </c>
      <c r="G2202" t="s">
        <v>18</v>
      </c>
      <c r="H2202">
        <v>27</v>
      </c>
      <c r="I2202" t="s">
        <v>19</v>
      </c>
      <c r="J2202">
        <v>2002</v>
      </c>
      <c r="K2202">
        <v>2002</v>
      </c>
      <c r="L2202" t="s">
        <v>20</v>
      </c>
      <c r="M2202">
        <v>12839</v>
      </c>
      <c r="N2202">
        <v>637</v>
      </c>
    </row>
    <row r="2203" spans="1:14" x14ac:dyDescent="0.35">
      <c r="A2203" t="s">
        <v>2296</v>
      </c>
      <c r="B2203" t="s">
        <v>15</v>
      </c>
      <c r="C2203" t="s">
        <v>16</v>
      </c>
      <c r="D2203">
        <v>183</v>
      </c>
      <c r="E2203" t="s">
        <v>2279</v>
      </c>
      <c r="F2203">
        <v>5419</v>
      </c>
      <c r="G2203" t="s">
        <v>18</v>
      </c>
      <c r="H2203">
        <v>27</v>
      </c>
      <c r="I2203" t="s">
        <v>19</v>
      </c>
      <c r="J2203">
        <v>2004</v>
      </c>
      <c r="K2203">
        <v>2004</v>
      </c>
      <c r="L2203" t="s">
        <v>20</v>
      </c>
      <c r="M2203">
        <v>40056</v>
      </c>
      <c r="N2203">
        <v>637</v>
      </c>
    </row>
    <row r="2204" spans="1:14" x14ac:dyDescent="0.35">
      <c r="A2204" t="s">
        <v>2297</v>
      </c>
      <c r="B2204" t="s">
        <v>15</v>
      </c>
      <c r="C2204" t="s">
        <v>16</v>
      </c>
      <c r="D2204">
        <v>183</v>
      </c>
      <c r="E2204" t="s">
        <v>2279</v>
      </c>
      <c r="F2204">
        <v>5419</v>
      </c>
      <c r="G2204" t="s">
        <v>18</v>
      </c>
      <c r="H2204">
        <v>27</v>
      </c>
      <c r="I2204" t="s">
        <v>19</v>
      </c>
      <c r="J2204">
        <v>2005</v>
      </c>
      <c r="K2204">
        <v>2005</v>
      </c>
      <c r="L2204" t="s">
        <v>20</v>
      </c>
      <c r="M2204">
        <v>41989</v>
      </c>
      <c r="N2204">
        <v>637</v>
      </c>
    </row>
    <row r="2205" spans="1:14" x14ac:dyDescent="0.35">
      <c r="A2205" t="s">
        <v>2298</v>
      </c>
      <c r="B2205" t="s">
        <v>15</v>
      </c>
      <c r="C2205" t="s">
        <v>16</v>
      </c>
      <c r="D2205">
        <v>183</v>
      </c>
      <c r="E2205" t="s">
        <v>2279</v>
      </c>
      <c r="F2205">
        <v>5419</v>
      </c>
      <c r="G2205" t="s">
        <v>18</v>
      </c>
      <c r="H2205">
        <v>27</v>
      </c>
      <c r="I2205" t="s">
        <v>19</v>
      </c>
      <c r="J2205">
        <v>2006</v>
      </c>
      <c r="K2205">
        <v>2006</v>
      </c>
      <c r="L2205" t="s">
        <v>20</v>
      </c>
      <c r="M2205">
        <v>32993</v>
      </c>
      <c r="N2205">
        <v>637</v>
      </c>
    </row>
    <row r="2206" spans="1:14" x14ac:dyDescent="0.35">
      <c r="A2206" t="s">
        <v>2299</v>
      </c>
      <c r="B2206" t="s">
        <v>15</v>
      </c>
      <c r="C2206" t="s">
        <v>16</v>
      </c>
      <c r="D2206">
        <v>183</v>
      </c>
      <c r="E2206" t="s">
        <v>2279</v>
      </c>
      <c r="F2206">
        <v>5419</v>
      </c>
      <c r="G2206" t="s">
        <v>18</v>
      </c>
      <c r="H2206">
        <v>27</v>
      </c>
      <c r="I2206" t="s">
        <v>19</v>
      </c>
      <c r="J2206">
        <v>2007</v>
      </c>
      <c r="K2206">
        <v>2007</v>
      </c>
      <c r="L2206" t="s">
        <v>20</v>
      </c>
      <c r="M2206">
        <v>34023</v>
      </c>
      <c r="N2206">
        <v>637</v>
      </c>
    </row>
    <row r="2207" spans="1:14" x14ac:dyDescent="0.35">
      <c r="A2207" t="s">
        <v>2300</v>
      </c>
      <c r="B2207" t="s">
        <v>15</v>
      </c>
      <c r="C2207" t="s">
        <v>16</v>
      </c>
      <c r="D2207">
        <v>183</v>
      </c>
      <c r="E2207" t="s">
        <v>2279</v>
      </c>
      <c r="F2207">
        <v>5419</v>
      </c>
      <c r="G2207" t="s">
        <v>18</v>
      </c>
      <c r="H2207">
        <v>27</v>
      </c>
      <c r="I2207" t="s">
        <v>19</v>
      </c>
      <c r="J2207">
        <v>2008</v>
      </c>
      <c r="K2207">
        <v>2008</v>
      </c>
      <c r="L2207" t="s">
        <v>20</v>
      </c>
      <c r="M2207">
        <v>49326</v>
      </c>
      <c r="N2207">
        <v>637</v>
      </c>
    </row>
    <row r="2208" spans="1:14" x14ac:dyDescent="0.35">
      <c r="A2208" t="s">
        <v>2301</v>
      </c>
      <c r="B2208" t="s">
        <v>15</v>
      </c>
      <c r="C2208" t="s">
        <v>16</v>
      </c>
      <c r="D2208">
        <v>183</v>
      </c>
      <c r="E2208" t="s">
        <v>2279</v>
      </c>
      <c r="F2208">
        <v>5419</v>
      </c>
      <c r="G2208" t="s">
        <v>18</v>
      </c>
      <c r="H2208">
        <v>27</v>
      </c>
      <c r="I2208" t="s">
        <v>19</v>
      </c>
      <c r="J2208">
        <v>2009</v>
      </c>
      <c r="K2208">
        <v>2009</v>
      </c>
      <c r="L2208" t="s">
        <v>20</v>
      </c>
      <c r="M2208">
        <v>54262</v>
      </c>
      <c r="N2208">
        <v>637</v>
      </c>
    </row>
    <row r="2209" spans="1:14" x14ac:dyDescent="0.35">
      <c r="A2209" t="s">
        <v>2302</v>
      </c>
      <c r="B2209" t="s">
        <v>15</v>
      </c>
      <c r="C2209" t="s">
        <v>16</v>
      </c>
      <c r="D2209">
        <v>183</v>
      </c>
      <c r="E2209" t="s">
        <v>2279</v>
      </c>
      <c r="F2209">
        <v>5419</v>
      </c>
      <c r="G2209" t="s">
        <v>18</v>
      </c>
      <c r="H2209">
        <v>27</v>
      </c>
      <c r="I2209" t="s">
        <v>19</v>
      </c>
      <c r="J2209">
        <v>2010</v>
      </c>
      <c r="K2209">
        <v>2010</v>
      </c>
      <c r="L2209" t="s">
        <v>20</v>
      </c>
      <c r="M2209">
        <v>49656</v>
      </c>
      <c r="N2209">
        <v>637</v>
      </c>
    </row>
    <row r="2210" spans="1:14" x14ac:dyDescent="0.35">
      <c r="A2210" t="s">
        <v>2303</v>
      </c>
      <c r="B2210" t="s">
        <v>15</v>
      </c>
      <c r="C2210" t="s">
        <v>16</v>
      </c>
      <c r="D2210">
        <v>183</v>
      </c>
      <c r="E2210" t="s">
        <v>2279</v>
      </c>
      <c r="F2210">
        <v>5419</v>
      </c>
      <c r="G2210" t="s">
        <v>18</v>
      </c>
      <c r="H2210">
        <v>27</v>
      </c>
      <c r="I2210" t="s">
        <v>19</v>
      </c>
      <c r="J2210">
        <v>2011</v>
      </c>
      <c r="K2210">
        <v>2011</v>
      </c>
      <c r="L2210" t="s">
        <v>20</v>
      </c>
      <c r="M2210">
        <v>51504</v>
      </c>
      <c r="N2210">
        <v>637</v>
      </c>
    </row>
    <row r="2211" spans="1:14" x14ac:dyDescent="0.35">
      <c r="A2211" t="s">
        <v>2304</v>
      </c>
      <c r="B2211" t="s">
        <v>15</v>
      </c>
      <c r="C2211" t="s">
        <v>16</v>
      </c>
      <c r="D2211">
        <v>183</v>
      </c>
      <c r="E2211" t="s">
        <v>2279</v>
      </c>
      <c r="F2211">
        <v>5419</v>
      </c>
      <c r="G2211" t="s">
        <v>18</v>
      </c>
      <c r="H2211">
        <v>27</v>
      </c>
      <c r="I2211" t="s">
        <v>19</v>
      </c>
      <c r="J2211">
        <v>2012</v>
      </c>
      <c r="K2211">
        <v>2012</v>
      </c>
      <c r="L2211" t="s">
        <v>20</v>
      </c>
      <c r="M2211">
        <v>44995</v>
      </c>
      <c r="N2211">
        <v>637</v>
      </c>
    </row>
    <row r="2212" spans="1:14" x14ac:dyDescent="0.35">
      <c r="A2212" t="s">
        <v>2305</v>
      </c>
      <c r="B2212" t="s">
        <v>15</v>
      </c>
      <c r="C2212" t="s">
        <v>16</v>
      </c>
      <c r="D2212">
        <v>183</v>
      </c>
      <c r="E2212" t="s">
        <v>2279</v>
      </c>
      <c r="F2212">
        <v>5419</v>
      </c>
      <c r="G2212" t="s">
        <v>18</v>
      </c>
      <c r="H2212">
        <v>27</v>
      </c>
      <c r="I2212" t="s">
        <v>19</v>
      </c>
      <c r="J2212">
        <v>2013</v>
      </c>
      <c r="K2212">
        <v>2013</v>
      </c>
      <c r="L2212" t="s">
        <v>20</v>
      </c>
      <c r="M2212">
        <v>47194</v>
      </c>
      <c r="N2212">
        <v>637</v>
      </c>
    </row>
    <row r="2213" spans="1:14" x14ac:dyDescent="0.35">
      <c r="A2213" t="s">
        <v>2306</v>
      </c>
      <c r="B2213" t="s">
        <v>15</v>
      </c>
      <c r="C2213" t="s">
        <v>16</v>
      </c>
      <c r="D2213">
        <v>183</v>
      </c>
      <c r="E2213" t="s">
        <v>2279</v>
      </c>
      <c r="F2213">
        <v>5419</v>
      </c>
      <c r="G2213" t="s">
        <v>18</v>
      </c>
      <c r="H2213">
        <v>27</v>
      </c>
      <c r="I2213" t="s">
        <v>19</v>
      </c>
      <c r="J2213">
        <v>2014</v>
      </c>
      <c r="K2213">
        <v>2014</v>
      </c>
      <c r="L2213" t="s">
        <v>20</v>
      </c>
      <c r="M2213">
        <v>35505</v>
      </c>
      <c r="N2213">
        <v>637</v>
      </c>
    </row>
    <row r="2214" spans="1:14" x14ac:dyDescent="0.35">
      <c r="A2214" t="s">
        <v>2307</v>
      </c>
      <c r="B2214" t="s">
        <v>15</v>
      </c>
      <c r="C2214" t="s">
        <v>16</v>
      </c>
      <c r="D2214">
        <v>183</v>
      </c>
      <c r="E2214" t="s">
        <v>2279</v>
      </c>
      <c r="F2214">
        <v>5419</v>
      </c>
      <c r="G2214" t="s">
        <v>18</v>
      </c>
      <c r="H2214">
        <v>27</v>
      </c>
      <c r="I2214" t="s">
        <v>19</v>
      </c>
      <c r="J2214">
        <v>2015</v>
      </c>
      <c r="K2214">
        <v>2015</v>
      </c>
      <c r="L2214" t="s">
        <v>20</v>
      </c>
      <c r="M2214">
        <v>44974</v>
      </c>
      <c r="N2214">
        <v>637</v>
      </c>
    </row>
    <row r="2215" spans="1:14" x14ac:dyDescent="0.35">
      <c r="A2215" t="s">
        <v>2308</v>
      </c>
      <c r="B2215" t="s">
        <v>15</v>
      </c>
      <c r="C2215" t="s">
        <v>16</v>
      </c>
      <c r="D2215">
        <v>183</v>
      </c>
      <c r="E2215" t="s">
        <v>2279</v>
      </c>
      <c r="F2215">
        <v>5419</v>
      </c>
      <c r="G2215" t="s">
        <v>18</v>
      </c>
      <c r="H2215">
        <v>27</v>
      </c>
      <c r="I2215" t="s">
        <v>19</v>
      </c>
      <c r="J2215">
        <v>2016</v>
      </c>
      <c r="K2215">
        <v>2016</v>
      </c>
      <c r="L2215" t="s">
        <v>20</v>
      </c>
      <c r="M2215">
        <v>46248</v>
      </c>
      <c r="N2215">
        <v>637</v>
      </c>
    </row>
    <row r="2216" spans="1:14" x14ac:dyDescent="0.35">
      <c r="A2216" t="s">
        <v>2309</v>
      </c>
      <c r="B2216" t="s">
        <v>15</v>
      </c>
      <c r="C2216" t="s">
        <v>16</v>
      </c>
      <c r="D2216">
        <v>184</v>
      </c>
      <c r="E2216" t="s">
        <v>2310</v>
      </c>
      <c r="F2216">
        <v>5419</v>
      </c>
      <c r="G2216" t="s">
        <v>18</v>
      </c>
      <c r="H2216">
        <v>27</v>
      </c>
      <c r="I2216" t="s">
        <v>19</v>
      </c>
      <c r="J2216">
        <v>1985</v>
      </c>
      <c r="K2216">
        <v>1985</v>
      </c>
      <c r="L2216" t="s">
        <v>20</v>
      </c>
      <c r="M2216">
        <v>16000</v>
      </c>
      <c r="N2216">
        <v>1212</v>
      </c>
    </row>
    <row r="2217" spans="1:14" x14ac:dyDescent="0.35">
      <c r="A2217" t="s">
        <v>2311</v>
      </c>
      <c r="B2217" t="s">
        <v>15</v>
      </c>
      <c r="C2217" t="s">
        <v>16</v>
      </c>
      <c r="D2217">
        <v>184</v>
      </c>
      <c r="E2217" t="s">
        <v>2310</v>
      </c>
      <c r="F2217">
        <v>5419</v>
      </c>
      <c r="G2217" t="s">
        <v>18</v>
      </c>
      <c r="H2217">
        <v>27</v>
      </c>
      <c r="I2217" t="s">
        <v>19</v>
      </c>
      <c r="J2217">
        <v>1986</v>
      </c>
      <c r="K2217">
        <v>1986</v>
      </c>
      <c r="L2217" t="s">
        <v>20</v>
      </c>
      <c r="M2217">
        <v>23444</v>
      </c>
      <c r="N2217">
        <v>1212</v>
      </c>
    </row>
    <row r="2218" spans="1:14" x14ac:dyDescent="0.35">
      <c r="A2218" t="s">
        <v>2312</v>
      </c>
      <c r="B2218" t="s">
        <v>15</v>
      </c>
      <c r="C2218" t="s">
        <v>16</v>
      </c>
      <c r="D2218">
        <v>184</v>
      </c>
      <c r="E2218" t="s">
        <v>2310</v>
      </c>
      <c r="F2218">
        <v>5419</v>
      </c>
      <c r="G2218" t="s">
        <v>18</v>
      </c>
      <c r="H2218">
        <v>27</v>
      </c>
      <c r="I2218" t="s">
        <v>19</v>
      </c>
      <c r="J2218">
        <v>1987</v>
      </c>
      <c r="K2218">
        <v>1987</v>
      </c>
      <c r="L2218" t="s">
        <v>20</v>
      </c>
      <c r="M2218">
        <v>21090</v>
      </c>
      <c r="N2218">
        <v>1212</v>
      </c>
    </row>
    <row r="2219" spans="1:14" x14ac:dyDescent="0.35">
      <c r="A2219" t="s">
        <v>2313</v>
      </c>
      <c r="B2219" t="s">
        <v>15</v>
      </c>
      <c r="C2219" t="s">
        <v>16</v>
      </c>
      <c r="D2219">
        <v>184</v>
      </c>
      <c r="E2219" t="s">
        <v>2310</v>
      </c>
      <c r="F2219">
        <v>5419</v>
      </c>
      <c r="G2219" t="s">
        <v>18</v>
      </c>
      <c r="H2219">
        <v>27</v>
      </c>
      <c r="I2219" t="s">
        <v>19</v>
      </c>
      <c r="J2219">
        <v>1989</v>
      </c>
      <c r="K2219">
        <v>1989</v>
      </c>
      <c r="L2219" t="s">
        <v>20</v>
      </c>
      <c r="M2219">
        <v>26231</v>
      </c>
      <c r="N2219">
        <v>1212</v>
      </c>
    </row>
    <row r="2220" spans="1:14" x14ac:dyDescent="0.35">
      <c r="A2220" t="s">
        <v>2314</v>
      </c>
      <c r="B2220" t="s">
        <v>15</v>
      </c>
      <c r="C2220" t="s">
        <v>16</v>
      </c>
      <c r="D2220">
        <v>184</v>
      </c>
      <c r="E2220" t="s">
        <v>2310</v>
      </c>
      <c r="F2220">
        <v>5419</v>
      </c>
      <c r="G2220" t="s">
        <v>18</v>
      </c>
      <c r="H2220">
        <v>27</v>
      </c>
      <c r="I2220" t="s">
        <v>19</v>
      </c>
      <c r="J2220">
        <v>1990</v>
      </c>
      <c r="K2220">
        <v>1990</v>
      </c>
      <c r="L2220" t="s">
        <v>20</v>
      </c>
      <c r="M2220">
        <v>13652</v>
      </c>
      <c r="N2220">
        <v>1212</v>
      </c>
    </row>
    <row r="2221" spans="1:14" x14ac:dyDescent="0.35">
      <c r="A2221" t="s">
        <v>2315</v>
      </c>
      <c r="B2221" t="s">
        <v>15</v>
      </c>
      <c r="C2221" t="s">
        <v>16</v>
      </c>
      <c r="D2221">
        <v>184</v>
      </c>
      <c r="E2221" t="s">
        <v>2310</v>
      </c>
      <c r="F2221">
        <v>5419</v>
      </c>
      <c r="G2221" t="s">
        <v>18</v>
      </c>
      <c r="H2221">
        <v>27</v>
      </c>
      <c r="I2221" t="s">
        <v>19</v>
      </c>
      <c r="J2221">
        <v>1991</v>
      </c>
      <c r="K2221">
        <v>1991</v>
      </c>
      <c r="L2221" t="s">
        <v>20</v>
      </c>
      <c r="M2221">
        <v>24118</v>
      </c>
      <c r="N2221">
        <v>1212</v>
      </c>
    </row>
    <row r="2222" spans="1:14" x14ac:dyDescent="0.35">
      <c r="A2222" t="s">
        <v>2316</v>
      </c>
      <c r="B2222" t="s">
        <v>15</v>
      </c>
      <c r="C2222" t="s">
        <v>16</v>
      </c>
      <c r="D2222">
        <v>184</v>
      </c>
      <c r="E2222" t="s">
        <v>2310</v>
      </c>
      <c r="F2222">
        <v>5419</v>
      </c>
      <c r="G2222" t="s">
        <v>18</v>
      </c>
      <c r="H2222">
        <v>27</v>
      </c>
      <c r="I2222" t="s">
        <v>19</v>
      </c>
      <c r="J2222">
        <v>1992</v>
      </c>
      <c r="K2222">
        <v>1992</v>
      </c>
      <c r="L2222" t="s">
        <v>20</v>
      </c>
      <c r="M2222">
        <v>24030</v>
      </c>
      <c r="N2222">
        <v>1212</v>
      </c>
    </row>
    <row r="2223" spans="1:14" x14ac:dyDescent="0.35">
      <c r="A2223" t="s">
        <v>2317</v>
      </c>
      <c r="B2223" t="s">
        <v>15</v>
      </c>
      <c r="C2223" t="s">
        <v>16</v>
      </c>
      <c r="D2223">
        <v>184</v>
      </c>
      <c r="E2223" t="s">
        <v>2310</v>
      </c>
      <c r="F2223">
        <v>5419</v>
      </c>
      <c r="G2223" t="s">
        <v>18</v>
      </c>
      <c r="H2223">
        <v>27</v>
      </c>
      <c r="I2223" t="s">
        <v>19</v>
      </c>
      <c r="J2223">
        <v>1993</v>
      </c>
      <c r="K2223">
        <v>1993</v>
      </c>
      <c r="L2223" t="s">
        <v>20</v>
      </c>
      <c r="M2223">
        <v>26400</v>
      </c>
      <c r="N2223">
        <v>1212</v>
      </c>
    </row>
    <row r="2224" spans="1:14" x14ac:dyDescent="0.35">
      <c r="A2224" t="s">
        <v>2318</v>
      </c>
      <c r="B2224" t="s">
        <v>15</v>
      </c>
      <c r="C2224" t="s">
        <v>16</v>
      </c>
      <c r="D2224">
        <v>184</v>
      </c>
      <c r="E2224" t="s">
        <v>2310</v>
      </c>
      <c r="F2224">
        <v>5419</v>
      </c>
      <c r="G2224" t="s">
        <v>18</v>
      </c>
      <c r="H2224">
        <v>27</v>
      </c>
      <c r="I2224" t="s">
        <v>19</v>
      </c>
      <c r="J2224">
        <v>1994</v>
      </c>
      <c r="K2224">
        <v>1994</v>
      </c>
      <c r="L2224" t="s">
        <v>20</v>
      </c>
      <c r="M2224">
        <v>26471</v>
      </c>
      <c r="N2224">
        <v>1212</v>
      </c>
    </row>
    <row r="2225" spans="1:14" x14ac:dyDescent="0.35">
      <c r="A2225" t="s">
        <v>2319</v>
      </c>
      <c r="B2225" t="s">
        <v>15</v>
      </c>
      <c r="C2225" t="s">
        <v>16</v>
      </c>
      <c r="D2225">
        <v>184</v>
      </c>
      <c r="E2225" t="s">
        <v>2310</v>
      </c>
      <c r="F2225">
        <v>5419</v>
      </c>
      <c r="G2225" t="s">
        <v>18</v>
      </c>
      <c r="H2225">
        <v>27</v>
      </c>
      <c r="I2225" t="s">
        <v>19</v>
      </c>
      <c r="J2225">
        <v>1995</v>
      </c>
      <c r="K2225">
        <v>1995</v>
      </c>
      <c r="L2225" t="s">
        <v>20</v>
      </c>
      <c r="M2225">
        <v>36508</v>
      </c>
      <c r="N2225">
        <v>1212</v>
      </c>
    </row>
    <row r="2226" spans="1:14" x14ac:dyDescent="0.35">
      <c r="A2226" t="s">
        <v>2320</v>
      </c>
      <c r="B2226" t="s">
        <v>15</v>
      </c>
      <c r="C2226" t="s">
        <v>16</v>
      </c>
      <c r="D2226">
        <v>184</v>
      </c>
      <c r="E2226" t="s">
        <v>2310</v>
      </c>
      <c r="F2226">
        <v>5419</v>
      </c>
      <c r="G2226" t="s">
        <v>18</v>
      </c>
      <c r="H2226">
        <v>27</v>
      </c>
      <c r="I2226" t="s">
        <v>19</v>
      </c>
      <c r="J2226">
        <v>1996</v>
      </c>
      <c r="K2226">
        <v>1996</v>
      </c>
      <c r="L2226" t="s">
        <v>20</v>
      </c>
      <c r="M2226">
        <v>32980</v>
      </c>
      <c r="N2226">
        <v>1212</v>
      </c>
    </row>
    <row r="2227" spans="1:14" x14ac:dyDescent="0.35">
      <c r="A2227" t="s">
        <v>2321</v>
      </c>
      <c r="B2227" t="s">
        <v>15</v>
      </c>
      <c r="C2227" t="s">
        <v>16</v>
      </c>
      <c r="D2227">
        <v>184</v>
      </c>
      <c r="E2227" t="s">
        <v>2310</v>
      </c>
      <c r="F2227">
        <v>5419</v>
      </c>
      <c r="G2227" t="s">
        <v>18</v>
      </c>
      <c r="H2227">
        <v>27</v>
      </c>
      <c r="I2227" t="s">
        <v>19</v>
      </c>
      <c r="J2227">
        <v>1997</v>
      </c>
      <c r="K2227">
        <v>1997</v>
      </c>
      <c r="L2227" t="s">
        <v>20</v>
      </c>
      <c r="M2227">
        <v>30328</v>
      </c>
      <c r="N2227">
        <v>1212</v>
      </c>
    </row>
    <row r="2228" spans="1:14" x14ac:dyDescent="0.35">
      <c r="A2228" t="s">
        <v>2322</v>
      </c>
      <c r="B2228" t="s">
        <v>15</v>
      </c>
      <c r="C2228" t="s">
        <v>16</v>
      </c>
      <c r="D2228">
        <v>184</v>
      </c>
      <c r="E2228" t="s">
        <v>2310</v>
      </c>
      <c r="F2228">
        <v>5419</v>
      </c>
      <c r="G2228" t="s">
        <v>18</v>
      </c>
      <c r="H2228">
        <v>27</v>
      </c>
      <c r="I2228" t="s">
        <v>19</v>
      </c>
      <c r="J2228">
        <v>1998</v>
      </c>
      <c r="K2228">
        <v>1998</v>
      </c>
      <c r="L2228" t="s">
        <v>20</v>
      </c>
      <c r="M2228">
        <v>19148</v>
      </c>
      <c r="N2228">
        <v>1212</v>
      </c>
    </row>
    <row r="2229" spans="1:14" x14ac:dyDescent="0.35">
      <c r="A2229" t="s">
        <v>2323</v>
      </c>
      <c r="B2229" t="s">
        <v>15</v>
      </c>
      <c r="C2229" t="s">
        <v>16</v>
      </c>
      <c r="D2229">
        <v>184</v>
      </c>
      <c r="E2229" t="s">
        <v>2310</v>
      </c>
      <c r="F2229">
        <v>5419</v>
      </c>
      <c r="G2229" t="s">
        <v>18</v>
      </c>
      <c r="H2229">
        <v>27</v>
      </c>
      <c r="I2229" t="s">
        <v>19</v>
      </c>
      <c r="J2229">
        <v>1999</v>
      </c>
      <c r="K2229">
        <v>1999</v>
      </c>
      <c r="L2229" t="s">
        <v>20</v>
      </c>
      <c r="M2229">
        <v>18132</v>
      </c>
      <c r="N2229">
        <v>1212</v>
      </c>
    </row>
    <row r="2230" spans="1:14" x14ac:dyDescent="0.35">
      <c r="A2230" t="s">
        <v>2324</v>
      </c>
      <c r="B2230" t="s">
        <v>15</v>
      </c>
      <c r="C2230" t="s">
        <v>16</v>
      </c>
      <c r="D2230">
        <v>184</v>
      </c>
      <c r="E2230" t="s">
        <v>2310</v>
      </c>
      <c r="F2230">
        <v>5419</v>
      </c>
      <c r="G2230" t="s">
        <v>18</v>
      </c>
      <c r="H2230">
        <v>27</v>
      </c>
      <c r="I2230" t="s">
        <v>19</v>
      </c>
      <c r="J2230">
        <v>2000</v>
      </c>
      <c r="K2230">
        <v>2000</v>
      </c>
      <c r="L2230" t="s">
        <v>20</v>
      </c>
      <c r="M2230">
        <v>27318</v>
      </c>
      <c r="N2230">
        <v>1212</v>
      </c>
    </row>
    <row r="2231" spans="1:14" x14ac:dyDescent="0.35">
      <c r="A2231" t="s">
        <v>2325</v>
      </c>
      <c r="B2231" t="s">
        <v>15</v>
      </c>
      <c r="C2231" t="s">
        <v>16</v>
      </c>
      <c r="D2231">
        <v>184</v>
      </c>
      <c r="E2231" t="s">
        <v>2310</v>
      </c>
      <c r="F2231">
        <v>5419</v>
      </c>
      <c r="G2231" t="s">
        <v>18</v>
      </c>
      <c r="H2231">
        <v>27</v>
      </c>
      <c r="I2231" t="s">
        <v>19</v>
      </c>
      <c r="J2231">
        <v>2001</v>
      </c>
      <c r="K2231">
        <v>2001</v>
      </c>
      <c r="L2231" t="s">
        <v>20</v>
      </c>
      <c r="M2231">
        <v>30668</v>
      </c>
      <c r="N2231">
        <v>1212</v>
      </c>
    </row>
    <row r="2232" spans="1:14" x14ac:dyDescent="0.35">
      <c r="A2232" t="s">
        <v>2326</v>
      </c>
      <c r="B2232" t="s">
        <v>15</v>
      </c>
      <c r="C2232" t="s">
        <v>16</v>
      </c>
      <c r="D2232">
        <v>184</v>
      </c>
      <c r="E2232" t="s">
        <v>2310</v>
      </c>
      <c r="F2232">
        <v>5419</v>
      </c>
      <c r="G2232" t="s">
        <v>18</v>
      </c>
      <c r="H2232">
        <v>27</v>
      </c>
      <c r="I2232" t="s">
        <v>19</v>
      </c>
      <c r="J2232">
        <v>2002</v>
      </c>
      <c r="K2232">
        <v>2002</v>
      </c>
      <c r="L2232" t="s">
        <v>20</v>
      </c>
      <c r="M2232">
        <v>32658</v>
      </c>
      <c r="N2232">
        <v>1212</v>
      </c>
    </row>
    <row r="2233" spans="1:14" x14ac:dyDescent="0.35">
      <c r="A2233" t="s">
        <v>2327</v>
      </c>
      <c r="B2233" t="s">
        <v>15</v>
      </c>
      <c r="C2233" t="s">
        <v>16</v>
      </c>
      <c r="D2233">
        <v>184</v>
      </c>
      <c r="E2233" t="s">
        <v>2310</v>
      </c>
      <c r="F2233">
        <v>5419</v>
      </c>
      <c r="G2233" t="s">
        <v>18</v>
      </c>
      <c r="H2233">
        <v>27</v>
      </c>
      <c r="I2233" t="s">
        <v>19</v>
      </c>
      <c r="J2233">
        <v>2004</v>
      </c>
      <c r="K2233">
        <v>2004</v>
      </c>
      <c r="L2233" t="s">
        <v>20</v>
      </c>
      <c r="M2233">
        <v>37964</v>
      </c>
      <c r="N2233">
        <v>1212</v>
      </c>
    </row>
    <row r="2234" spans="1:14" x14ac:dyDescent="0.35">
      <c r="A2234" t="s">
        <v>2328</v>
      </c>
      <c r="B2234" t="s">
        <v>15</v>
      </c>
      <c r="C2234" t="s">
        <v>16</v>
      </c>
      <c r="D2234">
        <v>184</v>
      </c>
      <c r="E2234" t="s">
        <v>2310</v>
      </c>
      <c r="F2234">
        <v>5419</v>
      </c>
      <c r="G2234" t="s">
        <v>18</v>
      </c>
      <c r="H2234">
        <v>27</v>
      </c>
      <c r="I2234" t="s">
        <v>19</v>
      </c>
      <c r="J2234">
        <v>2005</v>
      </c>
      <c r="K2234">
        <v>2005</v>
      </c>
      <c r="L2234" t="s">
        <v>20</v>
      </c>
      <c r="M2234">
        <v>44673</v>
      </c>
      <c r="N2234">
        <v>1212</v>
      </c>
    </row>
    <row r="2235" spans="1:14" x14ac:dyDescent="0.35">
      <c r="A2235" t="s">
        <v>2329</v>
      </c>
      <c r="B2235" t="s">
        <v>15</v>
      </c>
      <c r="C2235" t="s">
        <v>16</v>
      </c>
      <c r="D2235">
        <v>184</v>
      </c>
      <c r="E2235" t="s">
        <v>2310</v>
      </c>
      <c r="F2235">
        <v>5419</v>
      </c>
      <c r="G2235" t="s">
        <v>18</v>
      </c>
      <c r="H2235">
        <v>27</v>
      </c>
      <c r="I2235" t="s">
        <v>19</v>
      </c>
      <c r="J2235">
        <v>2006</v>
      </c>
      <c r="K2235">
        <v>2006</v>
      </c>
      <c r="L2235" t="s">
        <v>20</v>
      </c>
      <c r="M2235">
        <v>44843</v>
      </c>
      <c r="N2235">
        <v>1212</v>
      </c>
    </row>
    <row r="2236" spans="1:14" x14ac:dyDescent="0.35">
      <c r="A2236" t="s">
        <v>2330</v>
      </c>
      <c r="B2236" t="s">
        <v>15</v>
      </c>
      <c r="C2236" t="s">
        <v>16</v>
      </c>
      <c r="D2236">
        <v>184</v>
      </c>
      <c r="E2236" t="s">
        <v>2310</v>
      </c>
      <c r="F2236">
        <v>5419</v>
      </c>
      <c r="G2236" t="s">
        <v>18</v>
      </c>
      <c r="H2236">
        <v>27</v>
      </c>
      <c r="I2236" t="s">
        <v>19</v>
      </c>
      <c r="J2236">
        <v>2007</v>
      </c>
      <c r="K2236">
        <v>2007</v>
      </c>
      <c r="L2236" t="s">
        <v>20</v>
      </c>
      <c r="M2236">
        <v>41320</v>
      </c>
      <c r="N2236">
        <v>1212</v>
      </c>
    </row>
    <row r="2237" spans="1:14" x14ac:dyDescent="0.35">
      <c r="A2237" t="s">
        <v>2331</v>
      </c>
      <c r="B2237" t="s">
        <v>15</v>
      </c>
      <c r="C2237" t="s">
        <v>16</v>
      </c>
      <c r="D2237">
        <v>184</v>
      </c>
      <c r="E2237" t="s">
        <v>2310</v>
      </c>
      <c r="F2237">
        <v>5419</v>
      </c>
      <c r="G2237" t="s">
        <v>18</v>
      </c>
      <c r="H2237">
        <v>27</v>
      </c>
      <c r="I2237" t="s">
        <v>19</v>
      </c>
      <c r="J2237">
        <v>2008</v>
      </c>
      <c r="K2237">
        <v>2008</v>
      </c>
      <c r="L2237" t="s">
        <v>20</v>
      </c>
      <c r="M2237">
        <v>44432</v>
      </c>
      <c r="N2237">
        <v>1212</v>
      </c>
    </row>
    <row r="2238" spans="1:14" x14ac:dyDescent="0.35">
      <c r="A2238" t="s">
        <v>2332</v>
      </c>
      <c r="B2238" t="s">
        <v>15</v>
      </c>
      <c r="C2238" t="s">
        <v>16</v>
      </c>
      <c r="D2238">
        <v>184</v>
      </c>
      <c r="E2238" t="s">
        <v>2310</v>
      </c>
      <c r="F2238">
        <v>5419</v>
      </c>
      <c r="G2238" t="s">
        <v>18</v>
      </c>
      <c r="H2238">
        <v>27</v>
      </c>
      <c r="I2238" t="s">
        <v>19</v>
      </c>
      <c r="J2238">
        <v>2009</v>
      </c>
      <c r="K2238">
        <v>2009</v>
      </c>
      <c r="L2238" t="s">
        <v>20</v>
      </c>
      <c r="M2238">
        <v>56178</v>
      </c>
      <c r="N2238">
        <v>1212</v>
      </c>
    </row>
    <row r="2239" spans="1:14" x14ac:dyDescent="0.35">
      <c r="A2239" t="s">
        <v>2333</v>
      </c>
      <c r="B2239" t="s">
        <v>15</v>
      </c>
      <c r="C2239" t="s">
        <v>16</v>
      </c>
      <c r="D2239">
        <v>184</v>
      </c>
      <c r="E2239" t="s">
        <v>2310</v>
      </c>
      <c r="F2239">
        <v>5419</v>
      </c>
      <c r="G2239" t="s">
        <v>18</v>
      </c>
      <c r="H2239">
        <v>27</v>
      </c>
      <c r="I2239" t="s">
        <v>19</v>
      </c>
      <c r="J2239">
        <v>2010</v>
      </c>
      <c r="K2239">
        <v>2010</v>
      </c>
      <c r="L2239" t="s">
        <v>20</v>
      </c>
      <c r="M2239">
        <v>51833</v>
      </c>
      <c r="N2239">
        <v>1212</v>
      </c>
    </row>
    <row r="2240" spans="1:14" x14ac:dyDescent="0.35">
      <c r="A2240" t="s">
        <v>2334</v>
      </c>
      <c r="B2240" t="s">
        <v>15</v>
      </c>
      <c r="C2240" t="s">
        <v>16</v>
      </c>
      <c r="D2240">
        <v>184</v>
      </c>
      <c r="E2240" t="s">
        <v>2310</v>
      </c>
      <c r="F2240">
        <v>5419</v>
      </c>
      <c r="G2240" t="s">
        <v>18</v>
      </c>
      <c r="H2240">
        <v>27</v>
      </c>
      <c r="I2240" t="s">
        <v>19</v>
      </c>
      <c r="J2240">
        <v>2011</v>
      </c>
      <c r="K2240">
        <v>2011</v>
      </c>
      <c r="L2240" t="s">
        <v>20</v>
      </c>
      <c r="M2240">
        <v>55195</v>
      </c>
      <c r="N2240">
        <v>1212</v>
      </c>
    </row>
    <row r="2241" spans="1:14" x14ac:dyDescent="0.35">
      <c r="A2241" t="s">
        <v>2335</v>
      </c>
      <c r="B2241" t="s">
        <v>15</v>
      </c>
      <c r="C2241" t="s">
        <v>16</v>
      </c>
      <c r="D2241">
        <v>184</v>
      </c>
      <c r="E2241" t="s">
        <v>2310</v>
      </c>
      <c r="F2241">
        <v>5419</v>
      </c>
      <c r="G2241" t="s">
        <v>18</v>
      </c>
      <c r="H2241">
        <v>27</v>
      </c>
      <c r="I2241" t="s">
        <v>19</v>
      </c>
      <c r="J2241">
        <v>2012</v>
      </c>
      <c r="K2241">
        <v>2012</v>
      </c>
      <c r="L2241" t="s">
        <v>20</v>
      </c>
      <c r="M2241">
        <v>57193</v>
      </c>
      <c r="N2241">
        <v>1212</v>
      </c>
    </row>
    <row r="2242" spans="1:14" x14ac:dyDescent="0.35">
      <c r="A2242" t="s">
        <v>2336</v>
      </c>
      <c r="B2242" t="s">
        <v>15</v>
      </c>
      <c r="C2242" t="s">
        <v>16</v>
      </c>
      <c r="D2242">
        <v>184</v>
      </c>
      <c r="E2242" t="s">
        <v>2310</v>
      </c>
      <c r="F2242">
        <v>5419</v>
      </c>
      <c r="G2242" t="s">
        <v>18</v>
      </c>
      <c r="H2242">
        <v>27</v>
      </c>
      <c r="I2242" t="s">
        <v>19</v>
      </c>
      <c r="J2242">
        <v>2013</v>
      </c>
      <c r="K2242">
        <v>2013</v>
      </c>
      <c r="L2242" t="s">
        <v>20</v>
      </c>
      <c r="M2242">
        <v>53362</v>
      </c>
      <c r="N2242">
        <v>1212</v>
      </c>
    </row>
    <row r="2243" spans="1:14" x14ac:dyDescent="0.35">
      <c r="A2243" t="s">
        <v>2337</v>
      </c>
      <c r="B2243" t="s">
        <v>15</v>
      </c>
      <c r="C2243" t="s">
        <v>16</v>
      </c>
      <c r="D2243">
        <v>184</v>
      </c>
      <c r="E2243" t="s">
        <v>2310</v>
      </c>
      <c r="F2243">
        <v>5419</v>
      </c>
      <c r="G2243" t="s">
        <v>18</v>
      </c>
      <c r="H2243">
        <v>27</v>
      </c>
      <c r="I2243" t="s">
        <v>19</v>
      </c>
      <c r="J2243">
        <v>2014</v>
      </c>
      <c r="K2243">
        <v>2014</v>
      </c>
      <c r="L2243" t="s">
        <v>20</v>
      </c>
      <c r="M2243">
        <v>30594</v>
      </c>
      <c r="N2243">
        <v>1212</v>
      </c>
    </row>
    <row r="2244" spans="1:14" x14ac:dyDescent="0.35">
      <c r="A2244" t="s">
        <v>2338</v>
      </c>
      <c r="B2244" t="s">
        <v>15</v>
      </c>
      <c r="C2244" t="s">
        <v>16</v>
      </c>
      <c r="D2244">
        <v>184</v>
      </c>
      <c r="E2244" t="s">
        <v>2310</v>
      </c>
      <c r="F2244">
        <v>5419</v>
      </c>
      <c r="G2244" t="s">
        <v>18</v>
      </c>
      <c r="H2244">
        <v>27</v>
      </c>
      <c r="I2244" t="s">
        <v>19</v>
      </c>
      <c r="J2244">
        <v>2015</v>
      </c>
      <c r="K2244">
        <v>2015</v>
      </c>
      <c r="L2244" t="s">
        <v>20</v>
      </c>
      <c r="M2244">
        <v>32259</v>
      </c>
      <c r="N2244">
        <v>1212</v>
      </c>
    </row>
    <row r="2245" spans="1:14" x14ac:dyDescent="0.35">
      <c r="A2245" t="s">
        <v>2339</v>
      </c>
      <c r="B2245" t="s">
        <v>15</v>
      </c>
      <c r="C2245" t="s">
        <v>16</v>
      </c>
      <c r="D2245">
        <v>184</v>
      </c>
      <c r="E2245" t="s">
        <v>2310</v>
      </c>
      <c r="F2245">
        <v>5419</v>
      </c>
      <c r="G2245" t="s">
        <v>18</v>
      </c>
      <c r="H2245">
        <v>27</v>
      </c>
      <c r="I2245" t="s">
        <v>19</v>
      </c>
      <c r="J2245">
        <v>2016</v>
      </c>
      <c r="K2245">
        <v>2016</v>
      </c>
      <c r="L2245" t="s">
        <v>20</v>
      </c>
      <c r="M2245">
        <v>33067</v>
      </c>
      <c r="N2245">
        <v>1212</v>
      </c>
    </row>
    <row r="2246" spans="1:14" x14ac:dyDescent="0.35">
      <c r="A2246" t="s">
        <v>2340</v>
      </c>
      <c r="B2246" t="s">
        <v>15</v>
      </c>
      <c r="C2246" t="s">
        <v>16</v>
      </c>
      <c r="D2246">
        <v>195</v>
      </c>
      <c r="E2246" t="s">
        <v>2341</v>
      </c>
      <c r="F2246">
        <v>5419</v>
      </c>
      <c r="G2246" t="s">
        <v>18</v>
      </c>
      <c r="H2246">
        <v>27</v>
      </c>
      <c r="I2246" t="s">
        <v>19</v>
      </c>
      <c r="J2246">
        <v>1985</v>
      </c>
      <c r="K2246">
        <v>1985</v>
      </c>
      <c r="L2246" t="s">
        <v>20</v>
      </c>
      <c r="M2246">
        <v>18810</v>
      </c>
      <c r="N2246">
        <v>686</v>
      </c>
    </row>
    <row r="2247" spans="1:14" x14ac:dyDescent="0.35">
      <c r="A2247" t="s">
        <v>2342</v>
      </c>
      <c r="B2247" t="s">
        <v>15</v>
      </c>
      <c r="C2247" t="s">
        <v>16</v>
      </c>
      <c r="D2247">
        <v>195</v>
      </c>
      <c r="E2247" t="s">
        <v>2341</v>
      </c>
      <c r="F2247">
        <v>5419</v>
      </c>
      <c r="G2247" t="s">
        <v>18</v>
      </c>
      <c r="H2247">
        <v>27</v>
      </c>
      <c r="I2247" t="s">
        <v>19</v>
      </c>
      <c r="J2247">
        <v>1986</v>
      </c>
      <c r="K2247">
        <v>1986</v>
      </c>
      <c r="L2247" t="s">
        <v>20</v>
      </c>
      <c r="M2247">
        <v>19977</v>
      </c>
      <c r="N2247">
        <v>686</v>
      </c>
    </row>
    <row r="2248" spans="1:14" x14ac:dyDescent="0.35">
      <c r="A2248" t="s">
        <v>2343</v>
      </c>
      <c r="B2248" t="s">
        <v>15</v>
      </c>
      <c r="C2248" t="s">
        <v>16</v>
      </c>
      <c r="D2248">
        <v>195</v>
      </c>
      <c r="E2248" t="s">
        <v>2341</v>
      </c>
      <c r="F2248">
        <v>5419</v>
      </c>
      <c r="G2248" t="s">
        <v>18</v>
      </c>
      <c r="H2248">
        <v>27</v>
      </c>
      <c r="I2248" t="s">
        <v>19</v>
      </c>
      <c r="J2248">
        <v>1987</v>
      </c>
      <c r="K2248">
        <v>1987</v>
      </c>
      <c r="L2248" t="s">
        <v>20</v>
      </c>
      <c r="M2248">
        <v>18265</v>
      </c>
      <c r="N2248">
        <v>686</v>
      </c>
    </row>
    <row r="2249" spans="1:14" x14ac:dyDescent="0.35">
      <c r="A2249" t="s">
        <v>2344</v>
      </c>
      <c r="B2249" t="s">
        <v>15</v>
      </c>
      <c r="C2249" t="s">
        <v>16</v>
      </c>
      <c r="D2249">
        <v>195</v>
      </c>
      <c r="E2249" t="s">
        <v>2341</v>
      </c>
      <c r="F2249">
        <v>5419</v>
      </c>
      <c r="G2249" t="s">
        <v>18</v>
      </c>
      <c r="H2249">
        <v>27</v>
      </c>
      <c r="I2249" t="s">
        <v>19</v>
      </c>
      <c r="J2249">
        <v>1989</v>
      </c>
      <c r="K2249">
        <v>1989</v>
      </c>
      <c r="L2249" t="s">
        <v>20</v>
      </c>
      <c r="M2249">
        <v>21206</v>
      </c>
      <c r="N2249">
        <v>686</v>
      </c>
    </row>
    <row r="2250" spans="1:14" x14ac:dyDescent="0.35">
      <c r="A2250" t="s">
        <v>2345</v>
      </c>
      <c r="B2250" t="s">
        <v>15</v>
      </c>
      <c r="C2250" t="s">
        <v>16</v>
      </c>
      <c r="D2250">
        <v>195</v>
      </c>
      <c r="E2250" t="s">
        <v>2341</v>
      </c>
      <c r="F2250">
        <v>5419</v>
      </c>
      <c r="G2250" t="s">
        <v>18</v>
      </c>
      <c r="H2250">
        <v>27</v>
      </c>
      <c r="I2250" t="s">
        <v>19</v>
      </c>
      <c r="J2250">
        <v>1990</v>
      </c>
      <c r="K2250">
        <v>1990</v>
      </c>
      <c r="L2250" t="s">
        <v>20</v>
      </c>
      <c r="M2250">
        <v>24825</v>
      </c>
      <c r="N2250">
        <v>686</v>
      </c>
    </row>
    <row r="2251" spans="1:14" x14ac:dyDescent="0.35">
      <c r="A2251" t="s">
        <v>2346</v>
      </c>
      <c r="B2251" t="s">
        <v>15</v>
      </c>
      <c r="C2251" t="s">
        <v>16</v>
      </c>
      <c r="D2251">
        <v>195</v>
      </c>
      <c r="E2251" t="s">
        <v>2341</v>
      </c>
      <c r="F2251">
        <v>5419</v>
      </c>
      <c r="G2251" t="s">
        <v>18</v>
      </c>
      <c r="H2251">
        <v>27</v>
      </c>
      <c r="I2251" t="s">
        <v>19</v>
      </c>
      <c r="J2251">
        <v>1991</v>
      </c>
      <c r="K2251">
        <v>1991</v>
      </c>
      <c r="L2251" t="s">
        <v>20</v>
      </c>
      <c r="M2251">
        <v>23497</v>
      </c>
      <c r="N2251">
        <v>686</v>
      </c>
    </row>
    <row r="2252" spans="1:14" x14ac:dyDescent="0.35">
      <c r="A2252" t="s">
        <v>2347</v>
      </c>
      <c r="B2252" t="s">
        <v>15</v>
      </c>
      <c r="C2252" t="s">
        <v>16</v>
      </c>
      <c r="D2252">
        <v>195</v>
      </c>
      <c r="E2252" t="s">
        <v>2341</v>
      </c>
      <c r="F2252">
        <v>5419</v>
      </c>
      <c r="G2252" t="s">
        <v>18</v>
      </c>
      <c r="H2252">
        <v>27</v>
      </c>
      <c r="I2252" t="s">
        <v>19</v>
      </c>
      <c r="J2252">
        <v>1992</v>
      </c>
      <c r="K2252">
        <v>1992</v>
      </c>
      <c r="L2252" t="s">
        <v>20</v>
      </c>
      <c r="M2252">
        <v>24065</v>
      </c>
      <c r="N2252">
        <v>686</v>
      </c>
    </row>
    <row r="2253" spans="1:14" x14ac:dyDescent="0.35">
      <c r="A2253" t="s">
        <v>2348</v>
      </c>
      <c r="B2253" t="s">
        <v>15</v>
      </c>
      <c r="C2253" t="s">
        <v>16</v>
      </c>
      <c r="D2253">
        <v>195</v>
      </c>
      <c r="E2253" t="s">
        <v>2341</v>
      </c>
      <c r="F2253">
        <v>5419</v>
      </c>
      <c r="G2253" t="s">
        <v>18</v>
      </c>
      <c r="H2253">
        <v>27</v>
      </c>
      <c r="I2253" t="s">
        <v>19</v>
      </c>
      <c r="J2253">
        <v>1993</v>
      </c>
      <c r="K2253">
        <v>1993</v>
      </c>
      <c r="L2253" t="s">
        <v>20</v>
      </c>
      <c r="M2253">
        <v>24809</v>
      </c>
      <c r="N2253">
        <v>686</v>
      </c>
    </row>
    <row r="2254" spans="1:14" x14ac:dyDescent="0.35">
      <c r="A2254" t="s">
        <v>2349</v>
      </c>
      <c r="B2254" t="s">
        <v>15</v>
      </c>
      <c r="C2254" t="s">
        <v>16</v>
      </c>
      <c r="D2254">
        <v>195</v>
      </c>
      <c r="E2254" t="s">
        <v>2341</v>
      </c>
      <c r="F2254">
        <v>5419</v>
      </c>
      <c r="G2254" t="s">
        <v>18</v>
      </c>
      <c r="H2254">
        <v>27</v>
      </c>
      <c r="I2254" t="s">
        <v>19</v>
      </c>
      <c r="J2254">
        <v>1994</v>
      </c>
      <c r="K2254">
        <v>1994</v>
      </c>
      <c r="L2254" t="s">
        <v>20</v>
      </c>
      <c r="M2254">
        <v>20869</v>
      </c>
      <c r="N2254">
        <v>686</v>
      </c>
    </row>
    <row r="2255" spans="1:14" x14ac:dyDescent="0.35">
      <c r="A2255" t="s">
        <v>2350</v>
      </c>
      <c r="B2255" t="s">
        <v>15</v>
      </c>
      <c r="C2255" t="s">
        <v>16</v>
      </c>
      <c r="D2255">
        <v>195</v>
      </c>
      <c r="E2255" t="s">
        <v>2341</v>
      </c>
      <c r="F2255">
        <v>5419</v>
      </c>
      <c r="G2255" t="s">
        <v>18</v>
      </c>
      <c r="H2255">
        <v>27</v>
      </c>
      <c r="I2255" t="s">
        <v>19</v>
      </c>
      <c r="J2255">
        <v>1995</v>
      </c>
      <c r="K2255">
        <v>1995</v>
      </c>
      <c r="L2255" t="s">
        <v>20</v>
      </c>
      <c r="M2255">
        <v>22497</v>
      </c>
      <c r="N2255">
        <v>686</v>
      </c>
    </row>
    <row r="2256" spans="1:14" x14ac:dyDescent="0.35">
      <c r="A2256" t="s">
        <v>2351</v>
      </c>
      <c r="B2256" t="s">
        <v>15</v>
      </c>
      <c r="C2256" t="s">
        <v>16</v>
      </c>
      <c r="D2256">
        <v>195</v>
      </c>
      <c r="E2256" t="s">
        <v>2341</v>
      </c>
      <c r="F2256">
        <v>5419</v>
      </c>
      <c r="G2256" t="s">
        <v>18</v>
      </c>
      <c r="H2256">
        <v>27</v>
      </c>
      <c r="I2256" t="s">
        <v>19</v>
      </c>
      <c r="J2256">
        <v>1996</v>
      </c>
      <c r="K2256">
        <v>1996</v>
      </c>
      <c r="L2256" t="s">
        <v>20</v>
      </c>
      <c r="M2256">
        <v>20157</v>
      </c>
      <c r="N2256">
        <v>686</v>
      </c>
    </row>
    <row r="2257" spans="1:14" x14ac:dyDescent="0.35">
      <c r="A2257" t="s">
        <v>2352</v>
      </c>
      <c r="B2257" t="s">
        <v>15</v>
      </c>
      <c r="C2257" t="s">
        <v>16</v>
      </c>
      <c r="D2257">
        <v>195</v>
      </c>
      <c r="E2257" t="s">
        <v>2341</v>
      </c>
      <c r="F2257">
        <v>5419</v>
      </c>
      <c r="G2257" t="s">
        <v>18</v>
      </c>
      <c r="H2257">
        <v>27</v>
      </c>
      <c r="I2257" t="s">
        <v>19</v>
      </c>
      <c r="J2257">
        <v>1997</v>
      </c>
      <c r="K2257">
        <v>1997</v>
      </c>
      <c r="L2257" t="s">
        <v>20</v>
      </c>
      <c r="M2257">
        <v>23254</v>
      </c>
      <c r="N2257">
        <v>686</v>
      </c>
    </row>
    <row r="2258" spans="1:14" x14ac:dyDescent="0.35">
      <c r="A2258" t="s">
        <v>2353</v>
      </c>
      <c r="B2258" t="s">
        <v>15</v>
      </c>
      <c r="C2258" t="s">
        <v>16</v>
      </c>
      <c r="D2258">
        <v>195</v>
      </c>
      <c r="E2258" t="s">
        <v>2341</v>
      </c>
      <c r="F2258">
        <v>5419</v>
      </c>
      <c r="G2258" t="s">
        <v>18</v>
      </c>
      <c r="H2258">
        <v>27</v>
      </c>
      <c r="I2258" t="s">
        <v>19</v>
      </c>
      <c r="J2258">
        <v>1998</v>
      </c>
      <c r="K2258">
        <v>1998</v>
      </c>
      <c r="L2258" t="s">
        <v>20</v>
      </c>
      <c r="M2258">
        <v>27204</v>
      </c>
      <c r="N2258">
        <v>686</v>
      </c>
    </row>
    <row r="2259" spans="1:14" x14ac:dyDescent="0.35">
      <c r="A2259" t="s">
        <v>2354</v>
      </c>
      <c r="B2259" t="s">
        <v>15</v>
      </c>
      <c r="C2259" t="s">
        <v>16</v>
      </c>
      <c r="D2259">
        <v>195</v>
      </c>
      <c r="E2259" t="s">
        <v>2341</v>
      </c>
      <c r="F2259">
        <v>5419</v>
      </c>
      <c r="G2259" t="s">
        <v>18</v>
      </c>
      <c r="H2259">
        <v>27</v>
      </c>
      <c r="I2259" t="s">
        <v>19</v>
      </c>
      <c r="J2259">
        <v>1999</v>
      </c>
      <c r="K2259">
        <v>1999</v>
      </c>
      <c r="L2259" t="s">
        <v>20</v>
      </c>
      <c r="M2259">
        <v>28000</v>
      </c>
      <c r="N2259">
        <v>686</v>
      </c>
    </row>
    <row r="2260" spans="1:14" x14ac:dyDescent="0.35">
      <c r="A2260" t="s">
        <v>2355</v>
      </c>
      <c r="B2260" t="s">
        <v>15</v>
      </c>
      <c r="C2260" t="s">
        <v>16</v>
      </c>
      <c r="D2260">
        <v>195</v>
      </c>
      <c r="E2260" t="s">
        <v>2341</v>
      </c>
      <c r="F2260">
        <v>5419</v>
      </c>
      <c r="G2260" t="s">
        <v>18</v>
      </c>
      <c r="H2260">
        <v>27</v>
      </c>
      <c r="I2260" t="s">
        <v>19</v>
      </c>
      <c r="J2260">
        <v>2000</v>
      </c>
      <c r="K2260">
        <v>2000</v>
      </c>
      <c r="L2260" t="s">
        <v>20</v>
      </c>
      <c r="M2260">
        <v>23454</v>
      </c>
      <c r="N2260">
        <v>686</v>
      </c>
    </row>
    <row r="2261" spans="1:14" x14ac:dyDescent="0.35">
      <c r="A2261" t="s">
        <v>2356</v>
      </c>
      <c r="B2261" t="s">
        <v>15</v>
      </c>
      <c r="C2261" t="s">
        <v>16</v>
      </c>
      <c r="D2261">
        <v>195</v>
      </c>
      <c r="E2261" t="s">
        <v>2341</v>
      </c>
      <c r="F2261">
        <v>5419</v>
      </c>
      <c r="G2261" t="s">
        <v>18</v>
      </c>
      <c r="H2261">
        <v>27</v>
      </c>
      <c r="I2261" t="s">
        <v>19</v>
      </c>
      <c r="J2261">
        <v>2001</v>
      </c>
      <c r="K2261">
        <v>2001</v>
      </c>
      <c r="L2261" t="s">
        <v>20</v>
      </c>
      <c r="M2261">
        <v>23729</v>
      </c>
      <c r="N2261">
        <v>686</v>
      </c>
    </row>
    <row r="2262" spans="1:14" x14ac:dyDescent="0.35">
      <c r="A2262" t="s">
        <v>2357</v>
      </c>
      <c r="B2262" t="s">
        <v>15</v>
      </c>
      <c r="C2262" t="s">
        <v>16</v>
      </c>
      <c r="D2262">
        <v>195</v>
      </c>
      <c r="E2262" t="s">
        <v>2341</v>
      </c>
      <c r="F2262">
        <v>5419</v>
      </c>
      <c r="G2262" t="s">
        <v>18</v>
      </c>
      <c r="H2262">
        <v>27</v>
      </c>
      <c r="I2262" t="s">
        <v>19</v>
      </c>
      <c r="J2262">
        <v>2002</v>
      </c>
      <c r="K2262">
        <v>2002</v>
      </c>
      <c r="L2262" t="s">
        <v>20</v>
      </c>
      <c r="M2262">
        <v>22676</v>
      </c>
      <c r="N2262">
        <v>686</v>
      </c>
    </row>
    <row r="2263" spans="1:14" x14ac:dyDescent="0.35">
      <c r="A2263" t="s">
        <v>2358</v>
      </c>
      <c r="B2263" t="s">
        <v>15</v>
      </c>
      <c r="C2263" t="s">
        <v>16</v>
      </c>
      <c r="D2263">
        <v>195</v>
      </c>
      <c r="E2263" t="s">
        <v>2341</v>
      </c>
      <c r="F2263">
        <v>5419</v>
      </c>
      <c r="G2263" t="s">
        <v>18</v>
      </c>
      <c r="H2263">
        <v>27</v>
      </c>
      <c r="I2263" t="s">
        <v>19</v>
      </c>
      <c r="J2263">
        <v>2004</v>
      </c>
      <c r="K2263">
        <v>2004</v>
      </c>
      <c r="L2263" t="s">
        <v>20</v>
      </c>
      <c r="M2263">
        <v>24758</v>
      </c>
      <c r="N2263">
        <v>686</v>
      </c>
    </row>
    <row r="2264" spans="1:14" x14ac:dyDescent="0.35">
      <c r="A2264" t="s">
        <v>2359</v>
      </c>
      <c r="B2264" t="s">
        <v>15</v>
      </c>
      <c r="C2264" t="s">
        <v>16</v>
      </c>
      <c r="D2264">
        <v>195</v>
      </c>
      <c r="E2264" t="s">
        <v>2341</v>
      </c>
      <c r="F2264">
        <v>5419</v>
      </c>
      <c r="G2264" t="s">
        <v>18</v>
      </c>
      <c r="H2264">
        <v>27</v>
      </c>
      <c r="I2264" t="s">
        <v>19</v>
      </c>
      <c r="J2264">
        <v>2005</v>
      </c>
      <c r="K2264">
        <v>2005</v>
      </c>
      <c r="L2264" t="s">
        <v>20</v>
      </c>
      <c r="M2264">
        <v>28542</v>
      </c>
      <c r="N2264">
        <v>686</v>
      </c>
    </row>
    <row r="2265" spans="1:14" x14ac:dyDescent="0.35">
      <c r="A2265" t="s">
        <v>2360</v>
      </c>
      <c r="B2265" t="s">
        <v>15</v>
      </c>
      <c r="C2265" t="s">
        <v>16</v>
      </c>
      <c r="D2265">
        <v>195</v>
      </c>
      <c r="E2265" t="s">
        <v>2341</v>
      </c>
      <c r="F2265">
        <v>5419</v>
      </c>
      <c r="G2265" t="s">
        <v>18</v>
      </c>
      <c r="H2265">
        <v>27</v>
      </c>
      <c r="I2265" t="s">
        <v>19</v>
      </c>
      <c r="J2265">
        <v>2006</v>
      </c>
      <c r="K2265">
        <v>2006</v>
      </c>
      <c r="L2265" t="s">
        <v>20</v>
      </c>
      <c r="M2265">
        <v>22401</v>
      </c>
      <c r="N2265">
        <v>686</v>
      </c>
    </row>
    <row r="2266" spans="1:14" x14ac:dyDescent="0.35">
      <c r="A2266" t="s">
        <v>2361</v>
      </c>
      <c r="B2266" t="s">
        <v>15</v>
      </c>
      <c r="C2266" t="s">
        <v>16</v>
      </c>
      <c r="D2266">
        <v>195</v>
      </c>
      <c r="E2266" t="s">
        <v>2341</v>
      </c>
      <c r="F2266">
        <v>5419</v>
      </c>
      <c r="G2266" t="s">
        <v>18</v>
      </c>
      <c r="H2266">
        <v>27</v>
      </c>
      <c r="I2266" t="s">
        <v>19</v>
      </c>
      <c r="J2266">
        <v>2007</v>
      </c>
      <c r="K2266">
        <v>2007</v>
      </c>
      <c r="L2266" t="s">
        <v>20</v>
      </c>
      <c r="M2266">
        <v>24078</v>
      </c>
      <c r="N2266">
        <v>686</v>
      </c>
    </row>
    <row r="2267" spans="1:14" x14ac:dyDescent="0.35">
      <c r="A2267" t="s">
        <v>2362</v>
      </c>
      <c r="B2267" t="s">
        <v>15</v>
      </c>
      <c r="C2267" t="s">
        <v>16</v>
      </c>
      <c r="D2267">
        <v>195</v>
      </c>
      <c r="E2267" t="s">
        <v>2341</v>
      </c>
      <c r="F2267">
        <v>5419</v>
      </c>
      <c r="G2267" t="s">
        <v>18</v>
      </c>
      <c r="H2267">
        <v>27</v>
      </c>
      <c r="I2267" t="s">
        <v>19</v>
      </c>
      <c r="J2267">
        <v>2008</v>
      </c>
      <c r="K2267">
        <v>2008</v>
      </c>
      <c r="L2267" t="s">
        <v>20</v>
      </c>
      <c r="M2267">
        <v>32572</v>
      </c>
      <c r="N2267">
        <v>686</v>
      </c>
    </row>
    <row r="2268" spans="1:14" x14ac:dyDescent="0.35">
      <c r="A2268" t="s">
        <v>2363</v>
      </c>
      <c r="B2268" t="s">
        <v>15</v>
      </c>
      <c r="C2268" t="s">
        <v>16</v>
      </c>
      <c r="D2268">
        <v>195</v>
      </c>
      <c r="E2268" t="s">
        <v>2341</v>
      </c>
      <c r="F2268">
        <v>5419</v>
      </c>
      <c r="G2268" t="s">
        <v>18</v>
      </c>
      <c r="H2268">
        <v>27</v>
      </c>
      <c r="I2268" t="s">
        <v>19</v>
      </c>
      <c r="J2268">
        <v>2009</v>
      </c>
      <c r="K2268">
        <v>2009</v>
      </c>
      <c r="L2268" t="s">
        <v>20</v>
      </c>
      <c r="M2268">
        <v>36022</v>
      </c>
      <c r="N2268">
        <v>686</v>
      </c>
    </row>
    <row r="2269" spans="1:14" x14ac:dyDescent="0.35">
      <c r="A2269" t="s">
        <v>2364</v>
      </c>
      <c r="B2269" t="s">
        <v>15</v>
      </c>
      <c r="C2269" t="s">
        <v>16</v>
      </c>
      <c r="D2269">
        <v>195</v>
      </c>
      <c r="E2269" t="s">
        <v>2341</v>
      </c>
      <c r="F2269">
        <v>5419</v>
      </c>
      <c r="G2269" t="s">
        <v>18</v>
      </c>
      <c r="H2269">
        <v>27</v>
      </c>
      <c r="I2269" t="s">
        <v>19</v>
      </c>
      <c r="J2269">
        <v>2010</v>
      </c>
      <c r="K2269">
        <v>2010</v>
      </c>
      <c r="L2269" t="s">
        <v>20</v>
      </c>
      <c r="M2269">
        <v>41033</v>
      </c>
      <c r="N2269">
        <v>686</v>
      </c>
    </row>
    <row r="2270" spans="1:14" x14ac:dyDescent="0.35">
      <c r="A2270" t="s">
        <v>2365</v>
      </c>
      <c r="B2270" t="s">
        <v>15</v>
      </c>
      <c r="C2270" t="s">
        <v>16</v>
      </c>
      <c r="D2270">
        <v>195</v>
      </c>
      <c r="E2270" t="s">
        <v>2341</v>
      </c>
      <c r="F2270">
        <v>5419</v>
      </c>
      <c r="G2270" t="s">
        <v>18</v>
      </c>
      <c r="H2270">
        <v>27</v>
      </c>
      <c r="I2270" t="s">
        <v>19</v>
      </c>
      <c r="J2270">
        <v>2011</v>
      </c>
      <c r="K2270">
        <v>2011</v>
      </c>
      <c r="L2270" t="s">
        <v>20</v>
      </c>
      <c r="M2270">
        <v>37171</v>
      </c>
      <c r="N2270">
        <v>686</v>
      </c>
    </row>
    <row r="2271" spans="1:14" x14ac:dyDescent="0.35">
      <c r="A2271" t="s">
        <v>2366</v>
      </c>
      <c r="B2271" t="s">
        <v>15</v>
      </c>
      <c r="C2271" t="s">
        <v>16</v>
      </c>
      <c r="D2271">
        <v>195</v>
      </c>
      <c r="E2271" t="s">
        <v>2341</v>
      </c>
      <c r="F2271">
        <v>5419</v>
      </c>
      <c r="G2271" t="s">
        <v>18</v>
      </c>
      <c r="H2271">
        <v>27</v>
      </c>
      <c r="I2271" t="s">
        <v>19</v>
      </c>
      <c r="J2271">
        <v>2012</v>
      </c>
      <c r="K2271">
        <v>2012</v>
      </c>
      <c r="L2271" t="s">
        <v>20</v>
      </c>
      <c r="M2271">
        <v>39892</v>
      </c>
      <c r="N2271">
        <v>686</v>
      </c>
    </row>
    <row r="2272" spans="1:14" x14ac:dyDescent="0.35">
      <c r="A2272" t="s">
        <v>2367</v>
      </c>
      <c r="B2272" t="s">
        <v>15</v>
      </c>
      <c r="C2272" t="s">
        <v>16</v>
      </c>
      <c r="D2272">
        <v>195</v>
      </c>
      <c r="E2272" t="s">
        <v>2341</v>
      </c>
      <c r="F2272">
        <v>5419</v>
      </c>
      <c r="G2272" t="s">
        <v>18</v>
      </c>
      <c r="H2272">
        <v>27</v>
      </c>
      <c r="I2272" t="s">
        <v>19</v>
      </c>
      <c r="J2272">
        <v>2013</v>
      </c>
      <c r="K2272">
        <v>2013</v>
      </c>
      <c r="L2272" t="s">
        <v>20</v>
      </c>
      <c r="M2272">
        <v>40181</v>
      </c>
      <c r="N2272">
        <v>686</v>
      </c>
    </row>
    <row r="2273" spans="1:14" x14ac:dyDescent="0.35">
      <c r="A2273" t="s">
        <v>2368</v>
      </c>
      <c r="B2273" t="s">
        <v>15</v>
      </c>
      <c r="C2273" t="s">
        <v>16</v>
      </c>
      <c r="D2273">
        <v>195</v>
      </c>
      <c r="E2273" t="s">
        <v>2341</v>
      </c>
      <c r="F2273">
        <v>5419</v>
      </c>
      <c r="G2273" t="s">
        <v>18</v>
      </c>
      <c r="H2273">
        <v>27</v>
      </c>
      <c r="I2273" t="s">
        <v>19</v>
      </c>
      <c r="J2273">
        <v>2014</v>
      </c>
      <c r="K2273">
        <v>2014</v>
      </c>
      <c r="L2273" t="s">
        <v>20</v>
      </c>
      <c r="M2273">
        <v>41417</v>
      </c>
      <c r="N2273">
        <v>686</v>
      </c>
    </row>
    <row r="2274" spans="1:14" x14ac:dyDescent="0.35">
      <c r="A2274" t="s">
        <v>2369</v>
      </c>
      <c r="B2274" t="s">
        <v>15</v>
      </c>
      <c r="C2274" t="s">
        <v>16</v>
      </c>
      <c r="D2274">
        <v>195</v>
      </c>
      <c r="E2274" t="s">
        <v>2341</v>
      </c>
      <c r="F2274">
        <v>5419</v>
      </c>
      <c r="G2274" t="s">
        <v>18</v>
      </c>
      <c r="H2274">
        <v>27</v>
      </c>
      <c r="I2274" t="s">
        <v>19</v>
      </c>
      <c r="J2274">
        <v>2015</v>
      </c>
      <c r="K2274">
        <v>2015</v>
      </c>
      <c r="L2274" t="s">
        <v>20</v>
      </c>
      <c r="M2274">
        <v>38194</v>
      </c>
      <c r="N2274">
        <v>686</v>
      </c>
    </row>
    <row r="2275" spans="1:14" x14ac:dyDescent="0.35">
      <c r="A2275" t="s">
        <v>2370</v>
      </c>
      <c r="B2275" t="s">
        <v>15</v>
      </c>
      <c r="C2275" t="s">
        <v>16</v>
      </c>
      <c r="D2275">
        <v>195</v>
      </c>
      <c r="E2275" t="s">
        <v>2341</v>
      </c>
      <c r="F2275">
        <v>5419</v>
      </c>
      <c r="G2275" t="s">
        <v>18</v>
      </c>
      <c r="H2275">
        <v>27</v>
      </c>
      <c r="I2275" t="s">
        <v>19</v>
      </c>
      <c r="J2275">
        <v>2016</v>
      </c>
      <c r="K2275">
        <v>2016</v>
      </c>
      <c r="L2275" t="s">
        <v>20</v>
      </c>
      <c r="M2275">
        <v>39289</v>
      </c>
      <c r="N2275">
        <v>686</v>
      </c>
    </row>
    <row r="2276" spans="1:14" x14ac:dyDescent="0.35">
      <c r="A2276" t="s">
        <v>2371</v>
      </c>
      <c r="B2276" t="s">
        <v>15</v>
      </c>
      <c r="C2276" t="s">
        <v>16</v>
      </c>
      <c r="D2276">
        <v>197</v>
      </c>
      <c r="E2276" t="s">
        <v>2372</v>
      </c>
      <c r="F2276">
        <v>5419</v>
      </c>
      <c r="G2276" t="s">
        <v>18</v>
      </c>
      <c r="H2276">
        <v>27</v>
      </c>
      <c r="I2276" t="s">
        <v>19</v>
      </c>
      <c r="J2276">
        <v>1985</v>
      </c>
      <c r="K2276">
        <v>1985</v>
      </c>
      <c r="L2276" t="s">
        <v>20</v>
      </c>
      <c r="M2276">
        <v>12652</v>
      </c>
      <c r="N2276">
        <v>2526</v>
      </c>
    </row>
    <row r="2277" spans="1:14" x14ac:dyDescent="0.35">
      <c r="A2277" t="s">
        <v>2373</v>
      </c>
      <c r="B2277" t="s">
        <v>15</v>
      </c>
      <c r="C2277" t="s">
        <v>16</v>
      </c>
      <c r="D2277">
        <v>197</v>
      </c>
      <c r="E2277" t="s">
        <v>2372</v>
      </c>
      <c r="F2277">
        <v>5419</v>
      </c>
      <c r="G2277" t="s">
        <v>18</v>
      </c>
      <c r="H2277">
        <v>27</v>
      </c>
      <c r="I2277" t="s">
        <v>19</v>
      </c>
      <c r="J2277">
        <v>1986</v>
      </c>
      <c r="K2277">
        <v>1986</v>
      </c>
      <c r="L2277" t="s">
        <v>20</v>
      </c>
      <c r="M2277">
        <v>15447</v>
      </c>
      <c r="N2277">
        <v>2526</v>
      </c>
    </row>
    <row r="2278" spans="1:14" x14ac:dyDescent="0.35">
      <c r="A2278" t="s">
        <v>2374</v>
      </c>
      <c r="B2278" t="s">
        <v>15</v>
      </c>
      <c r="C2278" t="s">
        <v>16</v>
      </c>
      <c r="D2278">
        <v>197</v>
      </c>
      <c r="E2278" t="s">
        <v>2372</v>
      </c>
      <c r="F2278">
        <v>5419</v>
      </c>
      <c r="G2278" t="s">
        <v>18</v>
      </c>
      <c r="H2278">
        <v>27</v>
      </c>
      <c r="I2278" t="s">
        <v>19</v>
      </c>
      <c r="J2278">
        <v>1987</v>
      </c>
      <c r="K2278">
        <v>1987</v>
      </c>
      <c r="L2278" t="s">
        <v>20</v>
      </c>
      <c r="M2278">
        <v>13030</v>
      </c>
      <c r="N2278">
        <v>2526</v>
      </c>
    </row>
    <row r="2279" spans="1:14" x14ac:dyDescent="0.35">
      <c r="A2279" t="s">
        <v>2375</v>
      </c>
      <c r="B2279" t="s">
        <v>15</v>
      </c>
      <c r="C2279" t="s">
        <v>16</v>
      </c>
      <c r="D2279">
        <v>197</v>
      </c>
      <c r="E2279" t="s">
        <v>2372</v>
      </c>
      <c r="F2279">
        <v>5419</v>
      </c>
      <c r="G2279" t="s">
        <v>18</v>
      </c>
      <c r="H2279">
        <v>27</v>
      </c>
      <c r="I2279" t="s">
        <v>19</v>
      </c>
      <c r="J2279">
        <v>1989</v>
      </c>
      <c r="K2279">
        <v>1989</v>
      </c>
      <c r="L2279" t="s">
        <v>20</v>
      </c>
      <c r="M2279">
        <v>12842</v>
      </c>
      <c r="N2279">
        <v>2526</v>
      </c>
    </row>
    <row r="2280" spans="1:14" x14ac:dyDescent="0.35">
      <c r="A2280" t="s">
        <v>2376</v>
      </c>
      <c r="B2280" t="s">
        <v>15</v>
      </c>
      <c r="C2280" t="s">
        <v>16</v>
      </c>
      <c r="D2280">
        <v>197</v>
      </c>
      <c r="E2280" t="s">
        <v>2372</v>
      </c>
      <c r="F2280">
        <v>5419</v>
      </c>
      <c r="G2280" t="s">
        <v>18</v>
      </c>
      <c r="H2280">
        <v>27</v>
      </c>
      <c r="I2280" t="s">
        <v>19</v>
      </c>
      <c r="J2280">
        <v>1990</v>
      </c>
      <c r="K2280">
        <v>1990</v>
      </c>
      <c r="L2280" t="s">
        <v>20</v>
      </c>
      <c r="M2280">
        <v>12830</v>
      </c>
      <c r="N2280">
        <v>2526</v>
      </c>
    </row>
    <row r="2281" spans="1:14" x14ac:dyDescent="0.35">
      <c r="A2281" t="s">
        <v>2377</v>
      </c>
      <c r="B2281" t="s">
        <v>15</v>
      </c>
      <c r="C2281" t="s">
        <v>16</v>
      </c>
      <c r="D2281">
        <v>197</v>
      </c>
      <c r="E2281" t="s">
        <v>2372</v>
      </c>
      <c r="F2281">
        <v>5419</v>
      </c>
      <c r="G2281" t="s">
        <v>18</v>
      </c>
      <c r="H2281">
        <v>27</v>
      </c>
      <c r="I2281" t="s">
        <v>19</v>
      </c>
      <c r="J2281">
        <v>1991</v>
      </c>
      <c r="K2281">
        <v>1991</v>
      </c>
      <c r="L2281" t="s">
        <v>20</v>
      </c>
      <c r="M2281">
        <v>13505</v>
      </c>
      <c r="N2281">
        <v>2526</v>
      </c>
    </row>
    <row r="2282" spans="1:14" x14ac:dyDescent="0.35">
      <c r="A2282" t="s">
        <v>2378</v>
      </c>
      <c r="B2282" t="s">
        <v>15</v>
      </c>
      <c r="C2282" t="s">
        <v>16</v>
      </c>
      <c r="D2282">
        <v>197</v>
      </c>
      <c r="E2282" t="s">
        <v>2372</v>
      </c>
      <c r="F2282">
        <v>5419</v>
      </c>
      <c r="G2282" t="s">
        <v>18</v>
      </c>
      <c r="H2282">
        <v>27</v>
      </c>
      <c r="I2282" t="s">
        <v>19</v>
      </c>
      <c r="J2282">
        <v>1992</v>
      </c>
      <c r="K2282">
        <v>1992</v>
      </c>
      <c r="L2282" t="s">
        <v>20</v>
      </c>
      <c r="M2282">
        <v>13505</v>
      </c>
      <c r="N2282">
        <v>2526</v>
      </c>
    </row>
    <row r="2283" spans="1:14" x14ac:dyDescent="0.35">
      <c r="A2283" t="s">
        <v>2379</v>
      </c>
      <c r="B2283" t="s">
        <v>15</v>
      </c>
      <c r="C2283" t="s">
        <v>16</v>
      </c>
      <c r="D2283">
        <v>197</v>
      </c>
      <c r="E2283" t="s">
        <v>2372</v>
      </c>
      <c r="F2283">
        <v>5419</v>
      </c>
      <c r="G2283" t="s">
        <v>18</v>
      </c>
      <c r="H2283">
        <v>27</v>
      </c>
      <c r="I2283" t="s">
        <v>19</v>
      </c>
      <c r="J2283">
        <v>1993</v>
      </c>
      <c r="K2283">
        <v>1993</v>
      </c>
      <c r="L2283" t="s">
        <v>20</v>
      </c>
      <c r="M2283">
        <v>12730</v>
      </c>
      <c r="N2283">
        <v>2526</v>
      </c>
    </row>
    <row r="2284" spans="1:14" x14ac:dyDescent="0.35">
      <c r="A2284" t="s">
        <v>2380</v>
      </c>
      <c r="B2284" t="s">
        <v>15</v>
      </c>
      <c r="C2284" t="s">
        <v>16</v>
      </c>
      <c r="D2284">
        <v>197</v>
      </c>
      <c r="E2284" t="s">
        <v>2372</v>
      </c>
      <c r="F2284">
        <v>5419</v>
      </c>
      <c r="G2284" t="s">
        <v>18</v>
      </c>
      <c r="H2284">
        <v>27</v>
      </c>
      <c r="I2284" t="s">
        <v>19</v>
      </c>
      <c r="J2284">
        <v>1994</v>
      </c>
      <c r="K2284">
        <v>1994</v>
      </c>
      <c r="L2284" t="s">
        <v>20</v>
      </c>
      <c r="M2284">
        <v>12342</v>
      </c>
      <c r="N2284">
        <v>2526</v>
      </c>
    </row>
    <row r="2285" spans="1:14" x14ac:dyDescent="0.35">
      <c r="A2285" t="s">
        <v>2381</v>
      </c>
      <c r="B2285" t="s">
        <v>15</v>
      </c>
      <c r="C2285" t="s">
        <v>16</v>
      </c>
      <c r="D2285">
        <v>197</v>
      </c>
      <c r="E2285" t="s">
        <v>2372</v>
      </c>
      <c r="F2285">
        <v>5419</v>
      </c>
      <c r="G2285" t="s">
        <v>18</v>
      </c>
      <c r="H2285">
        <v>27</v>
      </c>
      <c r="I2285" t="s">
        <v>19</v>
      </c>
      <c r="J2285">
        <v>1995</v>
      </c>
      <c r="K2285">
        <v>1995</v>
      </c>
      <c r="L2285" t="s">
        <v>20</v>
      </c>
      <c r="M2285">
        <v>12951</v>
      </c>
      <c r="N2285">
        <v>2526</v>
      </c>
    </row>
    <row r="2286" spans="1:14" x14ac:dyDescent="0.35">
      <c r="A2286" t="s">
        <v>2382</v>
      </c>
      <c r="B2286" t="s">
        <v>15</v>
      </c>
      <c r="C2286" t="s">
        <v>16</v>
      </c>
      <c r="D2286">
        <v>197</v>
      </c>
      <c r="E2286" t="s">
        <v>2372</v>
      </c>
      <c r="F2286">
        <v>5419</v>
      </c>
      <c r="G2286" t="s">
        <v>18</v>
      </c>
      <c r="H2286">
        <v>27</v>
      </c>
      <c r="I2286" t="s">
        <v>19</v>
      </c>
      <c r="J2286">
        <v>1996</v>
      </c>
      <c r="K2286">
        <v>1996</v>
      </c>
      <c r="L2286" t="s">
        <v>20</v>
      </c>
      <c r="M2286">
        <v>13544</v>
      </c>
      <c r="N2286">
        <v>2526</v>
      </c>
    </row>
    <row r="2287" spans="1:14" x14ac:dyDescent="0.35">
      <c r="A2287" t="s">
        <v>2383</v>
      </c>
      <c r="B2287" t="s">
        <v>15</v>
      </c>
      <c r="C2287" t="s">
        <v>16</v>
      </c>
      <c r="D2287">
        <v>197</v>
      </c>
      <c r="E2287" t="s">
        <v>2372</v>
      </c>
      <c r="F2287">
        <v>5419</v>
      </c>
      <c r="G2287" t="s">
        <v>18</v>
      </c>
      <c r="H2287">
        <v>27</v>
      </c>
      <c r="I2287" t="s">
        <v>19</v>
      </c>
      <c r="J2287">
        <v>1997</v>
      </c>
      <c r="K2287">
        <v>1997</v>
      </c>
      <c r="L2287" t="s">
        <v>20</v>
      </c>
      <c r="M2287">
        <v>12999</v>
      </c>
      <c r="N2287">
        <v>2526</v>
      </c>
    </row>
    <row r="2288" spans="1:14" x14ac:dyDescent="0.35">
      <c r="A2288" t="s">
        <v>2384</v>
      </c>
      <c r="B2288" t="s">
        <v>15</v>
      </c>
      <c r="C2288" t="s">
        <v>16</v>
      </c>
      <c r="D2288">
        <v>197</v>
      </c>
      <c r="E2288" t="s">
        <v>2372</v>
      </c>
      <c r="F2288">
        <v>5419</v>
      </c>
      <c r="G2288" t="s">
        <v>18</v>
      </c>
      <c r="H2288">
        <v>27</v>
      </c>
      <c r="I2288" t="s">
        <v>19</v>
      </c>
      <c r="J2288">
        <v>1998</v>
      </c>
      <c r="K2288">
        <v>1998</v>
      </c>
      <c r="L2288" t="s">
        <v>20</v>
      </c>
      <c r="M2288">
        <v>11529</v>
      </c>
      <c r="N2288">
        <v>2526</v>
      </c>
    </row>
    <row r="2289" spans="1:14" x14ac:dyDescent="0.35">
      <c r="A2289" t="s">
        <v>2385</v>
      </c>
      <c r="B2289" t="s">
        <v>15</v>
      </c>
      <c r="C2289" t="s">
        <v>16</v>
      </c>
      <c r="D2289">
        <v>197</v>
      </c>
      <c r="E2289" t="s">
        <v>2372</v>
      </c>
      <c r="F2289">
        <v>5419</v>
      </c>
      <c r="G2289" t="s">
        <v>18</v>
      </c>
      <c r="H2289">
        <v>27</v>
      </c>
      <c r="I2289" t="s">
        <v>19</v>
      </c>
      <c r="J2289">
        <v>1999</v>
      </c>
      <c r="K2289">
        <v>1999</v>
      </c>
      <c r="L2289" t="s">
        <v>20</v>
      </c>
      <c r="M2289">
        <v>11604</v>
      </c>
      <c r="N2289">
        <v>2526</v>
      </c>
    </row>
    <row r="2290" spans="1:14" x14ac:dyDescent="0.35">
      <c r="A2290" t="s">
        <v>2386</v>
      </c>
      <c r="B2290" t="s">
        <v>15</v>
      </c>
      <c r="C2290" t="s">
        <v>16</v>
      </c>
      <c r="D2290">
        <v>197</v>
      </c>
      <c r="E2290" t="s">
        <v>2372</v>
      </c>
      <c r="F2290">
        <v>5419</v>
      </c>
      <c r="G2290" t="s">
        <v>18</v>
      </c>
      <c r="H2290">
        <v>27</v>
      </c>
      <c r="I2290" t="s">
        <v>19</v>
      </c>
      <c r="J2290">
        <v>2000</v>
      </c>
      <c r="K2290">
        <v>2000</v>
      </c>
      <c r="L2290" t="s">
        <v>20</v>
      </c>
      <c r="M2290">
        <v>10869</v>
      </c>
      <c r="N2290">
        <v>2526</v>
      </c>
    </row>
    <row r="2291" spans="1:14" x14ac:dyDescent="0.35">
      <c r="A2291" t="s">
        <v>2387</v>
      </c>
      <c r="B2291" t="s">
        <v>15</v>
      </c>
      <c r="C2291" t="s">
        <v>16</v>
      </c>
      <c r="D2291">
        <v>197</v>
      </c>
      <c r="E2291" t="s">
        <v>2372</v>
      </c>
      <c r="F2291">
        <v>5419</v>
      </c>
      <c r="G2291" t="s">
        <v>18</v>
      </c>
      <c r="H2291">
        <v>27</v>
      </c>
      <c r="I2291" t="s">
        <v>19</v>
      </c>
      <c r="J2291">
        <v>2001</v>
      </c>
      <c r="K2291">
        <v>2001</v>
      </c>
      <c r="L2291" t="s">
        <v>20</v>
      </c>
      <c r="M2291">
        <v>10000</v>
      </c>
      <c r="N2291">
        <v>2526</v>
      </c>
    </row>
    <row r="2292" spans="1:14" x14ac:dyDescent="0.35">
      <c r="A2292" t="s">
        <v>2388</v>
      </c>
      <c r="B2292" t="s">
        <v>15</v>
      </c>
      <c r="C2292" t="s">
        <v>16</v>
      </c>
      <c r="D2292">
        <v>197</v>
      </c>
      <c r="E2292" t="s">
        <v>2372</v>
      </c>
      <c r="F2292">
        <v>5419</v>
      </c>
      <c r="G2292" t="s">
        <v>18</v>
      </c>
      <c r="H2292">
        <v>27</v>
      </c>
      <c r="I2292" t="s">
        <v>19</v>
      </c>
      <c r="J2292">
        <v>2002</v>
      </c>
      <c r="K2292">
        <v>2002</v>
      </c>
      <c r="L2292" t="s">
        <v>20</v>
      </c>
      <c r="M2292">
        <v>10049</v>
      </c>
      <c r="N2292">
        <v>2526</v>
      </c>
    </row>
    <row r="2293" spans="1:14" x14ac:dyDescent="0.35">
      <c r="A2293" t="s">
        <v>2389</v>
      </c>
      <c r="B2293" t="s">
        <v>15</v>
      </c>
      <c r="C2293" t="s">
        <v>16</v>
      </c>
      <c r="D2293">
        <v>197</v>
      </c>
      <c r="E2293" t="s">
        <v>2372</v>
      </c>
      <c r="F2293">
        <v>5419</v>
      </c>
      <c r="G2293" t="s">
        <v>18</v>
      </c>
      <c r="H2293">
        <v>27</v>
      </c>
      <c r="I2293" t="s">
        <v>19</v>
      </c>
      <c r="J2293">
        <v>2004</v>
      </c>
      <c r="K2293">
        <v>2004</v>
      </c>
      <c r="L2293" t="s">
        <v>20</v>
      </c>
      <c r="M2293">
        <v>10037</v>
      </c>
      <c r="N2293">
        <v>2526</v>
      </c>
    </row>
    <row r="2294" spans="1:14" x14ac:dyDescent="0.35">
      <c r="A2294" t="s">
        <v>2390</v>
      </c>
      <c r="B2294" t="s">
        <v>15</v>
      </c>
      <c r="C2294" t="s">
        <v>16</v>
      </c>
      <c r="D2294">
        <v>197</v>
      </c>
      <c r="E2294" t="s">
        <v>2372</v>
      </c>
      <c r="F2294">
        <v>5419</v>
      </c>
      <c r="G2294" t="s">
        <v>18</v>
      </c>
      <c r="H2294">
        <v>27</v>
      </c>
      <c r="I2294" t="s">
        <v>19</v>
      </c>
      <c r="J2294">
        <v>2005</v>
      </c>
      <c r="K2294">
        <v>2005</v>
      </c>
      <c r="L2294" t="s">
        <v>20</v>
      </c>
      <c r="M2294">
        <v>11354</v>
      </c>
      <c r="N2294">
        <v>2526</v>
      </c>
    </row>
    <row r="2295" spans="1:14" x14ac:dyDescent="0.35">
      <c r="A2295" t="s">
        <v>2391</v>
      </c>
      <c r="B2295" t="s">
        <v>15</v>
      </c>
      <c r="C2295" t="s">
        <v>16</v>
      </c>
      <c r="D2295">
        <v>197</v>
      </c>
      <c r="E2295" t="s">
        <v>2372</v>
      </c>
      <c r="F2295">
        <v>5419</v>
      </c>
      <c r="G2295" t="s">
        <v>18</v>
      </c>
      <c r="H2295">
        <v>27</v>
      </c>
      <c r="I2295" t="s">
        <v>19</v>
      </c>
      <c r="J2295">
        <v>2006</v>
      </c>
      <c r="K2295">
        <v>2006</v>
      </c>
      <c r="L2295" t="s">
        <v>20</v>
      </c>
      <c r="M2295">
        <v>14317</v>
      </c>
      <c r="N2295">
        <v>2526</v>
      </c>
    </row>
    <row r="2296" spans="1:14" x14ac:dyDescent="0.35">
      <c r="A2296" t="s">
        <v>2392</v>
      </c>
      <c r="B2296" t="s">
        <v>15</v>
      </c>
      <c r="C2296" t="s">
        <v>16</v>
      </c>
      <c r="D2296">
        <v>197</v>
      </c>
      <c r="E2296" t="s">
        <v>2372</v>
      </c>
      <c r="F2296">
        <v>5419</v>
      </c>
      <c r="G2296" t="s">
        <v>18</v>
      </c>
      <c r="H2296">
        <v>27</v>
      </c>
      <c r="I2296" t="s">
        <v>19</v>
      </c>
      <c r="J2296">
        <v>2007</v>
      </c>
      <c r="K2296">
        <v>2007</v>
      </c>
      <c r="L2296" t="s">
        <v>20</v>
      </c>
      <c r="M2296">
        <v>13600</v>
      </c>
      <c r="N2296">
        <v>2526</v>
      </c>
    </row>
    <row r="2297" spans="1:14" x14ac:dyDescent="0.35">
      <c r="A2297" t="s">
        <v>2393</v>
      </c>
      <c r="B2297" t="s">
        <v>15</v>
      </c>
      <c r="C2297" t="s">
        <v>16</v>
      </c>
      <c r="D2297">
        <v>197</v>
      </c>
      <c r="E2297" t="s">
        <v>2372</v>
      </c>
      <c r="F2297">
        <v>5419</v>
      </c>
      <c r="G2297" t="s">
        <v>18</v>
      </c>
      <c r="H2297">
        <v>27</v>
      </c>
      <c r="I2297" t="s">
        <v>19</v>
      </c>
      <c r="J2297">
        <v>2008</v>
      </c>
      <c r="K2297">
        <v>2008</v>
      </c>
      <c r="L2297" t="s">
        <v>20</v>
      </c>
      <c r="M2297">
        <v>14300</v>
      </c>
      <c r="N2297">
        <v>2526</v>
      </c>
    </row>
    <row r="2298" spans="1:14" x14ac:dyDescent="0.35">
      <c r="A2298" t="s">
        <v>2394</v>
      </c>
      <c r="B2298" t="s">
        <v>15</v>
      </c>
      <c r="C2298" t="s">
        <v>16</v>
      </c>
      <c r="D2298">
        <v>197</v>
      </c>
      <c r="E2298" t="s">
        <v>2372</v>
      </c>
      <c r="F2298">
        <v>5419</v>
      </c>
      <c r="G2298" t="s">
        <v>18</v>
      </c>
      <c r="H2298">
        <v>27</v>
      </c>
      <c r="I2298" t="s">
        <v>19</v>
      </c>
      <c r="J2298">
        <v>2009</v>
      </c>
      <c r="K2298">
        <v>2009</v>
      </c>
      <c r="L2298" t="s">
        <v>20</v>
      </c>
      <c r="M2298">
        <v>17800</v>
      </c>
      <c r="N2298">
        <v>2526</v>
      </c>
    </row>
    <row r="2299" spans="1:14" x14ac:dyDescent="0.35">
      <c r="A2299" t="s">
        <v>2395</v>
      </c>
      <c r="B2299" t="s">
        <v>15</v>
      </c>
      <c r="C2299" t="s">
        <v>16</v>
      </c>
      <c r="D2299">
        <v>197</v>
      </c>
      <c r="E2299" t="s">
        <v>2372</v>
      </c>
      <c r="F2299">
        <v>5419</v>
      </c>
      <c r="G2299" t="s">
        <v>18</v>
      </c>
      <c r="H2299">
        <v>27</v>
      </c>
      <c r="I2299" t="s">
        <v>19</v>
      </c>
      <c r="J2299">
        <v>2010</v>
      </c>
      <c r="K2299">
        <v>2010</v>
      </c>
      <c r="L2299" t="s">
        <v>20</v>
      </c>
      <c r="M2299">
        <v>18700</v>
      </c>
      <c r="N2299">
        <v>2526</v>
      </c>
    </row>
    <row r="2300" spans="1:14" x14ac:dyDescent="0.35">
      <c r="A2300" t="s">
        <v>2396</v>
      </c>
      <c r="B2300" t="s">
        <v>15</v>
      </c>
      <c r="C2300" t="s">
        <v>16</v>
      </c>
      <c r="D2300">
        <v>197</v>
      </c>
      <c r="E2300" t="s">
        <v>2372</v>
      </c>
      <c r="F2300">
        <v>5419</v>
      </c>
      <c r="G2300" t="s">
        <v>18</v>
      </c>
      <c r="H2300">
        <v>27</v>
      </c>
      <c r="I2300" t="s">
        <v>19</v>
      </c>
      <c r="J2300">
        <v>2011</v>
      </c>
      <c r="K2300">
        <v>2011</v>
      </c>
      <c r="L2300" t="s">
        <v>20</v>
      </c>
      <c r="M2300">
        <v>18700</v>
      </c>
      <c r="N2300">
        <v>2526</v>
      </c>
    </row>
    <row r="2301" spans="1:14" x14ac:dyDescent="0.35">
      <c r="A2301" t="s">
        <v>2397</v>
      </c>
      <c r="B2301" t="s">
        <v>15</v>
      </c>
      <c r="C2301" t="s">
        <v>16</v>
      </c>
      <c r="D2301">
        <v>197</v>
      </c>
      <c r="E2301" t="s">
        <v>2372</v>
      </c>
      <c r="F2301">
        <v>5419</v>
      </c>
      <c r="G2301" t="s">
        <v>18</v>
      </c>
      <c r="H2301">
        <v>27</v>
      </c>
      <c r="I2301" t="s">
        <v>19</v>
      </c>
      <c r="J2301">
        <v>2012</v>
      </c>
      <c r="K2301">
        <v>2012</v>
      </c>
      <c r="L2301" t="s">
        <v>20</v>
      </c>
      <c r="M2301">
        <v>15900</v>
      </c>
      <c r="N2301">
        <v>2526</v>
      </c>
    </row>
    <row r="2302" spans="1:14" x14ac:dyDescent="0.35">
      <c r="A2302" t="s">
        <v>2398</v>
      </c>
      <c r="B2302" t="s">
        <v>15</v>
      </c>
      <c r="C2302" t="s">
        <v>16</v>
      </c>
      <c r="D2302">
        <v>197</v>
      </c>
      <c r="E2302" t="s">
        <v>2372</v>
      </c>
      <c r="F2302">
        <v>5419</v>
      </c>
      <c r="G2302" t="s">
        <v>18</v>
      </c>
      <c r="H2302">
        <v>27</v>
      </c>
      <c r="I2302" t="s">
        <v>19</v>
      </c>
      <c r="J2302">
        <v>2013</v>
      </c>
      <c r="K2302">
        <v>2013</v>
      </c>
      <c r="L2302" t="s">
        <v>20</v>
      </c>
      <c r="M2302">
        <v>18700</v>
      </c>
      <c r="N2302">
        <v>2526</v>
      </c>
    </row>
    <row r="2303" spans="1:14" x14ac:dyDescent="0.35">
      <c r="A2303" t="s">
        <v>2399</v>
      </c>
      <c r="B2303" t="s">
        <v>15</v>
      </c>
      <c r="C2303" t="s">
        <v>16</v>
      </c>
      <c r="D2303">
        <v>197</v>
      </c>
      <c r="E2303" t="s">
        <v>2372</v>
      </c>
      <c r="F2303">
        <v>5419</v>
      </c>
      <c r="G2303" t="s">
        <v>18</v>
      </c>
      <c r="H2303">
        <v>27</v>
      </c>
      <c r="I2303" t="s">
        <v>19</v>
      </c>
      <c r="J2303">
        <v>2014</v>
      </c>
      <c r="K2303">
        <v>2014</v>
      </c>
      <c r="L2303" t="s">
        <v>20</v>
      </c>
      <c r="M2303">
        <v>19524</v>
      </c>
      <c r="N2303">
        <v>2526</v>
      </c>
    </row>
    <row r="2304" spans="1:14" x14ac:dyDescent="0.35">
      <c r="A2304" t="s">
        <v>2400</v>
      </c>
      <c r="B2304" t="s">
        <v>15</v>
      </c>
      <c r="C2304" t="s">
        <v>16</v>
      </c>
      <c r="D2304">
        <v>197</v>
      </c>
      <c r="E2304" t="s">
        <v>2372</v>
      </c>
      <c r="F2304">
        <v>5419</v>
      </c>
      <c r="G2304" t="s">
        <v>18</v>
      </c>
      <c r="H2304">
        <v>27</v>
      </c>
      <c r="I2304" t="s">
        <v>19</v>
      </c>
      <c r="J2304">
        <v>2015</v>
      </c>
      <c r="K2304">
        <v>2015</v>
      </c>
      <c r="L2304" t="s">
        <v>20</v>
      </c>
      <c r="M2304">
        <v>19910</v>
      </c>
      <c r="N2304">
        <v>2526</v>
      </c>
    </row>
    <row r="2305" spans="1:14" x14ac:dyDescent="0.35">
      <c r="A2305" t="s">
        <v>2401</v>
      </c>
      <c r="B2305" t="s">
        <v>15</v>
      </c>
      <c r="C2305" t="s">
        <v>16</v>
      </c>
      <c r="D2305">
        <v>197</v>
      </c>
      <c r="E2305" t="s">
        <v>2372</v>
      </c>
      <c r="F2305">
        <v>5419</v>
      </c>
      <c r="G2305" t="s">
        <v>18</v>
      </c>
      <c r="H2305">
        <v>27</v>
      </c>
      <c r="I2305" t="s">
        <v>19</v>
      </c>
      <c r="J2305">
        <v>2016</v>
      </c>
      <c r="K2305">
        <v>2016</v>
      </c>
      <c r="L2305" t="s">
        <v>20</v>
      </c>
      <c r="M2305">
        <v>20691</v>
      </c>
      <c r="N2305">
        <v>2526</v>
      </c>
    </row>
    <row r="2306" spans="1:14" x14ac:dyDescent="0.35">
      <c r="A2306" t="s">
        <v>2402</v>
      </c>
      <c r="B2306" t="s">
        <v>15</v>
      </c>
      <c r="C2306" t="s">
        <v>16</v>
      </c>
      <c r="D2306">
        <v>25</v>
      </c>
      <c r="E2306" t="s">
        <v>2403</v>
      </c>
      <c r="F2306">
        <v>5419</v>
      </c>
      <c r="G2306" t="s">
        <v>18</v>
      </c>
      <c r="H2306">
        <v>27</v>
      </c>
      <c r="I2306" t="s">
        <v>19</v>
      </c>
      <c r="J2306">
        <v>1985</v>
      </c>
      <c r="K2306">
        <v>1985</v>
      </c>
      <c r="L2306" t="s">
        <v>20</v>
      </c>
      <c r="M2306">
        <v>27438</v>
      </c>
      <c r="N2306">
        <v>3028</v>
      </c>
    </row>
    <row r="2307" spans="1:14" x14ac:dyDescent="0.35">
      <c r="A2307" t="s">
        <v>2404</v>
      </c>
      <c r="B2307" t="s">
        <v>15</v>
      </c>
      <c r="C2307" t="s">
        <v>16</v>
      </c>
      <c r="D2307">
        <v>25</v>
      </c>
      <c r="E2307" t="s">
        <v>2403</v>
      </c>
      <c r="F2307">
        <v>5419</v>
      </c>
      <c r="G2307" t="s">
        <v>18</v>
      </c>
      <c r="H2307">
        <v>27</v>
      </c>
      <c r="I2307" t="s">
        <v>19</v>
      </c>
      <c r="J2307">
        <v>1986</v>
      </c>
      <c r="K2307">
        <v>1986</v>
      </c>
      <c r="L2307" t="s">
        <v>20</v>
      </c>
      <c r="M2307">
        <v>27601</v>
      </c>
      <c r="N2307">
        <v>3028</v>
      </c>
    </row>
    <row r="2308" spans="1:14" x14ac:dyDescent="0.35">
      <c r="A2308" t="s">
        <v>2405</v>
      </c>
      <c r="B2308" t="s">
        <v>15</v>
      </c>
      <c r="C2308" t="s">
        <v>16</v>
      </c>
      <c r="D2308">
        <v>25</v>
      </c>
      <c r="E2308" t="s">
        <v>2403</v>
      </c>
      <c r="F2308">
        <v>5419</v>
      </c>
      <c r="G2308" t="s">
        <v>18</v>
      </c>
      <c r="H2308">
        <v>27</v>
      </c>
      <c r="I2308" t="s">
        <v>19</v>
      </c>
      <c r="J2308">
        <v>1990</v>
      </c>
      <c r="K2308">
        <v>1990</v>
      </c>
      <c r="L2308" t="s">
        <v>20</v>
      </c>
      <c r="M2308">
        <v>35714</v>
      </c>
      <c r="N2308">
        <v>3028</v>
      </c>
    </row>
    <row r="2309" spans="1:14" x14ac:dyDescent="0.35">
      <c r="A2309" t="s">
        <v>2406</v>
      </c>
      <c r="B2309" t="s">
        <v>15</v>
      </c>
      <c r="C2309" t="s">
        <v>16</v>
      </c>
      <c r="D2309">
        <v>25</v>
      </c>
      <c r="E2309" t="s">
        <v>2403</v>
      </c>
      <c r="F2309">
        <v>5419</v>
      </c>
      <c r="G2309" t="s">
        <v>18</v>
      </c>
      <c r="H2309">
        <v>27</v>
      </c>
      <c r="I2309" t="s">
        <v>19</v>
      </c>
      <c r="J2309">
        <v>1991</v>
      </c>
      <c r="K2309">
        <v>1991</v>
      </c>
      <c r="L2309" t="s">
        <v>20</v>
      </c>
      <c r="M2309">
        <v>48513</v>
      </c>
      <c r="N2309">
        <v>3028</v>
      </c>
    </row>
    <row r="2310" spans="1:14" x14ac:dyDescent="0.35">
      <c r="A2310" t="s">
        <v>2407</v>
      </c>
      <c r="B2310" t="s">
        <v>15</v>
      </c>
      <c r="C2310" t="s">
        <v>16</v>
      </c>
      <c r="D2310">
        <v>25</v>
      </c>
      <c r="E2310" t="s">
        <v>2403</v>
      </c>
      <c r="F2310">
        <v>5419</v>
      </c>
      <c r="G2310" t="s">
        <v>18</v>
      </c>
      <c r="H2310">
        <v>27</v>
      </c>
      <c r="I2310" t="s">
        <v>19</v>
      </c>
      <c r="J2310">
        <v>1992</v>
      </c>
      <c r="K2310">
        <v>1992</v>
      </c>
      <c r="L2310" t="s">
        <v>20</v>
      </c>
      <c r="M2310">
        <v>47543</v>
      </c>
      <c r="N2310">
        <v>3028</v>
      </c>
    </row>
    <row r="2311" spans="1:14" x14ac:dyDescent="0.35">
      <c r="A2311" t="s">
        <v>2408</v>
      </c>
      <c r="B2311" t="s">
        <v>15</v>
      </c>
      <c r="C2311" t="s">
        <v>16</v>
      </c>
      <c r="D2311">
        <v>25</v>
      </c>
      <c r="E2311" t="s">
        <v>2403</v>
      </c>
      <c r="F2311">
        <v>5419</v>
      </c>
      <c r="G2311" t="s">
        <v>18</v>
      </c>
      <c r="H2311">
        <v>27</v>
      </c>
      <c r="I2311" t="s">
        <v>19</v>
      </c>
      <c r="J2311">
        <v>1993</v>
      </c>
      <c r="K2311">
        <v>1993</v>
      </c>
      <c r="L2311" t="s">
        <v>20</v>
      </c>
      <c r="M2311">
        <v>46572</v>
      </c>
      <c r="N2311">
        <v>3028</v>
      </c>
    </row>
    <row r="2312" spans="1:14" x14ac:dyDescent="0.35">
      <c r="A2312" t="s">
        <v>2409</v>
      </c>
      <c r="B2312" t="s">
        <v>15</v>
      </c>
      <c r="C2312" t="s">
        <v>16</v>
      </c>
      <c r="D2312">
        <v>25</v>
      </c>
      <c r="E2312" t="s">
        <v>2403</v>
      </c>
      <c r="F2312">
        <v>5419</v>
      </c>
      <c r="G2312" t="s">
        <v>18</v>
      </c>
      <c r="H2312">
        <v>27</v>
      </c>
      <c r="I2312" t="s">
        <v>19</v>
      </c>
      <c r="J2312">
        <v>1994</v>
      </c>
      <c r="K2312">
        <v>1994</v>
      </c>
      <c r="L2312" t="s">
        <v>20</v>
      </c>
      <c r="M2312">
        <v>45602</v>
      </c>
      <c r="N2312">
        <v>3028</v>
      </c>
    </row>
    <row r="2313" spans="1:14" x14ac:dyDescent="0.35">
      <c r="A2313" t="s">
        <v>2410</v>
      </c>
      <c r="B2313" t="s">
        <v>15</v>
      </c>
      <c r="C2313" t="s">
        <v>16</v>
      </c>
      <c r="D2313">
        <v>25</v>
      </c>
      <c r="E2313" t="s">
        <v>2403</v>
      </c>
      <c r="F2313">
        <v>5419</v>
      </c>
      <c r="G2313" t="s">
        <v>18</v>
      </c>
      <c r="H2313">
        <v>27</v>
      </c>
      <c r="I2313" t="s">
        <v>19</v>
      </c>
      <c r="J2313">
        <v>1995</v>
      </c>
      <c r="K2313">
        <v>1995</v>
      </c>
      <c r="L2313" t="s">
        <v>20</v>
      </c>
      <c r="M2313">
        <v>44631</v>
      </c>
      <c r="N2313">
        <v>3028</v>
      </c>
    </row>
    <row r="2314" spans="1:14" x14ac:dyDescent="0.35">
      <c r="A2314" t="s">
        <v>2411</v>
      </c>
      <c r="B2314" t="s">
        <v>15</v>
      </c>
      <c r="C2314" t="s">
        <v>16</v>
      </c>
      <c r="D2314">
        <v>25</v>
      </c>
      <c r="E2314" t="s">
        <v>2403</v>
      </c>
      <c r="F2314">
        <v>5419</v>
      </c>
      <c r="G2314" t="s">
        <v>18</v>
      </c>
      <c r="H2314">
        <v>27</v>
      </c>
      <c r="I2314" t="s">
        <v>19</v>
      </c>
      <c r="J2314">
        <v>1996</v>
      </c>
      <c r="K2314">
        <v>1996</v>
      </c>
      <c r="L2314" t="s">
        <v>20</v>
      </c>
      <c r="M2314">
        <v>45581</v>
      </c>
      <c r="N2314">
        <v>3028</v>
      </c>
    </row>
    <row r="2315" spans="1:14" x14ac:dyDescent="0.35">
      <c r="A2315" t="s">
        <v>2412</v>
      </c>
      <c r="B2315" t="s">
        <v>15</v>
      </c>
      <c r="C2315" t="s">
        <v>16</v>
      </c>
      <c r="D2315">
        <v>25</v>
      </c>
      <c r="E2315" t="s">
        <v>2403</v>
      </c>
      <c r="F2315">
        <v>5419</v>
      </c>
      <c r="G2315" t="s">
        <v>18</v>
      </c>
      <c r="H2315">
        <v>27</v>
      </c>
      <c r="I2315" t="s">
        <v>19</v>
      </c>
      <c r="J2315">
        <v>1997</v>
      </c>
      <c r="K2315">
        <v>1997</v>
      </c>
      <c r="L2315" t="s">
        <v>20</v>
      </c>
      <c r="M2315">
        <v>38089</v>
      </c>
      <c r="N2315">
        <v>3028</v>
      </c>
    </row>
    <row r="2316" spans="1:14" x14ac:dyDescent="0.35">
      <c r="A2316" t="s">
        <v>2413</v>
      </c>
      <c r="B2316" t="s">
        <v>15</v>
      </c>
      <c r="C2316" t="s">
        <v>16</v>
      </c>
      <c r="D2316">
        <v>25</v>
      </c>
      <c r="E2316" t="s">
        <v>2403</v>
      </c>
      <c r="F2316">
        <v>5419</v>
      </c>
      <c r="G2316" t="s">
        <v>18</v>
      </c>
      <c r="H2316">
        <v>27</v>
      </c>
      <c r="I2316" t="s">
        <v>19</v>
      </c>
      <c r="J2316">
        <v>1998</v>
      </c>
      <c r="K2316">
        <v>1998</v>
      </c>
      <c r="L2316" t="s">
        <v>20</v>
      </c>
      <c r="M2316">
        <v>39394</v>
      </c>
      <c r="N2316">
        <v>3028</v>
      </c>
    </row>
    <row r="2317" spans="1:14" x14ac:dyDescent="0.35">
      <c r="A2317" t="s">
        <v>2414</v>
      </c>
      <c r="B2317" t="s">
        <v>15</v>
      </c>
      <c r="C2317" t="s">
        <v>16</v>
      </c>
      <c r="D2317">
        <v>25</v>
      </c>
      <c r="E2317" t="s">
        <v>2403</v>
      </c>
      <c r="F2317">
        <v>5419</v>
      </c>
      <c r="G2317" t="s">
        <v>18</v>
      </c>
      <c r="H2317">
        <v>27</v>
      </c>
      <c r="I2317" t="s">
        <v>19</v>
      </c>
      <c r="J2317">
        <v>1999</v>
      </c>
      <c r="K2317">
        <v>1999</v>
      </c>
      <c r="L2317" t="s">
        <v>20</v>
      </c>
      <c r="M2317">
        <v>45000</v>
      </c>
      <c r="N2317">
        <v>3028</v>
      </c>
    </row>
    <row r="2318" spans="1:14" x14ac:dyDescent="0.35">
      <c r="A2318" t="s">
        <v>2415</v>
      </c>
      <c r="B2318" t="s">
        <v>15</v>
      </c>
      <c r="C2318" t="s">
        <v>16</v>
      </c>
      <c r="D2318">
        <v>25</v>
      </c>
      <c r="E2318" t="s">
        <v>2403</v>
      </c>
      <c r="F2318">
        <v>5419</v>
      </c>
      <c r="G2318" t="s">
        <v>18</v>
      </c>
      <c r="H2318">
        <v>27</v>
      </c>
      <c r="I2318" t="s">
        <v>19</v>
      </c>
      <c r="J2318">
        <v>2000</v>
      </c>
      <c r="K2318">
        <v>2000</v>
      </c>
      <c r="L2318" t="s">
        <v>20</v>
      </c>
      <c r="M2318">
        <v>46495</v>
      </c>
      <c r="N2318">
        <v>3028</v>
      </c>
    </row>
    <row r="2319" spans="1:14" x14ac:dyDescent="0.35">
      <c r="A2319" t="s">
        <v>2416</v>
      </c>
      <c r="B2319" t="s">
        <v>15</v>
      </c>
      <c r="C2319" t="s">
        <v>16</v>
      </c>
      <c r="D2319">
        <v>25</v>
      </c>
      <c r="E2319" t="s">
        <v>2403</v>
      </c>
      <c r="F2319">
        <v>5419</v>
      </c>
      <c r="G2319" t="s">
        <v>18</v>
      </c>
      <c r="H2319">
        <v>27</v>
      </c>
      <c r="I2319" t="s">
        <v>19</v>
      </c>
      <c r="J2319">
        <v>2001</v>
      </c>
      <c r="K2319">
        <v>2001</v>
      </c>
      <c r="L2319" t="s">
        <v>20</v>
      </c>
      <c r="M2319">
        <v>46496</v>
      </c>
      <c r="N2319">
        <v>3028</v>
      </c>
    </row>
    <row r="2320" spans="1:14" x14ac:dyDescent="0.35">
      <c r="A2320" t="s">
        <v>2417</v>
      </c>
      <c r="B2320" t="s">
        <v>15</v>
      </c>
      <c r="C2320" t="s">
        <v>16</v>
      </c>
      <c r="D2320">
        <v>25</v>
      </c>
      <c r="E2320" t="s">
        <v>2403</v>
      </c>
      <c r="F2320">
        <v>5419</v>
      </c>
      <c r="G2320" t="s">
        <v>18</v>
      </c>
      <c r="H2320">
        <v>27</v>
      </c>
      <c r="I2320" t="s">
        <v>19</v>
      </c>
      <c r="J2320">
        <v>2002</v>
      </c>
      <c r="K2320">
        <v>2002</v>
      </c>
      <c r="L2320" t="s">
        <v>20</v>
      </c>
      <c r="M2320">
        <v>45984</v>
      </c>
      <c r="N2320">
        <v>3028</v>
      </c>
    </row>
    <row r="2321" spans="1:14" x14ac:dyDescent="0.35">
      <c r="A2321" t="s">
        <v>2418</v>
      </c>
      <c r="B2321" t="s">
        <v>15</v>
      </c>
      <c r="C2321" t="s">
        <v>16</v>
      </c>
      <c r="D2321">
        <v>25</v>
      </c>
      <c r="E2321" t="s">
        <v>2403</v>
      </c>
      <c r="F2321">
        <v>5419</v>
      </c>
      <c r="G2321" t="s">
        <v>18</v>
      </c>
      <c r="H2321">
        <v>27</v>
      </c>
      <c r="I2321" t="s">
        <v>19</v>
      </c>
      <c r="J2321">
        <v>2004</v>
      </c>
      <c r="K2321">
        <v>2004</v>
      </c>
      <c r="L2321" t="s">
        <v>20</v>
      </c>
      <c r="M2321">
        <v>31250</v>
      </c>
      <c r="N2321">
        <v>3028</v>
      </c>
    </row>
    <row r="2322" spans="1:14" x14ac:dyDescent="0.35">
      <c r="A2322" t="s">
        <v>2419</v>
      </c>
      <c r="B2322" t="s">
        <v>15</v>
      </c>
      <c r="C2322" t="s">
        <v>16</v>
      </c>
      <c r="D2322">
        <v>25</v>
      </c>
      <c r="E2322" t="s">
        <v>2403</v>
      </c>
      <c r="F2322">
        <v>5419</v>
      </c>
      <c r="G2322" t="s">
        <v>18</v>
      </c>
      <c r="H2322">
        <v>27</v>
      </c>
      <c r="I2322" t="s">
        <v>19</v>
      </c>
      <c r="J2322">
        <v>2005</v>
      </c>
      <c r="K2322">
        <v>2005</v>
      </c>
      <c r="L2322" t="s">
        <v>20</v>
      </c>
      <c r="M2322">
        <v>30000</v>
      </c>
      <c r="N2322">
        <v>3028</v>
      </c>
    </row>
    <row r="2323" spans="1:14" x14ac:dyDescent="0.35">
      <c r="A2323" t="s">
        <v>2420</v>
      </c>
      <c r="B2323" t="s">
        <v>15</v>
      </c>
      <c r="C2323" t="s">
        <v>16</v>
      </c>
      <c r="D2323">
        <v>25</v>
      </c>
      <c r="E2323" t="s">
        <v>2403</v>
      </c>
      <c r="F2323">
        <v>5419</v>
      </c>
      <c r="G2323" t="s">
        <v>18</v>
      </c>
      <c r="H2323">
        <v>27</v>
      </c>
      <c r="I2323" t="s">
        <v>19</v>
      </c>
      <c r="J2323">
        <v>2006</v>
      </c>
      <c r="K2323">
        <v>2006</v>
      </c>
      <c r="L2323" t="s">
        <v>20</v>
      </c>
      <c r="M2323">
        <v>33505</v>
      </c>
      <c r="N2323">
        <v>3028</v>
      </c>
    </row>
    <row r="2324" spans="1:14" x14ac:dyDescent="0.35">
      <c r="A2324" t="s">
        <v>2421</v>
      </c>
      <c r="B2324" t="s">
        <v>15</v>
      </c>
      <c r="C2324" t="s">
        <v>16</v>
      </c>
      <c r="D2324">
        <v>25</v>
      </c>
      <c r="E2324" t="s">
        <v>2403</v>
      </c>
      <c r="F2324">
        <v>5419</v>
      </c>
      <c r="G2324" t="s">
        <v>18</v>
      </c>
      <c r="H2324">
        <v>27</v>
      </c>
      <c r="I2324" t="s">
        <v>19</v>
      </c>
      <c r="J2324">
        <v>2007</v>
      </c>
      <c r="K2324">
        <v>2007</v>
      </c>
      <c r="L2324" t="s">
        <v>20</v>
      </c>
      <c r="M2324">
        <v>30011</v>
      </c>
      <c r="N2324">
        <v>3028</v>
      </c>
    </row>
    <row r="2325" spans="1:14" x14ac:dyDescent="0.35">
      <c r="A2325" t="s">
        <v>2422</v>
      </c>
      <c r="B2325" t="s">
        <v>15</v>
      </c>
      <c r="C2325" t="s">
        <v>16</v>
      </c>
      <c r="D2325">
        <v>25</v>
      </c>
      <c r="E2325" t="s">
        <v>2403</v>
      </c>
      <c r="F2325">
        <v>5419</v>
      </c>
      <c r="G2325" t="s">
        <v>18</v>
      </c>
      <c r="H2325">
        <v>27</v>
      </c>
      <c r="I2325" t="s">
        <v>19</v>
      </c>
      <c r="J2325">
        <v>2008</v>
      </c>
      <c r="K2325">
        <v>2008</v>
      </c>
      <c r="L2325" t="s">
        <v>20</v>
      </c>
      <c r="M2325">
        <v>25455</v>
      </c>
      <c r="N2325">
        <v>3028</v>
      </c>
    </row>
    <row r="2326" spans="1:14" x14ac:dyDescent="0.35">
      <c r="A2326" t="s">
        <v>2423</v>
      </c>
      <c r="B2326" t="s">
        <v>15</v>
      </c>
      <c r="C2326" t="s">
        <v>16</v>
      </c>
      <c r="D2326">
        <v>25</v>
      </c>
      <c r="E2326" t="s">
        <v>2403</v>
      </c>
      <c r="F2326">
        <v>5419</v>
      </c>
      <c r="G2326" t="s">
        <v>18</v>
      </c>
      <c r="H2326">
        <v>27</v>
      </c>
      <c r="I2326" t="s">
        <v>19</v>
      </c>
      <c r="J2326">
        <v>2009</v>
      </c>
      <c r="K2326">
        <v>2009</v>
      </c>
      <c r="L2326" t="s">
        <v>20</v>
      </c>
      <c r="M2326">
        <v>22727</v>
      </c>
      <c r="N2326">
        <v>3028</v>
      </c>
    </row>
    <row r="2327" spans="1:14" x14ac:dyDescent="0.35">
      <c r="A2327" t="s">
        <v>2424</v>
      </c>
      <c r="B2327" t="s">
        <v>15</v>
      </c>
      <c r="C2327" t="s">
        <v>16</v>
      </c>
      <c r="D2327">
        <v>25</v>
      </c>
      <c r="E2327" t="s">
        <v>2403</v>
      </c>
      <c r="F2327">
        <v>5419</v>
      </c>
      <c r="G2327" t="s">
        <v>18</v>
      </c>
      <c r="H2327">
        <v>27</v>
      </c>
      <c r="I2327" t="s">
        <v>19</v>
      </c>
      <c r="J2327">
        <v>2010</v>
      </c>
      <c r="K2327">
        <v>2010</v>
      </c>
      <c r="L2327" t="s">
        <v>20</v>
      </c>
      <c r="M2327">
        <v>20837</v>
      </c>
      <c r="N2327">
        <v>3028</v>
      </c>
    </row>
    <row r="2328" spans="1:14" x14ac:dyDescent="0.35">
      <c r="A2328" t="s">
        <v>2425</v>
      </c>
      <c r="B2328" t="s">
        <v>15</v>
      </c>
      <c r="C2328" t="s">
        <v>16</v>
      </c>
      <c r="D2328">
        <v>25</v>
      </c>
      <c r="E2328" t="s">
        <v>2403</v>
      </c>
      <c r="F2328">
        <v>5419</v>
      </c>
      <c r="G2328" t="s">
        <v>18</v>
      </c>
      <c r="H2328">
        <v>27</v>
      </c>
      <c r="I2328" t="s">
        <v>19</v>
      </c>
      <c r="J2328">
        <v>2011</v>
      </c>
      <c r="K2328">
        <v>2011</v>
      </c>
      <c r="L2328" t="s">
        <v>20</v>
      </c>
      <c r="M2328">
        <v>22406</v>
      </c>
      <c r="N2328">
        <v>3028</v>
      </c>
    </row>
    <row r="2329" spans="1:14" x14ac:dyDescent="0.35">
      <c r="A2329" t="s">
        <v>2426</v>
      </c>
      <c r="B2329" t="s">
        <v>15</v>
      </c>
      <c r="C2329" t="s">
        <v>16</v>
      </c>
      <c r="D2329">
        <v>25</v>
      </c>
      <c r="E2329" t="s">
        <v>2403</v>
      </c>
      <c r="F2329">
        <v>5419</v>
      </c>
      <c r="G2329" t="s">
        <v>18</v>
      </c>
      <c r="H2329">
        <v>27</v>
      </c>
      <c r="I2329" t="s">
        <v>19</v>
      </c>
      <c r="J2329">
        <v>2012</v>
      </c>
      <c r="K2329">
        <v>2012</v>
      </c>
      <c r="L2329" t="s">
        <v>20</v>
      </c>
      <c r="M2329">
        <v>21353</v>
      </c>
      <c r="N2329">
        <v>3028</v>
      </c>
    </row>
    <row r="2330" spans="1:14" x14ac:dyDescent="0.35">
      <c r="A2330" t="s">
        <v>2427</v>
      </c>
      <c r="B2330" t="s">
        <v>15</v>
      </c>
      <c r="C2330" t="s">
        <v>16</v>
      </c>
      <c r="D2330">
        <v>25</v>
      </c>
      <c r="E2330" t="s">
        <v>2403</v>
      </c>
      <c r="F2330">
        <v>5419</v>
      </c>
      <c r="G2330" t="s">
        <v>18</v>
      </c>
      <c r="H2330">
        <v>27</v>
      </c>
      <c r="I2330" t="s">
        <v>19</v>
      </c>
      <c r="J2330">
        <v>2013</v>
      </c>
      <c r="K2330">
        <v>2013</v>
      </c>
      <c r="L2330" t="s">
        <v>20</v>
      </c>
      <c r="M2330">
        <v>20148</v>
      </c>
      <c r="N2330">
        <v>3028</v>
      </c>
    </row>
    <row r="2331" spans="1:14" x14ac:dyDescent="0.35">
      <c r="A2331" t="s">
        <v>2428</v>
      </c>
      <c r="B2331" t="s">
        <v>15</v>
      </c>
      <c r="C2331" t="s">
        <v>16</v>
      </c>
      <c r="D2331">
        <v>25</v>
      </c>
      <c r="E2331" t="s">
        <v>2403</v>
      </c>
      <c r="F2331">
        <v>5419</v>
      </c>
      <c r="G2331" t="s">
        <v>18</v>
      </c>
      <c r="H2331">
        <v>27</v>
      </c>
      <c r="I2331" t="s">
        <v>19</v>
      </c>
      <c r="J2331">
        <v>2014</v>
      </c>
      <c r="K2331">
        <v>2014</v>
      </c>
      <c r="L2331" t="s">
        <v>20</v>
      </c>
      <c r="M2331">
        <v>18944</v>
      </c>
      <c r="N2331">
        <v>3028</v>
      </c>
    </row>
    <row r="2332" spans="1:14" x14ac:dyDescent="0.35">
      <c r="A2332" t="s">
        <v>2429</v>
      </c>
      <c r="B2332" t="s">
        <v>15</v>
      </c>
      <c r="C2332" t="s">
        <v>16</v>
      </c>
      <c r="D2332">
        <v>25</v>
      </c>
      <c r="E2332" t="s">
        <v>2403</v>
      </c>
      <c r="F2332">
        <v>5419</v>
      </c>
      <c r="G2332" t="s">
        <v>18</v>
      </c>
      <c r="H2332">
        <v>27</v>
      </c>
      <c r="I2332" t="s">
        <v>19</v>
      </c>
      <c r="J2332">
        <v>2015</v>
      </c>
      <c r="K2332">
        <v>2015</v>
      </c>
      <c r="L2332" t="s">
        <v>20</v>
      </c>
      <c r="M2332">
        <v>17739</v>
      </c>
      <c r="N2332">
        <v>3028</v>
      </c>
    </row>
    <row r="2333" spans="1:14" x14ac:dyDescent="0.35">
      <c r="A2333" t="s">
        <v>2430</v>
      </c>
      <c r="B2333" t="s">
        <v>15</v>
      </c>
      <c r="C2333" t="s">
        <v>16</v>
      </c>
      <c r="D2333">
        <v>25</v>
      </c>
      <c r="E2333" t="s">
        <v>2403</v>
      </c>
      <c r="F2333">
        <v>5419</v>
      </c>
      <c r="G2333" t="s">
        <v>18</v>
      </c>
      <c r="H2333">
        <v>27</v>
      </c>
      <c r="I2333" t="s">
        <v>19</v>
      </c>
      <c r="J2333">
        <v>2016</v>
      </c>
      <c r="K2333">
        <v>2016</v>
      </c>
      <c r="L2333" t="s">
        <v>20</v>
      </c>
      <c r="M2333">
        <v>16570</v>
      </c>
      <c r="N2333">
        <v>3028</v>
      </c>
    </row>
    <row r="2334" spans="1:14" x14ac:dyDescent="0.35">
      <c r="A2334" t="s">
        <v>2431</v>
      </c>
      <c r="B2334" t="s">
        <v>15</v>
      </c>
      <c r="C2334" t="s">
        <v>16</v>
      </c>
      <c r="D2334">
        <v>201</v>
      </c>
      <c r="E2334" t="s">
        <v>2432</v>
      </c>
      <c r="F2334">
        <v>5419</v>
      </c>
      <c r="G2334" t="s">
        <v>18</v>
      </c>
      <c r="H2334">
        <v>27</v>
      </c>
      <c r="I2334" t="s">
        <v>19</v>
      </c>
      <c r="J2334">
        <v>1985</v>
      </c>
      <c r="K2334">
        <v>1985</v>
      </c>
      <c r="L2334" t="s">
        <v>20</v>
      </c>
      <c r="M2334">
        <v>40769</v>
      </c>
      <c r="N2334">
        <v>282</v>
      </c>
    </row>
    <row r="2335" spans="1:14" x14ac:dyDescent="0.35">
      <c r="A2335" t="s">
        <v>2433</v>
      </c>
      <c r="B2335" t="s">
        <v>15</v>
      </c>
      <c r="C2335" t="s">
        <v>16</v>
      </c>
      <c r="D2335">
        <v>201</v>
      </c>
      <c r="E2335" t="s">
        <v>2432</v>
      </c>
      <c r="F2335">
        <v>5419</v>
      </c>
      <c r="G2335" t="s">
        <v>18</v>
      </c>
      <c r="H2335">
        <v>27</v>
      </c>
      <c r="I2335" t="s">
        <v>19</v>
      </c>
      <c r="J2335">
        <v>1986</v>
      </c>
      <c r="K2335">
        <v>1986</v>
      </c>
      <c r="L2335" t="s">
        <v>20</v>
      </c>
      <c r="M2335">
        <v>37188</v>
      </c>
      <c r="N2335">
        <v>282</v>
      </c>
    </row>
    <row r="2336" spans="1:14" x14ac:dyDescent="0.35">
      <c r="A2336" t="s">
        <v>2434</v>
      </c>
      <c r="B2336" t="s">
        <v>15</v>
      </c>
      <c r="C2336" t="s">
        <v>16</v>
      </c>
      <c r="D2336">
        <v>201</v>
      </c>
      <c r="E2336" t="s">
        <v>2432</v>
      </c>
      <c r="F2336">
        <v>5419</v>
      </c>
      <c r="G2336" t="s">
        <v>18</v>
      </c>
      <c r="H2336">
        <v>27</v>
      </c>
      <c r="I2336" t="s">
        <v>19</v>
      </c>
      <c r="J2336">
        <v>1987</v>
      </c>
      <c r="K2336">
        <v>1987</v>
      </c>
      <c r="L2336" t="s">
        <v>20</v>
      </c>
      <c r="M2336">
        <v>33333</v>
      </c>
      <c r="N2336">
        <v>282</v>
      </c>
    </row>
    <row r="2337" spans="1:14" x14ac:dyDescent="0.35">
      <c r="A2337" t="s">
        <v>2435</v>
      </c>
      <c r="B2337" t="s">
        <v>15</v>
      </c>
      <c r="C2337" t="s">
        <v>16</v>
      </c>
      <c r="D2337">
        <v>201</v>
      </c>
      <c r="E2337" t="s">
        <v>2432</v>
      </c>
      <c r="F2337">
        <v>5419</v>
      </c>
      <c r="G2337" t="s">
        <v>18</v>
      </c>
      <c r="H2337">
        <v>27</v>
      </c>
      <c r="I2337" t="s">
        <v>19</v>
      </c>
      <c r="J2337">
        <v>1989</v>
      </c>
      <c r="K2337">
        <v>1989</v>
      </c>
      <c r="L2337" t="s">
        <v>20</v>
      </c>
      <c r="M2337">
        <v>30308</v>
      </c>
      <c r="N2337">
        <v>282</v>
      </c>
    </row>
    <row r="2338" spans="1:14" x14ac:dyDescent="0.35">
      <c r="A2338" t="s">
        <v>2436</v>
      </c>
      <c r="B2338" t="s">
        <v>15</v>
      </c>
      <c r="C2338" t="s">
        <v>16</v>
      </c>
      <c r="D2338">
        <v>201</v>
      </c>
      <c r="E2338" t="s">
        <v>2432</v>
      </c>
      <c r="F2338">
        <v>5419</v>
      </c>
      <c r="G2338" t="s">
        <v>18</v>
      </c>
      <c r="H2338">
        <v>27</v>
      </c>
      <c r="I2338" t="s">
        <v>19</v>
      </c>
      <c r="J2338">
        <v>1990</v>
      </c>
      <c r="K2338">
        <v>1990</v>
      </c>
      <c r="L2338" t="s">
        <v>20</v>
      </c>
      <c r="M2338">
        <v>30000</v>
      </c>
      <c r="N2338">
        <v>282</v>
      </c>
    </row>
    <row r="2339" spans="1:14" x14ac:dyDescent="0.35">
      <c r="A2339" t="s">
        <v>2437</v>
      </c>
      <c r="B2339" t="s">
        <v>15</v>
      </c>
      <c r="C2339" t="s">
        <v>16</v>
      </c>
      <c r="D2339">
        <v>201</v>
      </c>
      <c r="E2339" t="s">
        <v>2432</v>
      </c>
      <c r="F2339">
        <v>5419</v>
      </c>
      <c r="G2339" t="s">
        <v>18</v>
      </c>
      <c r="H2339">
        <v>27</v>
      </c>
      <c r="I2339" t="s">
        <v>19</v>
      </c>
      <c r="J2339">
        <v>1991</v>
      </c>
      <c r="K2339">
        <v>1991</v>
      </c>
      <c r="L2339" t="s">
        <v>20</v>
      </c>
      <c r="M2339">
        <v>25000</v>
      </c>
      <c r="N2339">
        <v>282</v>
      </c>
    </row>
    <row r="2340" spans="1:14" x14ac:dyDescent="0.35">
      <c r="A2340" t="s">
        <v>2438</v>
      </c>
      <c r="B2340" t="s">
        <v>15</v>
      </c>
      <c r="C2340" t="s">
        <v>16</v>
      </c>
      <c r="D2340">
        <v>201</v>
      </c>
      <c r="E2340" t="s">
        <v>2432</v>
      </c>
      <c r="F2340">
        <v>5419</v>
      </c>
      <c r="G2340" t="s">
        <v>18</v>
      </c>
      <c r="H2340">
        <v>27</v>
      </c>
      <c r="I2340" t="s">
        <v>19</v>
      </c>
      <c r="J2340">
        <v>1992</v>
      </c>
      <c r="K2340">
        <v>1992</v>
      </c>
      <c r="L2340" t="s">
        <v>20</v>
      </c>
      <c r="M2340">
        <v>25694</v>
      </c>
      <c r="N2340">
        <v>282</v>
      </c>
    </row>
    <row r="2341" spans="1:14" x14ac:dyDescent="0.35">
      <c r="A2341" t="s">
        <v>2439</v>
      </c>
      <c r="B2341" t="s">
        <v>15</v>
      </c>
      <c r="C2341" t="s">
        <v>16</v>
      </c>
      <c r="D2341">
        <v>201</v>
      </c>
      <c r="E2341" t="s">
        <v>2432</v>
      </c>
      <c r="F2341">
        <v>5419</v>
      </c>
      <c r="G2341" t="s">
        <v>18</v>
      </c>
      <c r="H2341">
        <v>27</v>
      </c>
      <c r="I2341" t="s">
        <v>19</v>
      </c>
      <c r="J2341">
        <v>1993</v>
      </c>
      <c r="K2341">
        <v>1993</v>
      </c>
      <c r="L2341" t="s">
        <v>20</v>
      </c>
      <c r="M2341">
        <v>25000</v>
      </c>
      <c r="N2341">
        <v>282</v>
      </c>
    </row>
    <row r="2342" spans="1:14" x14ac:dyDescent="0.35">
      <c r="A2342" t="s">
        <v>2440</v>
      </c>
      <c r="B2342" t="s">
        <v>15</v>
      </c>
      <c r="C2342" t="s">
        <v>16</v>
      </c>
      <c r="D2342">
        <v>201</v>
      </c>
      <c r="E2342" t="s">
        <v>2432</v>
      </c>
      <c r="F2342">
        <v>5419</v>
      </c>
      <c r="G2342" t="s">
        <v>18</v>
      </c>
      <c r="H2342">
        <v>27</v>
      </c>
      <c r="I2342" t="s">
        <v>19</v>
      </c>
      <c r="J2342">
        <v>1994</v>
      </c>
      <c r="K2342">
        <v>1994</v>
      </c>
      <c r="L2342" t="s">
        <v>20</v>
      </c>
      <c r="M2342">
        <v>15000</v>
      </c>
      <c r="N2342">
        <v>282</v>
      </c>
    </row>
    <row r="2343" spans="1:14" x14ac:dyDescent="0.35">
      <c r="A2343" t="s">
        <v>2441</v>
      </c>
      <c r="B2343" t="s">
        <v>15</v>
      </c>
      <c r="C2343" t="s">
        <v>16</v>
      </c>
      <c r="D2343">
        <v>201</v>
      </c>
      <c r="E2343" t="s">
        <v>2432</v>
      </c>
      <c r="F2343">
        <v>5419</v>
      </c>
      <c r="G2343" t="s">
        <v>18</v>
      </c>
      <c r="H2343">
        <v>27</v>
      </c>
      <c r="I2343" t="s">
        <v>19</v>
      </c>
      <c r="J2343">
        <v>1995</v>
      </c>
      <c r="K2343">
        <v>1995</v>
      </c>
      <c r="L2343" t="s">
        <v>20</v>
      </c>
      <c r="M2343">
        <v>16667</v>
      </c>
      <c r="N2343">
        <v>282</v>
      </c>
    </row>
    <row r="2344" spans="1:14" x14ac:dyDescent="0.35">
      <c r="A2344" t="s">
        <v>2442</v>
      </c>
      <c r="B2344" t="s">
        <v>15</v>
      </c>
      <c r="C2344" t="s">
        <v>16</v>
      </c>
      <c r="D2344">
        <v>201</v>
      </c>
      <c r="E2344" t="s">
        <v>2432</v>
      </c>
      <c r="F2344">
        <v>5419</v>
      </c>
      <c r="G2344" t="s">
        <v>18</v>
      </c>
      <c r="H2344">
        <v>27</v>
      </c>
      <c r="I2344" t="s">
        <v>19</v>
      </c>
      <c r="J2344">
        <v>1996</v>
      </c>
      <c r="K2344">
        <v>1996</v>
      </c>
      <c r="L2344" t="s">
        <v>20</v>
      </c>
      <c r="M2344">
        <v>31290</v>
      </c>
      <c r="N2344">
        <v>282</v>
      </c>
    </row>
    <row r="2345" spans="1:14" x14ac:dyDescent="0.35">
      <c r="A2345" t="s">
        <v>2443</v>
      </c>
      <c r="B2345" t="s">
        <v>15</v>
      </c>
      <c r="C2345" t="s">
        <v>16</v>
      </c>
      <c r="D2345">
        <v>201</v>
      </c>
      <c r="E2345" t="s">
        <v>2432</v>
      </c>
      <c r="F2345">
        <v>5419</v>
      </c>
      <c r="G2345" t="s">
        <v>18</v>
      </c>
      <c r="H2345">
        <v>27</v>
      </c>
      <c r="I2345" t="s">
        <v>19</v>
      </c>
      <c r="J2345">
        <v>1997</v>
      </c>
      <c r="K2345">
        <v>1997</v>
      </c>
      <c r="L2345" t="s">
        <v>20</v>
      </c>
      <c r="M2345">
        <v>35937</v>
      </c>
      <c r="N2345">
        <v>282</v>
      </c>
    </row>
    <row r="2346" spans="1:14" x14ac:dyDescent="0.35">
      <c r="A2346" t="s">
        <v>2444</v>
      </c>
      <c r="B2346" t="s">
        <v>15</v>
      </c>
      <c r="C2346" t="s">
        <v>16</v>
      </c>
      <c r="D2346">
        <v>201</v>
      </c>
      <c r="E2346" t="s">
        <v>2432</v>
      </c>
      <c r="F2346">
        <v>5419</v>
      </c>
      <c r="G2346" t="s">
        <v>18</v>
      </c>
      <c r="H2346">
        <v>27</v>
      </c>
      <c r="I2346" t="s">
        <v>19</v>
      </c>
      <c r="J2346">
        <v>1998</v>
      </c>
      <c r="K2346">
        <v>1998</v>
      </c>
      <c r="L2346" t="s">
        <v>20</v>
      </c>
      <c r="M2346">
        <v>42459</v>
      </c>
      <c r="N2346">
        <v>282</v>
      </c>
    </row>
    <row r="2347" spans="1:14" x14ac:dyDescent="0.35">
      <c r="A2347" t="s">
        <v>2445</v>
      </c>
      <c r="B2347" t="s">
        <v>15</v>
      </c>
      <c r="C2347" t="s">
        <v>16</v>
      </c>
      <c r="D2347">
        <v>201</v>
      </c>
      <c r="E2347" t="s">
        <v>2432</v>
      </c>
      <c r="F2347">
        <v>5419</v>
      </c>
      <c r="G2347" t="s">
        <v>18</v>
      </c>
      <c r="H2347">
        <v>27</v>
      </c>
      <c r="I2347" t="s">
        <v>19</v>
      </c>
      <c r="J2347">
        <v>1999</v>
      </c>
      <c r="K2347">
        <v>1999</v>
      </c>
      <c r="L2347" t="s">
        <v>20</v>
      </c>
      <c r="M2347">
        <v>57143</v>
      </c>
      <c r="N2347">
        <v>282</v>
      </c>
    </row>
    <row r="2348" spans="1:14" x14ac:dyDescent="0.35">
      <c r="A2348" t="s">
        <v>2446</v>
      </c>
      <c r="B2348" t="s">
        <v>15</v>
      </c>
      <c r="C2348" t="s">
        <v>16</v>
      </c>
      <c r="D2348">
        <v>201</v>
      </c>
      <c r="E2348" t="s">
        <v>2432</v>
      </c>
      <c r="F2348">
        <v>5419</v>
      </c>
      <c r="G2348" t="s">
        <v>18</v>
      </c>
      <c r="H2348">
        <v>27</v>
      </c>
      <c r="I2348" t="s">
        <v>19</v>
      </c>
      <c r="J2348">
        <v>2000</v>
      </c>
      <c r="K2348">
        <v>2000</v>
      </c>
      <c r="L2348" t="s">
        <v>20</v>
      </c>
      <c r="M2348">
        <v>20000</v>
      </c>
      <c r="N2348">
        <v>282</v>
      </c>
    </row>
    <row r="2349" spans="1:14" x14ac:dyDescent="0.35">
      <c r="A2349" t="s">
        <v>2447</v>
      </c>
      <c r="B2349" t="s">
        <v>15</v>
      </c>
      <c r="C2349" t="s">
        <v>16</v>
      </c>
      <c r="D2349">
        <v>201</v>
      </c>
      <c r="E2349" t="s">
        <v>2432</v>
      </c>
      <c r="F2349">
        <v>5419</v>
      </c>
      <c r="G2349" t="s">
        <v>18</v>
      </c>
      <c r="H2349">
        <v>27</v>
      </c>
      <c r="I2349" t="s">
        <v>19</v>
      </c>
      <c r="J2349">
        <v>2001</v>
      </c>
      <c r="K2349">
        <v>2001</v>
      </c>
      <c r="L2349" t="s">
        <v>20</v>
      </c>
      <c r="M2349">
        <v>59701</v>
      </c>
      <c r="N2349">
        <v>282</v>
      </c>
    </row>
    <row r="2350" spans="1:14" x14ac:dyDescent="0.35">
      <c r="A2350" t="s">
        <v>2448</v>
      </c>
      <c r="B2350" t="s">
        <v>15</v>
      </c>
      <c r="C2350" t="s">
        <v>16</v>
      </c>
      <c r="D2350">
        <v>201</v>
      </c>
      <c r="E2350" t="s">
        <v>2432</v>
      </c>
      <c r="F2350">
        <v>5419</v>
      </c>
      <c r="G2350" t="s">
        <v>18</v>
      </c>
      <c r="H2350">
        <v>27</v>
      </c>
      <c r="I2350" t="s">
        <v>19</v>
      </c>
      <c r="J2350">
        <v>2002</v>
      </c>
      <c r="K2350">
        <v>2002</v>
      </c>
      <c r="L2350" t="s">
        <v>20</v>
      </c>
      <c r="M2350">
        <v>60000</v>
      </c>
      <c r="N2350">
        <v>282</v>
      </c>
    </row>
    <row r="2351" spans="1:14" x14ac:dyDescent="0.35">
      <c r="A2351" t="s">
        <v>2449</v>
      </c>
      <c r="B2351" t="s">
        <v>15</v>
      </c>
      <c r="C2351" t="s">
        <v>16</v>
      </c>
      <c r="D2351">
        <v>201</v>
      </c>
      <c r="E2351" t="s">
        <v>2432</v>
      </c>
      <c r="F2351">
        <v>5419</v>
      </c>
      <c r="G2351" t="s">
        <v>18</v>
      </c>
      <c r="H2351">
        <v>27</v>
      </c>
      <c r="I2351" t="s">
        <v>19</v>
      </c>
      <c r="J2351">
        <v>2004</v>
      </c>
      <c r="K2351">
        <v>2004</v>
      </c>
      <c r="L2351" t="s">
        <v>20</v>
      </c>
      <c r="M2351">
        <v>60000</v>
      </c>
      <c r="N2351">
        <v>282</v>
      </c>
    </row>
    <row r="2352" spans="1:14" x14ac:dyDescent="0.35">
      <c r="A2352" t="s">
        <v>2450</v>
      </c>
      <c r="B2352" t="s">
        <v>15</v>
      </c>
      <c r="C2352" t="s">
        <v>16</v>
      </c>
      <c r="D2352">
        <v>201</v>
      </c>
      <c r="E2352" t="s">
        <v>2432</v>
      </c>
      <c r="F2352">
        <v>5419</v>
      </c>
      <c r="G2352" t="s">
        <v>18</v>
      </c>
      <c r="H2352">
        <v>27</v>
      </c>
      <c r="I2352" t="s">
        <v>19</v>
      </c>
      <c r="J2352">
        <v>2005</v>
      </c>
      <c r="K2352">
        <v>2005</v>
      </c>
      <c r="L2352" t="s">
        <v>20</v>
      </c>
      <c r="M2352">
        <v>54582</v>
      </c>
      <c r="N2352">
        <v>282</v>
      </c>
    </row>
    <row r="2353" spans="1:14" x14ac:dyDescent="0.35">
      <c r="A2353" t="s">
        <v>2451</v>
      </c>
      <c r="B2353" t="s">
        <v>15</v>
      </c>
      <c r="C2353" t="s">
        <v>16</v>
      </c>
      <c r="D2353">
        <v>201</v>
      </c>
      <c r="E2353" t="s">
        <v>2432</v>
      </c>
      <c r="F2353">
        <v>5419</v>
      </c>
      <c r="G2353" t="s">
        <v>18</v>
      </c>
      <c r="H2353">
        <v>27</v>
      </c>
      <c r="I2353" t="s">
        <v>19</v>
      </c>
      <c r="J2353">
        <v>2006</v>
      </c>
      <c r="K2353">
        <v>2006</v>
      </c>
      <c r="L2353" t="s">
        <v>20</v>
      </c>
      <c r="M2353">
        <v>55057</v>
      </c>
      <c r="N2353">
        <v>282</v>
      </c>
    </row>
    <row r="2354" spans="1:14" x14ac:dyDescent="0.35">
      <c r="A2354" t="s">
        <v>2452</v>
      </c>
      <c r="B2354" t="s">
        <v>15</v>
      </c>
      <c r="C2354" t="s">
        <v>16</v>
      </c>
      <c r="D2354">
        <v>201</v>
      </c>
      <c r="E2354" t="s">
        <v>2432</v>
      </c>
      <c r="F2354">
        <v>5419</v>
      </c>
      <c r="G2354" t="s">
        <v>18</v>
      </c>
      <c r="H2354">
        <v>27</v>
      </c>
      <c r="I2354" t="s">
        <v>19</v>
      </c>
      <c r="J2354">
        <v>2007</v>
      </c>
      <c r="K2354">
        <v>2007</v>
      </c>
      <c r="L2354" t="s">
        <v>20</v>
      </c>
      <c r="M2354">
        <v>61538</v>
      </c>
      <c r="N2354">
        <v>282</v>
      </c>
    </row>
    <row r="2355" spans="1:14" x14ac:dyDescent="0.35">
      <c r="A2355" t="s">
        <v>2453</v>
      </c>
      <c r="B2355" t="s">
        <v>15</v>
      </c>
      <c r="C2355" t="s">
        <v>16</v>
      </c>
      <c r="D2355">
        <v>201</v>
      </c>
      <c r="E2355" t="s">
        <v>2432</v>
      </c>
      <c r="F2355">
        <v>5419</v>
      </c>
      <c r="G2355" t="s">
        <v>18</v>
      </c>
      <c r="H2355">
        <v>27</v>
      </c>
      <c r="I2355" t="s">
        <v>19</v>
      </c>
      <c r="J2355">
        <v>2008</v>
      </c>
      <c r="K2355">
        <v>2008</v>
      </c>
      <c r="L2355" t="s">
        <v>20</v>
      </c>
      <c r="M2355">
        <v>51579</v>
      </c>
      <c r="N2355">
        <v>282</v>
      </c>
    </row>
    <row r="2356" spans="1:14" x14ac:dyDescent="0.35">
      <c r="A2356" t="s">
        <v>2454</v>
      </c>
      <c r="B2356" t="s">
        <v>15</v>
      </c>
      <c r="C2356" t="s">
        <v>16</v>
      </c>
      <c r="D2356">
        <v>201</v>
      </c>
      <c r="E2356" t="s">
        <v>2432</v>
      </c>
      <c r="F2356">
        <v>5419</v>
      </c>
      <c r="G2356" t="s">
        <v>18</v>
      </c>
      <c r="H2356">
        <v>27</v>
      </c>
      <c r="I2356" t="s">
        <v>19</v>
      </c>
      <c r="J2356">
        <v>2009</v>
      </c>
      <c r="K2356">
        <v>2009</v>
      </c>
      <c r="L2356" t="s">
        <v>20</v>
      </c>
      <c r="M2356">
        <v>47273</v>
      </c>
      <c r="N2356">
        <v>282</v>
      </c>
    </row>
    <row r="2357" spans="1:14" x14ac:dyDescent="0.35">
      <c r="A2357" t="s">
        <v>2455</v>
      </c>
      <c r="B2357" t="s">
        <v>15</v>
      </c>
      <c r="C2357" t="s">
        <v>16</v>
      </c>
      <c r="D2357">
        <v>201</v>
      </c>
      <c r="E2357" t="s">
        <v>2432</v>
      </c>
      <c r="F2357">
        <v>5419</v>
      </c>
      <c r="G2357" t="s">
        <v>18</v>
      </c>
      <c r="H2357">
        <v>27</v>
      </c>
      <c r="I2357" t="s">
        <v>19</v>
      </c>
      <c r="J2357">
        <v>2010</v>
      </c>
      <c r="K2357">
        <v>2010</v>
      </c>
      <c r="L2357" t="s">
        <v>20</v>
      </c>
      <c r="M2357">
        <v>52000</v>
      </c>
      <c r="N2357">
        <v>282</v>
      </c>
    </row>
    <row r="2358" spans="1:14" x14ac:dyDescent="0.35">
      <c r="A2358" t="s">
        <v>2456</v>
      </c>
      <c r="B2358" t="s">
        <v>15</v>
      </c>
      <c r="C2358" t="s">
        <v>16</v>
      </c>
      <c r="D2358">
        <v>201</v>
      </c>
      <c r="E2358" t="s">
        <v>2432</v>
      </c>
      <c r="F2358">
        <v>5419</v>
      </c>
      <c r="G2358" t="s">
        <v>18</v>
      </c>
      <c r="H2358">
        <v>27</v>
      </c>
      <c r="I2358" t="s">
        <v>19</v>
      </c>
      <c r="J2358">
        <v>2011</v>
      </c>
      <c r="K2358">
        <v>2011</v>
      </c>
      <c r="L2358" t="s">
        <v>20</v>
      </c>
      <c r="M2358">
        <v>35583</v>
      </c>
      <c r="N2358">
        <v>282</v>
      </c>
    </row>
    <row r="2359" spans="1:14" x14ac:dyDescent="0.35">
      <c r="A2359" t="s">
        <v>2457</v>
      </c>
      <c r="B2359" t="s">
        <v>15</v>
      </c>
      <c r="C2359" t="s">
        <v>16</v>
      </c>
      <c r="D2359">
        <v>201</v>
      </c>
      <c r="E2359" t="s">
        <v>2432</v>
      </c>
      <c r="F2359">
        <v>5419</v>
      </c>
      <c r="G2359" t="s">
        <v>18</v>
      </c>
      <c r="H2359">
        <v>27</v>
      </c>
      <c r="I2359" t="s">
        <v>19</v>
      </c>
      <c r="J2359">
        <v>2012</v>
      </c>
      <c r="K2359">
        <v>2012</v>
      </c>
      <c r="L2359" t="s">
        <v>20</v>
      </c>
      <c r="M2359">
        <v>48691</v>
      </c>
      <c r="N2359">
        <v>282</v>
      </c>
    </row>
    <row r="2360" spans="1:14" x14ac:dyDescent="0.35">
      <c r="A2360" t="s">
        <v>2458</v>
      </c>
      <c r="B2360" t="s">
        <v>15</v>
      </c>
      <c r="C2360" t="s">
        <v>16</v>
      </c>
      <c r="D2360">
        <v>201</v>
      </c>
      <c r="E2360" t="s">
        <v>2432</v>
      </c>
      <c r="F2360">
        <v>5419</v>
      </c>
      <c r="G2360" t="s">
        <v>18</v>
      </c>
      <c r="H2360">
        <v>27</v>
      </c>
      <c r="I2360" t="s">
        <v>19</v>
      </c>
      <c r="J2360">
        <v>2013</v>
      </c>
      <c r="K2360">
        <v>2013</v>
      </c>
      <c r="L2360" t="s">
        <v>20</v>
      </c>
      <c r="M2360">
        <v>14723</v>
      </c>
      <c r="N2360">
        <v>282</v>
      </c>
    </row>
    <row r="2361" spans="1:14" x14ac:dyDescent="0.35">
      <c r="A2361" t="s">
        <v>2459</v>
      </c>
      <c r="B2361" t="s">
        <v>15</v>
      </c>
      <c r="C2361" t="s">
        <v>16</v>
      </c>
      <c r="D2361">
        <v>201</v>
      </c>
      <c r="E2361" t="s">
        <v>2432</v>
      </c>
      <c r="F2361">
        <v>5419</v>
      </c>
      <c r="G2361" t="s">
        <v>18</v>
      </c>
      <c r="H2361">
        <v>27</v>
      </c>
      <c r="I2361" t="s">
        <v>19</v>
      </c>
      <c r="J2361">
        <v>2014</v>
      </c>
      <c r="K2361">
        <v>2014</v>
      </c>
      <c r="L2361" t="s">
        <v>20</v>
      </c>
      <c r="M2361">
        <v>20000</v>
      </c>
      <c r="N2361">
        <v>282</v>
      </c>
    </row>
    <row r="2362" spans="1:14" x14ac:dyDescent="0.35">
      <c r="A2362" t="s">
        <v>2460</v>
      </c>
      <c r="B2362" t="s">
        <v>15</v>
      </c>
      <c r="C2362" t="s">
        <v>16</v>
      </c>
      <c r="D2362">
        <v>201</v>
      </c>
      <c r="E2362" t="s">
        <v>2432</v>
      </c>
      <c r="F2362">
        <v>5419</v>
      </c>
      <c r="G2362" t="s">
        <v>18</v>
      </c>
      <c r="H2362">
        <v>27</v>
      </c>
      <c r="I2362" t="s">
        <v>19</v>
      </c>
      <c r="J2362">
        <v>2015</v>
      </c>
      <c r="K2362">
        <v>2015</v>
      </c>
      <c r="L2362" t="s">
        <v>20</v>
      </c>
      <c r="M2362">
        <v>17500</v>
      </c>
      <c r="N2362">
        <v>282</v>
      </c>
    </row>
    <row r="2363" spans="1:14" x14ac:dyDescent="0.35">
      <c r="A2363" t="s">
        <v>2461</v>
      </c>
      <c r="B2363" t="s">
        <v>15</v>
      </c>
      <c r="C2363" t="s">
        <v>16</v>
      </c>
      <c r="D2363">
        <v>201</v>
      </c>
      <c r="E2363" t="s">
        <v>2432</v>
      </c>
      <c r="F2363">
        <v>5419</v>
      </c>
      <c r="G2363" t="s">
        <v>18</v>
      </c>
      <c r="H2363">
        <v>27</v>
      </c>
      <c r="I2363" t="s">
        <v>19</v>
      </c>
      <c r="J2363">
        <v>2016</v>
      </c>
      <c r="K2363">
        <v>2016</v>
      </c>
      <c r="L2363" t="s">
        <v>20</v>
      </c>
      <c r="M2363">
        <v>18333</v>
      </c>
      <c r="N2363">
        <v>282</v>
      </c>
    </row>
    <row r="2364" spans="1:14" x14ac:dyDescent="0.35">
      <c r="A2364" t="s">
        <v>2462</v>
      </c>
      <c r="B2364" t="s">
        <v>15</v>
      </c>
      <c r="C2364" t="s">
        <v>16</v>
      </c>
      <c r="D2364">
        <v>202</v>
      </c>
      <c r="E2364" t="s">
        <v>2463</v>
      </c>
      <c r="F2364">
        <v>5419</v>
      </c>
      <c r="G2364" t="s">
        <v>18</v>
      </c>
      <c r="H2364">
        <v>27</v>
      </c>
      <c r="I2364" t="s">
        <v>19</v>
      </c>
      <c r="J2364">
        <v>1985</v>
      </c>
      <c r="K2364">
        <v>1985</v>
      </c>
      <c r="L2364" t="s">
        <v>20</v>
      </c>
      <c r="M2364">
        <v>23077</v>
      </c>
      <c r="N2364">
        <v>495</v>
      </c>
    </row>
    <row r="2365" spans="1:14" x14ac:dyDescent="0.35">
      <c r="A2365" t="s">
        <v>2464</v>
      </c>
      <c r="B2365" t="s">
        <v>15</v>
      </c>
      <c r="C2365" t="s">
        <v>16</v>
      </c>
      <c r="D2365">
        <v>202</v>
      </c>
      <c r="E2365" t="s">
        <v>2463</v>
      </c>
      <c r="F2365">
        <v>5419</v>
      </c>
      <c r="G2365" t="s">
        <v>18</v>
      </c>
      <c r="H2365">
        <v>27</v>
      </c>
      <c r="I2365" t="s">
        <v>19</v>
      </c>
      <c r="J2365">
        <v>1986</v>
      </c>
      <c r="K2365">
        <v>1986</v>
      </c>
      <c r="L2365" t="s">
        <v>20</v>
      </c>
      <c r="M2365">
        <v>23077</v>
      </c>
      <c r="N2365">
        <v>495</v>
      </c>
    </row>
    <row r="2366" spans="1:14" x14ac:dyDescent="0.35">
      <c r="A2366" t="s">
        <v>2465</v>
      </c>
      <c r="B2366" t="s">
        <v>15</v>
      </c>
      <c r="C2366" t="s">
        <v>16</v>
      </c>
      <c r="D2366">
        <v>202</v>
      </c>
      <c r="E2366" t="s">
        <v>2463</v>
      </c>
      <c r="F2366">
        <v>5419</v>
      </c>
      <c r="G2366" t="s">
        <v>18</v>
      </c>
      <c r="H2366">
        <v>27</v>
      </c>
      <c r="I2366" t="s">
        <v>19</v>
      </c>
      <c r="J2366">
        <v>1987</v>
      </c>
      <c r="K2366">
        <v>1987</v>
      </c>
      <c r="L2366" t="s">
        <v>20</v>
      </c>
      <c r="M2366">
        <v>23077</v>
      </c>
      <c r="N2366">
        <v>495</v>
      </c>
    </row>
    <row r="2367" spans="1:14" x14ac:dyDescent="0.35">
      <c r="A2367" t="s">
        <v>2466</v>
      </c>
      <c r="B2367" t="s">
        <v>15</v>
      </c>
      <c r="C2367" t="s">
        <v>16</v>
      </c>
      <c r="D2367">
        <v>202</v>
      </c>
      <c r="E2367" t="s">
        <v>2463</v>
      </c>
      <c r="F2367">
        <v>5419</v>
      </c>
      <c r="G2367" t="s">
        <v>18</v>
      </c>
      <c r="H2367">
        <v>27</v>
      </c>
      <c r="I2367" t="s">
        <v>19</v>
      </c>
      <c r="J2367">
        <v>1989</v>
      </c>
      <c r="K2367">
        <v>1989</v>
      </c>
      <c r="L2367" t="s">
        <v>20</v>
      </c>
      <c r="M2367">
        <v>23077</v>
      </c>
      <c r="N2367">
        <v>495</v>
      </c>
    </row>
    <row r="2368" spans="1:14" x14ac:dyDescent="0.35">
      <c r="A2368" t="s">
        <v>2467</v>
      </c>
      <c r="B2368" t="s">
        <v>15</v>
      </c>
      <c r="C2368" t="s">
        <v>16</v>
      </c>
      <c r="D2368">
        <v>202</v>
      </c>
      <c r="E2368" t="s">
        <v>2463</v>
      </c>
      <c r="F2368">
        <v>5419</v>
      </c>
      <c r="G2368" t="s">
        <v>18</v>
      </c>
      <c r="H2368">
        <v>27</v>
      </c>
      <c r="I2368" t="s">
        <v>19</v>
      </c>
      <c r="J2368">
        <v>1990</v>
      </c>
      <c r="K2368">
        <v>1990</v>
      </c>
      <c r="L2368" t="s">
        <v>20</v>
      </c>
      <c r="M2368">
        <v>18976</v>
      </c>
      <c r="N2368">
        <v>495</v>
      </c>
    </row>
    <row r="2369" spans="1:14" x14ac:dyDescent="0.35">
      <c r="A2369" t="s">
        <v>2468</v>
      </c>
      <c r="B2369" t="s">
        <v>15</v>
      </c>
      <c r="C2369" t="s">
        <v>16</v>
      </c>
      <c r="D2369">
        <v>202</v>
      </c>
      <c r="E2369" t="s">
        <v>2463</v>
      </c>
      <c r="F2369">
        <v>5419</v>
      </c>
      <c r="G2369" t="s">
        <v>18</v>
      </c>
      <c r="H2369">
        <v>27</v>
      </c>
      <c r="I2369" t="s">
        <v>19</v>
      </c>
      <c r="J2369">
        <v>1991</v>
      </c>
      <c r="K2369">
        <v>1991</v>
      </c>
      <c r="L2369" t="s">
        <v>20</v>
      </c>
      <c r="M2369">
        <v>21297</v>
      </c>
      <c r="N2369">
        <v>495</v>
      </c>
    </row>
    <row r="2370" spans="1:14" x14ac:dyDescent="0.35">
      <c r="A2370" t="s">
        <v>2469</v>
      </c>
      <c r="B2370" t="s">
        <v>15</v>
      </c>
      <c r="C2370" t="s">
        <v>16</v>
      </c>
      <c r="D2370">
        <v>202</v>
      </c>
      <c r="E2370" t="s">
        <v>2463</v>
      </c>
      <c r="F2370">
        <v>5419</v>
      </c>
      <c r="G2370" t="s">
        <v>18</v>
      </c>
      <c r="H2370">
        <v>27</v>
      </c>
      <c r="I2370" t="s">
        <v>19</v>
      </c>
      <c r="J2370">
        <v>1992</v>
      </c>
      <c r="K2370">
        <v>1992</v>
      </c>
      <c r="L2370" t="s">
        <v>20</v>
      </c>
      <c r="M2370">
        <v>21503</v>
      </c>
      <c r="N2370">
        <v>495</v>
      </c>
    </row>
    <row r="2371" spans="1:14" x14ac:dyDescent="0.35">
      <c r="A2371" t="s">
        <v>2470</v>
      </c>
      <c r="B2371" t="s">
        <v>15</v>
      </c>
      <c r="C2371" t="s">
        <v>16</v>
      </c>
      <c r="D2371">
        <v>202</v>
      </c>
      <c r="E2371" t="s">
        <v>2463</v>
      </c>
      <c r="F2371">
        <v>5419</v>
      </c>
      <c r="G2371" t="s">
        <v>18</v>
      </c>
      <c r="H2371">
        <v>27</v>
      </c>
      <c r="I2371" t="s">
        <v>19</v>
      </c>
      <c r="J2371">
        <v>1993</v>
      </c>
      <c r="K2371">
        <v>1993</v>
      </c>
      <c r="L2371" t="s">
        <v>20</v>
      </c>
      <c r="M2371">
        <v>21710</v>
      </c>
      <c r="N2371">
        <v>495</v>
      </c>
    </row>
    <row r="2372" spans="1:14" x14ac:dyDescent="0.35">
      <c r="A2372" t="s">
        <v>2471</v>
      </c>
      <c r="B2372" t="s">
        <v>15</v>
      </c>
      <c r="C2372" t="s">
        <v>16</v>
      </c>
      <c r="D2372">
        <v>202</v>
      </c>
      <c r="E2372" t="s">
        <v>2463</v>
      </c>
      <c r="F2372">
        <v>5419</v>
      </c>
      <c r="G2372" t="s">
        <v>18</v>
      </c>
      <c r="H2372">
        <v>27</v>
      </c>
      <c r="I2372" t="s">
        <v>19</v>
      </c>
      <c r="J2372">
        <v>1994</v>
      </c>
      <c r="K2372">
        <v>1994</v>
      </c>
      <c r="L2372" t="s">
        <v>20</v>
      </c>
      <c r="M2372">
        <v>21917</v>
      </c>
      <c r="N2372">
        <v>495</v>
      </c>
    </row>
    <row r="2373" spans="1:14" x14ac:dyDescent="0.35">
      <c r="A2373" t="s">
        <v>2472</v>
      </c>
      <c r="B2373" t="s">
        <v>15</v>
      </c>
      <c r="C2373" t="s">
        <v>16</v>
      </c>
      <c r="D2373">
        <v>202</v>
      </c>
      <c r="E2373" t="s">
        <v>2463</v>
      </c>
      <c r="F2373">
        <v>5419</v>
      </c>
      <c r="G2373" t="s">
        <v>18</v>
      </c>
      <c r="H2373">
        <v>27</v>
      </c>
      <c r="I2373" t="s">
        <v>19</v>
      </c>
      <c r="J2373">
        <v>1995</v>
      </c>
      <c r="K2373">
        <v>1995</v>
      </c>
      <c r="L2373" t="s">
        <v>20</v>
      </c>
      <c r="M2373">
        <v>22124</v>
      </c>
      <c r="N2373">
        <v>495</v>
      </c>
    </row>
    <row r="2374" spans="1:14" x14ac:dyDescent="0.35">
      <c r="A2374" t="s">
        <v>2473</v>
      </c>
      <c r="B2374" t="s">
        <v>15</v>
      </c>
      <c r="C2374" t="s">
        <v>16</v>
      </c>
      <c r="D2374">
        <v>202</v>
      </c>
      <c r="E2374" t="s">
        <v>2463</v>
      </c>
      <c r="F2374">
        <v>5419</v>
      </c>
      <c r="G2374" t="s">
        <v>18</v>
      </c>
      <c r="H2374">
        <v>27</v>
      </c>
      <c r="I2374" t="s">
        <v>19</v>
      </c>
      <c r="J2374">
        <v>1996</v>
      </c>
      <c r="K2374">
        <v>1996</v>
      </c>
      <c r="L2374" t="s">
        <v>20</v>
      </c>
      <c r="M2374">
        <v>22331</v>
      </c>
      <c r="N2374">
        <v>495</v>
      </c>
    </row>
    <row r="2375" spans="1:14" x14ac:dyDescent="0.35">
      <c r="A2375" t="s">
        <v>2474</v>
      </c>
      <c r="B2375" t="s">
        <v>15</v>
      </c>
      <c r="C2375" t="s">
        <v>16</v>
      </c>
      <c r="D2375">
        <v>202</v>
      </c>
      <c r="E2375" t="s">
        <v>2463</v>
      </c>
      <c r="F2375">
        <v>5419</v>
      </c>
      <c r="G2375" t="s">
        <v>18</v>
      </c>
      <c r="H2375">
        <v>27</v>
      </c>
      <c r="I2375" t="s">
        <v>19</v>
      </c>
      <c r="J2375">
        <v>1997</v>
      </c>
      <c r="K2375">
        <v>1997</v>
      </c>
      <c r="L2375" t="s">
        <v>20</v>
      </c>
      <c r="M2375">
        <v>22537</v>
      </c>
      <c r="N2375">
        <v>495</v>
      </c>
    </row>
    <row r="2376" spans="1:14" x14ac:dyDescent="0.35">
      <c r="A2376" t="s">
        <v>2475</v>
      </c>
      <c r="B2376" t="s">
        <v>15</v>
      </c>
      <c r="C2376" t="s">
        <v>16</v>
      </c>
      <c r="D2376">
        <v>202</v>
      </c>
      <c r="E2376" t="s">
        <v>2463</v>
      </c>
      <c r="F2376">
        <v>5419</v>
      </c>
      <c r="G2376" t="s">
        <v>18</v>
      </c>
      <c r="H2376">
        <v>27</v>
      </c>
      <c r="I2376" t="s">
        <v>19</v>
      </c>
      <c r="J2376">
        <v>1998</v>
      </c>
      <c r="K2376">
        <v>1998</v>
      </c>
      <c r="L2376" t="s">
        <v>20</v>
      </c>
      <c r="M2376">
        <v>22744</v>
      </c>
      <c r="N2376">
        <v>495</v>
      </c>
    </row>
    <row r="2377" spans="1:14" x14ac:dyDescent="0.35">
      <c r="A2377" t="s">
        <v>2476</v>
      </c>
      <c r="B2377" t="s">
        <v>15</v>
      </c>
      <c r="C2377" t="s">
        <v>16</v>
      </c>
      <c r="D2377">
        <v>202</v>
      </c>
      <c r="E2377" t="s">
        <v>2463</v>
      </c>
      <c r="F2377">
        <v>5419</v>
      </c>
      <c r="G2377" t="s">
        <v>18</v>
      </c>
      <c r="H2377">
        <v>27</v>
      </c>
      <c r="I2377" t="s">
        <v>19</v>
      </c>
      <c r="J2377">
        <v>1999</v>
      </c>
      <c r="K2377">
        <v>1999</v>
      </c>
      <c r="L2377" t="s">
        <v>20</v>
      </c>
      <c r="M2377">
        <v>22949</v>
      </c>
      <c r="N2377">
        <v>495</v>
      </c>
    </row>
    <row r="2378" spans="1:14" x14ac:dyDescent="0.35">
      <c r="A2378" t="s">
        <v>2477</v>
      </c>
      <c r="B2378" t="s">
        <v>15</v>
      </c>
      <c r="C2378" t="s">
        <v>16</v>
      </c>
      <c r="D2378">
        <v>202</v>
      </c>
      <c r="E2378" t="s">
        <v>2463</v>
      </c>
      <c r="F2378">
        <v>5419</v>
      </c>
      <c r="G2378" t="s">
        <v>18</v>
      </c>
      <c r="H2378">
        <v>27</v>
      </c>
      <c r="I2378" t="s">
        <v>19</v>
      </c>
      <c r="J2378">
        <v>2000</v>
      </c>
      <c r="K2378">
        <v>2000</v>
      </c>
      <c r="L2378" t="s">
        <v>20</v>
      </c>
      <c r="M2378">
        <v>22962</v>
      </c>
      <c r="N2378">
        <v>495</v>
      </c>
    </row>
    <row r="2379" spans="1:14" x14ac:dyDescent="0.35">
      <c r="A2379" t="s">
        <v>2478</v>
      </c>
      <c r="B2379" t="s">
        <v>15</v>
      </c>
      <c r="C2379" t="s">
        <v>16</v>
      </c>
      <c r="D2379">
        <v>202</v>
      </c>
      <c r="E2379" t="s">
        <v>2463</v>
      </c>
      <c r="F2379">
        <v>5419</v>
      </c>
      <c r="G2379" t="s">
        <v>18</v>
      </c>
      <c r="H2379">
        <v>27</v>
      </c>
      <c r="I2379" t="s">
        <v>19</v>
      </c>
      <c r="J2379">
        <v>2001</v>
      </c>
      <c r="K2379">
        <v>2001</v>
      </c>
      <c r="L2379" t="s">
        <v>20</v>
      </c>
      <c r="M2379">
        <v>22857</v>
      </c>
      <c r="N2379">
        <v>495</v>
      </c>
    </row>
    <row r="2380" spans="1:14" x14ac:dyDescent="0.35">
      <c r="A2380" t="s">
        <v>2479</v>
      </c>
      <c r="B2380" t="s">
        <v>15</v>
      </c>
      <c r="C2380" t="s">
        <v>16</v>
      </c>
      <c r="D2380">
        <v>202</v>
      </c>
      <c r="E2380" t="s">
        <v>2463</v>
      </c>
      <c r="F2380">
        <v>5419</v>
      </c>
      <c r="G2380" t="s">
        <v>18</v>
      </c>
      <c r="H2380">
        <v>27</v>
      </c>
      <c r="I2380" t="s">
        <v>19</v>
      </c>
      <c r="J2380">
        <v>2002</v>
      </c>
      <c r="K2380">
        <v>2002</v>
      </c>
      <c r="L2380" t="s">
        <v>20</v>
      </c>
      <c r="M2380">
        <v>23517</v>
      </c>
      <c r="N2380">
        <v>495</v>
      </c>
    </row>
    <row r="2381" spans="1:14" x14ac:dyDescent="0.35">
      <c r="A2381" t="s">
        <v>2480</v>
      </c>
      <c r="B2381" t="s">
        <v>15</v>
      </c>
      <c r="C2381" t="s">
        <v>16</v>
      </c>
      <c r="D2381">
        <v>202</v>
      </c>
      <c r="E2381" t="s">
        <v>2463</v>
      </c>
      <c r="F2381">
        <v>5419</v>
      </c>
      <c r="G2381" t="s">
        <v>18</v>
      </c>
      <c r="H2381">
        <v>27</v>
      </c>
      <c r="I2381" t="s">
        <v>19</v>
      </c>
      <c r="J2381">
        <v>2004</v>
      </c>
      <c r="K2381">
        <v>2004</v>
      </c>
      <c r="L2381" t="s">
        <v>20</v>
      </c>
      <c r="M2381">
        <v>24139</v>
      </c>
      <c r="N2381">
        <v>495</v>
      </c>
    </row>
    <row r="2382" spans="1:14" x14ac:dyDescent="0.35">
      <c r="A2382" t="s">
        <v>2481</v>
      </c>
      <c r="B2382" t="s">
        <v>15</v>
      </c>
      <c r="C2382" t="s">
        <v>16</v>
      </c>
      <c r="D2382">
        <v>202</v>
      </c>
      <c r="E2382" t="s">
        <v>2463</v>
      </c>
      <c r="F2382">
        <v>5419</v>
      </c>
      <c r="G2382" t="s">
        <v>18</v>
      </c>
      <c r="H2382">
        <v>27</v>
      </c>
      <c r="I2382" t="s">
        <v>19</v>
      </c>
      <c r="J2382">
        <v>2005</v>
      </c>
      <c r="K2382">
        <v>2005</v>
      </c>
      <c r="L2382" t="s">
        <v>20</v>
      </c>
      <c r="M2382">
        <v>24452</v>
      </c>
      <c r="N2382">
        <v>495</v>
      </c>
    </row>
    <row r="2383" spans="1:14" x14ac:dyDescent="0.35">
      <c r="A2383" t="s">
        <v>2482</v>
      </c>
      <c r="B2383" t="s">
        <v>15</v>
      </c>
      <c r="C2383" t="s">
        <v>16</v>
      </c>
      <c r="D2383">
        <v>202</v>
      </c>
      <c r="E2383" t="s">
        <v>2463</v>
      </c>
      <c r="F2383">
        <v>5419</v>
      </c>
      <c r="G2383" t="s">
        <v>18</v>
      </c>
      <c r="H2383">
        <v>27</v>
      </c>
      <c r="I2383" t="s">
        <v>19</v>
      </c>
      <c r="J2383">
        <v>2006</v>
      </c>
      <c r="K2383">
        <v>2006</v>
      </c>
      <c r="L2383" t="s">
        <v>20</v>
      </c>
      <c r="M2383">
        <v>24755</v>
      </c>
      <c r="N2383">
        <v>495</v>
      </c>
    </row>
    <row r="2384" spans="1:14" x14ac:dyDescent="0.35">
      <c r="A2384" t="s">
        <v>2483</v>
      </c>
      <c r="B2384" t="s">
        <v>15</v>
      </c>
      <c r="C2384" t="s">
        <v>16</v>
      </c>
      <c r="D2384">
        <v>202</v>
      </c>
      <c r="E2384" t="s">
        <v>2463</v>
      </c>
      <c r="F2384">
        <v>5419</v>
      </c>
      <c r="G2384" t="s">
        <v>18</v>
      </c>
      <c r="H2384">
        <v>27</v>
      </c>
      <c r="I2384" t="s">
        <v>19</v>
      </c>
      <c r="J2384">
        <v>2007</v>
      </c>
      <c r="K2384">
        <v>2007</v>
      </c>
      <c r="L2384" t="s">
        <v>20</v>
      </c>
      <c r="M2384">
        <v>25048</v>
      </c>
      <c r="N2384">
        <v>495</v>
      </c>
    </row>
    <row r="2385" spans="1:14" x14ac:dyDescent="0.35">
      <c r="A2385" t="s">
        <v>2484</v>
      </c>
      <c r="B2385" t="s">
        <v>15</v>
      </c>
      <c r="C2385" t="s">
        <v>16</v>
      </c>
      <c r="D2385">
        <v>202</v>
      </c>
      <c r="E2385" t="s">
        <v>2463</v>
      </c>
      <c r="F2385">
        <v>5419</v>
      </c>
      <c r="G2385" t="s">
        <v>18</v>
      </c>
      <c r="H2385">
        <v>27</v>
      </c>
      <c r="I2385" t="s">
        <v>19</v>
      </c>
      <c r="J2385">
        <v>2008</v>
      </c>
      <c r="K2385">
        <v>2008</v>
      </c>
      <c r="L2385" t="s">
        <v>20</v>
      </c>
      <c r="M2385">
        <v>25334</v>
      </c>
      <c r="N2385">
        <v>495</v>
      </c>
    </row>
    <row r="2386" spans="1:14" x14ac:dyDescent="0.35">
      <c r="A2386" t="s">
        <v>2485</v>
      </c>
      <c r="B2386" t="s">
        <v>15</v>
      </c>
      <c r="C2386" t="s">
        <v>16</v>
      </c>
      <c r="D2386">
        <v>202</v>
      </c>
      <c r="E2386" t="s">
        <v>2463</v>
      </c>
      <c r="F2386">
        <v>5419</v>
      </c>
      <c r="G2386" t="s">
        <v>18</v>
      </c>
      <c r="H2386">
        <v>27</v>
      </c>
      <c r="I2386" t="s">
        <v>19</v>
      </c>
      <c r="J2386">
        <v>2009</v>
      </c>
      <c r="K2386">
        <v>2009</v>
      </c>
      <c r="L2386" t="s">
        <v>20</v>
      </c>
      <c r="M2386">
        <v>25612</v>
      </c>
      <c r="N2386">
        <v>495</v>
      </c>
    </row>
    <row r="2387" spans="1:14" x14ac:dyDescent="0.35">
      <c r="A2387" t="s">
        <v>2486</v>
      </c>
      <c r="B2387" t="s">
        <v>15</v>
      </c>
      <c r="C2387" t="s">
        <v>16</v>
      </c>
      <c r="D2387">
        <v>202</v>
      </c>
      <c r="E2387" t="s">
        <v>2463</v>
      </c>
      <c r="F2387">
        <v>5419</v>
      </c>
      <c r="G2387" t="s">
        <v>18</v>
      </c>
      <c r="H2387">
        <v>27</v>
      </c>
      <c r="I2387" t="s">
        <v>19</v>
      </c>
      <c r="J2387">
        <v>2010</v>
      </c>
      <c r="K2387">
        <v>2010</v>
      </c>
      <c r="L2387" t="s">
        <v>20</v>
      </c>
      <c r="M2387">
        <v>25885</v>
      </c>
      <c r="N2387">
        <v>495</v>
      </c>
    </row>
    <row r="2388" spans="1:14" x14ac:dyDescent="0.35">
      <c r="A2388" t="s">
        <v>2487</v>
      </c>
      <c r="B2388" t="s">
        <v>15</v>
      </c>
      <c r="C2388" t="s">
        <v>16</v>
      </c>
      <c r="D2388">
        <v>202</v>
      </c>
      <c r="E2388" t="s">
        <v>2463</v>
      </c>
      <c r="F2388">
        <v>5419</v>
      </c>
      <c r="G2388" t="s">
        <v>18</v>
      </c>
      <c r="H2388">
        <v>27</v>
      </c>
      <c r="I2388" t="s">
        <v>19</v>
      </c>
      <c r="J2388">
        <v>2011</v>
      </c>
      <c r="K2388">
        <v>2011</v>
      </c>
      <c r="L2388" t="s">
        <v>20</v>
      </c>
      <c r="M2388">
        <v>26151</v>
      </c>
      <c r="N2388">
        <v>495</v>
      </c>
    </row>
    <row r="2389" spans="1:14" x14ac:dyDescent="0.35">
      <c r="A2389" t="s">
        <v>2488</v>
      </c>
      <c r="B2389" t="s">
        <v>15</v>
      </c>
      <c r="C2389" t="s">
        <v>16</v>
      </c>
      <c r="D2389">
        <v>202</v>
      </c>
      <c r="E2389" t="s">
        <v>2463</v>
      </c>
      <c r="F2389">
        <v>5419</v>
      </c>
      <c r="G2389" t="s">
        <v>18</v>
      </c>
      <c r="H2389">
        <v>27</v>
      </c>
      <c r="I2389" t="s">
        <v>19</v>
      </c>
      <c r="J2389">
        <v>2012</v>
      </c>
      <c r="K2389">
        <v>2012</v>
      </c>
      <c r="L2389" t="s">
        <v>20</v>
      </c>
      <c r="M2389">
        <v>27273</v>
      </c>
      <c r="N2389">
        <v>495</v>
      </c>
    </row>
    <row r="2390" spans="1:14" x14ac:dyDescent="0.35">
      <c r="A2390" t="s">
        <v>2489</v>
      </c>
      <c r="B2390" t="s">
        <v>15</v>
      </c>
      <c r="C2390" t="s">
        <v>16</v>
      </c>
      <c r="D2390">
        <v>202</v>
      </c>
      <c r="E2390" t="s">
        <v>2463</v>
      </c>
      <c r="F2390">
        <v>5419</v>
      </c>
      <c r="G2390" t="s">
        <v>18</v>
      </c>
      <c r="H2390">
        <v>27</v>
      </c>
      <c r="I2390" t="s">
        <v>19</v>
      </c>
      <c r="J2390">
        <v>2013</v>
      </c>
      <c r="K2390">
        <v>2013</v>
      </c>
      <c r="L2390" t="s">
        <v>20</v>
      </c>
      <c r="M2390">
        <v>26087</v>
      </c>
      <c r="N2390">
        <v>495</v>
      </c>
    </row>
    <row r="2391" spans="1:14" x14ac:dyDescent="0.35">
      <c r="A2391" t="s">
        <v>2490</v>
      </c>
      <c r="B2391" t="s">
        <v>15</v>
      </c>
      <c r="C2391" t="s">
        <v>16</v>
      </c>
      <c r="D2391">
        <v>202</v>
      </c>
      <c r="E2391" t="s">
        <v>2463</v>
      </c>
      <c r="F2391">
        <v>5419</v>
      </c>
      <c r="G2391" t="s">
        <v>18</v>
      </c>
      <c r="H2391">
        <v>27</v>
      </c>
      <c r="I2391" t="s">
        <v>19</v>
      </c>
      <c r="J2391">
        <v>2014</v>
      </c>
      <c r="K2391">
        <v>2014</v>
      </c>
      <c r="L2391" t="s">
        <v>20</v>
      </c>
      <c r="M2391">
        <v>26702</v>
      </c>
      <c r="N2391">
        <v>495</v>
      </c>
    </row>
    <row r="2392" spans="1:14" x14ac:dyDescent="0.35">
      <c r="A2392" t="s">
        <v>2491</v>
      </c>
      <c r="B2392" t="s">
        <v>15</v>
      </c>
      <c r="C2392" t="s">
        <v>16</v>
      </c>
      <c r="D2392">
        <v>202</v>
      </c>
      <c r="E2392" t="s">
        <v>2463</v>
      </c>
      <c r="F2392">
        <v>5419</v>
      </c>
      <c r="G2392" t="s">
        <v>18</v>
      </c>
      <c r="H2392">
        <v>27</v>
      </c>
      <c r="I2392" t="s">
        <v>19</v>
      </c>
      <c r="J2392">
        <v>2015</v>
      </c>
      <c r="K2392">
        <v>2015</v>
      </c>
      <c r="L2392" t="s">
        <v>20</v>
      </c>
      <c r="M2392">
        <v>26949</v>
      </c>
      <c r="N2392">
        <v>495</v>
      </c>
    </row>
    <row r="2393" spans="1:14" x14ac:dyDescent="0.35">
      <c r="A2393" t="s">
        <v>2492</v>
      </c>
      <c r="B2393" t="s">
        <v>15</v>
      </c>
      <c r="C2393" t="s">
        <v>16</v>
      </c>
      <c r="D2393">
        <v>202</v>
      </c>
      <c r="E2393" t="s">
        <v>2463</v>
      </c>
      <c r="F2393">
        <v>5419</v>
      </c>
      <c r="G2393" t="s">
        <v>18</v>
      </c>
      <c r="H2393">
        <v>27</v>
      </c>
      <c r="I2393" t="s">
        <v>19</v>
      </c>
      <c r="J2393">
        <v>2016</v>
      </c>
      <c r="K2393">
        <v>2016</v>
      </c>
      <c r="L2393" t="s">
        <v>20</v>
      </c>
      <c r="M2393">
        <v>27212</v>
      </c>
      <c r="N2393">
        <v>495</v>
      </c>
    </row>
    <row r="2394" spans="1:14" x14ac:dyDescent="0.35">
      <c r="A2394" t="s">
        <v>2493</v>
      </c>
      <c r="B2394" t="s">
        <v>15</v>
      </c>
      <c r="C2394" t="s">
        <v>16</v>
      </c>
      <c r="D2394">
        <v>203</v>
      </c>
      <c r="E2394" t="s">
        <v>2494</v>
      </c>
      <c r="F2394">
        <v>5419</v>
      </c>
      <c r="G2394" t="s">
        <v>18</v>
      </c>
      <c r="H2394">
        <v>27</v>
      </c>
      <c r="I2394" t="s">
        <v>19</v>
      </c>
      <c r="J2394">
        <v>1985</v>
      </c>
      <c r="K2394">
        <v>1985</v>
      </c>
      <c r="L2394" t="s">
        <v>20</v>
      </c>
      <c r="M2394">
        <v>61980</v>
      </c>
      <c r="N2394">
        <v>636</v>
      </c>
    </row>
    <row r="2395" spans="1:14" x14ac:dyDescent="0.35">
      <c r="A2395" t="s">
        <v>2495</v>
      </c>
      <c r="B2395" t="s">
        <v>15</v>
      </c>
      <c r="C2395" t="s">
        <v>16</v>
      </c>
      <c r="D2395">
        <v>203</v>
      </c>
      <c r="E2395" t="s">
        <v>2494</v>
      </c>
      <c r="F2395">
        <v>5419</v>
      </c>
      <c r="G2395" t="s">
        <v>18</v>
      </c>
      <c r="H2395">
        <v>27</v>
      </c>
      <c r="I2395" t="s">
        <v>19</v>
      </c>
      <c r="J2395">
        <v>1986</v>
      </c>
      <c r="K2395">
        <v>1986</v>
      </c>
      <c r="L2395" t="s">
        <v>20</v>
      </c>
      <c r="M2395">
        <v>63245</v>
      </c>
      <c r="N2395">
        <v>636</v>
      </c>
    </row>
    <row r="2396" spans="1:14" x14ac:dyDescent="0.35">
      <c r="A2396" t="s">
        <v>2496</v>
      </c>
      <c r="B2396" t="s">
        <v>15</v>
      </c>
      <c r="C2396" t="s">
        <v>16</v>
      </c>
      <c r="D2396">
        <v>203</v>
      </c>
      <c r="E2396" t="s">
        <v>2494</v>
      </c>
      <c r="F2396">
        <v>5419</v>
      </c>
      <c r="G2396" t="s">
        <v>18</v>
      </c>
      <c r="H2396">
        <v>27</v>
      </c>
      <c r="I2396" t="s">
        <v>19</v>
      </c>
      <c r="J2396">
        <v>1987</v>
      </c>
      <c r="K2396">
        <v>1987</v>
      </c>
      <c r="L2396" t="s">
        <v>20</v>
      </c>
      <c r="M2396">
        <v>63284</v>
      </c>
      <c r="N2396">
        <v>636</v>
      </c>
    </row>
    <row r="2397" spans="1:14" x14ac:dyDescent="0.35">
      <c r="A2397" t="s">
        <v>2497</v>
      </c>
      <c r="B2397" t="s">
        <v>15</v>
      </c>
      <c r="C2397" t="s">
        <v>16</v>
      </c>
      <c r="D2397">
        <v>203</v>
      </c>
      <c r="E2397" t="s">
        <v>2494</v>
      </c>
      <c r="F2397">
        <v>5419</v>
      </c>
      <c r="G2397" t="s">
        <v>18</v>
      </c>
      <c r="H2397">
        <v>27</v>
      </c>
      <c r="I2397" t="s">
        <v>19</v>
      </c>
      <c r="J2397">
        <v>1989</v>
      </c>
      <c r="K2397">
        <v>1989</v>
      </c>
      <c r="L2397" t="s">
        <v>20</v>
      </c>
      <c r="M2397">
        <v>58410</v>
      </c>
      <c r="N2397">
        <v>636</v>
      </c>
    </row>
    <row r="2398" spans="1:14" x14ac:dyDescent="0.35">
      <c r="A2398" t="s">
        <v>2498</v>
      </c>
      <c r="B2398" t="s">
        <v>15</v>
      </c>
      <c r="C2398" t="s">
        <v>16</v>
      </c>
      <c r="D2398">
        <v>203</v>
      </c>
      <c r="E2398" t="s">
        <v>2494</v>
      </c>
      <c r="F2398">
        <v>5419</v>
      </c>
      <c r="G2398" t="s">
        <v>18</v>
      </c>
      <c r="H2398">
        <v>27</v>
      </c>
      <c r="I2398" t="s">
        <v>19</v>
      </c>
      <c r="J2398">
        <v>1990</v>
      </c>
      <c r="K2398">
        <v>1990</v>
      </c>
      <c r="L2398" t="s">
        <v>20</v>
      </c>
      <c r="M2398">
        <v>63209</v>
      </c>
      <c r="N2398">
        <v>636</v>
      </c>
    </row>
    <row r="2399" spans="1:14" x14ac:dyDescent="0.35">
      <c r="A2399" t="s">
        <v>2499</v>
      </c>
      <c r="B2399" t="s">
        <v>15</v>
      </c>
      <c r="C2399" t="s">
        <v>16</v>
      </c>
      <c r="D2399">
        <v>203</v>
      </c>
      <c r="E2399" t="s">
        <v>2494</v>
      </c>
      <c r="F2399">
        <v>5419</v>
      </c>
      <c r="G2399" t="s">
        <v>18</v>
      </c>
      <c r="H2399">
        <v>27</v>
      </c>
      <c r="I2399" t="s">
        <v>19</v>
      </c>
      <c r="J2399">
        <v>1991</v>
      </c>
      <c r="K2399">
        <v>1991</v>
      </c>
      <c r="L2399" t="s">
        <v>20</v>
      </c>
      <c r="M2399">
        <v>62082</v>
      </c>
      <c r="N2399">
        <v>636</v>
      </c>
    </row>
    <row r="2400" spans="1:14" x14ac:dyDescent="0.35">
      <c r="A2400" t="s">
        <v>2500</v>
      </c>
      <c r="B2400" t="s">
        <v>15</v>
      </c>
      <c r="C2400" t="s">
        <v>16</v>
      </c>
      <c r="D2400">
        <v>203</v>
      </c>
      <c r="E2400" t="s">
        <v>2494</v>
      </c>
      <c r="F2400">
        <v>5419</v>
      </c>
      <c r="G2400" t="s">
        <v>18</v>
      </c>
      <c r="H2400">
        <v>27</v>
      </c>
      <c r="I2400" t="s">
        <v>19</v>
      </c>
      <c r="J2400">
        <v>1992</v>
      </c>
      <c r="K2400">
        <v>1992</v>
      </c>
      <c r="L2400" t="s">
        <v>20</v>
      </c>
      <c r="M2400">
        <v>64481</v>
      </c>
      <c r="N2400">
        <v>636</v>
      </c>
    </row>
    <row r="2401" spans="1:14" x14ac:dyDescent="0.35">
      <c r="A2401" t="s">
        <v>2501</v>
      </c>
      <c r="B2401" t="s">
        <v>15</v>
      </c>
      <c r="C2401" t="s">
        <v>16</v>
      </c>
      <c r="D2401">
        <v>203</v>
      </c>
      <c r="E2401" t="s">
        <v>2494</v>
      </c>
      <c r="F2401">
        <v>5419</v>
      </c>
      <c r="G2401" t="s">
        <v>18</v>
      </c>
      <c r="H2401">
        <v>27</v>
      </c>
      <c r="I2401" t="s">
        <v>19</v>
      </c>
      <c r="J2401">
        <v>1993</v>
      </c>
      <c r="K2401">
        <v>1993</v>
      </c>
      <c r="L2401" t="s">
        <v>20</v>
      </c>
      <c r="M2401">
        <v>66694</v>
      </c>
      <c r="N2401">
        <v>636</v>
      </c>
    </row>
    <row r="2402" spans="1:14" x14ac:dyDescent="0.35">
      <c r="A2402" t="s">
        <v>2502</v>
      </c>
      <c r="B2402" t="s">
        <v>15</v>
      </c>
      <c r="C2402" t="s">
        <v>16</v>
      </c>
      <c r="D2402">
        <v>203</v>
      </c>
      <c r="E2402" t="s">
        <v>2494</v>
      </c>
      <c r="F2402">
        <v>5419</v>
      </c>
      <c r="G2402" t="s">
        <v>18</v>
      </c>
      <c r="H2402">
        <v>27</v>
      </c>
      <c r="I2402" t="s">
        <v>19</v>
      </c>
      <c r="J2402">
        <v>1994</v>
      </c>
      <c r="K2402">
        <v>1994</v>
      </c>
      <c r="L2402" t="s">
        <v>20</v>
      </c>
      <c r="M2402">
        <v>61109</v>
      </c>
      <c r="N2402">
        <v>636</v>
      </c>
    </row>
    <row r="2403" spans="1:14" x14ac:dyDescent="0.35">
      <c r="A2403" t="s">
        <v>2503</v>
      </c>
      <c r="B2403" t="s">
        <v>15</v>
      </c>
      <c r="C2403" t="s">
        <v>16</v>
      </c>
      <c r="D2403">
        <v>203</v>
      </c>
      <c r="E2403" t="s">
        <v>2494</v>
      </c>
      <c r="F2403">
        <v>5419</v>
      </c>
      <c r="G2403" t="s">
        <v>18</v>
      </c>
      <c r="H2403">
        <v>27</v>
      </c>
      <c r="I2403" t="s">
        <v>19</v>
      </c>
      <c r="J2403">
        <v>1995</v>
      </c>
      <c r="K2403">
        <v>1995</v>
      </c>
      <c r="L2403" t="s">
        <v>20</v>
      </c>
      <c r="M2403">
        <v>60459</v>
      </c>
      <c r="N2403">
        <v>636</v>
      </c>
    </row>
    <row r="2404" spans="1:14" x14ac:dyDescent="0.35">
      <c r="A2404" t="s">
        <v>2504</v>
      </c>
      <c r="B2404" t="s">
        <v>15</v>
      </c>
      <c r="C2404" t="s">
        <v>16</v>
      </c>
      <c r="D2404">
        <v>203</v>
      </c>
      <c r="E2404" t="s">
        <v>2494</v>
      </c>
      <c r="F2404">
        <v>5419</v>
      </c>
      <c r="G2404" t="s">
        <v>18</v>
      </c>
      <c r="H2404">
        <v>27</v>
      </c>
      <c r="I2404" t="s">
        <v>19</v>
      </c>
      <c r="J2404">
        <v>1996</v>
      </c>
      <c r="K2404">
        <v>1996</v>
      </c>
      <c r="L2404" t="s">
        <v>20</v>
      </c>
      <c r="M2404">
        <v>69838</v>
      </c>
      <c r="N2404">
        <v>636</v>
      </c>
    </row>
    <row r="2405" spans="1:14" x14ac:dyDescent="0.35">
      <c r="A2405" t="s">
        <v>2505</v>
      </c>
      <c r="B2405" t="s">
        <v>15</v>
      </c>
      <c r="C2405" t="s">
        <v>16</v>
      </c>
      <c r="D2405">
        <v>203</v>
      </c>
      <c r="E2405" t="s">
        <v>2494</v>
      </c>
      <c r="F2405">
        <v>5419</v>
      </c>
      <c r="G2405" t="s">
        <v>18</v>
      </c>
      <c r="H2405">
        <v>27</v>
      </c>
      <c r="I2405" t="s">
        <v>19</v>
      </c>
      <c r="J2405">
        <v>1997</v>
      </c>
      <c r="K2405">
        <v>1997</v>
      </c>
      <c r="L2405" t="s">
        <v>20</v>
      </c>
      <c r="M2405">
        <v>68295</v>
      </c>
      <c r="N2405">
        <v>636</v>
      </c>
    </row>
    <row r="2406" spans="1:14" x14ac:dyDescent="0.35">
      <c r="A2406" t="s">
        <v>2506</v>
      </c>
      <c r="B2406" t="s">
        <v>15</v>
      </c>
      <c r="C2406" t="s">
        <v>16</v>
      </c>
      <c r="D2406">
        <v>203</v>
      </c>
      <c r="E2406" t="s">
        <v>2494</v>
      </c>
      <c r="F2406">
        <v>5419</v>
      </c>
      <c r="G2406" t="s">
        <v>18</v>
      </c>
      <c r="H2406">
        <v>27</v>
      </c>
      <c r="I2406" t="s">
        <v>19</v>
      </c>
      <c r="J2406">
        <v>1998</v>
      </c>
      <c r="K2406">
        <v>1998</v>
      </c>
      <c r="L2406" t="s">
        <v>20</v>
      </c>
      <c r="M2406">
        <v>70657</v>
      </c>
      <c r="N2406">
        <v>636</v>
      </c>
    </row>
    <row r="2407" spans="1:14" x14ac:dyDescent="0.35">
      <c r="A2407" t="s">
        <v>2507</v>
      </c>
      <c r="B2407" t="s">
        <v>15</v>
      </c>
      <c r="C2407" t="s">
        <v>16</v>
      </c>
      <c r="D2407">
        <v>203</v>
      </c>
      <c r="E2407" t="s">
        <v>2494</v>
      </c>
      <c r="F2407">
        <v>5419</v>
      </c>
      <c r="G2407" t="s">
        <v>18</v>
      </c>
      <c r="H2407">
        <v>27</v>
      </c>
      <c r="I2407" t="s">
        <v>19</v>
      </c>
      <c r="J2407">
        <v>1999</v>
      </c>
      <c r="K2407">
        <v>1999</v>
      </c>
      <c r="L2407" t="s">
        <v>20</v>
      </c>
      <c r="M2407">
        <v>75388</v>
      </c>
      <c r="N2407">
        <v>636</v>
      </c>
    </row>
    <row r="2408" spans="1:14" x14ac:dyDescent="0.35">
      <c r="A2408" t="s">
        <v>2508</v>
      </c>
      <c r="B2408" t="s">
        <v>15</v>
      </c>
      <c r="C2408" t="s">
        <v>16</v>
      </c>
      <c r="D2408">
        <v>203</v>
      </c>
      <c r="E2408" t="s">
        <v>2494</v>
      </c>
      <c r="F2408">
        <v>5419</v>
      </c>
      <c r="G2408" t="s">
        <v>18</v>
      </c>
      <c r="H2408">
        <v>27</v>
      </c>
      <c r="I2408" t="s">
        <v>19</v>
      </c>
      <c r="J2408">
        <v>2000</v>
      </c>
      <c r="K2408">
        <v>2000</v>
      </c>
      <c r="L2408" t="s">
        <v>20</v>
      </c>
      <c r="M2408">
        <v>70661</v>
      </c>
      <c r="N2408">
        <v>636</v>
      </c>
    </row>
    <row r="2409" spans="1:14" x14ac:dyDescent="0.35">
      <c r="A2409" t="s">
        <v>2509</v>
      </c>
      <c r="B2409" t="s">
        <v>15</v>
      </c>
      <c r="C2409" t="s">
        <v>16</v>
      </c>
      <c r="D2409">
        <v>203</v>
      </c>
      <c r="E2409" t="s">
        <v>2494</v>
      </c>
      <c r="F2409">
        <v>5419</v>
      </c>
      <c r="G2409" t="s">
        <v>18</v>
      </c>
      <c r="H2409">
        <v>27</v>
      </c>
      <c r="I2409" t="s">
        <v>19</v>
      </c>
      <c r="J2409">
        <v>2001</v>
      </c>
      <c r="K2409">
        <v>2001</v>
      </c>
      <c r="L2409" t="s">
        <v>20</v>
      </c>
      <c r="M2409">
        <v>75795</v>
      </c>
      <c r="N2409">
        <v>636</v>
      </c>
    </row>
    <row r="2410" spans="1:14" x14ac:dyDescent="0.35">
      <c r="A2410" t="s">
        <v>2510</v>
      </c>
      <c r="B2410" t="s">
        <v>15</v>
      </c>
      <c r="C2410" t="s">
        <v>16</v>
      </c>
      <c r="D2410">
        <v>203</v>
      </c>
      <c r="E2410" t="s">
        <v>2494</v>
      </c>
      <c r="F2410">
        <v>5419</v>
      </c>
      <c r="G2410" t="s">
        <v>18</v>
      </c>
      <c r="H2410">
        <v>27</v>
      </c>
      <c r="I2410" t="s">
        <v>19</v>
      </c>
      <c r="J2410">
        <v>2002</v>
      </c>
      <c r="K2410">
        <v>2002</v>
      </c>
      <c r="L2410" t="s">
        <v>20</v>
      </c>
      <c r="M2410">
        <v>72172</v>
      </c>
      <c r="N2410">
        <v>636</v>
      </c>
    </row>
    <row r="2411" spans="1:14" x14ac:dyDescent="0.35">
      <c r="A2411" t="s">
        <v>2511</v>
      </c>
      <c r="B2411" t="s">
        <v>15</v>
      </c>
      <c r="C2411" t="s">
        <v>16</v>
      </c>
      <c r="D2411">
        <v>203</v>
      </c>
      <c r="E2411" t="s">
        <v>2494</v>
      </c>
      <c r="F2411">
        <v>5419</v>
      </c>
      <c r="G2411" t="s">
        <v>18</v>
      </c>
      <c r="H2411">
        <v>27</v>
      </c>
      <c r="I2411" t="s">
        <v>19</v>
      </c>
      <c r="J2411">
        <v>2004</v>
      </c>
      <c r="K2411">
        <v>2004</v>
      </c>
      <c r="L2411" t="s">
        <v>20</v>
      </c>
      <c r="M2411">
        <v>72015</v>
      </c>
      <c r="N2411">
        <v>636</v>
      </c>
    </row>
    <row r="2412" spans="1:14" x14ac:dyDescent="0.35">
      <c r="A2412" t="s">
        <v>2512</v>
      </c>
      <c r="B2412" t="s">
        <v>15</v>
      </c>
      <c r="C2412" t="s">
        <v>16</v>
      </c>
      <c r="D2412">
        <v>203</v>
      </c>
      <c r="E2412" t="s">
        <v>2494</v>
      </c>
      <c r="F2412">
        <v>5419</v>
      </c>
      <c r="G2412" t="s">
        <v>18</v>
      </c>
      <c r="H2412">
        <v>27</v>
      </c>
      <c r="I2412" t="s">
        <v>19</v>
      </c>
      <c r="J2412">
        <v>2005</v>
      </c>
      <c r="K2412">
        <v>2005</v>
      </c>
      <c r="L2412" t="s">
        <v>20</v>
      </c>
      <c r="M2412">
        <v>69166</v>
      </c>
      <c r="N2412">
        <v>636</v>
      </c>
    </row>
    <row r="2413" spans="1:14" x14ac:dyDescent="0.35">
      <c r="A2413" t="s">
        <v>2513</v>
      </c>
      <c r="B2413" t="s">
        <v>15</v>
      </c>
      <c r="C2413" t="s">
        <v>16</v>
      </c>
      <c r="D2413">
        <v>203</v>
      </c>
      <c r="E2413" t="s">
        <v>2494</v>
      </c>
      <c r="F2413">
        <v>5419</v>
      </c>
      <c r="G2413" t="s">
        <v>18</v>
      </c>
      <c r="H2413">
        <v>27</v>
      </c>
      <c r="I2413" t="s">
        <v>19</v>
      </c>
      <c r="J2413">
        <v>2006</v>
      </c>
      <c r="K2413">
        <v>2006</v>
      </c>
      <c r="L2413" t="s">
        <v>20</v>
      </c>
      <c r="M2413">
        <v>67992</v>
      </c>
      <c r="N2413">
        <v>636</v>
      </c>
    </row>
    <row r="2414" spans="1:14" x14ac:dyDescent="0.35">
      <c r="A2414" t="s">
        <v>2514</v>
      </c>
      <c r="B2414" t="s">
        <v>15</v>
      </c>
      <c r="C2414" t="s">
        <v>16</v>
      </c>
      <c r="D2414">
        <v>203</v>
      </c>
      <c r="E2414" t="s">
        <v>2494</v>
      </c>
      <c r="F2414">
        <v>5419</v>
      </c>
      <c r="G2414" t="s">
        <v>18</v>
      </c>
      <c r="H2414">
        <v>27</v>
      </c>
      <c r="I2414" t="s">
        <v>19</v>
      </c>
      <c r="J2414">
        <v>2007</v>
      </c>
      <c r="K2414">
        <v>2007</v>
      </c>
      <c r="L2414" t="s">
        <v>20</v>
      </c>
      <c r="M2414">
        <v>71228</v>
      </c>
      <c r="N2414">
        <v>636</v>
      </c>
    </row>
    <row r="2415" spans="1:14" x14ac:dyDescent="0.35">
      <c r="A2415" t="s">
        <v>2515</v>
      </c>
      <c r="B2415" t="s">
        <v>15</v>
      </c>
      <c r="C2415" t="s">
        <v>16</v>
      </c>
      <c r="D2415">
        <v>203</v>
      </c>
      <c r="E2415" t="s">
        <v>2494</v>
      </c>
      <c r="F2415">
        <v>5419</v>
      </c>
      <c r="G2415" t="s">
        <v>18</v>
      </c>
      <c r="H2415">
        <v>27</v>
      </c>
      <c r="I2415" t="s">
        <v>19</v>
      </c>
      <c r="J2415">
        <v>2008</v>
      </c>
      <c r="K2415">
        <v>2008</v>
      </c>
      <c r="L2415" t="s">
        <v>20</v>
      </c>
      <c r="M2415">
        <v>69220</v>
      </c>
      <c r="N2415">
        <v>636</v>
      </c>
    </row>
    <row r="2416" spans="1:14" x14ac:dyDescent="0.35">
      <c r="A2416" t="s">
        <v>2516</v>
      </c>
      <c r="B2416" t="s">
        <v>15</v>
      </c>
      <c r="C2416" t="s">
        <v>16</v>
      </c>
      <c r="D2416">
        <v>203</v>
      </c>
      <c r="E2416" t="s">
        <v>2494</v>
      </c>
      <c r="F2416">
        <v>5419</v>
      </c>
      <c r="G2416" t="s">
        <v>18</v>
      </c>
      <c r="H2416">
        <v>27</v>
      </c>
      <c r="I2416" t="s">
        <v>19</v>
      </c>
      <c r="J2416">
        <v>2009</v>
      </c>
      <c r="K2416">
        <v>2009</v>
      </c>
      <c r="L2416" t="s">
        <v>20</v>
      </c>
      <c r="M2416">
        <v>76593</v>
      </c>
      <c r="N2416">
        <v>636</v>
      </c>
    </row>
    <row r="2417" spans="1:14" x14ac:dyDescent="0.35">
      <c r="A2417" t="s">
        <v>2517</v>
      </c>
      <c r="B2417" t="s">
        <v>15</v>
      </c>
      <c r="C2417" t="s">
        <v>16</v>
      </c>
      <c r="D2417">
        <v>203</v>
      </c>
      <c r="E2417" t="s">
        <v>2494</v>
      </c>
      <c r="F2417">
        <v>5419</v>
      </c>
      <c r="G2417" t="s">
        <v>18</v>
      </c>
      <c r="H2417">
        <v>27</v>
      </c>
      <c r="I2417" t="s">
        <v>19</v>
      </c>
      <c r="J2417">
        <v>2010</v>
      </c>
      <c r="K2417">
        <v>2010</v>
      </c>
      <c r="L2417" t="s">
        <v>20</v>
      </c>
      <c r="M2417">
        <v>75936</v>
      </c>
      <c r="N2417">
        <v>636</v>
      </c>
    </row>
    <row r="2418" spans="1:14" x14ac:dyDescent="0.35">
      <c r="A2418" t="s">
        <v>2518</v>
      </c>
      <c r="B2418" t="s">
        <v>15</v>
      </c>
      <c r="C2418" t="s">
        <v>16</v>
      </c>
      <c r="D2418">
        <v>203</v>
      </c>
      <c r="E2418" t="s">
        <v>2494</v>
      </c>
      <c r="F2418">
        <v>5419</v>
      </c>
      <c r="G2418" t="s">
        <v>18</v>
      </c>
      <c r="H2418">
        <v>27</v>
      </c>
      <c r="I2418" t="s">
        <v>19</v>
      </c>
      <c r="J2418">
        <v>2011</v>
      </c>
      <c r="K2418">
        <v>2011</v>
      </c>
      <c r="L2418" t="s">
        <v>20</v>
      </c>
      <c r="M2418">
        <v>75800</v>
      </c>
      <c r="N2418">
        <v>636</v>
      </c>
    </row>
    <row r="2419" spans="1:14" x14ac:dyDescent="0.35">
      <c r="A2419" t="s">
        <v>2519</v>
      </c>
      <c r="B2419" t="s">
        <v>15</v>
      </c>
      <c r="C2419" t="s">
        <v>16</v>
      </c>
      <c r="D2419">
        <v>203</v>
      </c>
      <c r="E2419" t="s">
        <v>2494</v>
      </c>
      <c r="F2419">
        <v>5419</v>
      </c>
      <c r="G2419" t="s">
        <v>18</v>
      </c>
      <c r="H2419">
        <v>27</v>
      </c>
      <c r="I2419" t="s">
        <v>19</v>
      </c>
      <c r="J2419">
        <v>2012</v>
      </c>
      <c r="K2419">
        <v>2012</v>
      </c>
      <c r="L2419" t="s">
        <v>20</v>
      </c>
      <c r="M2419">
        <v>79739</v>
      </c>
      <c r="N2419">
        <v>636</v>
      </c>
    </row>
    <row r="2420" spans="1:14" x14ac:dyDescent="0.35">
      <c r="A2420" t="s">
        <v>2520</v>
      </c>
      <c r="B2420" t="s">
        <v>15</v>
      </c>
      <c r="C2420" t="s">
        <v>16</v>
      </c>
      <c r="D2420">
        <v>203</v>
      </c>
      <c r="E2420" t="s">
        <v>2494</v>
      </c>
      <c r="F2420">
        <v>5419</v>
      </c>
      <c r="G2420" t="s">
        <v>18</v>
      </c>
      <c r="H2420">
        <v>27</v>
      </c>
      <c r="I2420" t="s">
        <v>19</v>
      </c>
      <c r="J2420">
        <v>2013</v>
      </c>
      <c r="K2420">
        <v>2013</v>
      </c>
      <c r="L2420" t="s">
        <v>20</v>
      </c>
      <c r="M2420">
        <v>77902</v>
      </c>
      <c r="N2420">
        <v>636</v>
      </c>
    </row>
    <row r="2421" spans="1:14" x14ac:dyDescent="0.35">
      <c r="A2421" t="s">
        <v>2521</v>
      </c>
      <c r="B2421" t="s">
        <v>15</v>
      </c>
      <c r="C2421" t="s">
        <v>16</v>
      </c>
      <c r="D2421">
        <v>203</v>
      </c>
      <c r="E2421" t="s">
        <v>2494</v>
      </c>
      <c r="F2421">
        <v>5419</v>
      </c>
      <c r="G2421" t="s">
        <v>18</v>
      </c>
      <c r="H2421">
        <v>27</v>
      </c>
      <c r="I2421" t="s">
        <v>19</v>
      </c>
      <c r="J2421">
        <v>2014</v>
      </c>
      <c r="K2421">
        <v>2014</v>
      </c>
      <c r="L2421" t="s">
        <v>20</v>
      </c>
      <c r="M2421">
        <v>77985</v>
      </c>
      <c r="N2421">
        <v>636</v>
      </c>
    </row>
    <row r="2422" spans="1:14" x14ac:dyDescent="0.35">
      <c r="A2422" t="s">
        <v>2522</v>
      </c>
      <c r="B2422" t="s">
        <v>15</v>
      </c>
      <c r="C2422" t="s">
        <v>16</v>
      </c>
      <c r="D2422">
        <v>203</v>
      </c>
      <c r="E2422" t="s">
        <v>2494</v>
      </c>
      <c r="F2422">
        <v>5419</v>
      </c>
      <c r="G2422" t="s">
        <v>18</v>
      </c>
      <c r="H2422">
        <v>27</v>
      </c>
      <c r="I2422" t="s">
        <v>19</v>
      </c>
      <c r="J2422">
        <v>2015</v>
      </c>
      <c r="K2422">
        <v>2015</v>
      </c>
      <c r="L2422" t="s">
        <v>20</v>
      </c>
      <c r="M2422">
        <v>77503</v>
      </c>
      <c r="N2422">
        <v>636</v>
      </c>
    </row>
    <row r="2423" spans="1:14" x14ac:dyDescent="0.35">
      <c r="A2423" t="s">
        <v>2523</v>
      </c>
      <c r="B2423" t="s">
        <v>15</v>
      </c>
      <c r="C2423" t="s">
        <v>16</v>
      </c>
      <c r="D2423">
        <v>203</v>
      </c>
      <c r="E2423" t="s">
        <v>2494</v>
      </c>
      <c r="F2423">
        <v>5419</v>
      </c>
      <c r="G2423" t="s">
        <v>18</v>
      </c>
      <c r="H2423">
        <v>27</v>
      </c>
      <c r="I2423" t="s">
        <v>19</v>
      </c>
      <c r="J2423">
        <v>2016</v>
      </c>
      <c r="K2423">
        <v>2016</v>
      </c>
      <c r="L2423" t="s">
        <v>20</v>
      </c>
      <c r="M2423">
        <v>78277</v>
      </c>
      <c r="N2423">
        <v>636</v>
      </c>
    </row>
    <row r="2424" spans="1:14" x14ac:dyDescent="0.35">
      <c r="A2424" t="s">
        <v>2524</v>
      </c>
      <c r="B2424" t="s">
        <v>15</v>
      </c>
      <c r="C2424" t="s">
        <v>16</v>
      </c>
      <c r="D2424">
        <v>38</v>
      </c>
      <c r="E2424" t="s">
        <v>2525</v>
      </c>
      <c r="F2424">
        <v>5419</v>
      </c>
      <c r="G2424" t="s">
        <v>18</v>
      </c>
      <c r="H2424">
        <v>27</v>
      </c>
      <c r="I2424" t="s">
        <v>19</v>
      </c>
      <c r="J2424">
        <v>1985</v>
      </c>
      <c r="K2424">
        <v>1985</v>
      </c>
      <c r="L2424" t="s">
        <v>20</v>
      </c>
      <c r="M2424">
        <v>30777</v>
      </c>
      <c r="N2424">
        <v>1712</v>
      </c>
    </row>
    <row r="2425" spans="1:14" x14ac:dyDescent="0.35">
      <c r="A2425" t="s">
        <v>2526</v>
      </c>
      <c r="B2425" t="s">
        <v>15</v>
      </c>
      <c r="C2425" t="s">
        <v>16</v>
      </c>
      <c r="D2425">
        <v>38</v>
      </c>
      <c r="E2425" t="s">
        <v>2525</v>
      </c>
      <c r="F2425">
        <v>5419</v>
      </c>
      <c r="G2425" t="s">
        <v>18</v>
      </c>
      <c r="H2425">
        <v>27</v>
      </c>
      <c r="I2425" t="s">
        <v>19</v>
      </c>
      <c r="J2425">
        <v>1986</v>
      </c>
      <c r="K2425">
        <v>1986</v>
      </c>
      <c r="L2425" t="s">
        <v>20</v>
      </c>
      <c r="M2425">
        <v>30944</v>
      </c>
      <c r="N2425">
        <v>1712</v>
      </c>
    </row>
    <row r="2426" spans="1:14" x14ac:dyDescent="0.35">
      <c r="A2426" t="s">
        <v>2527</v>
      </c>
      <c r="B2426" t="s">
        <v>15</v>
      </c>
      <c r="C2426" t="s">
        <v>16</v>
      </c>
      <c r="D2426">
        <v>38</v>
      </c>
      <c r="E2426" t="s">
        <v>2525</v>
      </c>
      <c r="F2426">
        <v>5419</v>
      </c>
      <c r="G2426" t="s">
        <v>18</v>
      </c>
      <c r="H2426">
        <v>27</v>
      </c>
      <c r="I2426" t="s">
        <v>19</v>
      </c>
      <c r="J2426">
        <v>1987</v>
      </c>
      <c r="K2426">
        <v>1987</v>
      </c>
      <c r="L2426" t="s">
        <v>20</v>
      </c>
      <c r="M2426">
        <v>31318</v>
      </c>
      <c r="N2426">
        <v>1712</v>
      </c>
    </row>
    <row r="2427" spans="1:14" x14ac:dyDescent="0.35">
      <c r="A2427" t="s">
        <v>2528</v>
      </c>
      <c r="B2427" t="s">
        <v>15</v>
      </c>
      <c r="C2427" t="s">
        <v>16</v>
      </c>
      <c r="D2427">
        <v>38</v>
      </c>
      <c r="E2427" t="s">
        <v>2525</v>
      </c>
      <c r="F2427">
        <v>5419</v>
      </c>
      <c r="G2427" t="s">
        <v>18</v>
      </c>
      <c r="H2427">
        <v>27</v>
      </c>
      <c r="I2427" t="s">
        <v>19</v>
      </c>
      <c r="J2427">
        <v>1989</v>
      </c>
      <c r="K2427">
        <v>1989</v>
      </c>
      <c r="L2427" t="s">
        <v>20</v>
      </c>
      <c r="M2427">
        <v>29916</v>
      </c>
      <c r="N2427">
        <v>1712</v>
      </c>
    </row>
    <row r="2428" spans="1:14" x14ac:dyDescent="0.35">
      <c r="A2428" t="s">
        <v>2529</v>
      </c>
      <c r="B2428" t="s">
        <v>15</v>
      </c>
      <c r="C2428" t="s">
        <v>16</v>
      </c>
      <c r="D2428">
        <v>38</v>
      </c>
      <c r="E2428" t="s">
        <v>2525</v>
      </c>
      <c r="F2428">
        <v>5419</v>
      </c>
      <c r="G2428" t="s">
        <v>18</v>
      </c>
      <c r="H2428">
        <v>27</v>
      </c>
      <c r="I2428" t="s">
        <v>19</v>
      </c>
      <c r="J2428">
        <v>1990</v>
      </c>
      <c r="K2428">
        <v>1990</v>
      </c>
      <c r="L2428" t="s">
        <v>20</v>
      </c>
      <c r="M2428">
        <v>30643</v>
      </c>
      <c r="N2428">
        <v>1712</v>
      </c>
    </row>
    <row r="2429" spans="1:14" x14ac:dyDescent="0.35">
      <c r="A2429" t="s">
        <v>2530</v>
      </c>
      <c r="B2429" t="s">
        <v>15</v>
      </c>
      <c r="C2429" t="s">
        <v>16</v>
      </c>
      <c r="D2429">
        <v>38</v>
      </c>
      <c r="E2429" t="s">
        <v>2525</v>
      </c>
      <c r="F2429">
        <v>5419</v>
      </c>
      <c r="G2429" t="s">
        <v>18</v>
      </c>
      <c r="H2429">
        <v>27</v>
      </c>
      <c r="I2429" t="s">
        <v>19</v>
      </c>
      <c r="J2429">
        <v>1991</v>
      </c>
      <c r="K2429">
        <v>1991</v>
      </c>
      <c r="L2429" t="s">
        <v>20</v>
      </c>
      <c r="M2429">
        <v>30215</v>
      </c>
      <c r="N2429">
        <v>1712</v>
      </c>
    </row>
    <row r="2430" spans="1:14" x14ac:dyDescent="0.35">
      <c r="A2430" t="s">
        <v>2531</v>
      </c>
      <c r="B2430" t="s">
        <v>15</v>
      </c>
      <c r="C2430" t="s">
        <v>16</v>
      </c>
      <c r="D2430">
        <v>38</v>
      </c>
      <c r="E2430" t="s">
        <v>2525</v>
      </c>
      <c r="F2430">
        <v>5419</v>
      </c>
      <c r="G2430" t="s">
        <v>18</v>
      </c>
      <c r="H2430">
        <v>27</v>
      </c>
      <c r="I2430" t="s">
        <v>19</v>
      </c>
      <c r="J2430">
        <v>1992</v>
      </c>
      <c r="K2430">
        <v>1992</v>
      </c>
      <c r="L2430" t="s">
        <v>20</v>
      </c>
      <c r="M2430">
        <v>30544</v>
      </c>
      <c r="N2430">
        <v>1712</v>
      </c>
    </row>
    <row r="2431" spans="1:14" x14ac:dyDescent="0.35">
      <c r="A2431" t="s">
        <v>2532</v>
      </c>
      <c r="B2431" t="s">
        <v>15</v>
      </c>
      <c r="C2431" t="s">
        <v>16</v>
      </c>
      <c r="D2431">
        <v>38</v>
      </c>
      <c r="E2431" t="s">
        <v>2525</v>
      </c>
      <c r="F2431">
        <v>5419</v>
      </c>
      <c r="G2431" t="s">
        <v>18</v>
      </c>
      <c r="H2431">
        <v>27</v>
      </c>
      <c r="I2431" t="s">
        <v>19</v>
      </c>
      <c r="J2431">
        <v>1993</v>
      </c>
      <c r="K2431">
        <v>1993</v>
      </c>
      <c r="L2431" t="s">
        <v>20</v>
      </c>
      <c r="M2431">
        <v>31350</v>
      </c>
      <c r="N2431">
        <v>1712</v>
      </c>
    </row>
    <row r="2432" spans="1:14" x14ac:dyDescent="0.35">
      <c r="A2432" t="s">
        <v>2533</v>
      </c>
      <c r="B2432" t="s">
        <v>15</v>
      </c>
      <c r="C2432" t="s">
        <v>16</v>
      </c>
      <c r="D2432">
        <v>38</v>
      </c>
      <c r="E2432" t="s">
        <v>2525</v>
      </c>
      <c r="F2432">
        <v>5419</v>
      </c>
      <c r="G2432" t="s">
        <v>18</v>
      </c>
      <c r="H2432">
        <v>27</v>
      </c>
      <c r="I2432" t="s">
        <v>19</v>
      </c>
      <c r="J2432">
        <v>1994</v>
      </c>
      <c r="K2432">
        <v>1994</v>
      </c>
      <c r="L2432" t="s">
        <v>20</v>
      </c>
      <c r="M2432">
        <v>29933</v>
      </c>
      <c r="N2432">
        <v>1712</v>
      </c>
    </row>
    <row r="2433" spans="1:14" x14ac:dyDescent="0.35">
      <c r="A2433" t="s">
        <v>2534</v>
      </c>
      <c r="B2433" t="s">
        <v>15</v>
      </c>
      <c r="C2433" t="s">
        <v>16</v>
      </c>
      <c r="D2433">
        <v>38</v>
      </c>
      <c r="E2433" t="s">
        <v>2525</v>
      </c>
      <c r="F2433">
        <v>5419</v>
      </c>
      <c r="G2433" t="s">
        <v>18</v>
      </c>
      <c r="H2433">
        <v>27</v>
      </c>
      <c r="I2433" t="s">
        <v>19</v>
      </c>
      <c r="J2433">
        <v>1995</v>
      </c>
      <c r="K2433">
        <v>1995</v>
      </c>
      <c r="L2433" t="s">
        <v>20</v>
      </c>
      <c r="M2433">
        <v>31586</v>
      </c>
      <c r="N2433">
        <v>1712</v>
      </c>
    </row>
    <row r="2434" spans="1:14" x14ac:dyDescent="0.35">
      <c r="A2434" t="s">
        <v>2535</v>
      </c>
      <c r="B2434" t="s">
        <v>15</v>
      </c>
      <c r="C2434" t="s">
        <v>16</v>
      </c>
      <c r="D2434">
        <v>38</v>
      </c>
      <c r="E2434" t="s">
        <v>2525</v>
      </c>
      <c r="F2434">
        <v>5419</v>
      </c>
      <c r="G2434" t="s">
        <v>18</v>
      </c>
      <c r="H2434">
        <v>27</v>
      </c>
      <c r="I2434" t="s">
        <v>19</v>
      </c>
      <c r="J2434">
        <v>1996</v>
      </c>
      <c r="K2434">
        <v>1996</v>
      </c>
      <c r="L2434" t="s">
        <v>20</v>
      </c>
      <c r="M2434">
        <v>31231</v>
      </c>
      <c r="N2434">
        <v>1712</v>
      </c>
    </row>
    <row r="2435" spans="1:14" x14ac:dyDescent="0.35">
      <c r="A2435" t="s">
        <v>2536</v>
      </c>
      <c r="B2435" t="s">
        <v>15</v>
      </c>
      <c r="C2435" t="s">
        <v>16</v>
      </c>
      <c r="D2435">
        <v>38</v>
      </c>
      <c r="E2435" t="s">
        <v>2525</v>
      </c>
      <c r="F2435">
        <v>5419</v>
      </c>
      <c r="G2435" t="s">
        <v>18</v>
      </c>
      <c r="H2435">
        <v>27</v>
      </c>
      <c r="I2435" t="s">
        <v>19</v>
      </c>
      <c r="J2435">
        <v>1997</v>
      </c>
      <c r="K2435">
        <v>1997</v>
      </c>
      <c r="L2435" t="s">
        <v>20</v>
      </c>
      <c r="M2435">
        <v>32451</v>
      </c>
      <c r="N2435">
        <v>1712</v>
      </c>
    </row>
    <row r="2436" spans="1:14" x14ac:dyDescent="0.35">
      <c r="A2436" t="s">
        <v>2537</v>
      </c>
      <c r="B2436" t="s">
        <v>15</v>
      </c>
      <c r="C2436" t="s">
        <v>16</v>
      </c>
      <c r="D2436">
        <v>38</v>
      </c>
      <c r="E2436" t="s">
        <v>2525</v>
      </c>
      <c r="F2436">
        <v>5419</v>
      </c>
      <c r="G2436" t="s">
        <v>18</v>
      </c>
      <c r="H2436">
        <v>27</v>
      </c>
      <c r="I2436" t="s">
        <v>19</v>
      </c>
      <c r="J2436">
        <v>1998</v>
      </c>
      <c r="K2436">
        <v>1998</v>
      </c>
      <c r="L2436" t="s">
        <v>20</v>
      </c>
      <c r="M2436">
        <v>35102</v>
      </c>
      <c r="N2436">
        <v>1712</v>
      </c>
    </row>
    <row r="2437" spans="1:14" x14ac:dyDescent="0.35">
      <c r="A2437" t="s">
        <v>2538</v>
      </c>
      <c r="B2437" t="s">
        <v>15</v>
      </c>
      <c r="C2437" t="s">
        <v>16</v>
      </c>
      <c r="D2437">
        <v>38</v>
      </c>
      <c r="E2437" t="s">
        <v>2525</v>
      </c>
      <c r="F2437">
        <v>5419</v>
      </c>
      <c r="G2437" t="s">
        <v>18</v>
      </c>
      <c r="H2437">
        <v>27</v>
      </c>
      <c r="I2437" t="s">
        <v>19</v>
      </c>
      <c r="J2437">
        <v>1999</v>
      </c>
      <c r="K2437">
        <v>1999</v>
      </c>
      <c r="L2437" t="s">
        <v>20</v>
      </c>
      <c r="M2437">
        <v>32810</v>
      </c>
      <c r="N2437">
        <v>1712</v>
      </c>
    </row>
    <row r="2438" spans="1:14" x14ac:dyDescent="0.35">
      <c r="A2438" t="s">
        <v>2539</v>
      </c>
      <c r="B2438" t="s">
        <v>15</v>
      </c>
      <c r="C2438" t="s">
        <v>16</v>
      </c>
      <c r="D2438">
        <v>38</v>
      </c>
      <c r="E2438" t="s">
        <v>2525</v>
      </c>
      <c r="F2438">
        <v>5419</v>
      </c>
      <c r="G2438" t="s">
        <v>18</v>
      </c>
      <c r="H2438">
        <v>27</v>
      </c>
      <c r="I2438" t="s">
        <v>19</v>
      </c>
      <c r="J2438">
        <v>2000</v>
      </c>
      <c r="K2438">
        <v>2000</v>
      </c>
      <c r="L2438" t="s">
        <v>20</v>
      </c>
      <c r="M2438">
        <v>34374</v>
      </c>
      <c r="N2438">
        <v>1712</v>
      </c>
    </row>
    <row r="2439" spans="1:14" x14ac:dyDescent="0.35">
      <c r="A2439" t="s">
        <v>2540</v>
      </c>
      <c r="B2439" t="s">
        <v>15</v>
      </c>
      <c r="C2439" t="s">
        <v>16</v>
      </c>
      <c r="D2439">
        <v>38</v>
      </c>
      <c r="E2439" t="s">
        <v>2525</v>
      </c>
      <c r="F2439">
        <v>5419</v>
      </c>
      <c r="G2439" t="s">
        <v>18</v>
      </c>
      <c r="H2439">
        <v>27</v>
      </c>
      <c r="I2439" t="s">
        <v>19</v>
      </c>
      <c r="J2439">
        <v>2001</v>
      </c>
      <c r="K2439">
        <v>2001</v>
      </c>
      <c r="L2439" t="s">
        <v>20</v>
      </c>
      <c r="M2439">
        <v>35228</v>
      </c>
      <c r="N2439">
        <v>1712</v>
      </c>
    </row>
    <row r="2440" spans="1:14" x14ac:dyDescent="0.35">
      <c r="A2440" t="s">
        <v>2541</v>
      </c>
      <c r="B2440" t="s">
        <v>15</v>
      </c>
      <c r="C2440" t="s">
        <v>16</v>
      </c>
      <c r="D2440">
        <v>38</v>
      </c>
      <c r="E2440" t="s">
        <v>2525</v>
      </c>
      <c r="F2440">
        <v>5419</v>
      </c>
      <c r="G2440" t="s">
        <v>18</v>
      </c>
      <c r="H2440">
        <v>27</v>
      </c>
      <c r="I2440" t="s">
        <v>19</v>
      </c>
      <c r="J2440">
        <v>2002</v>
      </c>
      <c r="K2440">
        <v>2002</v>
      </c>
      <c r="L2440" t="s">
        <v>20</v>
      </c>
      <c r="M2440">
        <v>34889</v>
      </c>
      <c r="N2440">
        <v>1712</v>
      </c>
    </row>
    <row r="2441" spans="1:14" x14ac:dyDescent="0.35">
      <c r="A2441" t="s">
        <v>2542</v>
      </c>
      <c r="B2441" t="s">
        <v>15</v>
      </c>
      <c r="C2441" t="s">
        <v>16</v>
      </c>
      <c r="D2441">
        <v>38</v>
      </c>
      <c r="E2441" t="s">
        <v>2525</v>
      </c>
      <c r="F2441">
        <v>5419</v>
      </c>
      <c r="G2441" t="s">
        <v>18</v>
      </c>
      <c r="H2441">
        <v>27</v>
      </c>
      <c r="I2441" t="s">
        <v>19</v>
      </c>
      <c r="J2441">
        <v>2004</v>
      </c>
      <c r="K2441">
        <v>2004</v>
      </c>
      <c r="L2441" t="s">
        <v>20</v>
      </c>
      <c r="M2441">
        <v>36516</v>
      </c>
      <c r="N2441">
        <v>1712</v>
      </c>
    </row>
    <row r="2442" spans="1:14" x14ac:dyDescent="0.35">
      <c r="A2442" t="s">
        <v>2543</v>
      </c>
      <c r="B2442" t="s">
        <v>15</v>
      </c>
      <c r="C2442" t="s">
        <v>16</v>
      </c>
      <c r="D2442">
        <v>38</v>
      </c>
      <c r="E2442" t="s">
        <v>2525</v>
      </c>
      <c r="F2442">
        <v>5419</v>
      </c>
      <c r="G2442" t="s">
        <v>18</v>
      </c>
      <c r="H2442">
        <v>27</v>
      </c>
      <c r="I2442" t="s">
        <v>19</v>
      </c>
      <c r="J2442">
        <v>2005</v>
      </c>
      <c r="K2442">
        <v>2005</v>
      </c>
      <c r="L2442" t="s">
        <v>20</v>
      </c>
      <c r="M2442">
        <v>35465</v>
      </c>
      <c r="N2442">
        <v>1712</v>
      </c>
    </row>
    <row r="2443" spans="1:14" x14ac:dyDescent="0.35">
      <c r="A2443" t="s">
        <v>2544</v>
      </c>
      <c r="B2443" t="s">
        <v>15</v>
      </c>
      <c r="C2443" t="s">
        <v>16</v>
      </c>
      <c r="D2443">
        <v>38</v>
      </c>
      <c r="E2443" t="s">
        <v>2525</v>
      </c>
      <c r="F2443">
        <v>5419</v>
      </c>
      <c r="G2443" t="s">
        <v>18</v>
      </c>
      <c r="H2443">
        <v>27</v>
      </c>
      <c r="I2443" t="s">
        <v>19</v>
      </c>
      <c r="J2443">
        <v>2006</v>
      </c>
      <c r="K2443">
        <v>2006</v>
      </c>
      <c r="L2443" t="s">
        <v>20</v>
      </c>
      <c r="M2443">
        <v>36705</v>
      </c>
      <c r="N2443">
        <v>1712</v>
      </c>
    </row>
    <row r="2444" spans="1:14" x14ac:dyDescent="0.35">
      <c r="A2444" t="s">
        <v>2545</v>
      </c>
      <c r="B2444" t="s">
        <v>15</v>
      </c>
      <c r="C2444" t="s">
        <v>16</v>
      </c>
      <c r="D2444">
        <v>38</v>
      </c>
      <c r="E2444" t="s">
        <v>2525</v>
      </c>
      <c r="F2444">
        <v>5419</v>
      </c>
      <c r="G2444" t="s">
        <v>18</v>
      </c>
      <c r="H2444">
        <v>27</v>
      </c>
      <c r="I2444" t="s">
        <v>19</v>
      </c>
      <c r="J2444">
        <v>2007</v>
      </c>
      <c r="K2444">
        <v>2007</v>
      </c>
      <c r="L2444" t="s">
        <v>20</v>
      </c>
      <c r="M2444">
        <v>38337</v>
      </c>
      <c r="N2444">
        <v>1712</v>
      </c>
    </row>
    <row r="2445" spans="1:14" x14ac:dyDescent="0.35">
      <c r="A2445" t="s">
        <v>2546</v>
      </c>
      <c r="B2445" t="s">
        <v>15</v>
      </c>
      <c r="C2445" t="s">
        <v>16</v>
      </c>
      <c r="D2445">
        <v>38</v>
      </c>
      <c r="E2445" t="s">
        <v>2525</v>
      </c>
      <c r="F2445">
        <v>5419</v>
      </c>
      <c r="G2445" t="s">
        <v>18</v>
      </c>
      <c r="H2445">
        <v>27</v>
      </c>
      <c r="I2445" t="s">
        <v>19</v>
      </c>
      <c r="J2445">
        <v>2008</v>
      </c>
      <c r="K2445">
        <v>2008</v>
      </c>
      <c r="L2445" t="s">
        <v>20</v>
      </c>
      <c r="M2445">
        <v>36800</v>
      </c>
      <c r="N2445">
        <v>1712</v>
      </c>
    </row>
    <row r="2446" spans="1:14" x14ac:dyDescent="0.35">
      <c r="A2446" t="s">
        <v>2547</v>
      </c>
      <c r="B2446" t="s">
        <v>15</v>
      </c>
      <c r="C2446" t="s">
        <v>16</v>
      </c>
      <c r="D2446">
        <v>38</v>
      </c>
      <c r="E2446" t="s">
        <v>2525</v>
      </c>
      <c r="F2446">
        <v>5419</v>
      </c>
      <c r="G2446" t="s">
        <v>18</v>
      </c>
      <c r="H2446">
        <v>27</v>
      </c>
      <c r="I2446" t="s">
        <v>19</v>
      </c>
      <c r="J2446">
        <v>2009</v>
      </c>
      <c r="K2446">
        <v>2009</v>
      </c>
      <c r="L2446" t="s">
        <v>20</v>
      </c>
      <c r="M2446">
        <v>38748</v>
      </c>
      <c r="N2446">
        <v>1712</v>
      </c>
    </row>
    <row r="2447" spans="1:14" x14ac:dyDescent="0.35">
      <c r="A2447" t="s">
        <v>2548</v>
      </c>
      <c r="B2447" t="s">
        <v>15</v>
      </c>
      <c r="C2447" t="s">
        <v>16</v>
      </c>
      <c r="D2447">
        <v>38</v>
      </c>
      <c r="E2447" t="s">
        <v>2525</v>
      </c>
      <c r="F2447">
        <v>5419</v>
      </c>
      <c r="G2447" t="s">
        <v>18</v>
      </c>
      <c r="H2447">
        <v>27</v>
      </c>
      <c r="I2447" t="s">
        <v>19</v>
      </c>
      <c r="J2447">
        <v>2010</v>
      </c>
      <c r="K2447">
        <v>2010</v>
      </c>
      <c r="L2447" t="s">
        <v>20</v>
      </c>
      <c r="M2447">
        <v>40558</v>
      </c>
      <c r="N2447">
        <v>1712</v>
      </c>
    </row>
    <row r="2448" spans="1:14" x14ac:dyDescent="0.35">
      <c r="A2448" t="s">
        <v>2549</v>
      </c>
      <c r="B2448" t="s">
        <v>15</v>
      </c>
      <c r="C2448" t="s">
        <v>16</v>
      </c>
      <c r="D2448">
        <v>38</v>
      </c>
      <c r="E2448" t="s">
        <v>2525</v>
      </c>
      <c r="F2448">
        <v>5419</v>
      </c>
      <c r="G2448" t="s">
        <v>18</v>
      </c>
      <c r="H2448">
        <v>27</v>
      </c>
      <c r="I2448" t="s">
        <v>19</v>
      </c>
      <c r="J2448">
        <v>2011</v>
      </c>
      <c r="K2448">
        <v>2011</v>
      </c>
      <c r="L2448" t="s">
        <v>20</v>
      </c>
      <c r="M2448">
        <v>35699</v>
      </c>
      <c r="N2448">
        <v>1712</v>
      </c>
    </row>
    <row r="2449" spans="1:14" x14ac:dyDescent="0.35">
      <c r="A2449" t="s">
        <v>2550</v>
      </c>
      <c r="B2449" t="s">
        <v>15</v>
      </c>
      <c r="C2449" t="s">
        <v>16</v>
      </c>
      <c r="D2449">
        <v>38</v>
      </c>
      <c r="E2449" t="s">
        <v>2525</v>
      </c>
      <c r="F2449">
        <v>5419</v>
      </c>
      <c r="G2449" t="s">
        <v>18</v>
      </c>
      <c r="H2449">
        <v>27</v>
      </c>
      <c r="I2449" t="s">
        <v>19</v>
      </c>
      <c r="J2449">
        <v>2012</v>
      </c>
      <c r="K2449">
        <v>2012</v>
      </c>
      <c r="L2449" t="s">
        <v>20</v>
      </c>
      <c r="M2449">
        <v>36057</v>
      </c>
      <c r="N2449">
        <v>1712</v>
      </c>
    </row>
    <row r="2450" spans="1:14" x14ac:dyDescent="0.35">
      <c r="A2450" t="s">
        <v>2551</v>
      </c>
      <c r="B2450" t="s">
        <v>15</v>
      </c>
      <c r="C2450" t="s">
        <v>16</v>
      </c>
      <c r="D2450">
        <v>38</v>
      </c>
      <c r="E2450" t="s">
        <v>2525</v>
      </c>
      <c r="F2450">
        <v>5419</v>
      </c>
      <c r="G2450" t="s">
        <v>18</v>
      </c>
      <c r="H2450">
        <v>27</v>
      </c>
      <c r="I2450" t="s">
        <v>19</v>
      </c>
      <c r="J2450">
        <v>2013</v>
      </c>
      <c r="K2450">
        <v>2013</v>
      </c>
      <c r="L2450" t="s">
        <v>20</v>
      </c>
      <c r="M2450">
        <v>38897</v>
      </c>
      <c r="N2450">
        <v>1712</v>
      </c>
    </row>
    <row r="2451" spans="1:14" x14ac:dyDescent="0.35">
      <c r="A2451" t="s">
        <v>2552</v>
      </c>
      <c r="B2451" t="s">
        <v>15</v>
      </c>
      <c r="C2451" t="s">
        <v>16</v>
      </c>
      <c r="D2451">
        <v>38</v>
      </c>
      <c r="E2451" t="s">
        <v>2525</v>
      </c>
      <c r="F2451">
        <v>5419</v>
      </c>
      <c r="G2451" t="s">
        <v>18</v>
      </c>
      <c r="H2451">
        <v>27</v>
      </c>
      <c r="I2451" t="s">
        <v>19</v>
      </c>
      <c r="J2451">
        <v>2014</v>
      </c>
      <c r="K2451">
        <v>2014</v>
      </c>
      <c r="L2451" t="s">
        <v>20</v>
      </c>
      <c r="M2451">
        <v>38377</v>
      </c>
      <c r="N2451">
        <v>1712</v>
      </c>
    </row>
    <row r="2452" spans="1:14" x14ac:dyDescent="0.35">
      <c r="A2452" t="s">
        <v>2553</v>
      </c>
      <c r="B2452" t="s">
        <v>15</v>
      </c>
      <c r="C2452" t="s">
        <v>16</v>
      </c>
      <c r="D2452">
        <v>38</v>
      </c>
      <c r="E2452" t="s">
        <v>2525</v>
      </c>
      <c r="F2452">
        <v>5419</v>
      </c>
      <c r="G2452" t="s">
        <v>18</v>
      </c>
      <c r="H2452">
        <v>27</v>
      </c>
      <c r="I2452" t="s">
        <v>19</v>
      </c>
      <c r="J2452">
        <v>2015</v>
      </c>
      <c r="K2452">
        <v>2015</v>
      </c>
      <c r="L2452" t="s">
        <v>20</v>
      </c>
      <c r="M2452">
        <v>38726</v>
      </c>
      <c r="N2452">
        <v>1712</v>
      </c>
    </row>
    <row r="2453" spans="1:14" x14ac:dyDescent="0.35">
      <c r="A2453" t="s">
        <v>2554</v>
      </c>
      <c r="B2453" t="s">
        <v>15</v>
      </c>
      <c r="C2453" t="s">
        <v>16</v>
      </c>
      <c r="D2453">
        <v>38</v>
      </c>
      <c r="E2453" t="s">
        <v>2525</v>
      </c>
      <c r="F2453">
        <v>5419</v>
      </c>
      <c r="G2453" t="s">
        <v>18</v>
      </c>
      <c r="H2453">
        <v>27</v>
      </c>
      <c r="I2453" t="s">
        <v>19</v>
      </c>
      <c r="J2453">
        <v>2016</v>
      </c>
      <c r="K2453">
        <v>2016</v>
      </c>
      <c r="L2453" t="s">
        <v>20</v>
      </c>
      <c r="M2453">
        <v>39160</v>
      </c>
      <c r="N2453">
        <v>1712</v>
      </c>
    </row>
    <row r="2454" spans="1:14" x14ac:dyDescent="0.35">
      <c r="A2454" t="s">
        <v>2555</v>
      </c>
      <c r="B2454" t="s">
        <v>15</v>
      </c>
      <c r="C2454" t="s">
        <v>16</v>
      </c>
      <c r="D2454">
        <v>276</v>
      </c>
      <c r="E2454" t="s">
        <v>2556</v>
      </c>
      <c r="F2454">
        <v>5419</v>
      </c>
      <c r="G2454" t="s">
        <v>18</v>
      </c>
      <c r="H2454">
        <v>27</v>
      </c>
      <c r="I2454" t="s">
        <v>19</v>
      </c>
      <c r="J2454">
        <v>2012</v>
      </c>
      <c r="K2454">
        <v>2012</v>
      </c>
      <c r="L2454" t="s">
        <v>20</v>
      </c>
      <c r="M2454">
        <v>31746</v>
      </c>
      <c r="N2454">
        <v>1712</v>
      </c>
    </row>
    <row r="2455" spans="1:14" x14ac:dyDescent="0.35">
      <c r="A2455" t="s">
        <v>2557</v>
      </c>
      <c r="B2455" t="s">
        <v>15</v>
      </c>
      <c r="C2455" t="s">
        <v>16</v>
      </c>
      <c r="D2455">
        <v>276</v>
      </c>
      <c r="E2455" t="s">
        <v>2556</v>
      </c>
      <c r="F2455">
        <v>5419</v>
      </c>
      <c r="G2455" t="s">
        <v>18</v>
      </c>
      <c r="H2455">
        <v>27</v>
      </c>
      <c r="I2455" t="s">
        <v>19</v>
      </c>
      <c r="J2455">
        <v>2013</v>
      </c>
      <c r="K2455">
        <v>2013</v>
      </c>
      <c r="L2455" t="s">
        <v>20</v>
      </c>
      <c r="M2455">
        <v>33060</v>
      </c>
      <c r="N2455">
        <v>1712</v>
      </c>
    </row>
    <row r="2456" spans="1:14" x14ac:dyDescent="0.35">
      <c r="A2456" t="s">
        <v>2558</v>
      </c>
      <c r="B2456" t="s">
        <v>15</v>
      </c>
      <c r="C2456" t="s">
        <v>16</v>
      </c>
      <c r="D2456">
        <v>276</v>
      </c>
      <c r="E2456" t="s">
        <v>2556</v>
      </c>
      <c r="F2456">
        <v>5419</v>
      </c>
      <c r="G2456" t="s">
        <v>18</v>
      </c>
      <c r="H2456">
        <v>27</v>
      </c>
      <c r="I2456" t="s">
        <v>19</v>
      </c>
      <c r="J2456">
        <v>2014</v>
      </c>
      <c r="K2456">
        <v>2014</v>
      </c>
      <c r="L2456" t="s">
        <v>20</v>
      </c>
      <c r="M2456">
        <v>10821</v>
      </c>
      <c r="N2456">
        <v>1712</v>
      </c>
    </row>
    <row r="2457" spans="1:14" x14ac:dyDescent="0.35">
      <c r="A2457" t="s">
        <v>2559</v>
      </c>
      <c r="B2457" t="s">
        <v>15</v>
      </c>
      <c r="C2457" t="s">
        <v>16</v>
      </c>
      <c r="D2457">
        <v>276</v>
      </c>
      <c r="E2457" t="s">
        <v>2556</v>
      </c>
      <c r="F2457">
        <v>5419</v>
      </c>
      <c r="G2457" t="s">
        <v>18</v>
      </c>
      <c r="H2457">
        <v>27</v>
      </c>
      <c r="I2457" t="s">
        <v>19</v>
      </c>
      <c r="J2457">
        <v>2015</v>
      </c>
      <c r="K2457">
        <v>2015</v>
      </c>
      <c r="L2457" t="s">
        <v>20</v>
      </c>
      <c r="M2457">
        <v>42328</v>
      </c>
      <c r="N2457">
        <v>1712</v>
      </c>
    </row>
    <row r="2458" spans="1:14" x14ac:dyDescent="0.35">
      <c r="A2458" t="s">
        <v>2560</v>
      </c>
      <c r="B2458" t="s">
        <v>15</v>
      </c>
      <c r="C2458" t="s">
        <v>16</v>
      </c>
      <c r="D2458">
        <v>276</v>
      </c>
      <c r="E2458" t="s">
        <v>2556</v>
      </c>
      <c r="F2458">
        <v>5419</v>
      </c>
      <c r="G2458" t="s">
        <v>18</v>
      </c>
      <c r="H2458">
        <v>27</v>
      </c>
      <c r="I2458" t="s">
        <v>19</v>
      </c>
      <c r="J2458">
        <v>2016</v>
      </c>
      <c r="K2458">
        <v>2016</v>
      </c>
      <c r="L2458" t="s">
        <v>20</v>
      </c>
      <c r="M2458">
        <v>39216</v>
      </c>
      <c r="N2458">
        <v>1712</v>
      </c>
    </row>
    <row r="2459" spans="1:14" x14ac:dyDescent="0.35">
      <c r="A2459" t="s">
        <v>2561</v>
      </c>
      <c r="B2459" t="s">
        <v>15</v>
      </c>
      <c r="C2459" t="s">
        <v>16</v>
      </c>
      <c r="D2459">
        <v>207</v>
      </c>
      <c r="E2459" t="s">
        <v>2562</v>
      </c>
      <c r="F2459">
        <v>5419</v>
      </c>
      <c r="G2459" t="s">
        <v>18</v>
      </c>
      <c r="H2459">
        <v>27</v>
      </c>
      <c r="I2459" t="s">
        <v>19</v>
      </c>
      <c r="J2459">
        <v>1985</v>
      </c>
      <c r="K2459">
        <v>1985</v>
      </c>
      <c r="L2459" t="s">
        <v>20</v>
      </c>
      <c r="M2459">
        <v>39950</v>
      </c>
      <c r="N2459">
        <v>2331</v>
      </c>
    </row>
    <row r="2460" spans="1:14" x14ac:dyDescent="0.35">
      <c r="A2460" t="s">
        <v>2563</v>
      </c>
      <c r="B2460" t="s">
        <v>15</v>
      </c>
      <c r="C2460" t="s">
        <v>16</v>
      </c>
      <c r="D2460">
        <v>207</v>
      </c>
      <c r="E2460" t="s">
        <v>2562</v>
      </c>
      <c r="F2460">
        <v>5419</v>
      </c>
      <c r="G2460" t="s">
        <v>18</v>
      </c>
      <c r="H2460">
        <v>27</v>
      </c>
      <c r="I2460" t="s">
        <v>19</v>
      </c>
      <c r="J2460">
        <v>1986</v>
      </c>
      <c r="K2460">
        <v>1986</v>
      </c>
      <c r="L2460" t="s">
        <v>20</v>
      </c>
      <c r="M2460">
        <v>39921</v>
      </c>
      <c r="N2460">
        <v>2331</v>
      </c>
    </row>
    <row r="2461" spans="1:14" x14ac:dyDescent="0.35">
      <c r="A2461" t="s">
        <v>2564</v>
      </c>
      <c r="B2461" t="s">
        <v>15</v>
      </c>
      <c r="C2461" t="s">
        <v>16</v>
      </c>
      <c r="D2461">
        <v>207</v>
      </c>
      <c r="E2461" t="s">
        <v>2562</v>
      </c>
      <c r="F2461">
        <v>5419</v>
      </c>
      <c r="G2461" t="s">
        <v>18</v>
      </c>
      <c r="H2461">
        <v>27</v>
      </c>
      <c r="I2461" t="s">
        <v>19</v>
      </c>
      <c r="J2461">
        <v>1987</v>
      </c>
      <c r="K2461">
        <v>1987</v>
      </c>
      <c r="L2461" t="s">
        <v>20</v>
      </c>
      <c r="M2461">
        <v>38170</v>
      </c>
      <c r="N2461">
        <v>2331</v>
      </c>
    </row>
    <row r="2462" spans="1:14" x14ac:dyDescent="0.35">
      <c r="A2462" t="s">
        <v>2565</v>
      </c>
      <c r="B2462" t="s">
        <v>15</v>
      </c>
      <c r="C2462" t="s">
        <v>16</v>
      </c>
      <c r="D2462">
        <v>207</v>
      </c>
      <c r="E2462" t="s">
        <v>2562</v>
      </c>
      <c r="F2462">
        <v>5419</v>
      </c>
      <c r="G2462" t="s">
        <v>18</v>
      </c>
      <c r="H2462">
        <v>27</v>
      </c>
      <c r="I2462" t="s">
        <v>19</v>
      </c>
      <c r="J2462">
        <v>1989</v>
      </c>
      <c r="K2462">
        <v>1989</v>
      </c>
      <c r="L2462" t="s">
        <v>20</v>
      </c>
      <c r="M2462">
        <v>37345</v>
      </c>
      <c r="N2462">
        <v>2331</v>
      </c>
    </row>
    <row r="2463" spans="1:14" x14ac:dyDescent="0.35">
      <c r="A2463" t="s">
        <v>2566</v>
      </c>
      <c r="B2463" t="s">
        <v>15</v>
      </c>
      <c r="C2463" t="s">
        <v>16</v>
      </c>
      <c r="D2463">
        <v>207</v>
      </c>
      <c r="E2463" t="s">
        <v>2562</v>
      </c>
      <c r="F2463">
        <v>5419</v>
      </c>
      <c r="G2463" t="s">
        <v>18</v>
      </c>
      <c r="H2463">
        <v>27</v>
      </c>
      <c r="I2463" t="s">
        <v>19</v>
      </c>
      <c r="J2463">
        <v>1990</v>
      </c>
      <c r="K2463">
        <v>1990</v>
      </c>
      <c r="L2463" t="s">
        <v>20</v>
      </c>
      <c r="M2463">
        <v>37691</v>
      </c>
      <c r="N2463">
        <v>2331</v>
      </c>
    </row>
    <row r="2464" spans="1:14" x14ac:dyDescent="0.35">
      <c r="A2464" t="s">
        <v>2567</v>
      </c>
      <c r="B2464" t="s">
        <v>15</v>
      </c>
      <c r="C2464" t="s">
        <v>16</v>
      </c>
      <c r="D2464">
        <v>207</v>
      </c>
      <c r="E2464" t="s">
        <v>2562</v>
      </c>
      <c r="F2464">
        <v>5419</v>
      </c>
      <c r="G2464" t="s">
        <v>18</v>
      </c>
      <c r="H2464">
        <v>27</v>
      </c>
      <c r="I2464" t="s">
        <v>19</v>
      </c>
      <c r="J2464">
        <v>1991</v>
      </c>
      <c r="K2464">
        <v>1991</v>
      </c>
      <c r="L2464" t="s">
        <v>20</v>
      </c>
      <c r="M2464">
        <v>38156</v>
      </c>
      <c r="N2464">
        <v>2331</v>
      </c>
    </row>
    <row r="2465" spans="1:14" x14ac:dyDescent="0.35">
      <c r="A2465" t="s">
        <v>2568</v>
      </c>
      <c r="B2465" t="s">
        <v>15</v>
      </c>
      <c r="C2465" t="s">
        <v>16</v>
      </c>
      <c r="D2465">
        <v>207</v>
      </c>
      <c r="E2465" t="s">
        <v>2562</v>
      </c>
      <c r="F2465">
        <v>5419</v>
      </c>
      <c r="G2465" t="s">
        <v>18</v>
      </c>
      <c r="H2465">
        <v>27</v>
      </c>
      <c r="I2465" t="s">
        <v>19</v>
      </c>
      <c r="J2465">
        <v>1992</v>
      </c>
      <c r="K2465">
        <v>1992</v>
      </c>
      <c r="L2465" t="s">
        <v>20</v>
      </c>
      <c r="M2465">
        <v>37975</v>
      </c>
      <c r="N2465">
        <v>2331</v>
      </c>
    </row>
    <row r="2466" spans="1:14" x14ac:dyDescent="0.35">
      <c r="A2466" t="s">
        <v>2569</v>
      </c>
      <c r="B2466" t="s">
        <v>15</v>
      </c>
      <c r="C2466" t="s">
        <v>16</v>
      </c>
      <c r="D2466">
        <v>207</v>
      </c>
      <c r="E2466" t="s">
        <v>2562</v>
      </c>
      <c r="F2466">
        <v>5419</v>
      </c>
      <c r="G2466" t="s">
        <v>18</v>
      </c>
      <c r="H2466">
        <v>27</v>
      </c>
      <c r="I2466" t="s">
        <v>19</v>
      </c>
      <c r="J2466">
        <v>1993</v>
      </c>
      <c r="K2466">
        <v>1993</v>
      </c>
      <c r="L2466" t="s">
        <v>20</v>
      </c>
      <c r="M2466">
        <v>36987</v>
      </c>
      <c r="N2466">
        <v>2331</v>
      </c>
    </row>
    <row r="2467" spans="1:14" x14ac:dyDescent="0.35">
      <c r="A2467" t="s">
        <v>2570</v>
      </c>
      <c r="B2467" t="s">
        <v>15</v>
      </c>
      <c r="C2467" t="s">
        <v>16</v>
      </c>
      <c r="D2467">
        <v>207</v>
      </c>
      <c r="E2467" t="s">
        <v>2562</v>
      </c>
      <c r="F2467">
        <v>5419</v>
      </c>
      <c r="G2467" t="s">
        <v>18</v>
      </c>
      <c r="H2467">
        <v>27</v>
      </c>
      <c r="I2467" t="s">
        <v>19</v>
      </c>
      <c r="J2467">
        <v>1994</v>
      </c>
      <c r="K2467">
        <v>1994</v>
      </c>
      <c r="L2467" t="s">
        <v>20</v>
      </c>
      <c r="M2467">
        <v>36325</v>
      </c>
      <c r="N2467">
        <v>2331</v>
      </c>
    </row>
    <row r="2468" spans="1:14" x14ac:dyDescent="0.35">
      <c r="A2468" t="s">
        <v>2571</v>
      </c>
      <c r="B2468" t="s">
        <v>15</v>
      </c>
      <c r="C2468" t="s">
        <v>16</v>
      </c>
      <c r="D2468">
        <v>207</v>
      </c>
      <c r="E2468" t="s">
        <v>2562</v>
      </c>
      <c r="F2468">
        <v>5419</v>
      </c>
      <c r="G2468" t="s">
        <v>18</v>
      </c>
      <c r="H2468">
        <v>27</v>
      </c>
      <c r="I2468" t="s">
        <v>19</v>
      </c>
      <c r="J2468">
        <v>1995</v>
      </c>
      <c r="K2468">
        <v>1995</v>
      </c>
      <c r="L2468" t="s">
        <v>20</v>
      </c>
      <c r="M2468">
        <v>35186</v>
      </c>
      <c r="N2468">
        <v>2331</v>
      </c>
    </row>
    <row r="2469" spans="1:14" x14ac:dyDescent="0.35">
      <c r="A2469" t="s">
        <v>2572</v>
      </c>
      <c r="B2469" t="s">
        <v>15</v>
      </c>
      <c r="C2469" t="s">
        <v>16</v>
      </c>
      <c r="D2469">
        <v>207</v>
      </c>
      <c r="E2469" t="s">
        <v>2562</v>
      </c>
      <c r="F2469">
        <v>5419</v>
      </c>
      <c r="G2469" t="s">
        <v>18</v>
      </c>
      <c r="H2469">
        <v>27</v>
      </c>
      <c r="I2469" t="s">
        <v>19</v>
      </c>
      <c r="J2469">
        <v>1996</v>
      </c>
      <c r="K2469">
        <v>1996</v>
      </c>
      <c r="L2469" t="s">
        <v>20</v>
      </c>
      <c r="M2469">
        <v>37025</v>
      </c>
      <c r="N2469">
        <v>2331</v>
      </c>
    </row>
    <row r="2470" spans="1:14" x14ac:dyDescent="0.35">
      <c r="A2470" t="s">
        <v>2573</v>
      </c>
      <c r="B2470" t="s">
        <v>15</v>
      </c>
      <c r="C2470" t="s">
        <v>16</v>
      </c>
      <c r="D2470">
        <v>207</v>
      </c>
      <c r="E2470" t="s">
        <v>2562</v>
      </c>
      <c r="F2470">
        <v>5419</v>
      </c>
      <c r="G2470" t="s">
        <v>18</v>
      </c>
      <c r="H2470">
        <v>27</v>
      </c>
      <c r="I2470" t="s">
        <v>19</v>
      </c>
      <c r="J2470">
        <v>1997</v>
      </c>
      <c r="K2470">
        <v>1997</v>
      </c>
      <c r="L2470" t="s">
        <v>20</v>
      </c>
      <c r="M2470">
        <v>39827</v>
      </c>
      <c r="N2470">
        <v>2331</v>
      </c>
    </row>
    <row r="2471" spans="1:14" x14ac:dyDescent="0.35">
      <c r="A2471" t="s">
        <v>2574</v>
      </c>
      <c r="B2471" t="s">
        <v>15</v>
      </c>
      <c r="C2471" t="s">
        <v>16</v>
      </c>
      <c r="D2471">
        <v>207</v>
      </c>
      <c r="E2471" t="s">
        <v>2562</v>
      </c>
      <c r="F2471">
        <v>5419</v>
      </c>
      <c r="G2471" t="s">
        <v>18</v>
      </c>
      <c r="H2471">
        <v>27</v>
      </c>
      <c r="I2471" t="s">
        <v>19</v>
      </c>
      <c r="J2471">
        <v>1998</v>
      </c>
      <c r="K2471">
        <v>1998</v>
      </c>
      <c r="L2471" t="s">
        <v>20</v>
      </c>
      <c r="M2471">
        <v>37581</v>
      </c>
      <c r="N2471">
        <v>2331</v>
      </c>
    </row>
    <row r="2472" spans="1:14" x14ac:dyDescent="0.35">
      <c r="A2472" t="s">
        <v>2575</v>
      </c>
      <c r="B2472" t="s">
        <v>15</v>
      </c>
      <c r="C2472" t="s">
        <v>16</v>
      </c>
      <c r="D2472">
        <v>207</v>
      </c>
      <c r="E2472" t="s">
        <v>2562</v>
      </c>
      <c r="F2472">
        <v>5419</v>
      </c>
      <c r="G2472" t="s">
        <v>18</v>
      </c>
      <c r="H2472">
        <v>27</v>
      </c>
      <c r="I2472" t="s">
        <v>19</v>
      </c>
      <c r="J2472">
        <v>1999</v>
      </c>
      <c r="K2472">
        <v>1999</v>
      </c>
      <c r="L2472" t="s">
        <v>20</v>
      </c>
      <c r="M2472">
        <v>37205</v>
      </c>
      <c r="N2472">
        <v>2331</v>
      </c>
    </row>
    <row r="2473" spans="1:14" x14ac:dyDescent="0.35">
      <c r="A2473" t="s">
        <v>2576</v>
      </c>
      <c r="B2473" t="s">
        <v>15</v>
      </c>
      <c r="C2473" t="s">
        <v>16</v>
      </c>
      <c r="D2473">
        <v>207</v>
      </c>
      <c r="E2473" t="s">
        <v>2562</v>
      </c>
      <c r="F2473">
        <v>5419</v>
      </c>
      <c r="G2473" t="s">
        <v>18</v>
      </c>
      <c r="H2473">
        <v>27</v>
      </c>
      <c r="I2473" t="s">
        <v>19</v>
      </c>
      <c r="J2473">
        <v>2000</v>
      </c>
      <c r="K2473">
        <v>2000</v>
      </c>
      <c r="L2473" t="s">
        <v>20</v>
      </c>
      <c r="M2473">
        <v>38970</v>
      </c>
      <c r="N2473">
        <v>2331</v>
      </c>
    </row>
    <row r="2474" spans="1:14" x14ac:dyDescent="0.35">
      <c r="A2474" t="s">
        <v>2577</v>
      </c>
      <c r="B2474" t="s">
        <v>15</v>
      </c>
      <c r="C2474" t="s">
        <v>16</v>
      </c>
      <c r="D2474">
        <v>207</v>
      </c>
      <c r="E2474" t="s">
        <v>2562</v>
      </c>
      <c r="F2474">
        <v>5419</v>
      </c>
      <c r="G2474" t="s">
        <v>18</v>
      </c>
      <c r="H2474">
        <v>27</v>
      </c>
      <c r="I2474" t="s">
        <v>19</v>
      </c>
      <c r="J2474">
        <v>2001</v>
      </c>
      <c r="K2474">
        <v>2001</v>
      </c>
      <c r="L2474" t="s">
        <v>20</v>
      </c>
      <c r="M2474">
        <v>37671</v>
      </c>
      <c r="N2474">
        <v>2331</v>
      </c>
    </row>
    <row r="2475" spans="1:14" x14ac:dyDescent="0.35">
      <c r="A2475" t="s">
        <v>2578</v>
      </c>
      <c r="B2475" t="s">
        <v>15</v>
      </c>
      <c r="C2475" t="s">
        <v>16</v>
      </c>
      <c r="D2475">
        <v>207</v>
      </c>
      <c r="E2475" t="s">
        <v>2562</v>
      </c>
      <c r="F2475">
        <v>5419</v>
      </c>
      <c r="G2475" t="s">
        <v>18</v>
      </c>
      <c r="H2475">
        <v>27</v>
      </c>
      <c r="I2475" t="s">
        <v>19</v>
      </c>
      <c r="J2475">
        <v>2002</v>
      </c>
      <c r="K2475">
        <v>2002</v>
      </c>
      <c r="L2475" t="s">
        <v>20</v>
      </c>
      <c r="M2475">
        <v>39227</v>
      </c>
      <c r="N2475">
        <v>2331</v>
      </c>
    </row>
    <row r="2476" spans="1:14" x14ac:dyDescent="0.35">
      <c r="A2476" t="s">
        <v>2579</v>
      </c>
      <c r="B2476" t="s">
        <v>15</v>
      </c>
      <c r="C2476" t="s">
        <v>16</v>
      </c>
      <c r="D2476">
        <v>207</v>
      </c>
      <c r="E2476" t="s">
        <v>2562</v>
      </c>
      <c r="F2476">
        <v>5419</v>
      </c>
      <c r="G2476" t="s">
        <v>18</v>
      </c>
      <c r="H2476">
        <v>27</v>
      </c>
      <c r="I2476" t="s">
        <v>19</v>
      </c>
      <c r="J2476">
        <v>2004</v>
      </c>
      <c r="K2476">
        <v>2004</v>
      </c>
      <c r="L2476" t="s">
        <v>20</v>
      </c>
      <c r="M2476">
        <v>35596</v>
      </c>
      <c r="N2476">
        <v>2331</v>
      </c>
    </row>
    <row r="2477" spans="1:14" x14ac:dyDescent="0.35">
      <c r="A2477" t="s">
        <v>2580</v>
      </c>
      <c r="B2477" t="s">
        <v>15</v>
      </c>
      <c r="C2477" t="s">
        <v>16</v>
      </c>
      <c r="D2477">
        <v>207</v>
      </c>
      <c r="E2477" t="s">
        <v>2562</v>
      </c>
      <c r="F2477">
        <v>5419</v>
      </c>
      <c r="G2477" t="s">
        <v>18</v>
      </c>
      <c r="H2477">
        <v>27</v>
      </c>
      <c r="I2477" t="s">
        <v>19</v>
      </c>
      <c r="J2477">
        <v>2005</v>
      </c>
      <c r="K2477">
        <v>2005</v>
      </c>
      <c r="L2477" t="s">
        <v>20</v>
      </c>
      <c r="M2477">
        <v>35984</v>
      </c>
      <c r="N2477">
        <v>2331</v>
      </c>
    </row>
    <row r="2478" spans="1:14" x14ac:dyDescent="0.35">
      <c r="A2478" t="s">
        <v>2581</v>
      </c>
      <c r="B2478" t="s">
        <v>15</v>
      </c>
      <c r="C2478" t="s">
        <v>16</v>
      </c>
      <c r="D2478">
        <v>207</v>
      </c>
      <c r="E2478" t="s">
        <v>2562</v>
      </c>
      <c r="F2478">
        <v>5419</v>
      </c>
      <c r="G2478" t="s">
        <v>18</v>
      </c>
      <c r="H2478">
        <v>27</v>
      </c>
      <c r="I2478" t="s">
        <v>19</v>
      </c>
      <c r="J2478">
        <v>2006</v>
      </c>
      <c r="K2478">
        <v>2006</v>
      </c>
      <c r="L2478" t="s">
        <v>20</v>
      </c>
      <c r="M2478">
        <v>41296</v>
      </c>
      <c r="N2478">
        <v>2331</v>
      </c>
    </row>
    <row r="2479" spans="1:14" x14ac:dyDescent="0.35">
      <c r="A2479" t="s">
        <v>2582</v>
      </c>
      <c r="B2479" t="s">
        <v>15</v>
      </c>
      <c r="C2479" t="s">
        <v>16</v>
      </c>
      <c r="D2479">
        <v>207</v>
      </c>
      <c r="E2479" t="s">
        <v>2562</v>
      </c>
      <c r="F2479">
        <v>5419</v>
      </c>
      <c r="G2479" t="s">
        <v>18</v>
      </c>
      <c r="H2479">
        <v>27</v>
      </c>
      <c r="I2479" t="s">
        <v>19</v>
      </c>
      <c r="J2479">
        <v>2007</v>
      </c>
      <c r="K2479">
        <v>2007</v>
      </c>
      <c r="L2479" t="s">
        <v>20</v>
      </c>
      <c r="M2479">
        <v>42534</v>
      </c>
      <c r="N2479">
        <v>2331</v>
      </c>
    </row>
    <row r="2480" spans="1:14" x14ac:dyDescent="0.35">
      <c r="A2480" t="s">
        <v>2583</v>
      </c>
      <c r="B2480" t="s">
        <v>15</v>
      </c>
      <c r="C2480" t="s">
        <v>16</v>
      </c>
      <c r="D2480">
        <v>207</v>
      </c>
      <c r="E2480" t="s">
        <v>2562</v>
      </c>
      <c r="F2480">
        <v>5419</v>
      </c>
      <c r="G2480" t="s">
        <v>18</v>
      </c>
      <c r="H2480">
        <v>27</v>
      </c>
      <c r="I2480" t="s">
        <v>19</v>
      </c>
      <c r="J2480">
        <v>2008</v>
      </c>
      <c r="K2480">
        <v>2008</v>
      </c>
      <c r="L2480" t="s">
        <v>20</v>
      </c>
      <c r="M2480">
        <v>41892</v>
      </c>
      <c r="N2480">
        <v>2331</v>
      </c>
    </row>
    <row r="2481" spans="1:14" x14ac:dyDescent="0.35">
      <c r="A2481" t="s">
        <v>2584</v>
      </c>
      <c r="B2481" t="s">
        <v>15</v>
      </c>
      <c r="C2481" t="s">
        <v>16</v>
      </c>
      <c r="D2481">
        <v>207</v>
      </c>
      <c r="E2481" t="s">
        <v>2562</v>
      </c>
      <c r="F2481">
        <v>5419</v>
      </c>
      <c r="G2481" t="s">
        <v>18</v>
      </c>
      <c r="H2481">
        <v>27</v>
      </c>
      <c r="I2481" t="s">
        <v>19</v>
      </c>
      <c r="J2481">
        <v>2009</v>
      </c>
      <c r="K2481">
        <v>2009</v>
      </c>
      <c r="L2481" t="s">
        <v>20</v>
      </c>
      <c r="M2481">
        <v>42092</v>
      </c>
      <c r="N2481">
        <v>2331</v>
      </c>
    </row>
    <row r="2482" spans="1:14" x14ac:dyDescent="0.35">
      <c r="A2482" t="s">
        <v>2585</v>
      </c>
      <c r="B2482" t="s">
        <v>15</v>
      </c>
      <c r="C2482" t="s">
        <v>16</v>
      </c>
      <c r="D2482">
        <v>207</v>
      </c>
      <c r="E2482" t="s">
        <v>2562</v>
      </c>
      <c r="F2482">
        <v>5419</v>
      </c>
      <c r="G2482" t="s">
        <v>18</v>
      </c>
      <c r="H2482">
        <v>27</v>
      </c>
      <c r="I2482" t="s">
        <v>19</v>
      </c>
      <c r="J2482">
        <v>2010</v>
      </c>
      <c r="K2482">
        <v>2010</v>
      </c>
      <c r="L2482" t="s">
        <v>20</v>
      </c>
      <c r="M2482">
        <v>42329</v>
      </c>
      <c r="N2482">
        <v>2331</v>
      </c>
    </row>
    <row r="2483" spans="1:14" x14ac:dyDescent="0.35">
      <c r="A2483" t="s">
        <v>2586</v>
      </c>
      <c r="B2483" t="s">
        <v>15</v>
      </c>
      <c r="C2483" t="s">
        <v>16</v>
      </c>
      <c r="D2483">
        <v>207</v>
      </c>
      <c r="E2483" t="s">
        <v>2562</v>
      </c>
      <c r="F2483">
        <v>5419</v>
      </c>
      <c r="G2483" t="s">
        <v>18</v>
      </c>
      <c r="H2483">
        <v>27</v>
      </c>
      <c r="I2483" t="s">
        <v>19</v>
      </c>
      <c r="J2483">
        <v>2011</v>
      </c>
      <c r="K2483">
        <v>2011</v>
      </c>
      <c r="L2483" t="s">
        <v>20</v>
      </c>
      <c r="M2483">
        <v>41331</v>
      </c>
      <c r="N2483">
        <v>2331</v>
      </c>
    </row>
    <row r="2484" spans="1:14" x14ac:dyDescent="0.35">
      <c r="A2484" t="s">
        <v>2587</v>
      </c>
      <c r="B2484" t="s">
        <v>15</v>
      </c>
      <c r="C2484" t="s">
        <v>16</v>
      </c>
      <c r="D2484">
        <v>207</v>
      </c>
      <c r="E2484" t="s">
        <v>2562</v>
      </c>
      <c r="F2484">
        <v>5419</v>
      </c>
      <c r="G2484" t="s">
        <v>18</v>
      </c>
      <c r="H2484">
        <v>27</v>
      </c>
      <c r="I2484" t="s">
        <v>19</v>
      </c>
      <c r="J2484">
        <v>2012</v>
      </c>
      <c r="K2484">
        <v>2012</v>
      </c>
      <c r="L2484" t="s">
        <v>20</v>
      </c>
      <c r="M2484">
        <v>43622</v>
      </c>
      <c r="N2484">
        <v>2331</v>
      </c>
    </row>
    <row r="2485" spans="1:14" x14ac:dyDescent="0.35">
      <c r="A2485" t="s">
        <v>2588</v>
      </c>
      <c r="B2485" t="s">
        <v>15</v>
      </c>
      <c r="C2485" t="s">
        <v>16</v>
      </c>
      <c r="D2485">
        <v>207</v>
      </c>
      <c r="E2485" t="s">
        <v>2562</v>
      </c>
      <c r="F2485">
        <v>5419</v>
      </c>
      <c r="G2485" t="s">
        <v>18</v>
      </c>
      <c r="H2485">
        <v>27</v>
      </c>
      <c r="I2485" t="s">
        <v>19</v>
      </c>
      <c r="J2485">
        <v>2013</v>
      </c>
      <c r="K2485">
        <v>2013</v>
      </c>
      <c r="L2485" t="s">
        <v>20</v>
      </c>
      <c r="M2485">
        <v>44965</v>
      </c>
      <c r="N2485">
        <v>2331</v>
      </c>
    </row>
    <row r="2486" spans="1:14" x14ac:dyDescent="0.35">
      <c r="A2486" t="s">
        <v>2589</v>
      </c>
      <c r="B2486" t="s">
        <v>15</v>
      </c>
      <c r="C2486" t="s">
        <v>16</v>
      </c>
      <c r="D2486">
        <v>207</v>
      </c>
      <c r="E2486" t="s">
        <v>2562</v>
      </c>
      <c r="F2486">
        <v>5419</v>
      </c>
      <c r="G2486" t="s">
        <v>18</v>
      </c>
      <c r="H2486">
        <v>27</v>
      </c>
      <c r="I2486" t="s">
        <v>19</v>
      </c>
      <c r="J2486">
        <v>2014</v>
      </c>
      <c r="K2486">
        <v>2014</v>
      </c>
      <c r="L2486" t="s">
        <v>20</v>
      </c>
      <c r="M2486">
        <v>44341</v>
      </c>
      <c r="N2486">
        <v>2331</v>
      </c>
    </row>
    <row r="2487" spans="1:14" x14ac:dyDescent="0.35">
      <c r="A2487" t="s">
        <v>2590</v>
      </c>
      <c r="B2487" t="s">
        <v>15</v>
      </c>
      <c r="C2487" t="s">
        <v>16</v>
      </c>
      <c r="D2487">
        <v>207</v>
      </c>
      <c r="E2487" t="s">
        <v>2562</v>
      </c>
      <c r="F2487">
        <v>5419</v>
      </c>
      <c r="G2487" t="s">
        <v>18</v>
      </c>
      <c r="H2487">
        <v>27</v>
      </c>
      <c r="I2487" t="s">
        <v>19</v>
      </c>
      <c r="J2487">
        <v>2015</v>
      </c>
      <c r="K2487">
        <v>2015</v>
      </c>
      <c r="L2487" t="s">
        <v>20</v>
      </c>
      <c r="M2487">
        <v>45309</v>
      </c>
      <c r="N2487">
        <v>2331</v>
      </c>
    </row>
    <row r="2488" spans="1:14" x14ac:dyDescent="0.35">
      <c r="A2488" t="s">
        <v>2591</v>
      </c>
      <c r="B2488" t="s">
        <v>15</v>
      </c>
      <c r="C2488" t="s">
        <v>16</v>
      </c>
      <c r="D2488">
        <v>207</v>
      </c>
      <c r="E2488" t="s">
        <v>2562</v>
      </c>
      <c r="F2488">
        <v>5419</v>
      </c>
      <c r="G2488" t="s">
        <v>18</v>
      </c>
      <c r="H2488">
        <v>27</v>
      </c>
      <c r="I2488" t="s">
        <v>19</v>
      </c>
      <c r="J2488">
        <v>2016</v>
      </c>
      <c r="K2488">
        <v>2016</v>
      </c>
      <c r="L2488" t="s">
        <v>20</v>
      </c>
      <c r="M2488">
        <v>44341</v>
      </c>
      <c r="N2488">
        <v>2331</v>
      </c>
    </row>
    <row r="2489" spans="1:14" x14ac:dyDescent="0.35">
      <c r="A2489" t="s">
        <v>2592</v>
      </c>
      <c r="B2489" t="s">
        <v>15</v>
      </c>
      <c r="C2489" t="s">
        <v>16</v>
      </c>
      <c r="D2489">
        <v>209</v>
      </c>
      <c r="E2489" t="s">
        <v>2593</v>
      </c>
      <c r="F2489">
        <v>5419</v>
      </c>
      <c r="G2489" t="s">
        <v>18</v>
      </c>
      <c r="H2489">
        <v>27</v>
      </c>
      <c r="I2489" t="s">
        <v>19</v>
      </c>
      <c r="J2489">
        <v>1985</v>
      </c>
      <c r="K2489">
        <v>1985</v>
      </c>
      <c r="L2489" t="s">
        <v>20</v>
      </c>
      <c r="M2489">
        <v>75000</v>
      </c>
      <c r="N2489">
        <v>788</v>
      </c>
    </row>
    <row r="2490" spans="1:14" x14ac:dyDescent="0.35">
      <c r="A2490" t="s">
        <v>2594</v>
      </c>
      <c r="B2490" t="s">
        <v>15</v>
      </c>
      <c r="C2490" t="s">
        <v>16</v>
      </c>
      <c r="D2490">
        <v>209</v>
      </c>
      <c r="E2490" t="s">
        <v>2593</v>
      </c>
      <c r="F2490">
        <v>5419</v>
      </c>
      <c r="G2490" t="s">
        <v>18</v>
      </c>
      <c r="H2490">
        <v>27</v>
      </c>
      <c r="I2490" t="s">
        <v>19</v>
      </c>
      <c r="J2490">
        <v>1986</v>
      </c>
      <c r="K2490">
        <v>1986</v>
      </c>
      <c r="L2490" t="s">
        <v>20</v>
      </c>
      <c r="M2490">
        <v>75000</v>
      </c>
      <c r="N2490">
        <v>788</v>
      </c>
    </row>
    <row r="2491" spans="1:14" x14ac:dyDescent="0.35">
      <c r="A2491" t="s">
        <v>2595</v>
      </c>
      <c r="B2491" t="s">
        <v>15</v>
      </c>
      <c r="C2491" t="s">
        <v>16</v>
      </c>
      <c r="D2491">
        <v>209</v>
      </c>
      <c r="E2491" t="s">
        <v>2593</v>
      </c>
      <c r="F2491">
        <v>5419</v>
      </c>
      <c r="G2491" t="s">
        <v>18</v>
      </c>
      <c r="H2491">
        <v>27</v>
      </c>
      <c r="I2491" t="s">
        <v>19</v>
      </c>
      <c r="J2491">
        <v>1987</v>
      </c>
      <c r="K2491">
        <v>1987</v>
      </c>
      <c r="L2491" t="s">
        <v>20</v>
      </c>
      <c r="M2491">
        <v>75000</v>
      </c>
      <c r="N2491">
        <v>788</v>
      </c>
    </row>
    <row r="2492" spans="1:14" x14ac:dyDescent="0.35">
      <c r="A2492" t="s">
        <v>2596</v>
      </c>
      <c r="B2492" t="s">
        <v>15</v>
      </c>
      <c r="C2492" t="s">
        <v>16</v>
      </c>
      <c r="D2492">
        <v>209</v>
      </c>
      <c r="E2492" t="s">
        <v>2593</v>
      </c>
      <c r="F2492">
        <v>5419</v>
      </c>
      <c r="G2492" t="s">
        <v>18</v>
      </c>
      <c r="H2492">
        <v>27</v>
      </c>
      <c r="I2492" t="s">
        <v>19</v>
      </c>
      <c r="J2492">
        <v>1989</v>
      </c>
      <c r="K2492">
        <v>1989</v>
      </c>
      <c r="L2492" t="s">
        <v>20</v>
      </c>
      <c r="M2492">
        <v>75000</v>
      </c>
      <c r="N2492">
        <v>788</v>
      </c>
    </row>
    <row r="2493" spans="1:14" x14ac:dyDescent="0.35">
      <c r="A2493" t="s">
        <v>2597</v>
      </c>
      <c r="B2493" t="s">
        <v>15</v>
      </c>
      <c r="C2493" t="s">
        <v>16</v>
      </c>
      <c r="D2493">
        <v>209</v>
      </c>
      <c r="E2493" t="s">
        <v>2593</v>
      </c>
      <c r="F2493">
        <v>5419</v>
      </c>
      <c r="G2493" t="s">
        <v>18</v>
      </c>
      <c r="H2493">
        <v>27</v>
      </c>
      <c r="I2493" t="s">
        <v>19</v>
      </c>
      <c r="J2493">
        <v>1990</v>
      </c>
      <c r="K2493">
        <v>1990</v>
      </c>
      <c r="L2493" t="s">
        <v>20</v>
      </c>
      <c r="M2493">
        <v>91492</v>
      </c>
      <c r="N2493">
        <v>788</v>
      </c>
    </row>
    <row r="2494" spans="1:14" x14ac:dyDescent="0.35">
      <c r="A2494" t="s">
        <v>2598</v>
      </c>
      <c r="B2494" t="s">
        <v>15</v>
      </c>
      <c r="C2494" t="s">
        <v>16</v>
      </c>
      <c r="D2494">
        <v>209</v>
      </c>
      <c r="E2494" t="s">
        <v>2593</v>
      </c>
      <c r="F2494">
        <v>5419</v>
      </c>
      <c r="G2494" t="s">
        <v>18</v>
      </c>
      <c r="H2494">
        <v>27</v>
      </c>
      <c r="I2494" t="s">
        <v>19</v>
      </c>
      <c r="J2494">
        <v>1991</v>
      </c>
      <c r="K2494">
        <v>1991</v>
      </c>
      <c r="L2494" t="s">
        <v>20</v>
      </c>
      <c r="M2494">
        <v>75000</v>
      </c>
      <c r="N2494">
        <v>788</v>
      </c>
    </row>
    <row r="2495" spans="1:14" x14ac:dyDescent="0.35">
      <c r="A2495" t="s">
        <v>2599</v>
      </c>
      <c r="B2495" t="s">
        <v>15</v>
      </c>
      <c r="C2495" t="s">
        <v>16</v>
      </c>
      <c r="D2495">
        <v>209</v>
      </c>
      <c r="E2495" t="s">
        <v>2593</v>
      </c>
      <c r="F2495">
        <v>5419</v>
      </c>
      <c r="G2495" t="s">
        <v>18</v>
      </c>
      <c r="H2495">
        <v>27</v>
      </c>
      <c r="I2495" t="s">
        <v>19</v>
      </c>
      <c r="J2495">
        <v>1992</v>
      </c>
      <c r="K2495">
        <v>1992</v>
      </c>
      <c r="L2495" t="s">
        <v>20</v>
      </c>
      <c r="M2495">
        <v>61660</v>
      </c>
      <c r="N2495">
        <v>788</v>
      </c>
    </row>
    <row r="2496" spans="1:14" x14ac:dyDescent="0.35">
      <c r="A2496" t="s">
        <v>2600</v>
      </c>
      <c r="B2496" t="s">
        <v>15</v>
      </c>
      <c r="C2496" t="s">
        <v>16</v>
      </c>
      <c r="D2496">
        <v>209</v>
      </c>
      <c r="E2496" t="s">
        <v>2593</v>
      </c>
      <c r="F2496">
        <v>5419</v>
      </c>
      <c r="G2496" t="s">
        <v>18</v>
      </c>
      <c r="H2496">
        <v>27</v>
      </c>
      <c r="I2496" t="s">
        <v>19</v>
      </c>
      <c r="J2496">
        <v>1993</v>
      </c>
      <c r="K2496">
        <v>1993</v>
      </c>
      <c r="L2496" t="s">
        <v>20</v>
      </c>
      <c r="M2496">
        <v>50000</v>
      </c>
      <c r="N2496">
        <v>788</v>
      </c>
    </row>
    <row r="2497" spans="1:14" x14ac:dyDescent="0.35">
      <c r="A2497" t="s">
        <v>2601</v>
      </c>
      <c r="B2497" t="s">
        <v>15</v>
      </c>
      <c r="C2497" t="s">
        <v>16</v>
      </c>
      <c r="D2497">
        <v>209</v>
      </c>
      <c r="E2497" t="s">
        <v>2593</v>
      </c>
      <c r="F2497">
        <v>5419</v>
      </c>
      <c r="G2497" t="s">
        <v>18</v>
      </c>
      <c r="H2497">
        <v>27</v>
      </c>
      <c r="I2497" t="s">
        <v>19</v>
      </c>
      <c r="J2497">
        <v>1994</v>
      </c>
      <c r="K2497">
        <v>1994</v>
      </c>
      <c r="L2497" t="s">
        <v>20</v>
      </c>
      <c r="M2497">
        <v>55000</v>
      </c>
      <c r="N2497">
        <v>788</v>
      </c>
    </row>
    <row r="2498" spans="1:14" x14ac:dyDescent="0.35">
      <c r="A2498" t="s">
        <v>2602</v>
      </c>
      <c r="B2498" t="s">
        <v>15</v>
      </c>
      <c r="C2498" t="s">
        <v>16</v>
      </c>
      <c r="D2498">
        <v>209</v>
      </c>
      <c r="E2498" t="s">
        <v>2593</v>
      </c>
      <c r="F2498">
        <v>5419</v>
      </c>
      <c r="G2498" t="s">
        <v>18</v>
      </c>
      <c r="H2498">
        <v>27</v>
      </c>
      <c r="I2498" t="s">
        <v>19</v>
      </c>
      <c r="J2498">
        <v>1995</v>
      </c>
      <c r="K2498">
        <v>1995</v>
      </c>
      <c r="L2498" t="s">
        <v>20</v>
      </c>
      <c r="M2498">
        <v>53162</v>
      </c>
      <c r="N2498">
        <v>788</v>
      </c>
    </row>
    <row r="2499" spans="1:14" x14ac:dyDescent="0.35">
      <c r="A2499" t="s">
        <v>2603</v>
      </c>
      <c r="B2499" t="s">
        <v>15</v>
      </c>
      <c r="C2499" t="s">
        <v>16</v>
      </c>
      <c r="D2499">
        <v>209</v>
      </c>
      <c r="E2499" t="s">
        <v>2593</v>
      </c>
      <c r="F2499">
        <v>5419</v>
      </c>
      <c r="G2499" t="s">
        <v>18</v>
      </c>
      <c r="H2499">
        <v>27</v>
      </c>
      <c r="I2499" t="s">
        <v>19</v>
      </c>
      <c r="J2499">
        <v>1996</v>
      </c>
      <c r="K2499">
        <v>1996</v>
      </c>
      <c r="L2499" t="s">
        <v>20</v>
      </c>
      <c r="M2499">
        <v>46491</v>
      </c>
      <c r="N2499">
        <v>788</v>
      </c>
    </row>
    <row r="2500" spans="1:14" x14ac:dyDescent="0.35">
      <c r="A2500" t="s">
        <v>2604</v>
      </c>
      <c r="B2500" t="s">
        <v>15</v>
      </c>
      <c r="C2500" t="s">
        <v>16</v>
      </c>
      <c r="D2500">
        <v>209</v>
      </c>
      <c r="E2500" t="s">
        <v>2593</v>
      </c>
      <c r="F2500">
        <v>5419</v>
      </c>
      <c r="G2500" t="s">
        <v>18</v>
      </c>
      <c r="H2500">
        <v>27</v>
      </c>
      <c r="I2500" t="s">
        <v>19</v>
      </c>
      <c r="J2500">
        <v>1997</v>
      </c>
      <c r="K2500">
        <v>1997</v>
      </c>
      <c r="L2500" t="s">
        <v>20</v>
      </c>
      <c r="M2500">
        <v>51375</v>
      </c>
      <c r="N2500">
        <v>788</v>
      </c>
    </row>
    <row r="2501" spans="1:14" x14ac:dyDescent="0.35">
      <c r="A2501" t="s">
        <v>2605</v>
      </c>
      <c r="B2501" t="s">
        <v>15</v>
      </c>
      <c r="C2501" t="s">
        <v>16</v>
      </c>
      <c r="D2501">
        <v>209</v>
      </c>
      <c r="E2501" t="s">
        <v>2593</v>
      </c>
      <c r="F2501">
        <v>5419</v>
      </c>
      <c r="G2501" t="s">
        <v>18</v>
      </c>
      <c r="H2501">
        <v>27</v>
      </c>
      <c r="I2501" t="s">
        <v>19</v>
      </c>
      <c r="J2501">
        <v>1998</v>
      </c>
      <c r="K2501">
        <v>1998</v>
      </c>
      <c r="L2501" t="s">
        <v>20</v>
      </c>
      <c r="M2501">
        <v>70000</v>
      </c>
      <c r="N2501">
        <v>788</v>
      </c>
    </row>
    <row r="2502" spans="1:14" x14ac:dyDescent="0.35">
      <c r="A2502" t="s">
        <v>2606</v>
      </c>
      <c r="B2502" t="s">
        <v>15</v>
      </c>
      <c r="C2502" t="s">
        <v>16</v>
      </c>
      <c r="D2502">
        <v>209</v>
      </c>
      <c r="E2502" t="s">
        <v>2593</v>
      </c>
      <c r="F2502">
        <v>5419</v>
      </c>
      <c r="G2502" t="s">
        <v>18</v>
      </c>
      <c r="H2502">
        <v>27</v>
      </c>
      <c r="I2502" t="s">
        <v>19</v>
      </c>
      <c r="J2502">
        <v>1999</v>
      </c>
      <c r="K2502">
        <v>1999</v>
      </c>
      <c r="L2502" t="s">
        <v>20</v>
      </c>
      <c r="M2502">
        <v>33333</v>
      </c>
      <c r="N2502">
        <v>788</v>
      </c>
    </row>
    <row r="2503" spans="1:14" x14ac:dyDescent="0.35">
      <c r="A2503" t="s">
        <v>2607</v>
      </c>
      <c r="B2503" t="s">
        <v>15</v>
      </c>
      <c r="C2503" t="s">
        <v>16</v>
      </c>
      <c r="D2503">
        <v>209</v>
      </c>
      <c r="E2503" t="s">
        <v>2593</v>
      </c>
      <c r="F2503">
        <v>5419</v>
      </c>
      <c r="G2503" t="s">
        <v>18</v>
      </c>
      <c r="H2503">
        <v>27</v>
      </c>
      <c r="I2503" t="s">
        <v>19</v>
      </c>
      <c r="J2503">
        <v>2000</v>
      </c>
      <c r="K2503">
        <v>2000</v>
      </c>
      <c r="L2503" t="s">
        <v>20</v>
      </c>
      <c r="M2503">
        <v>34000</v>
      </c>
      <c r="N2503">
        <v>788</v>
      </c>
    </row>
    <row r="2504" spans="1:14" x14ac:dyDescent="0.35">
      <c r="A2504" t="s">
        <v>2608</v>
      </c>
      <c r="B2504" t="s">
        <v>15</v>
      </c>
      <c r="C2504" t="s">
        <v>16</v>
      </c>
      <c r="D2504">
        <v>209</v>
      </c>
      <c r="E2504" t="s">
        <v>2593</v>
      </c>
      <c r="F2504">
        <v>5419</v>
      </c>
      <c r="G2504" t="s">
        <v>18</v>
      </c>
      <c r="H2504">
        <v>27</v>
      </c>
      <c r="I2504" t="s">
        <v>19</v>
      </c>
      <c r="J2504">
        <v>2001</v>
      </c>
      <c r="K2504">
        <v>2001</v>
      </c>
      <c r="L2504" t="s">
        <v>20</v>
      </c>
      <c r="M2504">
        <v>37995</v>
      </c>
      <c r="N2504">
        <v>788</v>
      </c>
    </row>
    <row r="2505" spans="1:14" x14ac:dyDescent="0.35">
      <c r="A2505" t="s">
        <v>2609</v>
      </c>
      <c r="B2505" t="s">
        <v>15</v>
      </c>
      <c r="C2505" t="s">
        <v>16</v>
      </c>
      <c r="D2505">
        <v>209</v>
      </c>
      <c r="E2505" t="s">
        <v>2593</v>
      </c>
      <c r="F2505">
        <v>5419</v>
      </c>
      <c r="G2505" t="s">
        <v>18</v>
      </c>
      <c r="H2505">
        <v>27</v>
      </c>
      <c r="I2505" t="s">
        <v>19</v>
      </c>
      <c r="J2505">
        <v>2002</v>
      </c>
      <c r="K2505">
        <v>2002</v>
      </c>
      <c r="L2505" t="s">
        <v>20</v>
      </c>
      <c r="M2505">
        <v>39549</v>
      </c>
      <c r="N2505">
        <v>788</v>
      </c>
    </row>
    <row r="2506" spans="1:14" x14ac:dyDescent="0.35">
      <c r="A2506" t="s">
        <v>2610</v>
      </c>
      <c r="B2506" t="s">
        <v>15</v>
      </c>
      <c r="C2506" t="s">
        <v>16</v>
      </c>
      <c r="D2506">
        <v>209</v>
      </c>
      <c r="E2506" t="s">
        <v>2593</v>
      </c>
      <c r="F2506">
        <v>5419</v>
      </c>
      <c r="G2506" t="s">
        <v>18</v>
      </c>
      <c r="H2506">
        <v>27</v>
      </c>
      <c r="I2506" t="s">
        <v>19</v>
      </c>
      <c r="J2506">
        <v>2004</v>
      </c>
      <c r="K2506">
        <v>2004</v>
      </c>
      <c r="L2506" t="s">
        <v>20</v>
      </c>
      <c r="M2506">
        <v>39342</v>
      </c>
      <c r="N2506">
        <v>788</v>
      </c>
    </row>
    <row r="2507" spans="1:14" x14ac:dyDescent="0.35">
      <c r="A2507" t="s">
        <v>2611</v>
      </c>
      <c r="B2507" t="s">
        <v>15</v>
      </c>
      <c r="C2507" t="s">
        <v>16</v>
      </c>
      <c r="D2507">
        <v>209</v>
      </c>
      <c r="E2507" t="s">
        <v>2593</v>
      </c>
      <c r="F2507">
        <v>5419</v>
      </c>
      <c r="G2507" t="s">
        <v>18</v>
      </c>
      <c r="H2507">
        <v>27</v>
      </c>
      <c r="I2507" t="s">
        <v>19</v>
      </c>
      <c r="J2507">
        <v>2005</v>
      </c>
      <c r="K2507">
        <v>2005</v>
      </c>
      <c r="L2507" t="s">
        <v>20</v>
      </c>
      <c r="M2507">
        <v>38675</v>
      </c>
      <c r="N2507">
        <v>788</v>
      </c>
    </row>
    <row r="2508" spans="1:14" x14ac:dyDescent="0.35">
      <c r="A2508" t="s">
        <v>2612</v>
      </c>
      <c r="B2508" t="s">
        <v>15</v>
      </c>
      <c r="C2508" t="s">
        <v>16</v>
      </c>
      <c r="D2508">
        <v>209</v>
      </c>
      <c r="E2508" t="s">
        <v>2593</v>
      </c>
      <c r="F2508">
        <v>5419</v>
      </c>
      <c r="G2508" t="s">
        <v>18</v>
      </c>
      <c r="H2508">
        <v>27</v>
      </c>
      <c r="I2508" t="s">
        <v>19</v>
      </c>
      <c r="J2508">
        <v>2006</v>
      </c>
      <c r="K2508">
        <v>2006</v>
      </c>
      <c r="L2508" t="s">
        <v>20</v>
      </c>
      <c r="M2508">
        <v>38008</v>
      </c>
      <c r="N2508">
        <v>788</v>
      </c>
    </row>
    <row r="2509" spans="1:14" x14ac:dyDescent="0.35">
      <c r="A2509" t="s">
        <v>2613</v>
      </c>
      <c r="B2509" t="s">
        <v>15</v>
      </c>
      <c r="C2509" t="s">
        <v>16</v>
      </c>
      <c r="D2509">
        <v>209</v>
      </c>
      <c r="E2509" t="s">
        <v>2593</v>
      </c>
      <c r="F2509">
        <v>5419</v>
      </c>
      <c r="G2509" t="s">
        <v>18</v>
      </c>
      <c r="H2509">
        <v>27</v>
      </c>
      <c r="I2509" t="s">
        <v>19</v>
      </c>
      <c r="J2509">
        <v>2007</v>
      </c>
      <c r="K2509">
        <v>2007</v>
      </c>
      <c r="L2509" t="s">
        <v>20</v>
      </c>
      <c r="M2509">
        <v>37340</v>
      </c>
      <c r="N2509">
        <v>788</v>
      </c>
    </row>
    <row r="2510" spans="1:14" x14ac:dyDescent="0.35">
      <c r="A2510" t="s">
        <v>2614</v>
      </c>
      <c r="B2510" t="s">
        <v>15</v>
      </c>
      <c r="C2510" t="s">
        <v>16</v>
      </c>
      <c r="D2510">
        <v>209</v>
      </c>
      <c r="E2510" t="s">
        <v>2593</v>
      </c>
      <c r="F2510">
        <v>5419</v>
      </c>
      <c r="G2510" t="s">
        <v>18</v>
      </c>
      <c r="H2510">
        <v>27</v>
      </c>
      <c r="I2510" t="s">
        <v>19</v>
      </c>
      <c r="J2510">
        <v>2008</v>
      </c>
      <c r="K2510">
        <v>2008</v>
      </c>
      <c r="L2510" t="s">
        <v>20</v>
      </c>
      <c r="M2510">
        <v>36673</v>
      </c>
      <c r="N2510">
        <v>788</v>
      </c>
    </row>
    <row r="2511" spans="1:14" x14ac:dyDescent="0.35">
      <c r="A2511" t="s">
        <v>2615</v>
      </c>
      <c r="B2511" t="s">
        <v>15</v>
      </c>
      <c r="C2511" t="s">
        <v>16</v>
      </c>
      <c r="D2511">
        <v>209</v>
      </c>
      <c r="E2511" t="s">
        <v>2593</v>
      </c>
      <c r="F2511">
        <v>5419</v>
      </c>
      <c r="G2511" t="s">
        <v>18</v>
      </c>
      <c r="H2511">
        <v>27</v>
      </c>
      <c r="I2511" t="s">
        <v>19</v>
      </c>
      <c r="J2511">
        <v>2009</v>
      </c>
      <c r="K2511">
        <v>2009</v>
      </c>
      <c r="L2511" t="s">
        <v>20</v>
      </c>
      <c r="M2511">
        <v>36005</v>
      </c>
      <c r="N2511">
        <v>788</v>
      </c>
    </row>
    <row r="2512" spans="1:14" x14ac:dyDescent="0.35">
      <c r="A2512" t="s">
        <v>2616</v>
      </c>
      <c r="B2512" t="s">
        <v>15</v>
      </c>
      <c r="C2512" t="s">
        <v>16</v>
      </c>
      <c r="D2512">
        <v>209</v>
      </c>
      <c r="E2512" t="s">
        <v>2593</v>
      </c>
      <c r="F2512">
        <v>5419</v>
      </c>
      <c r="G2512" t="s">
        <v>18</v>
      </c>
      <c r="H2512">
        <v>27</v>
      </c>
      <c r="I2512" t="s">
        <v>19</v>
      </c>
      <c r="J2512">
        <v>2010</v>
      </c>
      <c r="K2512">
        <v>2010</v>
      </c>
      <c r="L2512" t="s">
        <v>20</v>
      </c>
      <c r="M2512">
        <v>35338</v>
      </c>
      <c r="N2512">
        <v>788</v>
      </c>
    </row>
    <row r="2513" spans="1:14" x14ac:dyDescent="0.35">
      <c r="A2513" t="s">
        <v>2617</v>
      </c>
      <c r="B2513" t="s">
        <v>15</v>
      </c>
      <c r="C2513" t="s">
        <v>16</v>
      </c>
      <c r="D2513">
        <v>209</v>
      </c>
      <c r="E2513" t="s">
        <v>2593</v>
      </c>
      <c r="F2513">
        <v>5419</v>
      </c>
      <c r="G2513" t="s">
        <v>18</v>
      </c>
      <c r="H2513">
        <v>27</v>
      </c>
      <c r="I2513" t="s">
        <v>19</v>
      </c>
      <c r="J2513">
        <v>2011</v>
      </c>
      <c r="K2513">
        <v>2011</v>
      </c>
      <c r="L2513" t="s">
        <v>20</v>
      </c>
      <c r="M2513">
        <v>34670</v>
      </c>
      <c r="N2513">
        <v>788</v>
      </c>
    </row>
    <row r="2514" spans="1:14" x14ac:dyDescent="0.35">
      <c r="A2514" t="s">
        <v>2618</v>
      </c>
      <c r="B2514" t="s">
        <v>15</v>
      </c>
      <c r="C2514" t="s">
        <v>16</v>
      </c>
      <c r="D2514">
        <v>209</v>
      </c>
      <c r="E2514" t="s">
        <v>2593</v>
      </c>
      <c r="F2514">
        <v>5419</v>
      </c>
      <c r="G2514" t="s">
        <v>18</v>
      </c>
      <c r="H2514">
        <v>27</v>
      </c>
      <c r="I2514" t="s">
        <v>19</v>
      </c>
      <c r="J2514">
        <v>2012</v>
      </c>
      <c r="K2514">
        <v>2012</v>
      </c>
      <c r="L2514" t="s">
        <v>20</v>
      </c>
      <c r="M2514">
        <v>34003</v>
      </c>
      <c r="N2514">
        <v>788</v>
      </c>
    </row>
    <row r="2515" spans="1:14" x14ac:dyDescent="0.35">
      <c r="A2515" t="s">
        <v>2619</v>
      </c>
      <c r="B2515" t="s">
        <v>15</v>
      </c>
      <c r="C2515" t="s">
        <v>16</v>
      </c>
      <c r="D2515">
        <v>209</v>
      </c>
      <c r="E2515" t="s">
        <v>2593</v>
      </c>
      <c r="F2515">
        <v>5419</v>
      </c>
      <c r="G2515" t="s">
        <v>18</v>
      </c>
      <c r="H2515">
        <v>27</v>
      </c>
      <c r="I2515" t="s">
        <v>19</v>
      </c>
      <c r="J2515">
        <v>2013</v>
      </c>
      <c r="K2515">
        <v>2013</v>
      </c>
      <c r="L2515" t="s">
        <v>20</v>
      </c>
      <c r="M2515">
        <v>33782</v>
      </c>
      <c r="N2515">
        <v>788</v>
      </c>
    </row>
    <row r="2516" spans="1:14" x14ac:dyDescent="0.35">
      <c r="A2516" t="s">
        <v>2620</v>
      </c>
      <c r="B2516" t="s">
        <v>15</v>
      </c>
      <c r="C2516" t="s">
        <v>16</v>
      </c>
      <c r="D2516">
        <v>209</v>
      </c>
      <c r="E2516" t="s">
        <v>2593</v>
      </c>
      <c r="F2516">
        <v>5419</v>
      </c>
      <c r="G2516" t="s">
        <v>18</v>
      </c>
      <c r="H2516">
        <v>27</v>
      </c>
      <c r="I2516" t="s">
        <v>19</v>
      </c>
      <c r="J2516">
        <v>2014</v>
      </c>
      <c r="K2516">
        <v>2014</v>
      </c>
      <c r="L2516" t="s">
        <v>20</v>
      </c>
      <c r="M2516">
        <v>34134</v>
      </c>
      <c r="N2516">
        <v>788</v>
      </c>
    </row>
    <row r="2517" spans="1:14" x14ac:dyDescent="0.35">
      <c r="A2517" t="s">
        <v>2621</v>
      </c>
      <c r="B2517" t="s">
        <v>15</v>
      </c>
      <c r="C2517" t="s">
        <v>16</v>
      </c>
      <c r="D2517">
        <v>209</v>
      </c>
      <c r="E2517" t="s">
        <v>2593</v>
      </c>
      <c r="F2517">
        <v>5419</v>
      </c>
      <c r="G2517" t="s">
        <v>18</v>
      </c>
      <c r="H2517">
        <v>27</v>
      </c>
      <c r="I2517" t="s">
        <v>19</v>
      </c>
      <c r="J2517">
        <v>2015</v>
      </c>
      <c r="K2517">
        <v>2015</v>
      </c>
      <c r="L2517" t="s">
        <v>20</v>
      </c>
      <c r="M2517">
        <v>34486</v>
      </c>
      <c r="N2517">
        <v>788</v>
      </c>
    </row>
    <row r="2518" spans="1:14" x14ac:dyDescent="0.35">
      <c r="A2518" t="s">
        <v>2622</v>
      </c>
      <c r="B2518" t="s">
        <v>15</v>
      </c>
      <c r="C2518" t="s">
        <v>16</v>
      </c>
      <c r="D2518">
        <v>209</v>
      </c>
      <c r="E2518" t="s">
        <v>2593</v>
      </c>
      <c r="F2518">
        <v>5419</v>
      </c>
      <c r="G2518" t="s">
        <v>18</v>
      </c>
      <c r="H2518">
        <v>27</v>
      </c>
      <c r="I2518" t="s">
        <v>19</v>
      </c>
      <c r="J2518">
        <v>2016</v>
      </c>
      <c r="K2518">
        <v>2016</v>
      </c>
      <c r="L2518" t="s">
        <v>20</v>
      </c>
      <c r="M2518">
        <v>34837</v>
      </c>
      <c r="N2518">
        <v>788</v>
      </c>
    </row>
    <row r="2519" spans="1:14" x14ac:dyDescent="0.35">
      <c r="A2519" t="s">
        <v>2623</v>
      </c>
      <c r="B2519" t="s">
        <v>15</v>
      </c>
      <c r="C2519" t="s">
        <v>16</v>
      </c>
      <c r="D2519">
        <v>208</v>
      </c>
      <c r="E2519" t="s">
        <v>2624</v>
      </c>
      <c r="F2519">
        <v>5419</v>
      </c>
      <c r="G2519" t="s">
        <v>18</v>
      </c>
      <c r="H2519">
        <v>27</v>
      </c>
      <c r="I2519" t="s">
        <v>19</v>
      </c>
      <c r="J2519">
        <v>1992</v>
      </c>
      <c r="K2519">
        <v>1992</v>
      </c>
      <c r="L2519" t="s">
        <v>20</v>
      </c>
      <c r="M2519">
        <v>20184</v>
      </c>
      <c r="N2519">
        <v>691</v>
      </c>
    </row>
    <row r="2520" spans="1:14" x14ac:dyDescent="0.35">
      <c r="A2520" t="s">
        <v>2625</v>
      </c>
      <c r="B2520" t="s">
        <v>15</v>
      </c>
      <c r="C2520" t="s">
        <v>16</v>
      </c>
      <c r="D2520">
        <v>208</v>
      </c>
      <c r="E2520" t="s">
        <v>2624</v>
      </c>
      <c r="F2520">
        <v>5419</v>
      </c>
      <c r="G2520" t="s">
        <v>18</v>
      </c>
      <c r="H2520">
        <v>27</v>
      </c>
      <c r="I2520" t="s">
        <v>19</v>
      </c>
      <c r="J2520">
        <v>1993</v>
      </c>
      <c r="K2520">
        <v>1993</v>
      </c>
      <c r="L2520" t="s">
        <v>20</v>
      </c>
      <c r="M2520">
        <v>18306</v>
      </c>
      <c r="N2520">
        <v>691</v>
      </c>
    </row>
    <row r="2521" spans="1:14" x14ac:dyDescent="0.35">
      <c r="A2521" t="s">
        <v>2626</v>
      </c>
      <c r="B2521" t="s">
        <v>15</v>
      </c>
      <c r="C2521" t="s">
        <v>16</v>
      </c>
      <c r="D2521">
        <v>208</v>
      </c>
      <c r="E2521" t="s">
        <v>2624</v>
      </c>
      <c r="F2521">
        <v>5419</v>
      </c>
      <c r="G2521" t="s">
        <v>18</v>
      </c>
      <c r="H2521">
        <v>27</v>
      </c>
      <c r="I2521" t="s">
        <v>19</v>
      </c>
      <c r="J2521">
        <v>1994</v>
      </c>
      <c r="K2521">
        <v>1994</v>
      </c>
      <c r="L2521" t="s">
        <v>20</v>
      </c>
      <c r="M2521">
        <v>15385</v>
      </c>
      <c r="N2521">
        <v>691</v>
      </c>
    </row>
    <row r="2522" spans="1:14" x14ac:dyDescent="0.35">
      <c r="A2522" t="s">
        <v>2627</v>
      </c>
      <c r="B2522" t="s">
        <v>15</v>
      </c>
      <c r="C2522" t="s">
        <v>16</v>
      </c>
      <c r="D2522">
        <v>208</v>
      </c>
      <c r="E2522" t="s">
        <v>2624</v>
      </c>
      <c r="F2522">
        <v>5419</v>
      </c>
      <c r="G2522" t="s">
        <v>18</v>
      </c>
      <c r="H2522">
        <v>27</v>
      </c>
      <c r="I2522" t="s">
        <v>19</v>
      </c>
      <c r="J2522">
        <v>1995</v>
      </c>
      <c r="K2522">
        <v>1995</v>
      </c>
      <c r="L2522" t="s">
        <v>20</v>
      </c>
      <c r="M2522">
        <v>18000</v>
      </c>
      <c r="N2522">
        <v>691</v>
      </c>
    </row>
    <row r="2523" spans="1:14" x14ac:dyDescent="0.35">
      <c r="A2523" t="s">
        <v>2628</v>
      </c>
      <c r="B2523" t="s">
        <v>15</v>
      </c>
      <c r="C2523" t="s">
        <v>16</v>
      </c>
      <c r="D2523">
        <v>208</v>
      </c>
      <c r="E2523" t="s">
        <v>2624</v>
      </c>
      <c r="F2523">
        <v>5419</v>
      </c>
      <c r="G2523" t="s">
        <v>18</v>
      </c>
      <c r="H2523">
        <v>27</v>
      </c>
      <c r="I2523" t="s">
        <v>19</v>
      </c>
      <c r="J2523">
        <v>1996</v>
      </c>
      <c r="K2523">
        <v>1996</v>
      </c>
      <c r="L2523" t="s">
        <v>20</v>
      </c>
      <c r="M2523">
        <v>17268</v>
      </c>
      <c r="N2523">
        <v>691</v>
      </c>
    </row>
    <row r="2524" spans="1:14" x14ac:dyDescent="0.35">
      <c r="A2524" t="s">
        <v>2629</v>
      </c>
      <c r="B2524" t="s">
        <v>15</v>
      </c>
      <c r="C2524" t="s">
        <v>16</v>
      </c>
      <c r="D2524">
        <v>208</v>
      </c>
      <c r="E2524" t="s">
        <v>2624</v>
      </c>
      <c r="F2524">
        <v>5419</v>
      </c>
      <c r="G2524" t="s">
        <v>18</v>
      </c>
      <c r="H2524">
        <v>27</v>
      </c>
      <c r="I2524" t="s">
        <v>19</v>
      </c>
      <c r="J2524">
        <v>1997</v>
      </c>
      <c r="K2524">
        <v>1997</v>
      </c>
      <c r="L2524" t="s">
        <v>20</v>
      </c>
      <c r="M2524">
        <v>27093</v>
      </c>
      <c r="N2524">
        <v>691</v>
      </c>
    </row>
    <row r="2525" spans="1:14" x14ac:dyDescent="0.35">
      <c r="A2525" t="s">
        <v>2630</v>
      </c>
      <c r="B2525" t="s">
        <v>15</v>
      </c>
      <c r="C2525" t="s">
        <v>16</v>
      </c>
      <c r="D2525">
        <v>208</v>
      </c>
      <c r="E2525" t="s">
        <v>2624</v>
      </c>
      <c r="F2525">
        <v>5419</v>
      </c>
      <c r="G2525" t="s">
        <v>18</v>
      </c>
      <c r="H2525">
        <v>27</v>
      </c>
      <c r="I2525" t="s">
        <v>19</v>
      </c>
      <c r="J2525">
        <v>1998</v>
      </c>
      <c r="K2525">
        <v>1998</v>
      </c>
      <c r="L2525" t="s">
        <v>20</v>
      </c>
      <c r="M2525">
        <v>24566</v>
      </c>
      <c r="N2525">
        <v>691</v>
      </c>
    </row>
    <row r="2526" spans="1:14" x14ac:dyDescent="0.35">
      <c r="A2526" t="s">
        <v>2631</v>
      </c>
      <c r="B2526" t="s">
        <v>15</v>
      </c>
      <c r="C2526" t="s">
        <v>16</v>
      </c>
      <c r="D2526">
        <v>208</v>
      </c>
      <c r="E2526" t="s">
        <v>2624</v>
      </c>
      <c r="F2526">
        <v>5419</v>
      </c>
      <c r="G2526" t="s">
        <v>18</v>
      </c>
      <c r="H2526">
        <v>27</v>
      </c>
      <c r="I2526" t="s">
        <v>19</v>
      </c>
      <c r="J2526">
        <v>1999</v>
      </c>
      <c r="K2526">
        <v>1999</v>
      </c>
      <c r="L2526" t="s">
        <v>20</v>
      </c>
      <c r="M2526">
        <v>24908</v>
      </c>
      <c r="N2526">
        <v>691</v>
      </c>
    </row>
    <row r="2527" spans="1:14" x14ac:dyDescent="0.35">
      <c r="A2527" t="s">
        <v>2632</v>
      </c>
      <c r="B2527" t="s">
        <v>15</v>
      </c>
      <c r="C2527" t="s">
        <v>16</v>
      </c>
      <c r="D2527">
        <v>208</v>
      </c>
      <c r="E2527" t="s">
        <v>2624</v>
      </c>
      <c r="F2527">
        <v>5419</v>
      </c>
      <c r="G2527" t="s">
        <v>18</v>
      </c>
      <c r="H2527">
        <v>27</v>
      </c>
      <c r="I2527" t="s">
        <v>19</v>
      </c>
      <c r="J2527">
        <v>2000</v>
      </c>
      <c r="K2527">
        <v>2000</v>
      </c>
      <c r="L2527" t="s">
        <v>20</v>
      </c>
      <c r="M2527">
        <v>37900</v>
      </c>
      <c r="N2527">
        <v>691</v>
      </c>
    </row>
    <row r="2528" spans="1:14" x14ac:dyDescent="0.35">
      <c r="A2528" t="s">
        <v>2633</v>
      </c>
      <c r="B2528" t="s">
        <v>15</v>
      </c>
      <c r="C2528" t="s">
        <v>16</v>
      </c>
      <c r="D2528">
        <v>208</v>
      </c>
      <c r="E2528" t="s">
        <v>2624</v>
      </c>
      <c r="F2528">
        <v>5419</v>
      </c>
      <c r="G2528" t="s">
        <v>18</v>
      </c>
      <c r="H2528">
        <v>27</v>
      </c>
      <c r="I2528" t="s">
        <v>19</v>
      </c>
      <c r="J2528">
        <v>2001</v>
      </c>
      <c r="K2528">
        <v>2001</v>
      </c>
      <c r="L2528" t="s">
        <v>20</v>
      </c>
      <c r="M2528">
        <v>26100</v>
      </c>
      <c r="N2528">
        <v>691</v>
      </c>
    </row>
    <row r="2529" spans="1:14" x14ac:dyDescent="0.35">
      <c r="A2529" t="s">
        <v>2634</v>
      </c>
      <c r="B2529" t="s">
        <v>15</v>
      </c>
      <c r="C2529" t="s">
        <v>16</v>
      </c>
      <c r="D2529">
        <v>208</v>
      </c>
      <c r="E2529" t="s">
        <v>2624</v>
      </c>
      <c r="F2529">
        <v>5419</v>
      </c>
      <c r="G2529" t="s">
        <v>18</v>
      </c>
      <c r="H2529">
        <v>27</v>
      </c>
      <c r="I2529" t="s">
        <v>19</v>
      </c>
      <c r="J2529">
        <v>2002</v>
      </c>
      <c r="K2529">
        <v>2002</v>
      </c>
      <c r="L2529" t="s">
        <v>20</v>
      </c>
      <c r="M2529">
        <v>28523</v>
      </c>
      <c r="N2529">
        <v>691</v>
      </c>
    </row>
    <row r="2530" spans="1:14" x14ac:dyDescent="0.35">
      <c r="A2530" t="s">
        <v>2635</v>
      </c>
      <c r="B2530" t="s">
        <v>15</v>
      </c>
      <c r="C2530" t="s">
        <v>16</v>
      </c>
      <c r="D2530">
        <v>208</v>
      </c>
      <c r="E2530" t="s">
        <v>2624</v>
      </c>
      <c r="F2530">
        <v>5419</v>
      </c>
      <c r="G2530" t="s">
        <v>18</v>
      </c>
      <c r="H2530">
        <v>27</v>
      </c>
      <c r="I2530" t="s">
        <v>19</v>
      </c>
      <c r="J2530">
        <v>2004</v>
      </c>
      <c r="K2530">
        <v>2004</v>
      </c>
      <c r="L2530" t="s">
        <v>20</v>
      </c>
      <c r="M2530">
        <v>36408</v>
      </c>
      <c r="N2530">
        <v>691</v>
      </c>
    </row>
    <row r="2531" spans="1:14" x14ac:dyDescent="0.35">
      <c r="A2531" t="s">
        <v>2636</v>
      </c>
      <c r="B2531" t="s">
        <v>15</v>
      </c>
      <c r="C2531" t="s">
        <v>16</v>
      </c>
      <c r="D2531">
        <v>208</v>
      </c>
      <c r="E2531" t="s">
        <v>2624</v>
      </c>
      <c r="F2531">
        <v>5419</v>
      </c>
      <c r="G2531" t="s">
        <v>18</v>
      </c>
      <c r="H2531">
        <v>27</v>
      </c>
      <c r="I2531" t="s">
        <v>19</v>
      </c>
      <c r="J2531">
        <v>2005</v>
      </c>
      <c r="K2531">
        <v>2005</v>
      </c>
      <c r="L2531" t="s">
        <v>20</v>
      </c>
      <c r="M2531">
        <v>32844</v>
      </c>
      <c r="N2531">
        <v>691</v>
      </c>
    </row>
    <row r="2532" spans="1:14" x14ac:dyDescent="0.35">
      <c r="A2532" t="s">
        <v>2637</v>
      </c>
      <c r="B2532" t="s">
        <v>15</v>
      </c>
      <c r="C2532" t="s">
        <v>16</v>
      </c>
      <c r="D2532">
        <v>208</v>
      </c>
      <c r="E2532" t="s">
        <v>2624</v>
      </c>
      <c r="F2532">
        <v>5419</v>
      </c>
      <c r="G2532" t="s">
        <v>18</v>
      </c>
      <c r="H2532">
        <v>27</v>
      </c>
      <c r="I2532" t="s">
        <v>19</v>
      </c>
      <c r="J2532">
        <v>2006</v>
      </c>
      <c r="K2532">
        <v>2006</v>
      </c>
      <c r="L2532" t="s">
        <v>20</v>
      </c>
      <c r="M2532">
        <v>31415</v>
      </c>
      <c r="N2532">
        <v>691</v>
      </c>
    </row>
    <row r="2533" spans="1:14" x14ac:dyDescent="0.35">
      <c r="A2533" t="s">
        <v>2638</v>
      </c>
      <c r="B2533" t="s">
        <v>15</v>
      </c>
      <c r="C2533" t="s">
        <v>16</v>
      </c>
      <c r="D2533">
        <v>208</v>
      </c>
      <c r="E2533" t="s">
        <v>2624</v>
      </c>
      <c r="F2533">
        <v>5419</v>
      </c>
      <c r="G2533" t="s">
        <v>18</v>
      </c>
      <c r="H2533">
        <v>27</v>
      </c>
      <c r="I2533" t="s">
        <v>19</v>
      </c>
      <c r="J2533">
        <v>2007</v>
      </c>
      <c r="K2533">
        <v>2007</v>
      </c>
      <c r="L2533" t="s">
        <v>20</v>
      </c>
      <c r="M2533">
        <v>30707</v>
      </c>
      <c r="N2533">
        <v>691</v>
      </c>
    </row>
    <row r="2534" spans="1:14" x14ac:dyDescent="0.35">
      <c r="A2534" t="s">
        <v>2639</v>
      </c>
      <c r="B2534" t="s">
        <v>15</v>
      </c>
      <c r="C2534" t="s">
        <v>16</v>
      </c>
      <c r="D2534">
        <v>208</v>
      </c>
      <c r="E2534" t="s">
        <v>2624</v>
      </c>
      <c r="F2534">
        <v>5419</v>
      </c>
      <c r="G2534" t="s">
        <v>18</v>
      </c>
      <c r="H2534">
        <v>27</v>
      </c>
      <c r="I2534" t="s">
        <v>19</v>
      </c>
      <c r="J2534">
        <v>2008</v>
      </c>
      <c r="K2534">
        <v>2008</v>
      </c>
      <c r="L2534" t="s">
        <v>20</v>
      </c>
      <c r="M2534">
        <v>52616</v>
      </c>
      <c r="N2534">
        <v>691</v>
      </c>
    </row>
    <row r="2535" spans="1:14" x14ac:dyDescent="0.35">
      <c r="A2535" t="s">
        <v>2640</v>
      </c>
      <c r="B2535" t="s">
        <v>15</v>
      </c>
      <c r="C2535" t="s">
        <v>16</v>
      </c>
      <c r="D2535">
        <v>208</v>
      </c>
      <c r="E2535" t="s">
        <v>2624</v>
      </c>
      <c r="F2535">
        <v>5419</v>
      </c>
      <c r="G2535" t="s">
        <v>18</v>
      </c>
      <c r="H2535">
        <v>27</v>
      </c>
      <c r="I2535" t="s">
        <v>19</v>
      </c>
      <c r="J2535">
        <v>2009</v>
      </c>
      <c r="K2535">
        <v>2009</v>
      </c>
      <c r="L2535" t="s">
        <v>20</v>
      </c>
      <c r="M2535">
        <v>43558</v>
      </c>
      <c r="N2535">
        <v>691</v>
      </c>
    </row>
    <row r="2536" spans="1:14" x14ac:dyDescent="0.35">
      <c r="A2536" t="s">
        <v>2641</v>
      </c>
      <c r="B2536" t="s">
        <v>15</v>
      </c>
      <c r="C2536" t="s">
        <v>16</v>
      </c>
      <c r="D2536">
        <v>208</v>
      </c>
      <c r="E2536" t="s">
        <v>2624</v>
      </c>
      <c r="F2536">
        <v>5419</v>
      </c>
      <c r="G2536" t="s">
        <v>18</v>
      </c>
      <c r="H2536">
        <v>27</v>
      </c>
      <c r="I2536" t="s">
        <v>19</v>
      </c>
      <c r="J2536">
        <v>2010</v>
      </c>
      <c r="K2536">
        <v>2010</v>
      </c>
      <c r="L2536" t="s">
        <v>20</v>
      </c>
      <c r="M2536">
        <v>51740</v>
      </c>
      <c r="N2536">
        <v>691</v>
      </c>
    </row>
    <row r="2537" spans="1:14" x14ac:dyDescent="0.35">
      <c r="A2537" t="s">
        <v>2642</v>
      </c>
      <c r="B2537" t="s">
        <v>15</v>
      </c>
      <c r="C2537" t="s">
        <v>16</v>
      </c>
      <c r="D2537">
        <v>208</v>
      </c>
      <c r="E2537" t="s">
        <v>2624</v>
      </c>
      <c r="F2537">
        <v>5419</v>
      </c>
      <c r="G2537" t="s">
        <v>18</v>
      </c>
      <c r="H2537">
        <v>27</v>
      </c>
      <c r="I2537" t="s">
        <v>19</v>
      </c>
      <c r="J2537">
        <v>2011</v>
      </c>
      <c r="K2537">
        <v>2011</v>
      </c>
      <c r="L2537" t="s">
        <v>20</v>
      </c>
      <c r="M2537">
        <v>58186</v>
      </c>
      <c r="N2537">
        <v>691</v>
      </c>
    </row>
    <row r="2538" spans="1:14" x14ac:dyDescent="0.35">
      <c r="A2538" t="s">
        <v>2643</v>
      </c>
      <c r="B2538" t="s">
        <v>15</v>
      </c>
      <c r="C2538" t="s">
        <v>16</v>
      </c>
      <c r="D2538">
        <v>208</v>
      </c>
      <c r="E2538" t="s">
        <v>2624</v>
      </c>
      <c r="F2538">
        <v>5419</v>
      </c>
      <c r="G2538" t="s">
        <v>18</v>
      </c>
      <c r="H2538">
        <v>27</v>
      </c>
      <c r="I2538" t="s">
        <v>19</v>
      </c>
      <c r="J2538">
        <v>2012</v>
      </c>
      <c r="K2538">
        <v>2012</v>
      </c>
      <c r="L2538" t="s">
        <v>20</v>
      </c>
      <c r="M2538">
        <v>62517</v>
      </c>
      <c r="N2538">
        <v>691</v>
      </c>
    </row>
    <row r="2539" spans="1:14" x14ac:dyDescent="0.35">
      <c r="A2539" t="s">
        <v>2644</v>
      </c>
      <c r="B2539" t="s">
        <v>15</v>
      </c>
      <c r="C2539" t="s">
        <v>16</v>
      </c>
      <c r="D2539">
        <v>208</v>
      </c>
      <c r="E2539" t="s">
        <v>2624</v>
      </c>
      <c r="F2539">
        <v>5419</v>
      </c>
      <c r="G2539" t="s">
        <v>18</v>
      </c>
      <c r="H2539">
        <v>27</v>
      </c>
      <c r="I2539" t="s">
        <v>19</v>
      </c>
      <c r="J2539">
        <v>2013</v>
      </c>
      <c r="K2539">
        <v>2013</v>
      </c>
      <c r="L2539" t="s">
        <v>20</v>
      </c>
      <c r="M2539">
        <v>66592</v>
      </c>
      <c r="N2539">
        <v>691</v>
      </c>
    </row>
    <row r="2540" spans="1:14" x14ac:dyDescent="0.35">
      <c r="A2540" t="s">
        <v>2645</v>
      </c>
      <c r="B2540" t="s">
        <v>15</v>
      </c>
      <c r="C2540" t="s">
        <v>16</v>
      </c>
      <c r="D2540">
        <v>208</v>
      </c>
      <c r="E2540" t="s">
        <v>2624</v>
      </c>
      <c r="F2540">
        <v>5419</v>
      </c>
      <c r="G2540" t="s">
        <v>18</v>
      </c>
      <c r="H2540">
        <v>27</v>
      </c>
      <c r="I2540" t="s">
        <v>19</v>
      </c>
      <c r="J2540">
        <v>2014</v>
      </c>
      <c r="K2540">
        <v>2014</v>
      </c>
      <c r="L2540" t="s">
        <v>20</v>
      </c>
      <c r="M2540">
        <v>71960</v>
      </c>
      <c r="N2540">
        <v>691</v>
      </c>
    </row>
    <row r="2541" spans="1:14" x14ac:dyDescent="0.35">
      <c r="A2541" t="s">
        <v>2646</v>
      </c>
      <c r="B2541" t="s">
        <v>15</v>
      </c>
      <c r="C2541" t="s">
        <v>16</v>
      </c>
      <c r="D2541">
        <v>208</v>
      </c>
      <c r="E2541" t="s">
        <v>2624</v>
      </c>
      <c r="F2541">
        <v>5419</v>
      </c>
      <c r="G2541" t="s">
        <v>18</v>
      </c>
      <c r="H2541">
        <v>27</v>
      </c>
      <c r="I2541" t="s">
        <v>19</v>
      </c>
      <c r="J2541">
        <v>2015</v>
      </c>
      <c r="K2541">
        <v>2015</v>
      </c>
      <c r="L2541" t="s">
        <v>20</v>
      </c>
      <c r="M2541">
        <v>72909</v>
      </c>
      <c r="N2541">
        <v>691</v>
      </c>
    </row>
    <row r="2542" spans="1:14" x14ac:dyDescent="0.35">
      <c r="A2542" t="s">
        <v>2647</v>
      </c>
      <c r="B2542" t="s">
        <v>15</v>
      </c>
      <c r="C2542" t="s">
        <v>16</v>
      </c>
      <c r="D2542">
        <v>208</v>
      </c>
      <c r="E2542" t="s">
        <v>2624</v>
      </c>
      <c r="F2542">
        <v>5419</v>
      </c>
      <c r="G2542" t="s">
        <v>18</v>
      </c>
      <c r="H2542">
        <v>27</v>
      </c>
      <c r="I2542" t="s">
        <v>19</v>
      </c>
      <c r="J2542">
        <v>2016</v>
      </c>
      <c r="K2542">
        <v>2016</v>
      </c>
      <c r="L2542" t="s">
        <v>20</v>
      </c>
      <c r="M2542">
        <v>70534</v>
      </c>
      <c r="N2542">
        <v>691</v>
      </c>
    </row>
    <row r="2543" spans="1:14" x14ac:dyDescent="0.35">
      <c r="A2543" t="s">
        <v>2648</v>
      </c>
      <c r="B2543" t="s">
        <v>15</v>
      </c>
      <c r="C2543" t="s">
        <v>16</v>
      </c>
      <c r="D2543">
        <v>216</v>
      </c>
      <c r="E2543" t="s">
        <v>2649</v>
      </c>
      <c r="F2543">
        <v>5419</v>
      </c>
      <c r="G2543" t="s">
        <v>18</v>
      </c>
      <c r="H2543">
        <v>27</v>
      </c>
      <c r="I2543" t="s">
        <v>19</v>
      </c>
      <c r="J2543">
        <v>1985</v>
      </c>
      <c r="K2543">
        <v>1985</v>
      </c>
      <c r="L2543" t="s">
        <v>20</v>
      </c>
      <c r="M2543">
        <v>20608</v>
      </c>
      <c r="N2543">
        <v>1622</v>
      </c>
    </row>
    <row r="2544" spans="1:14" x14ac:dyDescent="0.35">
      <c r="A2544" t="s">
        <v>2650</v>
      </c>
      <c r="B2544" t="s">
        <v>15</v>
      </c>
      <c r="C2544" t="s">
        <v>16</v>
      </c>
      <c r="D2544">
        <v>216</v>
      </c>
      <c r="E2544" t="s">
        <v>2649</v>
      </c>
      <c r="F2544">
        <v>5419</v>
      </c>
      <c r="G2544" t="s">
        <v>18</v>
      </c>
      <c r="H2544">
        <v>27</v>
      </c>
      <c r="I2544" t="s">
        <v>19</v>
      </c>
      <c r="J2544">
        <v>1986</v>
      </c>
      <c r="K2544">
        <v>1986</v>
      </c>
      <c r="L2544" t="s">
        <v>20</v>
      </c>
      <c r="M2544">
        <v>20522</v>
      </c>
      <c r="N2544">
        <v>1622</v>
      </c>
    </row>
    <row r="2545" spans="1:14" x14ac:dyDescent="0.35">
      <c r="A2545" t="s">
        <v>2651</v>
      </c>
      <c r="B2545" t="s">
        <v>15</v>
      </c>
      <c r="C2545" t="s">
        <v>16</v>
      </c>
      <c r="D2545">
        <v>216</v>
      </c>
      <c r="E2545" t="s">
        <v>2649</v>
      </c>
      <c r="F2545">
        <v>5419</v>
      </c>
      <c r="G2545" t="s">
        <v>18</v>
      </c>
      <c r="H2545">
        <v>27</v>
      </c>
      <c r="I2545" t="s">
        <v>19</v>
      </c>
      <c r="J2545">
        <v>1987</v>
      </c>
      <c r="K2545">
        <v>1987</v>
      </c>
      <c r="L2545" t="s">
        <v>20</v>
      </c>
      <c r="M2545">
        <v>20147</v>
      </c>
      <c r="N2545">
        <v>1622</v>
      </c>
    </row>
    <row r="2546" spans="1:14" x14ac:dyDescent="0.35">
      <c r="A2546" t="s">
        <v>2652</v>
      </c>
      <c r="B2546" t="s">
        <v>15</v>
      </c>
      <c r="C2546" t="s">
        <v>16</v>
      </c>
      <c r="D2546">
        <v>216</v>
      </c>
      <c r="E2546" t="s">
        <v>2649</v>
      </c>
      <c r="F2546">
        <v>5419</v>
      </c>
      <c r="G2546" t="s">
        <v>18</v>
      </c>
      <c r="H2546">
        <v>27</v>
      </c>
      <c r="I2546" t="s">
        <v>19</v>
      </c>
      <c r="J2546">
        <v>1989</v>
      </c>
      <c r="K2546">
        <v>1989</v>
      </c>
      <c r="L2546" t="s">
        <v>20</v>
      </c>
      <c r="M2546">
        <v>20853</v>
      </c>
      <c r="N2546">
        <v>1622</v>
      </c>
    </row>
    <row r="2547" spans="1:14" x14ac:dyDescent="0.35">
      <c r="A2547" t="s">
        <v>2653</v>
      </c>
      <c r="B2547" t="s">
        <v>15</v>
      </c>
      <c r="C2547" t="s">
        <v>16</v>
      </c>
      <c r="D2547">
        <v>216</v>
      </c>
      <c r="E2547" t="s">
        <v>2649</v>
      </c>
      <c r="F2547">
        <v>5419</v>
      </c>
      <c r="G2547" t="s">
        <v>18</v>
      </c>
      <c r="H2547">
        <v>27</v>
      </c>
      <c r="I2547" t="s">
        <v>19</v>
      </c>
      <c r="J2547">
        <v>1990</v>
      </c>
      <c r="K2547">
        <v>1990</v>
      </c>
      <c r="L2547" t="s">
        <v>20</v>
      </c>
      <c r="M2547">
        <v>19556</v>
      </c>
      <c r="N2547">
        <v>1622</v>
      </c>
    </row>
    <row r="2548" spans="1:14" x14ac:dyDescent="0.35">
      <c r="A2548" t="s">
        <v>2654</v>
      </c>
      <c r="B2548" t="s">
        <v>15</v>
      </c>
      <c r="C2548" t="s">
        <v>16</v>
      </c>
      <c r="D2548">
        <v>216</v>
      </c>
      <c r="E2548" t="s">
        <v>2649</v>
      </c>
      <c r="F2548">
        <v>5419</v>
      </c>
      <c r="G2548" t="s">
        <v>18</v>
      </c>
      <c r="H2548">
        <v>27</v>
      </c>
      <c r="I2548" t="s">
        <v>19</v>
      </c>
      <c r="J2548">
        <v>1991</v>
      </c>
      <c r="K2548">
        <v>1991</v>
      </c>
      <c r="L2548" t="s">
        <v>20</v>
      </c>
      <c r="M2548">
        <v>22534</v>
      </c>
      <c r="N2548">
        <v>1622</v>
      </c>
    </row>
    <row r="2549" spans="1:14" x14ac:dyDescent="0.35">
      <c r="A2549" t="s">
        <v>2655</v>
      </c>
      <c r="B2549" t="s">
        <v>15</v>
      </c>
      <c r="C2549" t="s">
        <v>16</v>
      </c>
      <c r="D2549">
        <v>216</v>
      </c>
      <c r="E2549" t="s">
        <v>2649</v>
      </c>
      <c r="F2549">
        <v>5419</v>
      </c>
      <c r="G2549" t="s">
        <v>18</v>
      </c>
      <c r="H2549">
        <v>27</v>
      </c>
      <c r="I2549" t="s">
        <v>19</v>
      </c>
      <c r="J2549">
        <v>1992</v>
      </c>
      <c r="K2549">
        <v>1992</v>
      </c>
      <c r="L2549" t="s">
        <v>20</v>
      </c>
      <c r="M2549">
        <v>21745</v>
      </c>
      <c r="N2549">
        <v>1622</v>
      </c>
    </row>
    <row r="2550" spans="1:14" x14ac:dyDescent="0.35">
      <c r="A2550" t="s">
        <v>2656</v>
      </c>
      <c r="B2550" t="s">
        <v>15</v>
      </c>
      <c r="C2550" t="s">
        <v>16</v>
      </c>
      <c r="D2550">
        <v>216</v>
      </c>
      <c r="E2550" t="s">
        <v>2649</v>
      </c>
      <c r="F2550">
        <v>5419</v>
      </c>
      <c r="G2550" t="s">
        <v>18</v>
      </c>
      <c r="H2550">
        <v>27</v>
      </c>
      <c r="I2550" t="s">
        <v>19</v>
      </c>
      <c r="J2550">
        <v>1993</v>
      </c>
      <c r="K2550">
        <v>1993</v>
      </c>
      <c r="L2550" t="s">
        <v>20</v>
      </c>
      <c r="M2550">
        <v>20497</v>
      </c>
      <c r="N2550">
        <v>1622</v>
      </c>
    </row>
    <row r="2551" spans="1:14" x14ac:dyDescent="0.35">
      <c r="A2551" t="s">
        <v>2657</v>
      </c>
      <c r="B2551" t="s">
        <v>15</v>
      </c>
      <c r="C2551" t="s">
        <v>16</v>
      </c>
      <c r="D2551">
        <v>216</v>
      </c>
      <c r="E2551" t="s">
        <v>2649</v>
      </c>
      <c r="F2551">
        <v>5419</v>
      </c>
      <c r="G2551" t="s">
        <v>18</v>
      </c>
      <c r="H2551">
        <v>27</v>
      </c>
      <c r="I2551" t="s">
        <v>19</v>
      </c>
      <c r="J2551">
        <v>1994</v>
      </c>
      <c r="K2551">
        <v>1994</v>
      </c>
      <c r="L2551" t="s">
        <v>20</v>
      </c>
      <c r="M2551">
        <v>23521</v>
      </c>
      <c r="N2551">
        <v>1622</v>
      </c>
    </row>
    <row r="2552" spans="1:14" x14ac:dyDescent="0.35">
      <c r="A2552" t="s">
        <v>2658</v>
      </c>
      <c r="B2552" t="s">
        <v>15</v>
      </c>
      <c r="C2552" t="s">
        <v>16</v>
      </c>
      <c r="D2552">
        <v>216</v>
      </c>
      <c r="E2552" t="s">
        <v>2649</v>
      </c>
      <c r="F2552">
        <v>5419</v>
      </c>
      <c r="G2552" t="s">
        <v>18</v>
      </c>
      <c r="H2552">
        <v>27</v>
      </c>
      <c r="I2552" t="s">
        <v>19</v>
      </c>
      <c r="J2552">
        <v>1995</v>
      </c>
      <c r="K2552">
        <v>1995</v>
      </c>
      <c r="L2552" t="s">
        <v>20</v>
      </c>
      <c r="M2552">
        <v>24158</v>
      </c>
      <c r="N2552">
        <v>1622</v>
      </c>
    </row>
    <row r="2553" spans="1:14" x14ac:dyDescent="0.35">
      <c r="A2553" t="s">
        <v>2659</v>
      </c>
      <c r="B2553" t="s">
        <v>15</v>
      </c>
      <c r="C2553" t="s">
        <v>16</v>
      </c>
      <c r="D2553">
        <v>216</v>
      </c>
      <c r="E2553" t="s">
        <v>2649</v>
      </c>
      <c r="F2553">
        <v>5419</v>
      </c>
      <c r="G2553" t="s">
        <v>18</v>
      </c>
      <c r="H2553">
        <v>27</v>
      </c>
      <c r="I2553" t="s">
        <v>19</v>
      </c>
      <c r="J2553">
        <v>1996</v>
      </c>
      <c r="K2553">
        <v>1996</v>
      </c>
      <c r="L2553" t="s">
        <v>20</v>
      </c>
      <c r="M2553">
        <v>24098</v>
      </c>
      <c r="N2553">
        <v>1622</v>
      </c>
    </row>
    <row r="2554" spans="1:14" x14ac:dyDescent="0.35">
      <c r="A2554" t="s">
        <v>2660</v>
      </c>
      <c r="B2554" t="s">
        <v>15</v>
      </c>
      <c r="C2554" t="s">
        <v>16</v>
      </c>
      <c r="D2554">
        <v>216</v>
      </c>
      <c r="E2554" t="s">
        <v>2649</v>
      </c>
      <c r="F2554">
        <v>5419</v>
      </c>
      <c r="G2554" t="s">
        <v>18</v>
      </c>
      <c r="H2554">
        <v>27</v>
      </c>
      <c r="I2554" t="s">
        <v>19</v>
      </c>
      <c r="J2554">
        <v>1997</v>
      </c>
      <c r="K2554">
        <v>1997</v>
      </c>
      <c r="L2554" t="s">
        <v>20</v>
      </c>
      <c r="M2554">
        <v>23788</v>
      </c>
      <c r="N2554">
        <v>1622</v>
      </c>
    </row>
    <row r="2555" spans="1:14" x14ac:dyDescent="0.35">
      <c r="A2555" t="s">
        <v>2661</v>
      </c>
      <c r="B2555" t="s">
        <v>15</v>
      </c>
      <c r="C2555" t="s">
        <v>16</v>
      </c>
      <c r="D2555">
        <v>216</v>
      </c>
      <c r="E2555" t="s">
        <v>2649</v>
      </c>
      <c r="F2555">
        <v>5419</v>
      </c>
      <c r="G2555" t="s">
        <v>18</v>
      </c>
      <c r="H2555">
        <v>27</v>
      </c>
      <c r="I2555" t="s">
        <v>19</v>
      </c>
      <c r="J2555">
        <v>1998</v>
      </c>
      <c r="K2555">
        <v>1998</v>
      </c>
      <c r="L2555" t="s">
        <v>20</v>
      </c>
      <c r="M2555">
        <v>24180</v>
      </c>
      <c r="N2555">
        <v>1622</v>
      </c>
    </row>
    <row r="2556" spans="1:14" x14ac:dyDescent="0.35">
      <c r="A2556" t="s">
        <v>2662</v>
      </c>
      <c r="B2556" t="s">
        <v>15</v>
      </c>
      <c r="C2556" t="s">
        <v>16</v>
      </c>
      <c r="D2556">
        <v>216</v>
      </c>
      <c r="E2556" t="s">
        <v>2649</v>
      </c>
      <c r="F2556">
        <v>5419</v>
      </c>
      <c r="G2556" t="s">
        <v>18</v>
      </c>
      <c r="H2556">
        <v>27</v>
      </c>
      <c r="I2556" t="s">
        <v>19</v>
      </c>
      <c r="J2556">
        <v>1999</v>
      </c>
      <c r="K2556">
        <v>1999</v>
      </c>
      <c r="L2556" t="s">
        <v>20</v>
      </c>
      <c r="M2556">
        <v>24244</v>
      </c>
      <c r="N2556">
        <v>1622</v>
      </c>
    </row>
    <row r="2557" spans="1:14" x14ac:dyDescent="0.35">
      <c r="A2557" t="s">
        <v>2663</v>
      </c>
      <c r="B2557" t="s">
        <v>15</v>
      </c>
      <c r="C2557" t="s">
        <v>16</v>
      </c>
      <c r="D2557">
        <v>216</v>
      </c>
      <c r="E2557" t="s">
        <v>2649</v>
      </c>
      <c r="F2557">
        <v>5419</v>
      </c>
      <c r="G2557" t="s">
        <v>18</v>
      </c>
      <c r="H2557">
        <v>27</v>
      </c>
      <c r="I2557" t="s">
        <v>19</v>
      </c>
      <c r="J2557">
        <v>2000</v>
      </c>
      <c r="K2557">
        <v>2000</v>
      </c>
      <c r="L2557" t="s">
        <v>20</v>
      </c>
      <c r="M2557">
        <v>26128</v>
      </c>
      <c r="N2557">
        <v>1622</v>
      </c>
    </row>
    <row r="2558" spans="1:14" x14ac:dyDescent="0.35">
      <c r="A2558" t="s">
        <v>2664</v>
      </c>
      <c r="B2558" t="s">
        <v>15</v>
      </c>
      <c r="C2558" t="s">
        <v>16</v>
      </c>
      <c r="D2558">
        <v>216</v>
      </c>
      <c r="E2558" t="s">
        <v>2649</v>
      </c>
      <c r="F2558">
        <v>5419</v>
      </c>
      <c r="G2558" t="s">
        <v>18</v>
      </c>
      <c r="H2558">
        <v>27</v>
      </c>
      <c r="I2558" t="s">
        <v>19</v>
      </c>
      <c r="J2558">
        <v>2001</v>
      </c>
      <c r="K2558">
        <v>2001</v>
      </c>
      <c r="L2558" t="s">
        <v>20</v>
      </c>
      <c r="M2558">
        <v>28739</v>
      </c>
      <c r="N2558">
        <v>1622</v>
      </c>
    </row>
    <row r="2559" spans="1:14" x14ac:dyDescent="0.35">
      <c r="A2559" t="s">
        <v>2665</v>
      </c>
      <c r="B2559" t="s">
        <v>15</v>
      </c>
      <c r="C2559" t="s">
        <v>16</v>
      </c>
      <c r="D2559">
        <v>216</v>
      </c>
      <c r="E2559" t="s">
        <v>2649</v>
      </c>
      <c r="F2559">
        <v>5419</v>
      </c>
      <c r="G2559" t="s">
        <v>18</v>
      </c>
      <c r="H2559">
        <v>27</v>
      </c>
      <c r="I2559" t="s">
        <v>19</v>
      </c>
      <c r="J2559">
        <v>2002</v>
      </c>
      <c r="K2559">
        <v>2002</v>
      </c>
      <c r="L2559" t="s">
        <v>20</v>
      </c>
      <c r="M2559">
        <v>29338</v>
      </c>
      <c r="N2559">
        <v>1622</v>
      </c>
    </row>
    <row r="2560" spans="1:14" x14ac:dyDescent="0.35">
      <c r="A2560" t="s">
        <v>2666</v>
      </c>
      <c r="B2560" t="s">
        <v>15</v>
      </c>
      <c r="C2560" t="s">
        <v>16</v>
      </c>
      <c r="D2560">
        <v>216</v>
      </c>
      <c r="E2560" t="s">
        <v>2649</v>
      </c>
      <c r="F2560">
        <v>5419</v>
      </c>
      <c r="G2560" t="s">
        <v>18</v>
      </c>
      <c r="H2560">
        <v>27</v>
      </c>
      <c r="I2560" t="s">
        <v>19</v>
      </c>
      <c r="J2560">
        <v>2004</v>
      </c>
      <c r="K2560">
        <v>2004</v>
      </c>
      <c r="L2560" t="s">
        <v>20</v>
      </c>
      <c r="M2560">
        <v>28895</v>
      </c>
      <c r="N2560">
        <v>1622</v>
      </c>
    </row>
    <row r="2561" spans="1:14" x14ac:dyDescent="0.35">
      <c r="A2561" t="s">
        <v>2667</v>
      </c>
      <c r="B2561" t="s">
        <v>15</v>
      </c>
      <c r="C2561" t="s">
        <v>16</v>
      </c>
      <c r="D2561">
        <v>216</v>
      </c>
      <c r="E2561" t="s">
        <v>2649</v>
      </c>
      <c r="F2561">
        <v>5419</v>
      </c>
      <c r="G2561" t="s">
        <v>18</v>
      </c>
      <c r="H2561">
        <v>27</v>
      </c>
      <c r="I2561" t="s">
        <v>19</v>
      </c>
      <c r="J2561">
        <v>2005</v>
      </c>
      <c r="K2561">
        <v>2005</v>
      </c>
      <c r="L2561" t="s">
        <v>20</v>
      </c>
      <c r="M2561">
        <v>29974</v>
      </c>
      <c r="N2561">
        <v>1622</v>
      </c>
    </row>
    <row r="2562" spans="1:14" x14ac:dyDescent="0.35">
      <c r="A2562" t="s">
        <v>2668</v>
      </c>
      <c r="B2562" t="s">
        <v>15</v>
      </c>
      <c r="C2562" t="s">
        <v>16</v>
      </c>
      <c r="D2562">
        <v>216</v>
      </c>
      <c r="E2562" t="s">
        <v>2649</v>
      </c>
      <c r="F2562">
        <v>5419</v>
      </c>
      <c r="G2562" t="s">
        <v>18</v>
      </c>
      <c r="H2562">
        <v>27</v>
      </c>
      <c r="I2562" t="s">
        <v>19</v>
      </c>
      <c r="J2562">
        <v>2006</v>
      </c>
      <c r="K2562">
        <v>2006</v>
      </c>
      <c r="L2562" t="s">
        <v>20</v>
      </c>
      <c r="M2562">
        <v>29503</v>
      </c>
      <c r="N2562">
        <v>1622</v>
      </c>
    </row>
    <row r="2563" spans="1:14" x14ac:dyDescent="0.35">
      <c r="A2563" t="s">
        <v>2669</v>
      </c>
      <c r="B2563" t="s">
        <v>15</v>
      </c>
      <c r="C2563" t="s">
        <v>16</v>
      </c>
      <c r="D2563">
        <v>216</v>
      </c>
      <c r="E2563" t="s">
        <v>2649</v>
      </c>
      <c r="F2563">
        <v>5419</v>
      </c>
      <c r="G2563" t="s">
        <v>18</v>
      </c>
      <c r="H2563">
        <v>27</v>
      </c>
      <c r="I2563" t="s">
        <v>19</v>
      </c>
      <c r="J2563">
        <v>2007</v>
      </c>
      <c r="K2563">
        <v>2007</v>
      </c>
      <c r="L2563" t="s">
        <v>20</v>
      </c>
      <c r="M2563">
        <v>30441</v>
      </c>
      <c r="N2563">
        <v>1622</v>
      </c>
    </row>
    <row r="2564" spans="1:14" x14ac:dyDescent="0.35">
      <c r="A2564" t="s">
        <v>2670</v>
      </c>
      <c r="B2564" t="s">
        <v>15</v>
      </c>
      <c r="C2564" t="s">
        <v>16</v>
      </c>
      <c r="D2564">
        <v>216</v>
      </c>
      <c r="E2564" t="s">
        <v>2649</v>
      </c>
      <c r="F2564">
        <v>5419</v>
      </c>
      <c r="G2564" t="s">
        <v>18</v>
      </c>
      <c r="H2564">
        <v>27</v>
      </c>
      <c r="I2564" t="s">
        <v>19</v>
      </c>
      <c r="J2564">
        <v>2008</v>
      </c>
      <c r="K2564">
        <v>2008</v>
      </c>
      <c r="L2564" t="s">
        <v>20</v>
      </c>
      <c r="M2564">
        <v>29974</v>
      </c>
      <c r="N2564">
        <v>1622</v>
      </c>
    </row>
    <row r="2565" spans="1:14" x14ac:dyDescent="0.35">
      <c r="A2565" t="s">
        <v>2671</v>
      </c>
      <c r="B2565" t="s">
        <v>15</v>
      </c>
      <c r="C2565" t="s">
        <v>16</v>
      </c>
      <c r="D2565">
        <v>216</v>
      </c>
      <c r="E2565" t="s">
        <v>2649</v>
      </c>
      <c r="F2565">
        <v>5419</v>
      </c>
      <c r="G2565" t="s">
        <v>18</v>
      </c>
      <c r="H2565">
        <v>27</v>
      </c>
      <c r="I2565" t="s">
        <v>19</v>
      </c>
      <c r="J2565">
        <v>2009</v>
      </c>
      <c r="K2565">
        <v>2009</v>
      </c>
      <c r="L2565" t="s">
        <v>20</v>
      </c>
      <c r="M2565">
        <v>29079</v>
      </c>
      <c r="N2565">
        <v>1622</v>
      </c>
    </row>
    <row r="2566" spans="1:14" x14ac:dyDescent="0.35">
      <c r="A2566" t="s">
        <v>2672</v>
      </c>
      <c r="B2566" t="s">
        <v>15</v>
      </c>
      <c r="C2566" t="s">
        <v>16</v>
      </c>
      <c r="D2566">
        <v>216</v>
      </c>
      <c r="E2566" t="s">
        <v>2649</v>
      </c>
      <c r="F2566">
        <v>5419</v>
      </c>
      <c r="G2566" t="s">
        <v>18</v>
      </c>
      <c r="H2566">
        <v>27</v>
      </c>
      <c r="I2566" t="s">
        <v>19</v>
      </c>
      <c r="J2566">
        <v>2010</v>
      </c>
      <c r="K2566">
        <v>2010</v>
      </c>
      <c r="L2566" t="s">
        <v>20</v>
      </c>
      <c r="M2566">
        <v>29921</v>
      </c>
      <c r="N2566">
        <v>1622</v>
      </c>
    </row>
    <row r="2567" spans="1:14" x14ac:dyDescent="0.35">
      <c r="A2567" t="s">
        <v>2673</v>
      </c>
      <c r="B2567" t="s">
        <v>15</v>
      </c>
      <c r="C2567" t="s">
        <v>16</v>
      </c>
      <c r="D2567">
        <v>216</v>
      </c>
      <c r="E2567" t="s">
        <v>2649</v>
      </c>
      <c r="F2567">
        <v>5419</v>
      </c>
      <c r="G2567" t="s">
        <v>18</v>
      </c>
      <c r="H2567">
        <v>27</v>
      </c>
      <c r="I2567" t="s">
        <v>19</v>
      </c>
      <c r="J2567">
        <v>2011</v>
      </c>
      <c r="K2567">
        <v>2011</v>
      </c>
      <c r="L2567" t="s">
        <v>20</v>
      </c>
      <c r="M2567">
        <v>31867</v>
      </c>
      <c r="N2567">
        <v>1622</v>
      </c>
    </row>
    <row r="2568" spans="1:14" x14ac:dyDescent="0.35">
      <c r="A2568" t="s">
        <v>2674</v>
      </c>
      <c r="B2568" t="s">
        <v>15</v>
      </c>
      <c r="C2568" t="s">
        <v>16</v>
      </c>
      <c r="D2568">
        <v>216</v>
      </c>
      <c r="E2568" t="s">
        <v>2649</v>
      </c>
      <c r="F2568">
        <v>5419</v>
      </c>
      <c r="G2568" t="s">
        <v>18</v>
      </c>
      <c r="H2568">
        <v>27</v>
      </c>
      <c r="I2568" t="s">
        <v>19</v>
      </c>
      <c r="J2568">
        <v>2012</v>
      </c>
      <c r="K2568">
        <v>2012</v>
      </c>
      <c r="L2568" t="s">
        <v>20</v>
      </c>
      <c r="M2568">
        <v>31865</v>
      </c>
      <c r="N2568">
        <v>1622</v>
      </c>
    </row>
    <row r="2569" spans="1:14" x14ac:dyDescent="0.35">
      <c r="A2569" t="s">
        <v>2675</v>
      </c>
      <c r="B2569" t="s">
        <v>15</v>
      </c>
      <c r="C2569" t="s">
        <v>16</v>
      </c>
      <c r="D2569">
        <v>216</v>
      </c>
      <c r="E2569" t="s">
        <v>2649</v>
      </c>
      <c r="F2569">
        <v>5419</v>
      </c>
      <c r="G2569" t="s">
        <v>18</v>
      </c>
      <c r="H2569">
        <v>27</v>
      </c>
      <c r="I2569" t="s">
        <v>19</v>
      </c>
      <c r="J2569">
        <v>2013</v>
      </c>
      <c r="K2569">
        <v>2013</v>
      </c>
      <c r="L2569" t="s">
        <v>20</v>
      </c>
      <c r="M2569">
        <v>31463</v>
      </c>
      <c r="N2569">
        <v>1622</v>
      </c>
    </row>
    <row r="2570" spans="1:14" x14ac:dyDescent="0.35">
      <c r="A2570" t="s">
        <v>2676</v>
      </c>
      <c r="B2570" t="s">
        <v>15</v>
      </c>
      <c r="C2570" t="s">
        <v>16</v>
      </c>
      <c r="D2570">
        <v>216</v>
      </c>
      <c r="E2570" t="s">
        <v>2649</v>
      </c>
      <c r="F2570">
        <v>5419</v>
      </c>
      <c r="G2570" t="s">
        <v>18</v>
      </c>
      <c r="H2570">
        <v>27</v>
      </c>
      <c r="I2570" t="s">
        <v>19</v>
      </c>
      <c r="J2570">
        <v>2014</v>
      </c>
      <c r="K2570">
        <v>2014</v>
      </c>
      <c r="L2570" t="s">
        <v>20</v>
      </c>
      <c r="M2570">
        <v>30586</v>
      </c>
      <c r="N2570">
        <v>1622</v>
      </c>
    </row>
    <row r="2571" spans="1:14" x14ac:dyDescent="0.35">
      <c r="A2571" t="s">
        <v>2677</v>
      </c>
      <c r="B2571" t="s">
        <v>15</v>
      </c>
      <c r="C2571" t="s">
        <v>16</v>
      </c>
      <c r="D2571">
        <v>216</v>
      </c>
      <c r="E2571" t="s">
        <v>2649</v>
      </c>
      <c r="F2571">
        <v>5419</v>
      </c>
      <c r="G2571" t="s">
        <v>18</v>
      </c>
      <c r="H2571">
        <v>27</v>
      </c>
      <c r="I2571" t="s">
        <v>19</v>
      </c>
      <c r="J2571">
        <v>2015</v>
      </c>
      <c r="K2571">
        <v>2015</v>
      </c>
      <c r="L2571" t="s">
        <v>20</v>
      </c>
      <c r="M2571">
        <v>28506</v>
      </c>
      <c r="N2571">
        <v>1622</v>
      </c>
    </row>
    <row r="2572" spans="1:14" x14ac:dyDescent="0.35">
      <c r="A2572" t="s">
        <v>2678</v>
      </c>
      <c r="B2572" t="s">
        <v>15</v>
      </c>
      <c r="C2572" t="s">
        <v>16</v>
      </c>
      <c r="D2572">
        <v>216</v>
      </c>
      <c r="E2572" t="s">
        <v>2649</v>
      </c>
      <c r="F2572">
        <v>5419</v>
      </c>
      <c r="G2572" t="s">
        <v>18</v>
      </c>
      <c r="H2572">
        <v>27</v>
      </c>
      <c r="I2572" t="s">
        <v>19</v>
      </c>
      <c r="J2572">
        <v>2016</v>
      </c>
      <c r="K2572">
        <v>2016</v>
      </c>
      <c r="L2572" t="s">
        <v>20</v>
      </c>
      <c r="M2572">
        <v>29118</v>
      </c>
      <c r="N2572">
        <v>1622</v>
      </c>
    </row>
    <row r="2573" spans="1:14" x14ac:dyDescent="0.35">
      <c r="A2573" t="s">
        <v>2679</v>
      </c>
      <c r="B2573" t="s">
        <v>15</v>
      </c>
      <c r="C2573" t="s">
        <v>16</v>
      </c>
      <c r="D2573">
        <v>176</v>
      </c>
      <c r="E2573" t="s">
        <v>2680</v>
      </c>
      <c r="F2573">
        <v>5419</v>
      </c>
      <c r="G2573" t="s">
        <v>18</v>
      </c>
      <c r="H2573">
        <v>27</v>
      </c>
      <c r="I2573" t="s">
        <v>19</v>
      </c>
      <c r="J2573">
        <v>1985</v>
      </c>
      <c r="K2573">
        <v>1985</v>
      </c>
      <c r="L2573" t="s">
        <v>20</v>
      </c>
      <c r="M2573">
        <v>20000</v>
      </c>
      <c r="N2573">
        <v>1500</v>
      </c>
    </row>
    <row r="2574" spans="1:14" x14ac:dyDescent="0.35">
      <c r="A2574" t="s">
        <v>2681</v>
      </c>
      <c r="B2574" t="s">
        <v>15</v>
      </c>
      <c r="C2574" t="s">
        <v>16</v>
      </c>
      <c r="D2574">
        <v>176</v>
      </c>
      <c r="E2574" t="s">
        <v>2680</v>
      </c>
      <c r="F2574">
        <v>5419</v>
      </c>
      <c r="G2574" t="s">
        <v>18</v>
      </c>
      <c r="H2574">
        <v>27</v>
      </c>
      <c r="I2574" t="s">
        <v>19</v>
      </c>
      <c r="J2574">
        <v>1986</v>
      </c>
      <c r="K2574">
        <v>1986</v>
      </c>
      <c r="L2574" t="s">
        <v>20</v>
      </c>
      <c r="M2574">
        <v>20000</v>
      </c>
      <c r="N2574">
        <v>1500</v>
      </c>
    </row>
    <row r="2575" spans="1:14" x14ac:dyDescent="0.35">
      <c r="A2575" t="s">
        <v>2682</v>
      </c>
      <c r="B2575" t="s">
        <v>15</v>
      </c>
      <c r="C2575" t="s">
        <v>16</v>
      </c>
      <c r="D2575">
        <v>176</v>
      </c>
      <c r="E2575" t="s">
        <v>2680</v>
      </c>
      <c r="F2575">
        <v>5419</v>
      </c>
      <c r="G2575" t="s">
        <v>18</v>
      </c>
      <c r="H2575">
        <v>27</v>
      </c>
      <c r="I2575" t="s">
        <v>19</v>
      </c>
      <c r="J2575">
        <v>1987</v>
      </c>
      <c r="K2575">
        <v>1987</v>
      </c>
      <c r="L2575" t="s">
        <v>20</v>
      </c>
      <c r="M2575">
        <v>21305</v>
      </c>
      <c r="N2575">
        <v>1500</v>
      </c>
    </row>
    <row r="2576" spans="1:14" x14ac:dyDescent="0.35">
      <c r="A2576" t="s">
        <v>2683</v>
      </c>
      <c r="B2576" t="s">
        <v>15</v>
      </c>
      <c r="C2576" t="s">
        <v>16</v>
      </c>
      <c r="D2576">
        <v>176</v>
      </c>
      <c r="E2576" t="s">
        <v>2680</v>
      </c>
      <c r="F2576">
        <v>5419</v>
      </c>
      <c r="G2576" t="s">
        <v>18</v>
      </c>
      <c r="H2576">
        <v>27</v>
      </c>
      <c r="I2576" t="s">
        <v>19</v>
      </c>
      <c r="J2576">
        <v>1989</v>
      </c>
      <c r="K2576">
        <v>1989</v>
      </c>
      <c r="L2576" t="s">
        <v>20</v>
      </c>
      <c r="M2576">
        <v>25873</v>
      </c>
      <c r="N2576">
        <v>1500</v>
      </c>
    </row>
    <row r="2577" spans="1:14" x14ac:dyDescent="0.35">
      <c r="A2577" t="s">
        <v>2684</v>
      </c>
      <c r="B2577" t="s">
        <v>15</v>
      </c>
      <c r="C2577" t="s">
        <v>16</v>
      </c>
      <c r="D2577">
        <v>176</v>
      </c>
      <c r="E2577" t="s">
        <v>2680</v>
      </c>
      <c r="F2577">
        <v>5419</v>
      </c>
      <c r="G2577" t="s">
        <v>18</v>
      </c>
      <c r="H2577">
        <v>27</v>
      </c>
      <c r="I2577" t="s">
        <v>19</v>
      </c>
      <c r="J2577">
        <v>1990</v>
      </c>
      <c r="K2577">
        <v>1990</v>
      </c>
      <c r="L2577" t="s">
        <v>20</v>
      </c>
      <c r="M2577">
        <v>26361</v>
      </c>
      <c r="N2577">
        <v>1500</v>
      </c>
    </row>
    <row r="2578" spans="1:14" x14ac:dyDescent="0.35">
      <c r="A2578" t="s">
        <v>2685</v>
      </c>
      <c r="B2578" t="s">
        <v>15</v>
      </c>
      <c r="C2578" t="s">
        <v>16</v>
      </c>
      <c r="D2578">
        <v>176</v>
      </c>
      <c r="E2578" t="s">
        <v>2680</v>
      </c>
      <c r="F2578">
        <v>5419</v>
      </c>
      <c r="G2578" t="s">
        <v>18</v>
      </c>
      <c r="H2578">
        <v>27</v>
      </c>
      <c r="I2578" t="s">
        <v>19</v>
      </c>
      <c r="J2578">
        <v>1991</v>
      </c>
      <c r="K2578">
        <v>1991</v>
      </c>
      <c r="L2578" t="s">
        <v>20</v>
      </c>
      <c r="M2578">
        <v>26237</v>
      </c>
      <c r="N2578">
        <v>1500</v>
      </c>
    </row>
    <row r="2579" spans="1:14" x14ac:dyDescent="0.35">
      <c r="A2579" t="s">
        <v>2686</v>
      </c>
      <c r="B2579" t="s">
        <v>15</v>
      </c>
      <c r="C2579" t="s">
        <v>16</v>
      </c>
      <c r="D2579">
        <v>176</v>
      </c>
      <c r="E2579" t="s">
        <v>2680</v>
      </c>
      <c r="F2579">
        <v>5419</v>
      </c>
      <c r="G2579" t="s">
        <v>18</v>
      </c>
      <c r="H2579">
        <v>27</v>
      </c>
      <c r="I2579" t="s">
        <v>19</v>
      </c>
      <c r="J2579">
        <v>1992</v>
      </c>
      <c r="K2579">
        <v>1992</v>
      </c>
      <c r="L2579" t="s">
        <v>20</v>
      </c>
      <c r="M2579">
        <v>27169</v>
      </c>
      <c r="N2579">
        <v>1500</v>
      </c>
    </row>
    <row r="2580" spans="1:14" x14ac:dyDescent="0.35">
      <c r="A2580" t="s">
        <v>2687</v>
      </c>
      <c r="B2580" t="s">
        <v>15</v>
      </c>
      <c r="C2580" t="s">
        <v>16</v>
      </c>
      <c r="D2580">
        <v>176</v>
      </c>
      <c r="E2580" t="s">
        <v>2680</v>
      </c>
      <c r="F2580">
        <v>5419</v>
      </c>
      <c r="G2580" t="s">
        <v>18</v>
      </c>
      <c r="H2580">
        <v>27</v>
      </c>
      <c r="I2580" t="s">
        <v>19</v>
      </c>
      <c r="J2580">
        <v>1993</v>
      </c>
      <c r="K2580">
        <v>1993</v>
      </c>
      <c r="L2580" t="s">
        <v>20</v>
      </c>
      <c r="M2580">
        <v>27453</v>
      </c>
      <c r="N2580">
        <v>1500</v>
      </c>
    </row>
    <row r="2581" spans="1:14" x14ac:dyDescent="0.35">
      <c r="A2581" t="s">
        <v>2688</v>
      </c>
      <c r="B2581" t="s">
        <v>15</v>
      </c>
      <c r="C2581" t="s">
        <v>16</v>
      </c>
      <c r="D2581">
        <v>176</v>
      </c>
      <c r="E2581" t="s">
        <v>2680</v>
      </c>
      <c r="F2581">
        <v>5419</v>
      </c>
      <c r="G2581" t="s">
        <v>18</v>
      </c>
      <c r="H2581">
        <v>27</v>
      </c>
      <c r="I2581" t="s">
        <v>19</v>
      </c>
      <c r="J2581">
        <v>1994</v>
      </c>
      <c r="K2581">
        <v>1994</v>
      </c>
      <c r="L2581" t="s">
        <v>20</v>
      </c>
      <c r="M2581">
        <v>25759</v>
      </c>
      <c r="N2581">
        <v>1500</v>
      </c>
    </row>
    <row r="2582" spans="1:14" x14ac:dyDescent="0.35">
      <c r="A2582" t="s">
        <v>2689</v>
      </c>
      <c r="B2582" t="s">
        <v>15</v>
      </c>
      <c r="C2582" t="s">
        <v>16</v>
      </c>
      <c r="D2582">
        <v>176</v>
      </c>
      <c r="E2582" t="s">
        <v>2680</v>
      </c>
      <c r="F2582">
        <v>5419</v>
      </c>
      <c r="G2582" t="s">
        <v>18</v>
      </c>
      <c r="H2582">
        <v>27</v>
      </c>
      <c r="I2582" t="s">
        <v>19</v>
      </c>
      <c r="J2582">
        <v>1995</v>
      </c>
      <c r="K2582">
        <v>1995</v>
      </c>
      <c r="L2582" t="s">
        <v>20</v>
      </c>
      <c r="M2582">
        <v>25822</v>
      </c>
      <c r="N2582">
        <v>1500</v>
      </c>
    </row>
    <row r="2583" spans="1:14" x14ac:dyDescent="0.35">
      <c r="A2583" t="s">
        <v>2690</v>
      </c>
      <c r="B2583" t="s">
        <v>15</v>
      </c>
      <c r="C2583" t="s">
        <v>16</v>
      </c>
      <c r="D2583">
        <v>176</v>
      </c>
      <c r="E2583" t="s">
        <v>2680</v>
      </c>
      <c r="F2583">
        <v>5419</v>
      </c>
      <c r="G2583" t="s">
        <v>18</v>
      </c>
      <c r="H2583">
        <v>27</v>
      </c>
      <c r="I2583" t="s">
        <v>19</v>
      </c>
      <c r="J2583">
        <v>1996</v>
      </c>
      <c r="K2583">
        <v>1996</v>
      </c>
      <c r="L2583" t="s">
        <v>20</v>
      </c>
      <c r="M2583">
        <v>26726</v>
      </c>
      <c r="N2583">
        <v>1500</v>
      </c>
    </row>
    <row r="2584" spans="1:14" x14ac:dyDescent="0.35">
      <c r="A2584" t="s">
        <v>2691</v>
      </c>
      <c r="B2584" t="s">
        <v>15</v>
      </c>
      <c r="C2584" t="s">
        <v>16</v>
      </c>
      <c r="D2584">
        <v>176</v>
      </c>
      <c r="E2584" t="s">
        <v>2680</v>
      </c>
      <c r="F2584">
        <v>5419</v>
      </c>
      <c r="G2584" t="s">
        <v>18</v>
      </c>
      <c r="H2584">
        <v>27</v>
      </c>
      <c r="I2584" t="s">
        <v>19</v>
      </c>
      <c r="J2584">
        <v>1997</v>
      </c>
      <c r="K2584">
        <v>1997</v>
      </c>
      <c r="L2584" t="s">
        <v>20</v>
      </c>
      <c r="M2584">
        <v>26742</v>
      </c>
      <c r="N2584">
        <v>1500</v>
      </c>
    </row>
    <row r="2585" spans="1:14" x14ac:dyDescent="0.35">
      <c r="A2585" t="s">
        <v>2692</v>
      </c>
      <c r="B2585" t="s">
        <v>15</v>
      </c>
      <c r="C2585" t="s">
        <v>16</v>
      </c>
      <c r="D2585">
        <v>176</v>
      </c>
      <c r="E2585" t="s">
        <v>2680</v>
      </c>
      <c r="F2585">
        <v>5419</v>
      </c>
      <c r="G2585" t="s">
        <v>18</v>
      </c>
      <c r="H2585">
        <v>27</v>
      </c>
      <c r="I2585" t="s">
        <v>19</v>
      </c>
      <c r="J2585">
        <v>1998</v>
      </c>
      <c r="K2585">
        <v>1998</v>
      </c>
      <c r="L2585" t="s">
        <v>20</v>
      </c>
      <c r="M2585">
        <v>26651</v>
      </c>
      <c r="N2585">
        <v>1500</v>
      </c>
    </row>
    <row r="2586" spans="1:14" x14ac:dyDescent="0.35">
      <c r="A2586" t="s">
        <v>2693</v>
      </c>
      <c r="B2586" t="s">
        <v>15</v>
      </c>
      <c r="C2586" t="s">
        <v>16</v>
      </c>
      <c r="D2586">
        <v>176</v>
      </c>
      <c r="E2586" t="s">
        <v>2680</v>
      </c>
      <c r="F2586">
        <v>5419</v>
      </c>
      <c r="G2586" t="s">
        <v>18</v>
      </c>
      <c r="H2586">
        <v>27</v>
      </c>
      <c r="I2586" t="s">
        <v>19</v>
      </c>
      <c r="J2586">
        <v>1999</v>
      </c>
      <c r="K2586">
        <v>1999</v>
      </c>
      <c r="L2586" t="s">
        <v>20</v>
      </c>
      <c r="M2586">
        <v>26489</v>
      </c>
      <c r="N2586">
        <v>1500</v>
      </c>
    </row>
    <row r="2587" spans="1:14" x14ac:dyDescent="0.35">
      <c r="A2587" t="s">
        <v>2694</v>
      </c>
      <c r="B2587" t="s">
        <v>15</v>
      </c>
      <c r="C2587" t="s">
        <v>16</v>
      </c>
      <c r="D2587">
        <v>176</v>
      </c>
      <c r="E2587" t="s">
        <v>2680</v>
      </c>
      <c r="F2587">
        <v>5419</v>
      </c>
      <c r="G2587" t="s">
        <v>18</v>
      </c>
      <c r="H2587">
        <v>27</v>
      </c>
      <c r="I2587" t="s">
        <v>19</v>
      </c>
      <c r="J2587">
        <v>2000</v>
      </c>
      <c r="K2587">
        <v>2000</v>
      </c>
      <c r="L2587" t="s">
        <v>20</v>
      </c>
      <c r="M2587">
        <v>30000</v>
      </c>
      <c r="N2587">
        <v>1500</v>
      </c>
    </row>
    <row r="2588" spans="1:14" x14ac:dyDescent="0.35">
      <c r="A2588" t="s">
        <v>2695</v>
      </c>
      <c r="B2588" t="s">
        <v>15</v>
      </c>
      <c r="C2588" t="s">
        <v>16</v>
      </c>
      <c r="D2588">
        <v>176</v>
      </c>
      <c r="E2588" t="s">
        <v>2680</v>
      </c>
      <c r="F2588">
        <v>5419</v>
      </c>
      <c r="G2588" t="s">
        <v>18</v>
      </c>
      <c r="H2588">
        <v>27</v>
      </c>
      <c r="I2588" t="s">
        <v>19</v>
      </c>
      <c r="J2588">
        <v>2001</v>
      </c>
      <c r="K2588">
        <v>2001</v>
      </c>
      <c r="L2588" t="s">
        <v>20</v>
      </c>
      <c r="M2588">
        <v>15384</v>
      </c>
      <c r="N2588">
        <v>1500</v>
      </c>
    </row>
    <row r="2589" spans="1:14" x14ac:dyDescent="0.35">
      <c r="A2589" t="s">
        <v>2696</v>
      </c>
      <c r="B2589" t="s">
        <v>15</v>
      </c>
      <c r="C2589" t="s">
        <v>16</v>
      </c>
      <c r="D2589">
        <v>176</v>
      </c>
      <c r="E2589" t="s">
        <v>2680</v>
      </c>
      <c r="F2589">
        <v>5419</v>
      </c>
      <c r="G2589" t="s">
        <v>18</v>
      </c>
      <c r="H2589">
        <v>27</v>
      </c>
      <c r="I2589" t="s">
        <v>19</v>
      </c>
      <c r="J2589">
        <v>2002</v>
      </c>
      <c r="K2589">
        <v>2002</v>
      </c>
      <c r="L2589" t="s">
        <v>20</v>
      </c>
      <c r="M2589">
        <v>15330</v>
      </c>
      <c r="N2589">
        <v>1500</v>
      </c>
    </row>
    <row r="2590" spans="1:14" x14ac:dyDescent="0.35">
      <c r="A2590" t="s">
        <v>2697</v>
      </c>
      <c r="B2590" t="s">
        <v>15</v>
      </c>
      <c r="C2590" t="s">
        <v>16</v>
      </c>
      <c r="D2590">
        <v>176</v>
      </c>
      <c r="E2590" t="s">
        <v>2680</v>
      </c>
      <c r="F2590">
        <v>5419</v>
      </c>
      <c r="G2590" t="s">
        <v>18</v>
      </c>
      <c r="H2590">
        <v>27</v>
      </c>
      <c r="I2590" t="s">
        <v>19</v>
      </c>
      <c r="J2590">
        <v>2004</v>
      </c>
      <c r="K2590">
        <v>2004</v>
      </c>
      <c r="L2590" t="s">
        <v>20</v>
      </c>
      <c r="M2590">
        <v>15215</v>
      </c>
      <c r="N2590">
        <v>1500</v>
      </c>
    </row>
    <row r="2591" spans="1:14" x14ac:dyDescent="0.35">
      <c r="A2591" t="s">
        <v>2698</v>
      </c>
      <c r="B2591" t="s">
        <v>15</v>
      </c>
      <c r="C2591" t="s">
        <v>16</v>
      </c>
      <c r="D2591">
        <v>176</v>
      </c>
      <c r="E2591" t="s">
        <v>2680</v>
      </c>
      <c r="F2591">
        <v>5419</v>
      </c>
      <c r="G2591" t="s">
        <v>18</v>
      </c>
      <c r="H2591">
        <v>27</v>
      </c>
      <c r="I2591" t="s">
        <v>19</v>
      </c>
      <c r="J2591">
        <v>2005</v>
      </c>
      <c r="K2591">
        <v>2005</v>
      </c>
      <c r="L2591" t="s">
        <v>20</v>
      </c>
      <c r="M2591">
        <v>14722</v>
      </c>
      <c r="N2591">
        <v>1500</v>
      </c>
    </row>
    <row r="2592" spans="1:14" x14ac:dyDescent="0.35">
      <c r="A2592" t="s">
        <v>2699</v>
      </c>
      <c r="B2592" t="s">
        <v>15</v>
      </c>
      <c r="C2592" t="s">
        <v>16</v>
      </c>
      <c r="D2592">
        <v>176</v>
      </c>
      <c r="E2592" t="s">
        <v>2680</v>
      </c>
      <c r="F2592">
        <v>5419</v>
      </c>
      <c r="G2592" t="s">
        <v>18</v>
      </c>
      <c r="H2592">
        <v>27</v>
      </c>
      <c r="I2592" t="s">
        <v>19</v>
      </c>
      <c r="J2592">
        <v>2006</v>
      </c>
      <c r="K2592">
        <v>2006</v>
      </c>
      <c r="L2592" t="s">
        <v>20</v>
      </c>
      <c r="M2592">
        <v>12313</v>
      </c>
      <c r="N2592">
        <v>1500</v>
      </c>
    </row>
    <row r="2593" spans="1:14" x14ac:dyDescent="0.35">
      <c r="A2593" t="s">
        <v>2700</v>
      </c>
      <c r="B2593" t="s">
        <v>15</v>
      </c>
      <c r="C2593" t="s">
        <v>16</v>
      </c>
      <c r="D2593">
        <v>176</v>
      </c>
      <c r="E2593" t="s">
        <v>2680</v>
      </c>
      <c r="F2593">
        <v>5419</v>
      </c>
      <c r="G2593" t="s">
        <v>18</v>
      </c>
      <c r="H2593">
        <v>27</v>
      </c>
      <c r="I2593" t="s">
        <v>19</v>
      </c>
      <c r="J2593">
        <v>2007</v>
      </c>
      <c r="K2593">
        <v>2007</v>
      </c>
      <c r="L2593" t="s">
        <v>20</v>
      </c>
      <c r="M2593">
        <v>15105</v>
      </c>
      <c r="N2593">
        <v>1500</v>
      </c>
    </row>
    <row r="2594" spans="1:14" x14ac:dyDescent="0.35">
      <c r="A2594" t="s">
        <v>2701</v>
      </c>
      <c r="B2594" t="s">
        <v>15</v>
      </c>
      <c r="C2594" t="s">
        <v>16</v>
      </c>
      <c r="D2594">
        <v>176</v>
      </c>
      <c r="E2594" t="s">
        <v>2680</v>
      </c>
      <c r="F2594">
        <v>5419</v>
      </c>
      <c r="G2594" t="s">
        <v>18</v>
      </c>
      <c r="H2594">
        <v>27</v>
      </c>
      <c r="I2594" t="s">
        <v>19</v>
      </c>
      <c r="J2594">
        <v>2008</v>
      </c>
      <c r="K2594">
        <v>2008</v>
      </c>
      <c r="L2594" t="s">
        <v>20</v>
      </c>
      <c r="M2594">
        <v>17587</v>
      </c>
      <c r="N2594">
        <v>1500</v>
      </c>
    </row>
    <row r="2595" spans="1:14" x14ac:dyDescent="0.35">
      <c r="A2595" t="s">
        <v>2702</v>
      </c>
      <c r="B2595" t="s">
        <v>15</v>
      </c>
      <c r="C2595" t="s">
        <v>16</v>
      </c>
      <c r="D2595">
        <v>176</v>
      </c>
      <c r="E2595" t="s">
        <v>2680</v>
      </c>
      <c r="F2595">
        <v>5419</v>
      </c>
      <c r="G2595" t="s">
        <v>18</v>
      </c>
      <c r="H2595">
        <v>27</v>
      </c>
      <c r="I2595" t="s">
        <v>19</v>
      </c>
      <c r="J2595">
        <v>2009</v>
      </c>
      <c r="K2595">
        <v>2009</v>
      </c>
      <c r="L2595" t="s">
        <v>20</v>
      </c>
      <c r="M2595">
        <v>30970</v>
      </c>
      <c r="N2595">
        <v>1500</v>
      </c>
    </row>
    <row r="2596" spans="1:14" x14ac:dyDescent="0.35">
      <c r="A2596" t="s">
        <v>2703</v>
      </c>
      <c r="B2596" t="s">
        <v>15</v>
      </c>
      <c r="C2596" t="s">
        <v>16</v>
      </c>
      <c r="D2596">
        <v>176</v>
      </c>
      <c r="E2596" t="s">
        <v>2680</v>
      </c>
      <c r="F2596">
        <v>5419</v>
      </c>
      <c r="G2596" t="s">
        <v>18</v>
      </c>
      <c r="H2596">
        <v>27</v>
      </c>
      <c r="I2596" t="s">
        <v>19</v>
      </c>
      <c r="J2596">
        <v>2010</v>
      </c>
      <c r="K2596">
        <v>2010</v>
      </c>
      <c r="L2596" t="s">
        <v>20</v>
      </c>
      <c r="M2596">
        <v>30898</v>
      </c>
      <c r="N2596">
        <v>1500</v>
      </c>
    </row>
    <row r="2597" spans="1:14" x14ac:dyDescent="0.35">
      <c r="A2597" t="s">
        <v>2704</v>
      </c>
      <c r="B2597" t="s">
        <v>15</v>
      </c>
      <c r="C2597" t="s">
        <v>16</v>
      </c>
      <c r="D2597">
        <v>176</v>
      </c>
      <c r="E2597" t="s">
        <v>2680</v>
      </c>
      <c r="F2597">
        <v>5419</v>
      </c>
      <c r="G2597" t="s">
        <v>18</v>
      </c>
      <c r="H2597">
        <v>27</v>
      </c>
      <c r="I2597" t="s">
        <v>19</v>
      </c>
      <c r="J2597">
        <v>2011</v>
      </c>
      <c r="K2597">
        <v>2011</v>
      </c>
      <c r="L2597" t="s">
        <v>20</v>
      </c>
      <c r="M2597">
        <v>27642</v>
      </c>
      <c r="N2597">
        <v>1500</v>
      </c>
    </row>
    <row r="2598" spans="1:14" x14ac:dyDescent="0.35">
      <c r="A2598" t="s">
        <v>2705</v>
      </c>
      <c r="B2598" t="s">
        <v>15</v>
      </c>
      <c r="C2598" t="s">
        <v>16</v>
      </c>
      <c r="D2598">
        <v>176</v>
      </c>
      <c r="E2598" t="s">
        <v>2680</v>
      </c>
      <c r="F2598">
        <v>5419</v>
      </c>
      <c r="G2598" t="s">
        <v>18</v>
      </c>
      <c r="H2598">
        <v>27</v>
      </c>
      <c r="I2598" t="s">
        <v>19</v>
      </c>
      <c r="J2598">
        <v>2012</v>
      </c>
      <c r="K2598">
        <v>2012</v>
      </c>
      <c r="L2598" t="s">
        <v>20</v>
      </c>
      <c r="M2598">
        <v>28451</v>
      </c>
      <c r="N2598">
        <v>1500</v>
      </c>
    </row>
    <row r="2599" spans="1:14" x14ac:dyDescent="0.35">
      <c r="A2599" t="s">
        <v>2706</v>
      </c>
      <c r="B2599" t="s">
        <v>15</v>
      </c>
      <c r="C2599" t="s">
        <v>16</v>
      </c>
      <c r="D2599">
        <v>176</v>
      </c>
      <c r="E2599" t="s">
        <v>2680</v>
      </c>
      <c r="F2599">
        <v>5419</v>
      </c>
      <c r="G2599" t="s">
        <v>18</v>
      </c>
      <c r="H2599">
        <v>27</v>
      </c>
      <c r="I2599" t="s">
        <v>19</v>
      </c>
      <c r="J2599">
        <v>2013</v>
      </c>
      <c r="K2599">
        <v>2013</v>
      </c>
      <c r="L2599" t="s">
        <v>20</v>
      </c>
      <c r="M2599">
        <v>31192</v>
      </c>
      <c r="N2599">
        <v>1500</v>
      </c>
    </row>
    <row r="2600" spans="1:14" x14ac:dyDescent="0.35">
      <c r="A2600" t="s">
        <v>2707</v>
      </c>
      <c r="B2600" t="s">
        <v>15</v>
      </c>
      <c r="C2600" t="s">
        <v>16</v>
      </c>
      <c r="D2600">
        <v>176</v>
      </c>
      <c r="E2600" t="s">
        <v>2680</v>
      </c>
      <c r="F2600">
        <v>5419</v>
      </c>
      <c r="G2600" t="s">
        <v>18</v>
      </c>
      <c r="H2600">
        <v>27</v>
      </c>
      <c r="I2600" t="s">
        <v>19</v>
      </c>
      <c r="J2600">
        <v>2014</v>
      </c>
      <c r="K2600">
        <v>2014</v>
      </c>
      <c r="L2600" t="s">
        <v>20</v>
      </c>
      <c r="M2600">
        <v>31186</v>
      </c>
      <c r="N2600">
        <v>1500</v>
      </c>
    </row>
    <row r="2601" spans="1:14" x14ac:dyDescent="0.35">
      <c r="A2601" t="s">
        <v>2708</v>
      </c>
      <c r="B2601" t="s">
        <v>15</v>
      </c>
      <c r="C2601" t="s">
        <v>16</v>
      </c>
      <c r="D2601">
        <v>176</v>
      </c>
      <c r="E2601" t="s">
        <v>2680</v>
      </c>
      <c r="F2601">
        <v>5419</v>
      </c>
      <c r="G2601" t="s">
        <v>18</v>
      </c>
      <c r="H2601">
        <v>27</v>
      </c>
      <c r="I2601" t="s">
        <v>19</v>
      </c>
      <c r="J2601">
        <v>2015</v>
      </c>
      <c r="K2601">
        <v>2015</v>
      </c>
      <c r="L2601" t="s">
        <v>20</v>
      </c>
      <c r="M2601">
        <v>31160</v>
      </c>
      <c r="N2601">
        <v>1500</v>
      </c>
    </row>
    <row r="2602" spans="1:14" x14ac:dyDescent="0.35">
      <c r="A2602" t="s">
        <v>2709</v>
      </c>
      <c r="B2602" t="s">
        <v>15</v>
      </c>
      <c r="C2602" t="s">
        <v>16</v>
      </c>
      <c r="D2602">
        <v>176</v>
      </c>
      <c r="E2602" t="s">
        <v>2680</v>
      </c>
      <c r="F2602">
        <v>5419</v>
      </c>
      <c r="G2602" t="s">
        <v>18</v>
      </c>
      <c r="H2602">
        <v>27</v>
      </c>
      <c r="I2602" t="s">
        <v>19</v>
      </c>
      <c r="J2602">
        <v>2016</v>
      </c>
      <c r="K2602">
        <v>2016</v>
      </c>
      <c r="L2602" t="s">
        <v>20</v>
      </c>
      <c r="M2602">
        <v>30340</v>
      </c>
      <c r="N2602">
        <v>1500</v>
      </c>
    </row>
    <row r="2603" spans="1:14" x14ac:dyDescent="0.35">
      <c r="A2603" t="s">
        <v>2710</v>
      </c>
      <c r="B2603" t="s">
        <v>15</v>
      </c>
      <c r="C2603" t="s">
        <v>16</v>
      </c>
      <c r="D2603">
        <v>217</v>
      </c>
      <c r="E2603" t="s">
        <v>2711</v>
      </c>
      <c r="F2603">
        <v>5419</v>
      </c>
      <c r="G2603" t="s">
        <v>18</v>
      </c>
      <c r="H2603">
        <v>27</v>
      </c>
      <c r="I2603" t="s">
        <v>19</v>
      </c>
      <c r="J2603">
        <v>1985</v>
      </c>
      <c r="K2603">
        <v>1985</v>
      </c>
      <c r="L2603" t="s">
        <v>20</v>
      </c>
      <c r="M2603">
        <v>6998</v>
      </c>
      <c r="N2603">
        <v>1168</v>
      </c>
    </row>
    <row r="2604" spans="1:14" x14ac:dyDescent="0.35">
      <c r="A2604" t="s">
        <v>2712</v>
      </c>
      <c r="B2604" t="s">
        <v>15</v>
      </c>
      <c r="C2604" t="s">
        <v>16</v>
      </c>
      <c r="D2604">
        <v>217</v>
      </c>
      <c r="E2604" t="s">
        <v>2711</v>
      </c>
      <c r="F2604">
        <v>5419</v>
      </c>
      <c r="G2604" t="s">
        <v>18</v>
      </c>
      <c r="H2604">
        <v>27</v>
      </c>
      <c r="I2604" t="s">
        <v>19</v>
      </c>
      <c r="J2604">
        <v>1986</v>
      </c>
      <c r="K2604">
        <v>1986</v>
      </c>
      <c r="L2604" t="s">
        <v>20</v>
      </c>
      <c r="M2604">
        <v>11508</v>
      </c>
      <c r="N2604">
        <v>1168</v>
      </c>
    </row>
    <row r="2605" spans="1:14" x14ac:dyDescent="0.35">
      <c r="A2605" t="s">
        <v>2713</v>
      </c>
      <c r="B2605" t="s">
        <v>15</v>
      </c>
      <c r="C2605" t="s">
        <v>16</v>
      </c>
      <c r="D2605">
        <v>217</v>
      </c>
      <c r="E2605" t="s">
        <v>2711</v>
      </c>
      <c r="F2605">
        <v>5419</v>
      </c>
      <c r="G2605" t="s">
        <v>18</v>
      </c>
      <c r="H2605">
        <v>27</v>
      </c>
      <c r="I2605" t="s">
        <v>19</v>
      </c>
      <c r="J2605">
        <v>1987</v>
      </c>
      <c r="K2605">
        <v>1987</v>
      </c>
      <c r="L2605" t="s">
        <v>20</v>
      </c>
      <c r="M2605">
        <v>14963</v>
      </c>
      <c r="N2605">
        <v>1168</v>
      </c>
    </row>
    <row r="2606" spans="1:14" x14ac:dyDescent="0.35">
      <c r="A2606" t="s">
        <v>2714</v>
      </c>
      <c r="B2606" t="s">
        <v>15</v>
      </c>
      <c r="C2606" t="s">
        <v>16</v>
      </c>
      <c r="D2606">
        <v>217</v>
      </c>
      <c r="E2606" t="s">
        <v>2711</v>
      </c>
      <c r="F2606">
        <v>5419</v>
      </c>
      <c r="G2606" t="s">
        <v>18</v>
      </c>
      <c r="H2606">
        <v>27</v>
      </c>
      <c r="I2606" t="s">
        <v>19</v>
      </c>
      <c r="J2606">
        <v>1989</v>
      </c>
      <c r="K2606">
        <v>1989</v>
      </c>
      <c r="L2606" t="s">
        <v>20</v>
      </c>
      <c r="M2606">
        <v>13931</v>
      </c>
      <c r="N2606">
        <v>1168</v>
      </c>
    </row>
    <row r="2607" spans="1:14" x14ac:dyDescent="0.35">
      <c r="A2607" t="s">
        <v>2715</v>
      </c>
      <c r="B2607" t="s">
        <v>15</v>
      </c>
      <c r="C2607" t="s">
        <v>16</v>
      </c>
      <c r="D2607">
        <v>217</v>
      </c>
      <c r="E2607" t="s">
        <v>2711</v>
      </c>
      <c r="F2607">
        <v>5419</v>
      </c>
      <c r="G2607" t="s">
        <v>18</v>
      </c>
      <c r="H2607">
        <v>27</v>
      </c>
      <c r="I2607" t="s">
        <v>19</v>
      </c>
      <c r="J2607">
        <v>1990</v>
      </c>
      <c r="K2607">
        <v>1990</v>
      </c>
      <c r="L2607" t="s">
        <v>20</v>
      </c>
      <c r="M2607">
        <v>13098</v>
      </c>
      <c r="N2607">
        <v>1168</v>
      </c>
    </row>
    <row r="2608" spans="1:14" x14ac:dyDescent="0.35">
      <c r="A2608" t="s">
        <v>2716</v>
      </c>
      <c r="B2608" t="s">
        <v>15</v>
      </c>
      <c r="C2608" t="s">
        <v>16</v>
      </c>
      <c r="D2608">
        <v>217</v>
      </c>
      <c r="E2608" t="s">
        <v>2711</v>
      </c>
      <c r="F2608">
        <v>5419</v>
      </c>
      <c r="G2608" t="s">
        <v>18</v>
      </c>
      <c r="H2608">
        <v>27</v>
      </c>
      <c r="I2608" t="s">
        <v>19</v>
      </c>
      <c r="J2608">
        <v>1991</v>
      </c>
      <c r="K2608">
        <v>1991</v>
      </c>
      <c r="L2608" t="s">
        <v>20</v>
      </c>
      <c r="M2608">
        <v>15665</v>
      </c>
      <c r="N2608">
        <v>1168</v>
      </c>
    </row>
    <row r="2609" spans="1:14" x14ac:dyDescent="0.35">
      <c r="A2609" t="s">
        <v>2717</v>
      </c>
      <c r="B2609" t="s">
        <v>15</v>
      </c>
      <c r="C2609" t="s">
        <v>16</v>
      </c>
      <c r="D2609">
        <v>217</v>
      </c>
      <c r="E2609" t="s">
        <v>2711</v>
      </c>
      <c r="F2609">
        <v>5419</v>
      </c>
      <c r="G2609" t="s">
        <v>18</v>
      </c>
      <c r="H2609">
        <v>27</v>
      </c>
      <c r="I2609" t="s">
        <v>19</v>
      </c>
      <c r="J2609">
        <v>1992</v>
      </c>
      <c r="K2609">
        <v>1992</v>
      </c>
      <c r="L2609" t="s">
        <v>20</v>
      </c>
      <c r="M2609">
        <v>18509</v>
      </c>
      <c r="N2609">
        <v>1168</v>
      </c>
    </row>
    <row r="2610" spans="1:14" x14ac:dyDescent="0.35">
      <c r="A2610" t="s">
        <v>2718</v>
      </c>
      <c r="B2610" t="s">
        <v>15</v>
      </c>
      <c r="C2610" t="s">
        <v>16</v>
      </c>
      <c r="D2610">
        <v>217</v>
      </c>
      <c r="E2610" t="s">
        <v>2711</v>
      </c>
      <c r="F2610">
        <v>5419</v>
      </c>
      <c r="G2610" t="s">
        <v>18</v>
      </c>
      <c r="H2610">
        <v>27</v>
      </c>
      <c r="I2610" t="s">
        <v>19</v>
      </c>
      <c r="J2610">
        <v>1993</v>
      </c>
      <c r="K2610">
        <v>1993</v>
      </c>
      <c r="L2610" t="s">
        <v>20</v>
      </c>
      <c r="M2610">
        <v>11975</v>
      </c>
      <c r="N2610">
        <v>1168</v>
      </c>
    </row>
    <row r="2611" spans="1:14" x14ac:dyDescent="0.35">
      <c r="A2611" t="s">
        <v>2719</v>
      </c>
      <c r="B2611" t="s">
        <v>15</v>
      </c>
      <c r="C2611" t="s">
        <v>16</v>
      </c>
      <c r="D2611">
        <v>217</v>
      </c>
      <c r="E2611" t="s">
        <v>2711</v>
      </c>
      <c r="F2611">
        <v>5419</v>
      </c>
      <c r="G2611" t="s">
        <v>18</v>
      </c>
      <c r="H2611">
        <v>27</v>
      </c>
      <c r="I2611" t="s">
        <v>19</v>
      </c>
      <c r="J2611">
        <v>1994</v>
      </c>
      <c r="K2611">
        <v>1994</v>
      </c>
      <c r="L2611" t="s">
        <v>20</v>
      </c>
      <c r="M2611">
        <v>9498</v>
      </c>
      <c r="N2611">
        <v>1168</v>
      </c>
    </row>
    <row r="2612" spans="1:14" x14ac:dyDescent="0.35">
      <c r="A2612" t="s">
        <v>2720</v>
      </c>
      <c r="B2612" t="s">
        <v>15</v>
      </c>
      <c r="C2612" t="s">
        <v>16</v>
      </c>
      <c r="D2612">
        <v>217</v>
      </c>
      <c r="E2612" t="s">
        <v>2711</v>
      </c>
      <c r="F2612">
        <v>5419</v>
      </c>
      <c r="G2612" t="s">
        <v>18</v>
      </c>
      <c r="H2612">
        <v>27</v>
      </c>
      <c r="I2612" t="s">
        <v>19</v>
      </c>
      <c r="J2612">
        <v>1995</v>
      </c>
      <c r="K2612">
        <v>1995</v>
      </c>
      <c r="L2612" t="s">
        <v>20</v>
      </c>
      <c r="M2612">
        <v>12221</v>
      </c>
      <c r="N2612">
        <v>1168</v>
      </c>
    </row>
    <row r="2613" spans="1:14" x14ac:dyDescent="0.35">
      <c r="A2613" t="s">
        <v>2721</v>
      </c>
      <c r="B2613" t="s">
        <v>15</v>
      </c>
      <c r="C2613" t="s">
        <v>16</v>
      </c>
      <c r="D2613">
        <v>217</v>
      </c>
      <c r="E2613" t="s">
        <v>2711</v>
      </c>
      <c r="F2613">
        <v>5419</v>
      </c>
      <c r="G2613" t="s">
        <v>18</v>
      </c>
      <c r="H2613">
        <v>27</v>
      </c>
      <c r="I2613" t="s">
        <v>19</v>
      </c>
      <c r="J2613">
        <v>1996</v>
      </c>
      <c r="K2613">
        <v>1996</v>
      </c>
      <c r="L2613" t="s">
        <v>20</v>
      </c>
      <c r="M2613">
        <v>13320</v>
      </c>
      <c r="N2613">
        <v>1168</v>
      </c>
    </row>
    <row r="2614" spans="1:14" x14ac:dyDescent="0.35">
      <c r="A2614" t="s">
        <v>2722</v>
      </c>
      <c r="B2614" t="s">
        <v>15</v>
      </c>
      <c r="C2614" t="s">
        <v>16</v>
      </c>
      <c r="D2614">
        <v>217</v>
      </c>
      <c r="E2614" t="s">
        <v>2711</v>
      </c>
      <c r="F2614">
        <v>5419</v>
      </c>
      <c r="G2614" t="s">
        <v>18</v>
      </c>
      <c r="H2614">
        <v>27</v>
      </c>
      <c r="I2614" t="s">
        <v>19</v>
      </c>
      <c r="J2614">
        <v>1997</v>
      </c>
      <c r="K2614">
        <v>1997</v>
      </c>
      <c r="L2614" t="s">
        <v>20</v>
      </c>
      <c r="M2614">
        <v>26977</v>
      </c>
      <c r="N2614">
        <v>1168</v>
      </c>
    </row>
    <row r="2615" spans="1:14" x14ac:dyDescent="0.35">
      <c r="A2615" t="s">
        <v>2723</v>
      </c>
      <c r="B2615" t="s">
        <v>15</v>
      </c>
      <c r="C2615" t="s">
        <v>16</v>
      </c>
      <c r="D2615">
        <v>217</v>
      </c>
      <c r="E2615" t="s">
        <v>2711</v>
      </c>
      <c r="F2615">
        <v>5419</v>
      </c>
      <c r="G2615" t="s">
        <v>18</v>
      </c>
      <c r="H2615">
        <v>27</v>
      </c>
      <c r="I2615" t="s">
        <v>19</v>
      </c>
      <c r="J2615">
        <v>1998</v>
      </c>
      <c r="K2615">
        <v>1998</v>
      </c>
      <c r="L2615" t="s">
        <v>20</v>
      </c>
      <c r="M2615">
        <v>20441</v>
      </c>
      <c r="N2615">
        <v>1168</v>
      </c>
    </row>
    <row r="2616" spans="1:14" x14ac:dyDescent="0.35">
      <c r="A2616" t="s">
        <v>2724</v>
      </c>
      <c r="B2616" t="s">
        <v>15</v>
      </c>
      <c r="C2616" t="s">
        <v>16</v>
      </c>
      <c r="D2616">
        <v>217</v>
      </c>
      <c r="E2616" t="s">
        <v>2711</v>
      </c>
      <c r="F2616">
        <v>5419</v>
      </c>
      <c r="G2616" t="s">
        <v>18</v>
      </c>
      <c r="H2616">
        <v>27</v>
      </c>
      <c r="I2616" t="s">
        <v>19</v>
      </c>
      <c r="J2616">
        <v>1999</v>
      </c>
      <c r="K2616">
        <v>1999</v>
      </c>
      <c r="L2616" t="s">
        <v>20</v>
      </c>
      <c r="M2616">
        <v>21254</v>
      </c>
      <c r="N2616">
        <v>1168</v>
      </c>
    </row>
    <row r="2617" spans="1:14" x14ac:dyDescent="0.35">
      <c r="A2617" t="s">
        <v>2725</v>
      </c>
      <c r="B2617" t="s">
        <v>15</v>
      </c>
      <c r="C2617" t="s">
        <v>16</v>
      </c>
      <c r="D2617">
        <v>217</v>
      </c>
      <c r="E2617" t="s">
        <v>2711</v>
      </c>
      <c r="F2617">
        <v>5419</v>
      </c>
      <c r="G2617" t="s">
        <v>18</v>
      </c>
      <c r="H2617">
        <v>27</v>
      </c>
      <c r="I2617" t="s">
        <v>19</v>
      </c>
      <c r="J2617">
        <v>2000</v>
      </c>
      <c r="K2617">
        <v>2000</v>
      </c>
      <c r="L2617" t="s">
        <v>20</v>
      </c>
      <c r="M2617">
        <v>19223</v>
      </c>
      <c r="N2617">
        <v>1168</v>
      </c>
    </row>
    <row r="2618" spans="1:14" x14ac:dyDescent="0.35">
      <c r="A2618" t="s">
        <v>2726</v>
      </c>
      <c r="B2618" t="s">
        <v>15</v>
      </c>
      <c r="C2618" t="s">
        <v>16</v>
      </c>
      <c r="D2618">
        <v>217</v>
      </c>
      <c r="E2618" t="s">
        <v>2711</v>
      </c>
      <c r="F2618">
        <v>5419</v>
      </c>
      <c r="G2618" t="s">
        <v>18</v>
      </c>
      <c r="H2618">
        <v>27</v>
      </c>
      <c r="I2618" t="s">
        <v>19</v>
      </c>
      <c r="J2618">
        <v>2001</v>
      </c>
      <c r="K2618">
        <v>2001</v>
      </c>
      <c r="L2618" t="s">
        <v>20</v>
      </c>
      <c r="M2618">
        <v>19324</v>
      </c>
      <c r="N2618">
        <v>1168</v>
      </c>
    </row>
    <row r="2619" spans="1:14" x14ac:dyDescent="0.35">
      <c r="A2619" t="s">
        <v>2727</v>
      </c>
      <c r="B2619" t="s">
        <v>15</v>
      </c>
      <c r="C2619" t="s">
        <v>16</v>
      </c>
      <c r="D2619">
        <v>217</v>
      </c>
      <c r="E2619" t="s">
        <v>2711</v>
      </c>
      <c r="F2619">
        <v>5419</v>
      </c>
      <c r="G2619" t="s">
        <v>18</v>
      </c>
      <c r="H2619">
        <v>27</v>
      </c>
      <c r="I2619" t="s">
        <v>19</v>
      </c>
      <c r="J2619">
        <v>2002</v>
      </c>
      <c r="K2619">
        <v>2002</v>
      </c>
      <c r="L2619" t="s">
        <v>20</v>
      </c>
      <c r="M2619">
        <v>21627</v>
      </c>
      <c r="N2619">
        <v>1168</v>
      </c>
    </row>
    <row r="2620" spans="1:14" x14ac:dyDescent="0.35">
      <c r="A2620" t="s">
        <v>2728</v>
      </c>
      <c r="B2620" t="s">
        <v>15</v>
      </c>
      <c r="C2620" t="s">
        <v>16</v>
      </c>
      <c r="D2620">
        <v>217</v>
      </c>
      <c r="E2620" t="s">
        <v>2711</v>
      </c>
      <c r="F2620">
        <v>5419</v>
      </c>
      <c r="G2620" t="s">
        <v>18</v>
      </c>
      <c r="H2620">
        <v>27</v>
      </c>
      <c r="I2620" t="s">
        <v>19</v>
      </c>
      <c r="J2620">
        <v>2004</v>
      </c>
      <c r="K2620">
        <v>2004</v>
      </c>
      <c r="L2620" t="s">
        <v>20</v>
      </c>
      <c r="M2620">
        <v>21228</v>
      </c>
      <c r="N2620">
        <v>1168</v>
      </c>
    </row>
    <row r="2621" spans="1:14" x14ac:dyDescent="0.35">
      <c r="A2621" t="s">
        <v>2729</v>
      </c>
      <c r="B2621" t="s">
        <v>15</v>
      </c>
      <c r="C2621" t="s">
        <v>16</v>
      </c>
      <c r="D2621">
        <v>217</v>
      </c>
      <c r="E2621" t="s">
        <v>2711</v>
      </c>
      <c r="F2621">
        <v>5419</v>
      </c>
      <c r="G2621" t="s">
        <v>18</v>
      </c>
      <c r="H2621">
        <v>27</v>
      </c>
      <c r="I2621" t="s">
        <v>19</v>
      </c>
      <c r="J2621">
        <v>2005</v>
      </c>
      <c r="K2621">
        <v>2005</v>
      </c>
      <c r="L2621" t="s">
        <v>20</v>
      </c>
      <c r="M2621">
        <v>22090</v>
      </c>
      <c r="N2621">
        <v>1168</v>
      </c>
    </row>
    <row r="2622" spans="1:14" x14ac:dyDescent="0.35">
      <c r="A2622" t="s">
        <v>2730</v>
      </c>
      <c r="B2622" t="s">
        <v>15</v>
      </c>
      <c r="C2622" t="s">
        <v>16</v>
      </c>
      <c r="D2622">
        <v>217</v>
      </c>
      <c r="E2622" t="s">
        <v>2711</v>
      </c>
      <c r="F2622">
        <v>5419</v>
      </c>
      <c r="G2622" t="s">
        <v>18</v>
      </c>
      <c r="H2622">
        <v>27</v>
      </c>
      <c r="I2622" t="s">
        <v>19</v>
      </c>
      <c r="J2622">
        <v>2006</v>
      </c>
      <c r="K2622">
        <v>2006</v>
      </c>
      <c r="L2622" t="s">
        <v>20</v>
      </c>
      <c r="M2622">
        <v>24830</v>
      </c>
      <c r="N2622">
        <v>1168</v>
      </c>
    </row>
    <row r="2623" spans="1:14" x14ac:dyDescent="0.35">
      <c r="A2623" t="s">
        <v>2731</v>
      </c>
      <c r="B2623" t="s">
        <v>15</v>
      </c>
      <c r="C2623" t="s">
        <v>16</v>
      </c>
      <c r="D2623">
        <v>217</v>
      </c>
      <c r="E2623" t="s">
        <v>2711</v>
      </c>
      <c r="F2623">
        <v>5419</v>
      </c>
      <c r="G2623" t="s">
        <v>18</v>
      </c>
      <c r="H2623">
        <v>27</v>
      </c>
      <c r="I2623" t="s">
        <v>19</v>
      </c>
      <c r="J2623">
        <v>2007</v>
      </c>
      <c r="K2623">
        <v>2007</v>
      </c>
      <c r="L2623" t="s">
        <v>20</v>
      </c>
      <c r="M2623">
        <v>22836</v>
      </c>
      <c r="N2623">
        <v>1168</v>
      </c>
    </row>
    <row r="2624" spans="1:14" x14ac:dyDescent="0.35">
      <c r="A2624" t="s">
        <v>2732</v>
      </c>
      <c r="B2624" t="s">
        <v>15</v>
      </c>
      <c r="C2624" t="s">
        <v>16</v>
      </c>
      <c r="D2624">
        <v>217</v>
      </c>
      <c r="E2624" t="s">
        <v>2711</v>
      </c>
      <c r="F2624">
        <v>5419</v>
      </c>
      <c r="G2624" t="s">
        <v>18</v>
      </c>
      <c r="H2624">
        <v>27</v>
      </c>
      <c r="I2624" t="s">
        <v>19</v>
      </c>
      <c r="J2624">
        <v>2008</v>
      </c>
      <c r="K2624">
        <v>2008</v>
      </c>
      <c r="L2624" t="s">
        <v>20</v>
      </c>
      <c r="M2624">
        <v>23441</v>
      </c>
      <c r="N2624">
        <v>1168</v>
      </c>
    </row>
    <row r="2625" spans="1:14" x14ac:dyDescent="0.35">
      <c r="A2625" t="s">
        <v>2733</v>
      </c>
      <c r="B2625" t="s">
        <v>15</v>
      </c>
      <c r="C2625" t="s">
        <v>16</v>
      </c>
      <c r="D2625">
        <v>217</v>
      </c>
      <c r="E2625" t="s">
        <v>2711</v>
      </c>
      <c r="F2625">
        <v>5419</v>
      </c>
      <c r="G2625" t="s">
        <v>18</v>
      </c>
      <c r="H2625">
        <v>27</v>
      </c>
      <c r="I2625" t="s">
        <v>19</v>
      </c>
      <c r="J2625">
        <v>2009</v>
      </c>
      <c r="K2625">
        <v>2009</v>
      </c>
      <c r="L2625" t="s">
        <v>20</v>
      </c>
      <c r="M2625">
        <v>26540</v>
      </c>
      <c r="N2625">
        <v>1168</v>
      </c>
    </row>
    <row r="2626" spans="1:14" x14ac:dyDescent="0.35">
      <c r="A2626" t="s">
        <v>2734</v>
      </c>
      <c r="B2626" t="s">
        <v>15</v>
      </c>
      <c r="C2626" t="s">
        <v>16</v>
      </c>
      <c r="D2626">
        <v>217</v>
      </c>
      <c r="E2626" t="s">
        <v>2711</v>
      </c>
      <c r="F2626">
        <v>5419</v>
      </c>
      <c r="G2626" t="s">
        <v>18</v>
      </c>
      <c r="H2626">
        <v>27</v>
      </c>
      <c r="I2626" t="s">
        <v>19</v>
      </c>
      <c r="J2626">
        <v>2010</v>
      </c>
      <c r="K2626">
        <v>2010</v>
      </c>
      <c r="L2626" t="s">
        <v>20</v>
      </c>
      <c r="M2626">
        <v>23228</v>
      </c>
      <c r="N2626">
        <v>1168</v>
      </c>
    </row>
    <row r="2627" spans="1:14" x14ac:dyDescent="0.35">
      <c r="A2627" t="s">
        <v>2735</v>
      </c>
      <c r="B2627" t="s">
        <v>15</v>
      </c>
      <c r="C2627" t="s">
        <v>16</v>
      </c>
      <c r="D2627">
        <v>217</v>
      </c>
      <c r="E2627" t="s">
        <v>2711</v>
      </c>
      <c r="F2627">
        <v>5419</v>
      </c>
      <c r="G2627" t="s">
        <v>18</v>
      </c>
      <c r="H2627">
        <v>27</v>
      </c>
      <c r="I2627" t="s">
        <v>19</v>
      </c>
      <c r="J2627">
        <v>2011</v>
      </c>
      <c r="K2627">
        <v>2011</v>
      </c>
      <c r="L2627" t="s">
        <v>20</v>
      </c>
      <c r="M2627">
        <v>25101</v>
      </c>
      <c r="N2627">
        <v>1168</v>
      </c>
    </row>
    <row r="2628" spans="1:14" x14ac:dyDescent="0.35">
      <c r="A2628" t="s">
        <v>2736</v>
      </c>
      <c r="B2628" t="s">
        <v>15</v>
      </c>
      <c r="C2628" t="s">
        <v>16</v>
      </c>
      <c r="D2628">
        <v>217</v>
      </c>
      <c r="E2628" t="s">
        <v>2711</v>
      </c>
      <c r="F2628">
        <v>5419</v>
      </c>
      <c r="G2628" t="s">
        <v>18</v>
      </c>
      <c r="H2628">
        <v>27</v>
      </c>
      <c r="I2628" t="s">
        <v>19</v>
      </c>
      <c r="J2628">
        <v>2012</v>
      </c>
      <c r="K2628">
        <v>2012</v>
      </c>
      <c r="L2628" t="s">
        <v>20</v>
      </c>
      <c r="M2628">
        <v>16724</v>
      </c>
      <c r="N2628">
        <v>1168</v>
      </c>
    </row>
    <row r="2629" spans="1:14" x14ac:dyDescent="0.35">
      <c r="A2629" t="s">
        <v>2737</v>
      </c>
      <c r="B2629" t="s">
        <v>15</v>
      </c>
      <c r="C2629" t="s">
        <v>16</v>
      </c>
      <c r="D2629">
        <v>217</v>
      </c>
      <c r="E2629" t="s">
        <v>2711</v>
      </c>
      <c r="F2629">
        <v>5419</v>
      </c>
      <c r="G2629" t="s">
        <v>18</v>
      </c>
      <c r="H2629">
        <v>27</v>
      </c>
      <c r="I2629" t="s">
        <v>19</v>
      </c>
      <c r="J2629">
        <v>2013</v>
      </c>
      <c r="K2629">
        <v>2013</v>
      </c>
      <c r="L2629" t="s">
        <v>20</v>
      </c>
      <c r="M2629">
        <v>28233</v>
      </c>
      <c r="N2629">
        <v>1168</v>
      </c>
    </row>
    <row r="2630" spans="1:14" x14ac:dyDescent="0.35">
      <c r="A2630" t="s">
        <v>2738</v>
      </c>
      <c r="B2630" t="s">
        <v>15</v>
      </c>
      <c r="C2630" t="s">
        <v>16</v>
      </c>
      <c r="D2630">
        <v>217</v>
      </c>
      <c r="E2630" t="s">
        <v>2711</v>
      </c>
      <c r="F2630">
        <v>5419</v>
      </c>
      <c r="G2630" t="s">
        <v>18</v>
      </c>
      <c r="H2630">
        <v>27</v>
      </c>
      <c r="I2630" t="s">
        <v>19</v>
      </c>
      <c r="J2630">
        <v>2014</v>
      </c>
      <c r="K2630">
        <v>2014</v>
      </c>
      <c r="L2630" t="s">
        <v>20</v>
      </c>
      <c r="M2630">
        <v>17633</v>
      </c>
      <c r="N2630">
        <v>1168</v>
      </c>
    </row>
    <row r="2631" spans="1:14" x14ac:dyDescent="0.35">
      <c r="A2631" t="s">
        <v>2739</v>
      </c>
      <c r="B2631" t="s">
        <v>15</v>
      </c>
      <c r="C2631" t="s">
        <v>16</v>
      </c>
      <c r="D2631">
        <v>217</v>
      </c>
      <c r="E2631" t="s">
        <v>2711</v>
      </c>
      <c r="F2631">
        <v>5419</v>
      </c>
      <c r="G2631" t="s">
        <v>18</v>
      </c>
      <c r="H2631">
        <v>27</v>
      </c>
      <c r="I2631" t="s">
        <v>19</v>
      </c>
      <c r="J2631">
        <v>2015</v>
      </c>
      <c r="K2631">
        <v>2015</v>
      </c>
      <c r="L2631" t="s">
        <v>20</v>
      </c>
      <c r="M2631">
        <v>17273</v>
      </c>
      <c r="N2631">
        <v>1168</v>
      </c>
    </row>
    <row r="2632" spans="1:14" x14ac:dyDescent="0.35">
      <c r="A2632" t="s">
        <v>2740</v>
      </c>
      <c r="B2632" t="s">
        <v>15</v>
      </c>
      <c r="C2632" t="s">
        <v>16</v>
      </c>
      <c r="D2632">
        <v>217</v>
      </c>
      <c r="E2632" t="s">
        <v>2711</v>
      </c>
      <c r="F2632">
        <v>5419</v>
      </c>
      <c r="G2632" t="s">
        <v>18</v>
      </c>
      <c r="H2632">
        <v>27</v>
      </c>
      <c r="I2632" t="s">
        <v>19</v>
      </c>
      <c r="J2632">
        <v>2016</v>
      </c>
      <c r="K2632">
        <v>2016</v>
      </c>
      <c r="L2632" t="s">
        <v>20</v>
      </c>
      <c r="M2632">
        <v>16536</v>
      </c>
      <c r="N2632">
        <v>1168</v>
      </c>
    </row>
    <row r="2633" spans="1:14" x14ac:dyDescent="0.35">
      <c r="A2633" t="s">
        <v>2741</v>
      </c>
      <c r="B2633" t="s">
        <v>15</v>
      </c>
      <c r="C2633" t="s">
        <v>16</v>
      </c>
      <c r="D2633">
        <v>220</v>
      </c>
      <c r="E2633" t="s">
        <v>2742</v>
      </c>
      <c r="F2633">
        <v>5419</v>
      </c>
      <c r="G2633" t="s">
        <v>18</v>
      </c>
      <c r="H2633">
        <v>27</v>
      </c>
      <c r="I2633" t="s">
        <v>19</v>
      </c>
      <c r="J2633">
        <v>1985</v>
      </c>
      <c r="K2633">
        <v>1985</v>
      </c>
      <c r="L2633" t="s">
        <v>20</v>
      </c>
      <c r="M2633">
        <v>20831</v>
      </c>
      <c r="N2633">
        <v>2200</v>
      </c>
    </row>
    <row r="2634" spans="1:14" x14ac:dyDescent="0.35">
      <c r="A2634" t="s">
        <v>2743</v>
      </c>
      <c r="B2634" t="s">
        <v>15</v>
      </c>
      <c r="C2634" t="s">
        <v>16</v>
      </c>
      <c r="D2634">
        <v>220</v>
      </c>
      <c r="E2634" t="s">
        <v>2742</v>
      </c>
      <c r="F2634">
        <v>5419</v>
      </c>
      <c r="G2634" t="s">
        <v>18</v>
      </c>
      <c r="H2634">
        <v>27</v>
      </c>
      <c r="I2634" t="s">
        <v>19</v>
      </c>
      <c r="J2634">
        <v>1986</v>
      </c>
      <c r="K2634">
        <v>1986</v>
      </c>
      <c r="L2634" t="s">
        <v>20</v>
      </c>
      <c r="M2634">
        <v>21768</v>
      </c>
      <c r="N2634">
        <v>2200</v>
      </c>
    </row>
    <row r="2635" spans="1:14" x14ac:dyDescent="0.35">
      <c r="A2635" t="s">
        <v>2744</v>
      </c>
      <c r="B2635" t="s">
        <v>15</v>
      </c>
      <c r="C2635" t="s">
        <v>16</v>
      </c>
      <c r="D2635">
        <v>220</v>
      </c>
      <c r="E2635" t="s">
        <v>2742</v>
      </c>
      <c r="F2635">
        <v>5419</v>
      </c>
      <c r="G2635" t="s">
        <v>18</v>
      </c>
      <c r="H2635">
        <v>27</v>
      </c>
      <c r="I2635" t="s">
        <v>19</v>
      </c>
      <c r="J2635">
        <v>1987</v>
      </c>
      <c r="K2635">
        <v>1987</v>
      </c>
      <c r="L2635" t="s">
        <v>20</v>
      </c>
      <c r="M2635">
        <v>24478</v>
      </c>
      <c r="N2635">
        <v>2200</v>
      </c>
    </row>
    <row r="2636" spans="1:14" x14ac:dyDescent="0.35">
      <c r="A2636" t="s">
        <v>2745</v>
      </c>
      <c r="B2636" t="s">
        <v>15</v>
      </c>
      <c r="C2636" t="s">
        <v>16</v>
      </c>
      <c r="D2636">
        <v>220</v>
      </c>
      <c r="E2636" t="s">
        <v>2742</v>
      </c>
      <c r="F2636">
        <v>5419</v>
      </c>
      <c r="G2636" t="s">
        <v>18</v>
      </c>
      <c r="H2636">
        <v>27</v>
      </c>
      <c r="I2636" t="s">
        <v>19</v>
      </c>
      <c r="J2636">
        <v>1989</v>
      </c>
      <c r="K2636">
        <v>1989</v>
      </c>
      <c r="L2636" t="s">
        <v>20</v>
      </c>
      <c r="M2636">
        <v>25017</v>
      </c>
      <c r="N2636">
        <v>2200</v>
      </c>
    </row>
    <row r="2637" spans="1:14" x14ac:dyDescent="0.35">
      <c r="A2637" t="s">
        <v>2746</v>
      </c>
      <c r="B2637" t="s">
        <v>15</v>
      </c>
      <c r="C2637" t="s">
        <v>16</v>
      </c>
      <c r="D2637">
        <v>220</v>
      </c>
      <c r="E2637" t="s">
        <v>2742</v>
      </c>
      <c r="F2637">
        <v>5419</v>
      </c>
      <c r="G2637" t="s">
        <v>18</v>
      </c>
      <c r="H2637">
        <v>27</v>
      </c>
      <c r="I2637" t="s">
        <v>19</v>
      </c>
      <c r="J2637">
        <v>1990</v>
      </c>
      <c r="K2637">
        <v>1990</v>
      </c>
      <c r="L2637" t="s">
        <v>20</v>
      </c>
      <c r="M2637">
        <v>31397</v>
      </c>
      <c r="N2637">
        <v>2200</v>
      </c>
    </row>
    <row r="2638" spans="1:14" x14ac:dyDescent="0.35">
      <c r="A2638" t="s">
        <v>2747</v>
      </c>
      <c r="B2638" t="s">
        <v>15</v>
      </c>
      <c r="C2638" t="s">
        <v>16</v>
      </c>
      <c r="D2638">
        <v>220</v>
      </c>
      <c r="E2638" t="s">
        <v>2742</v>
      </c>
      <c r="F2638">
        <v>5419</v>
      </c>
      <c r="G2638" t="s">
        <v>18</v>
      </c>
      <c r="H2638">
        <v>27</v>
      </c>
      <c r="I2638" t="s">
        <v>19</v>
      </c>
      <c r="J2638">
        <v>1991</v>
      </c>
      <c r="K2638">
        <v>1991</v>
      </c>
      <c r="L2638" t="s">
        <v>20</v>
      </c>
      <c r="M2638">
        <v>30769</v>
      </c>
      <c r="N2638">
        <v>2200</v>
      </c>
    </row>
    <row r="2639" spans="1:14" x14ac:dyDescent="0.35">
      <c r="A2639" t="s">
        <v>2748</v>
      </c>
      <c r="B2639" t="s">
        <v>15</v>
      </c>
      <c r="C2639" t="s">
        <v>16</v>
      </c>
      <c r="D2639">
        <v>220</v>
      </c>
      <c r="E2639" t="s">
        <v>2742</v>
      </c>
      <c r="F2639">
        <v>5419</v>
      </c>
      <c r="G2639" t="s">
        <v>18</v>
      </c>
      <c r="H2639">
        <v>27</v>
      </c>
      <c r="I2639" t="s">
        <v>19</v>
      </c>
      <c r="J2639">
        <v>1992</v>
      </c>
      <c r="K2639">
        <v>1992</v>
      </c>
      <c r="L2639" t="s">
        <v>20</v>
      </c>
      <c r="M2639">
        <v>36703</v>
      </c>
      <c r="N2639">
        <v>2200</v>
      </c>
    </row>
    <row r="2640" spans="1:14" x14ac:dyDescent="0.35">
      <c r="A2640" t="s">
        <v>2749</v>
      </c>
      <c r="B2640" t="s">
        <v>15</v>
      </c>
      <c r="C2640" t="s">
        <v>16</v>
      </c>
      <c r="D2640">
        <v>220</v>
      </c>
      <c r="E2640" t="s">
        <v>2742</v>
      </c>
      <c r="F2640">
        <v>5419</v>
      </c>
      <c r="G2640" t="s">
        <v>18</v>
      </c>
      <c r="H2640">
        <v>27</v>
      </c>
      <c r="I2640" t="s">
        <v>19</v>
      </c>
      <c r="J2640">
        <v>1993</v>
      </c>
      <c r="K2640">
        <v>1993</v>
      </c>
      <c r="L2640" t="s">
        <v>20</v>
      </c>
      <c r="M2640">
        <v>32408</v>
      </c>
      <c r="N2640">
        <v>2200</v>
      </c>
    </row>
    <row r="2641" spans="1:14" x14ac:dyDescent="0.35">
      <c r="A2641" t="s">
        <v>2750</v>
      </c>
      <c r="B2641" t="s">
        <v>15</v>
      </c>
      <c r="C2641" t="s">
        <v>16</v>
      </c>
      <c r="D2641">
        <v>220</v>
      </c>
      <c r="E2641" t="s">
        <v>2742</v>
      </c>
      <c r="F2641">
        <v>5419</v>
      </c>
      <c r="G2641" t="s">
        <v>18</v>
      </c>
      <c r="H2641">
        <v>27</v>
      </c>
      <c r="I2641" t="s">
        <v>19</v>
      </c>
      <c r="J2641">
        <v>1994</v>
      </c>
      <c r="K2641">
        <v>1994</v>
      </c>
      <c r="L2641" t="s">
        <v>20</v>
      </c>
      <c r="M2641">
        <v>37264</v>
      </c>
      <c r="N2641">
        <v>2200</v>
      </c>
    </row>
    <row r="2642" spans="1:14" x14ac:dyDescent="0.35">
      <c r="A2642" t="s">
        <v>2751</v>
      </c>
      <c r="B2642" t="s">
        <v>15</v>
      </c>
      <c r="C2642" t="s">
        <v>16</v>
      </c>
      <c r="D2642">
        <v>220</v>
      </c>
      <c r="E2642" t="s">
        <v>2742</v>
      </c>
      <c r="F2642">
        <v>5419</v>
      </c>
      <c r="G2642" t="s">
        <v>18</v>
      </c>
      <c r="H2642">
        <v>27</v>
      </c>
      <c r="I2642" t="s">
        <v>19</v>
      </c>
      <c r="J2642">
        <v>1995</v>
      </c>
      <c r="K2642">
        <v>1995</v>
      </c>
      <c r="L2642" t="s">
        <v>20</v>
      </c>
      <c r="M2642">
        <v>39204</v>
      </c>
      <c r="N2642">
        <v>2200</v>
      </c>
    </row>
    <row r="2643" spans="1:14" x14ac:dyDescent="0.35">
      <c r="A2643" t="s">
        <v>2752</v>
      </c>
      <c r="B2643" t="s">
        <v>15</v>
      </c>
      <c r="C2643" t="s">
        <v>16</v>
      </c>
      <c r="D2643">
        <v>220</v>
      </c>
      <c r="E2643" t="s">
        <v>2742</v>
      </c>
      <c r="F2643">
        <v>5419</v>
      </c>
      <c r="G2643" t="s">
        <v>18</v>
      </c>
      <c r="H2643">
        <v>27</v>
      </c>
      <c r="I2643" t="s">
        <v>19</v>
      </c>
      <c r="J2643">
        <v>1996</v>
      </c>
      <c r="K2643">
        <v>1996</v>
      </c>
      <c r="L2643" t="s">
        <v>20</v>
      </c>
      <c r="M2643">
        <v>35716</v>
      </c>
      <c r="N2643">
        <v>2200</v>
      </c>
    </row>
    <row r="2644" spans="1:14" x14ac:dyDescent="0.35">
      <c r="A2644" t="s">
        <v>2753</v>
      </c>
      <c r="B2644" t="s">
        <v>15</v>
      </c>
      <c r="C2644" t="s">
        <v>16</v>
      </c>
      <c r="D2644">
        <v>220</v>
      </c>
      <c r="E2644" t="s">
        <v>2742</v>
      </c>
      <c r="F2644">
        <v>5419</v>
      </c>
      <c r="G2644" t="s">
        <v>18</v>
      </c>
      <c r="H2644">
        <v>27</v>
      </c>
      <c r="I2644" t="s">
        <v>19</v>
      </c>
      <c r="J2644">
        <v>1997</v>
      </c>
      <c r="K2644">
        <v>1997</v>
      </c>
      <c r="L2644" t="s">
        <v>20</v>
      </c>
      <c r="M2644">
        <v>22653</v>
      </c>
      <c r="N2644">
        <v>2200</v>
      </c>
    </row>
    <row r="2645" spans="1:14" x14ac:dyDescent="0.35">
      <c r="A2645" t="s">
        <v>2754</v>
      </c>
      <c r="B2645" t="s">
        <v>15</v>
      </c>
      <c r="C2645" t="s">
        <v>16</v>
      </c>
      <c r="D2645">
        <v>220</v>
      </c>
      <c r="E2645" t="s">
        <v>2742</v>
      </c>
      <c r="F2645">
        <v>5419</v>
      </c>
      <c r="G2645" t="s">
        <v>18</v>
      </c>
      <c r="H2645">
        <v>27</v>
      </c>
      <c r="I2645" t="s">
        <v>19</v>
      </c>
      <c r="J2645">
        <v>1998</v>
      </c>
      <c r="K2645">
        <v>1998</v>
      </c>
      <c r="L2645" t="s">
        <v>20</v>
      </c>
      <c r="M2645">
        <v>23457</v>
      </c>
      <c r="N2645">
        <v>2200</v>
      </c>
    </row>
    <row r="2646" spans="1:14" x14ac:dyDescent="0.35">
      <c r="A2646" t="s">
        <v>2755</v>
      </c>
      <c r="B2646" t="s">
        <v>15</v>
      </c>
      <c r="C2646" t="s">
        <v>16</v>
      </c>
      <c r="D2646">
        <v>220</v>
      </c>
      <c r="E2646" t="s">
        <v>2742</v>
      </c>
      <c r="F2646">
        <v>5419</v>
      </c>
      <c r="G2646" t="s">
        <v>18</v>
      </c>
      <c r="H2646">
        <v>27</v>
      </c>
      <c r="I2646" t="s">
        <v>19</v>
      </c>
      <c r="J2646">
        <v>1999</v>
      </c>
      <c r="K2646">
        <v>1999</v>
      </c>
      <c r="L2646" t="s">
        <v>20</v>
      </c>
      <c r="M2646">
        <v>15549</v>
      </c>
      <c r="N2646">
        <v>2200</v>
      </c>
    </row>
    <row r="2647" spans="1:14" x14ac:dyDescent="0.35">
      <c r="A2647" t="s">
        <v>2756</v>
      </c>
      <c r="B2647" t="s">
        <v>15</v>
      </c>
      <c r="C2647" t="s">
        <v>16</v>
      </c>
      <c r="D2647">
        <v>220</v>
      </c>
      <c r="E2647" t="s">
        <v>2742</v>
      </c>
      <c r="F2647">
        <v>5419</v>
      </c>
      <c r="G2647" t="s">
        <v>18</v>
      </c>
      <c r="H2647">
        <v>27</v>
      </c>
      <c r="I2647" t="s">
        <v>19</v>
      </c>
      <c r="J2647">
        <v>2000</v>
      </c>
      <c r="K2647">
        <v>2000</v>
      </c>
      <c r="L2647" t="s">
        <v>20</v>
      </c>
      <c r="M2647">
        <v>22343</v>
      </c>
      <c r="N2647">
        <v>2200</v>
      </c>
    </row>
    <row r="2648" spans="1:14" x14ac:dyDescent="0.35">
      <c r="A2648" t="s">
        <v>2757</v>
      </c>
      <c r="B2648" t="s">
        <v>15</v>
      </c>
      <c r="C2648" t="s">
        <v>16</v>
      </c>
      <c r="D2648">
        <v>220</v>
      </c>
      <c r="E2648" t="s">
        <v>2742</v>
      </c>
      <c r="F2648">
        <v>5419</v>
      </c>
      <c r="G2648" t="s">
        <v>18</v>
      </c>
      <c r="H2648">
        <v>27</v>
      </c>
      <c r="I2648" t="s">
        <v>19</v>
      </c>
      <c r="J2648">
        <v>2001</v>
      </c>
      <c r="K2648">
        <v>2001</v>
      </c>
      <c r="L2648" t="s">
        <v>20</v>
      </c>
      <c r="M2648">
        <v>11650</v>
      </c>
      <c r="N2648">
        <v>2200</v>
      </c>
    </row>
    <row r="2649" spans="1:14" x14ac:dyDescent="0.35">
      <c r="A2649" t="s">
        <v>2758</v>
      </c>
      <c r="B2649" t="s">
        <v>15</v>
      </c>
      <c r="C2649" t="s">
        <v>16</v>
      </c>
      <c r="D2649">
        <v>220</v>
      </c>
      <c r="E2649" t="s">
        <v>2742</v>
      </c>
      <c r="F2649">
        <v>5419</v>
      </c>
      <c r="G2649" t="s">
        <v>18</v>
      </c>
      <c r="H2649">
        <v>27</v>
      </c>
      <c r="I2649" t="s">
        <v>19</v>
      </c>
      <c r="J2649">
        <v>2002</v>
      </c>
      <c r="K2649">
        <v>2002</v>
      </c>
      <c r="L2649" t="s">
        <v>20</v>
      </c>
      <c r="M2649">
        <v>12940</v>
      </c>
      <c r="N2649">
        <v>2200</v>
      </c>
    </row>
    <row r="2650" spans="1:14" x14ac:dyDescent="0.35">
      <c r="A2650" t="s">
        <v>2759</v>
      </c>
      <c r="B2650" t="s">
        <v>15</v>
      </c>
      <c r="C2650" t="s">
        <v>16</v>
      </c>
      <c r="D2650">
        <v>220</v>
      </c>
      <c r="E2650" t="s">
        <v>2742</v>
      </c>
      <c r="F2650">
        <v>5419</v>
      </c>
      <c r="G2650" t="s">
        <v>18</v>
      </c>
      <c r="H2650">
        <v>27</v>
      </c>
      <c r="I2650" t="s">
        <v>19</v>
      </c>
      <c r="J2650">
        <v>2004</v>
      </c>
      <c r="K2650">
        <v>2004</v>
      </c>
      <c r="L2650" t="s">
        <v>20</v>
      </c>
      <c r="M2650">
        <v>9556</v>
      </c>
      <c r="N2650">
        <v>2200</v>
      </c>
    </row>
    <row r="2651" spans="1:14" x14ac:dyDescent="0.35">
      <c r="A2651" t="s">
        <v>2760</v>
      </c>
      <c r="B2651" t="s">
        <v>15</v>
      </c>
      <c r="C2651" t="s">
        <v>16</v>
      </c>
      <c r="D2651">
        <v>220</v>
      </c>
      <c r="E2651" t="s">
        <v>2742</v>
      </c>
      <c r="F2651">
        <v>5419</v>
      </c>
      <c r="G2651" t="s">
        <v>18</v>
      </c>
      <c r="H2651">
        <v>27</v>
      </c>
      <c r="I2651" t="s">
        <v>19</v>
      </c>
      <c r="J2651">
        <v>2005</v>
      </c>
      <c r="K2651">
        <v>2005</v>
      </c>
      <c r="L2651" t="s">
        <v>20</v>
      </c>
      <c r="M2651">
        <v>10410</v>
      </c>
      <c r="N2651">
        <v>2200</v>
      </c>
    </row>
    <row r="2652" spans="1:14" x14ac:dyDescent="0.35">
      <c r="A2652" t="s">
        <v>2761</v>
      </c>
      <c r="B2652" t="s">
        <v>15</v>
      </c>
      <c r="C2652" t="s">
        <v>16</v>
      </c>
      <c r="D2652">
        <v>220</v>
      </c>
      <c r="E2652" t="s">
        <v>2742</v>
      </c>
      <c r="F2652">
        <v>5419</v>
      </c>
      <c r="G2652" t="s">
        <v>18</v>
      </c>
      <c r="H2652">
        <v>27</v>
      </c>
      <c r="I2652" t="s">
        <v>19</v>
      </c>
      <c r="J2652">
        <v>2006</v>
      </c>
      <c r="K2652">
        <v>2006</v>
      </c>
      <c r="L2652" t="s">
        <v>20</v>
      </c>
      <c r="M2652">
        <v>8267</v>
      </c>
      <c r="N2652">
        <v>2200</v>
      </c>
    </row>
    <row r="2653" spans="1:14" x14ac:dyDescent="0.35">
      <c r="A2653" t="s">
        <v>2762</v>
      </c>
      <c r="B2653" t="s">
        <v>15</v>
      </c>
      <c r="C2653" t="s">
        <v>16</v>
      </c>
      <c r="D2653">
        <v>220</v>
      </c>
      <c r="E2653" t="s">
        <v>2742</v>
      </c>
      <c r="F2653">
        <v>5419</v>
      </c>
      <c r="G2653" t="s">
        <v>18</v>
      </c>
      <c r="H2653">
        <v>27</v>
      </c>
      <c r="I2653" t="s">
        <v>19</v>
      </c>
      <c r="J2653">
        <v>2007</v>
      </c>
      <c r="K2653">
        <v>2007</v>
      </c>
      <c r="L2653" t="s">
        <v>20</v>
      </c>
      <c r="M2653">
        <v>11059</v>
      </c>
      <c r="N2653">
        <v>2200</v>
      </c>
    </row>
    <row r="2654" spans="1:14" x14ac:dyDescent="0.35">
      <c r="A2654" t="s">
        <v>2763</v>
      </c>
      <c r="B2654" t="s">
        <v>15</v>
      </c>
      <c r="C2654" t="s">
        <v>16</v>
      </c>
      <c r="D2654">
        <v>220</v>
      </c>
      <c r="E2654" t="s">
        <v>2742</v>
      </c>
      <c r="F2654">
        <v>5419</v>
      </c>
      <c r="G2654" t="s">
        <v>18</v>
      </c>
      <c r="H2654">
        <v>27</v>
      </c>
      <c r="I2654" t="s">
        <v>19</v>
      </c>
      <c r="J2654">
        <v>2008</v>
      </c>
      <c r="K2654">
        <v>2008</v>
      </c>
      <c r="L2654" t="s">
        <v>20</v>
      </c>
      <c r="M2654">
        <v>12269</v>
      </c>
      <c r="N2654">
        <v>2200</v>
      </c>
    </row>
    <row r="2655" spans="1:14" x14ac:dyDescent="0.35">
      <c r="A2655" t="s">
        <v>2764</v>
      </c>
      <c r="B2655" t="s">
        <v>15</v>
      </c>
      <c r="C2655" t="s">
        <v>16</v>
      </c>
      <c r="D2655">
        <v>220</v>
      </c>
      <c r="E2655" t="s">
        <v>2742</v>
      </c>
      <c r="F2655">
        <v>5419</v>
      </c>
      <c r="G2655" t="s">
        <v>18</v>
      </c>
      <c r="H2655">
        <v>27</v>
      </c>
      <c r="I2655" t="s">
        <v>19</v>
      </c>
      <c r="J2655">
        <v>2009</v>
      </c>
      <c r="K2655">
        <v>2009</v>
      </c>
      <c r="L2655" t="s">
        <v>20</v>
      </c>
      <c r="M2655">
        <v>11398</v>
      </c>
      <c r="N2655">
        <v>2200</v>
      </c>
    </row>
    <row r="2656" spans="1:14" x14ac:dyDescent="0.35">
      <c r="A2656" t="s">
        <v>2765</v>
      </c>
      <c r="B2656" t="s">
        <v>15</v>
      </c>
      <c r="C2656" t="s">
        <v>16</v>
      </c>
      <c r="D2656">
        <v>220</v>
      </c>
      <c r="E2656" t="s">
        <v>2742</v>
      </c>
      <c r="F2656">
        <v>5419</v>
      </c>
      <c r="G2656" t="s">
        <v>18</v>
      </c>
      <c r="H2656">
        <v>27</v>
      </c>
      <c r="I2656" t="s">
        <v>19</v>
      </c>
      <c r="J2656">
        <v>2010</v>
      </c>
      <c r="K2656">
        <v>2010</v>
      </c>
      <c r="L2656" t="s">
        <v>20</v>
      </c>
      <c r="M2656">
        <v>11398</v>
      </c>
      <c r="N2656">
        <v>2200</v>
      </c>
    </row>
    <row r="2657" spans="1:14" x14ac:dyDescent="0.35">
      <c r="A2657" t="s">
        <v>2766</v>
      </c>
      <c r="B2657" t="s">
        <v>15</v>
      </c>
      <c r="C2657" t="s">
        <v>16</v>
      </c>
      <c r="D2657">
        <v>220</v>
      </c>
      <c r="E2657" t="s">
        <v>2742</v>
      </c>
      <c r="F2657">
        <v>5419</v>
      </c>
      <c r="G2657" t="s">
        <v>18</v>
      </c>
      <c r="H2657">
        <v>27</v>
      </c>
      <c r="I2657" t="s">
        <v>19</v>
      </c>
      <c r="J2657">
        <v>2011</v>
      </c>
      <c r="K2657">
        <v>2011</v>
      </c>
      <c r="L2657" t="s">
        <v>20</v>
      </c>
      <c r="M2657">
        <v>11404</v>
      </c>
      <c r="N2657">
        <v>2200</v>
      </c>
    </row>
    <row r="2658" spans="1:14" x14ac:dyDescent="0.35">
      <c r="A2658" t="s">
        <v>2767</v>
      </c>
      <c r="B2658" t="s">
        <v>15</v>
      </c>
      <c r="C2658" t="s">
        <v>16</v>
      </c>
      <c r="D2658">
        <v>220</v>
      </c>
      <c r="E2658" t="s">
        <v>2742</v>
      </c>
      <c r="F2658">
        <v>5419</v>
      </c>
      <c r="G2658" t="s">
        <v>18</v>
      </c>
      <c r="H2658">
        <v>27</v>
      </c>
      <c r="I2658" t="s">
        <v>19</v>
      </c>
      <c r="J2658">
        <v>2012</v>
      </c>
      <c r="K2658">
        <v>2012</v>
      </c>
      <c r="L2658" t="s">
        <v>20</v>
      </c>
      <c r="M2658">
        <v>8768</v>
      </c>
      <c r="N2658">
        <v>2200</v>
      </c>
    </row>
    <row r="2659" spans="1:14" x14ac:dyDescent="0.35">
      <c r="A2659" t="s">
        <v>2768</v>
      </c>
      <c r="B2659" t="s">
        <v>15</v>
      </c>
      <c r="C2659" t="s">
        <v>16</v>
      </c>
      <c r="D2659">
        <v>220</v>
      </c>
      <c r="E2659" t="s">
        <v>2742</v>
      </c>
      <c r="F2659">
        <v>5419</v>
      </c>
      <c r="G2659" t="s">
        <v>18</v>
      </c>
      <c r="H2659">
        <v>27</v>
      </c>
      <c r="I2659" t="s">
        <v>19</v>
      </c>
      <c r="J2659">
        <v>2013</v>
      </c>
      <c r="K2659">
        <v>2013</v>
      </c>
      <c r="L2659" t="s">
        <v>20</v>
      </c>
      <c r="M2659">
        <v>11404</v>
      </c>
      <c r="N2659">
        <v>2200</v>
      </c>
    </row>
    <row r="2660" spans="1:14" x14ac:dyDescent="0.35">
      <c r="A2660" t="s">
        <v>2769</v>
      </c>
      <c r="B2660" t="s">
        <v>15</v>
      </c>
      <c r="C2660" t="s">
        <v>16</v>
      </c>
      <c r="D2660">
        <v>220</v>
      </c>
      <c r="E2660" t="s">
        <v>2742</v>
      </c>
      <c r="F2660">
        <v>5419</v>
      </c>
      <c r="G2660" t="s">
        <v>18</v>
      </c>
      <c r="H2660">
        <v>27</v>
      </c>
      <c r="I2660" t="s">
        <v>19</v>
      </c>
      <c r="J2660">
        <v>2014</v>
      </c>
      <c r="K2660">
        <v>2014</v>
      </c>
      <c r="L2660" t="s">
        <v>20</v>
      </c>
      <c r="M2660">
        <v>8771</v>
      </c>
      <c r="N2660">
        <v>2200</v>
      </c>
    </row>
    <row r="2661" spans="1:14" x14ac:dyDescent="0.35">
      <c r="A2661" t="s">
        <v>2770</v>
      </c>
      <c r="B2661" t="s">
        <v>15</v>
      </c>
      <c r="C2661" t="s">
        <v>16</v>
      </c>
      <c r="D2661">
        <v>220</v>
      </c>
      <c r="E2661" t="s">
        <v>2742</v>
      </c>
      <c r="F2661">
        <v>5419</v>
      </c>
      <c r="G2661" t="s">
        <v>18</v>
      </c>
      <c r="H2661">
        <v>27</v>
      </c>
      <c r="I2661" t="s">
        <v>19</v>
      </c>
      <c r="J2661">
        <v>2015</v>
      </c>
      <c r="K2661">
        <v>2015</v>
      </c>
      <c r="L2661" t="s">
        <v>20</v>
      </c>
      <c r="M2661">
        <v>5721</v>
      </c>
      <c r="N2661">
        <v>2200</v>
      </c>
    </row>
    <row r="2662" spans="1:14" x14ac:dyDescent="0.35">
      <c r="A2662" t="s">
        <v>2771</v>
      </c>
      <c r="B2662" t="s">
        <v>15</v>
      </c>
      <c r="C2662" t="s">
        <v>16</v>
      </c>
      <c r="D2662">
        <v>220</v>
      </c>
      <c r="E2662" t="s">
        <v>2742</v>
      </c>
      <c r="F2662">
        <v>5419</v>
      </c>
      <c r="G2662" t="s">
        <v>18</v>
      </c>
      <c r="H2662">
        <v>27</v>
      </c>
      <c r="I2662" t="s">
        <v>19</v>
      </c>
      <c r="J2662">
        <v>2016</v>
      </c>
      <c r="K2662">
        <v>2016</v>
      </c>
      <c r="L2662" t="s">
        <v>20</v>
      </c>
      <c r="M2662">
        <v>8769</v>
      </c>
      <c r="N2662">
        <v>2200</v>
      </c>
    </row>
    <row r="2663" spans="1:14" x14ac:dyDescent="0.35">
      <c r="A2663" t="s">
        <v>2772</v>
      </c>
      <c r="B2663" t="s">
        <v>15</v>
      </c>
      <c r="C2663" t="s">
        <v>16</v>
      </c>
      <c r="D2663">
        <v>223</v>
      </c>
      <c r="E2663" t="s">
        <v>2773</v>
      </c>
      <c r="F2663">
        <v>5419</v>
      </c>
      <c r="G2663" t="s">
        <v>18</v>
      </c>
      <c r="H2663">
        <v>27</v>
      </c>
      <c r="I2663" t="s">
        <v>19</v>
      </c>
      <c r="J2663">
        <v>1985</v>
      </c>
      <c r="K2663">
        <v>1985</v>
      </c>
      <c r="L2663" t="s">
        <v>20</v>
      </c>
      <c r="M2663">
        <v>45166</v>
      </c>
      <c r="N2663">
        <v>593</v>
      </c>
    </row>
    <row r="2664" spans="1:14" x14ac:dyDescent="0.35">
      <c r="A2664" t="s">
        <v>2774</v>
      </c>
      <c r="B2664" t="s">
        <v>15</v>
      </c>
      <c r="C2664" t="s">
        <v>16</v>
      </c>
      <c r="D2664">
        <v>223</v>
      </c>
      <c r="E2664" t="s">
        <v>2773</v>
      </c>
      <c r="F2664">
        <v>5419</v>
      </c>
      <c r="G2664" t="s">
        <v>18</v>
      </c>
      <c r="H2664">
        <v>27</v>
      </c>
      <c r="I2664" t="s">
        <v>19</v>
      </c>
      <c r="J2664">
        <v>1986</v>
      </c>
      <c r="K2664">
        <v>1986</v>
      </c>
      <c r="L2664" t="s">
        <v>20</v>
      </c>
      <c r="M2664">
        <v>50000</v>
      </c>
      <c r="N2664">
        <v>593</v>
      </c>
    </row>
    <row r="2665" spans="1:14" x14ac:dyDescent="0.35">
      <c r="A2665" t="s">
        <v>2775</v>
      </c>
      <c r="B2665" t="s">
        <v>15</v>
      </c>
      <c r="C2665" t="s">
        <v>16</v>
      </c>
      <c r="D2665">
        <v>223</v>
      </c>
      <c r="E2665" t="s">
        <v>2773</v>
      </c>
      <c r="F2665">
        <v>5419</v>
      </c>
      <c r="G2665" t="s">
        <v>18</v>
      </c>
      <c r="H2665">
        <v>27</v>
      </c>
      <c r="I2665" t="s">
        <v>19</v>
      </c>
      <c r="J2665">
        <v>1987</v>
      </c>
      <c r="K2665">
        <v>1987</v>
      </c>
      <c r="L2665" t="s">
        <v>20</v>
      </c>
      <c r="M2665">
        <v>51887</v>
      </c>
      <c r="N2665">
        <v>593</v>
      </c>
    </row>
    <row r="2666" spans="1:14" x14ac:dyDescent="0.35">
      <c r="A2666" t="s">
        <v>2776</v>
      </c>
      <c r="B2666" t="s">
        <v>15</v>
      </c>
      <c r="C2666" t="s">
        <v>16</v>
      </c>
      <c r="D2666">
        <v>223</v>
      </c>
      <c r="E2666" t="s">
        <v>2773</v>
      </c>
      <c r="F2666">
        <v>5419</v>
      </c>
      <c r="G2666" t="s">
        <v>18</v>
      </c>
      <c r="H2666">
        <v>27</v>
      </c>
      <c r="I2666" t="s">
        <v>19</v>
      </c>
      <c r="J2666">
        <v>1989</v>
      </c>
      <c r="K2666">
        <v>1989</v>
      </c>
      <c r="L2666" t="s">
        <v>20</v>
      </c>
      <c r="M2666">
        <v>50000</v>
      </c>
      <c r="N2666">
        <v>593</v>
      </c>
    </row>
    <row r="2667" spans="1:14" x14ac:dyDescent="0.35">
      <c r="A2667" t="s">
        <v>2777</v>
      </c>
      <c r="B2667" t="s">
        <v>15</v>
      </c>
      <c r="C2667" t="s">
        <v>16</v>
      </c>
      <c r="D2667">
        <v>223</v>
      </c>
      <c r="E2667" t="s">
        <v>2773</v>
      </c>
      <c r="F2667">
        <v>5419</v>
      </c>
      <c r="G2667" t="s">
        <v>18</v>
      </c>
      <c r="H2667">
        <v>27</v>
      </c>
      <c r="I2667" t="s">
        <v>19</v>
      </c>
      <c r="J2667">
        <v>1990</v>
      </c>
      <c r="K2667">
        <v>1990</v>
      </c>
      <c r="L2667" t="s">
        <v>20</v>
      </c>
      <c r="M2667">
        <v>49625</v>
      </c>
      <c r="N2667">
        <v>593</v>
      </c>
    </row>
    <row r="2668" spans="1:14" x14ac:dyDescent="0.35">
      <c r="A2668" t="s">
        <v>2778</v>
      </c>
      <c r="B2668" t="s">
        <v>15</v>
      </c>
      <c r="C2668" t="s">
        <v>16</v>
      </c>
      <c r="D2668">
        <v>223</v>
      </c>
      <c r="E2668" t="s">
        <v>2773</v>
      </c>
      <c r="F2668">
        <v>5419</v>
      </c>
      <c r="G2668" t="s">
        <v>18</v>
      </c>
      <c r="H2668">
        <v>27</v>
      </c>
      <c r="I2668" t="s">
        <v>19</v>
      </c>
      <c r="J2668">
        <v>1991</v>
      </c>
      <c r="K2668">
        <v>1991</v>
      </c>
      <c r="L2668" t="s">
        <v>20</v>
      </c>
      <c r="M2668">
        <v>49505</v>
      </c>
      <c r="N2668">
        <v>593</v>
      </c>
    </row>
    <row r="2669" spans="1:14" x14ac:dyDescent="0.35">
      <c r="A2669" t="s">
        <v>2779</v>
      </c>
      <c r="B2669" t="s">
        <v>15</v>
      </c>
      <c r="C2669" t="s">
        <v>16</v>
      </c>
      <c r="D2669">
        <v>223</v>
      </c>
      <c r="E2669" t="s">
        <v>2773</v>
      </c>
      <c r="F2669">
        <v>5419</v>
      </c>
      <c r="G2669" t="s">
        <v>18</v>
      </c>
      <c r="H2669">
        <v>27</v>
      </c>
      <c r="I2669" t="s">
        <v>19</v>
      </c>
      <c r="J2669">
        <v>1992</v>
      </c>
      <c r="K2669">
        <v>1992</v>
      </c>
      <c r="L2669" t="s">
        <v>20</v>
      </c>
      <c r="M2669">
        <v>50026</v>
      </c>
      <c r="N2669">
        <v>593</v>
      </c>
    </row>
    <row r="2670" spans="1:14" x14ac:dyDescent="0.35">
      <c r="A2670" t="s">
        <v>2780</v>
      </c>
      <c r="B2670" t="s">
        <v>15</v>
      </c>
      <c r="C2670" t="s">
        <v>16</v>
      </c>
      <c r="D2670">
        <v>223</v>
      </c>
      <c r="E2670" t="s">
        <v>2773</v>
      </c>
      <c r="F2670">
        <v>5419</v>
      </c>
      <c r="G2670" t="s">
        <v>18</v>
      </c>
      <c r="H2670">
        <v>27</v>
      </c>
      <c r="I2670" t="s">
        <v>19</v>
      </c>
      <c r="J2670">
        <v>1993</v>
      </c>
      <c r="K2670">
        <v>1993</v>
      </c>
      <c r="L2670" t="s">
        <v>20</v>
      </c>
      <c r="M2670">
        <v>50176</v>
      </c>
      <c r="N2670">
        <v>593</v>
      </c>
    </row>
    <row r="2671" spans="1:14" x14ac:dyDescent="0.35">
      <c r="A2671" t="s">
        <v>2781</v>
      </c>
      <c r="B2671" t="s">
        <v>15</v>
      </c>
      <c r="C2671" t="s">
        <v>16</v>
      </c>
      <c r="D2671">
        <v>223</v>
      </c>
      <c r="E2671" t="s">
        <v>2773</v>
      </c>
      <c r="F2671">
        <v>5419</v>
      </c>
      <c r="G2671" t="s">
        <v>18</v>
      </c>
      <c r="H2671">
        <v>27</v>
      </c>
      <c r="I2671" t="s">
        <v>19</v>
      </c>
      <c r="J2671">
        <v>1994</v>
      </c>
      <c r="K2671">
        <v>1994</v>
      </c>
      <c r="L2671" t="s">
        <v>20</v>
      </c>
      <c r="M2671">
        <v>50554</v>
      </c>
      <c r="N2671">
        <v>593</v>
      </c>
    </row>
    <row r="2672" spans="1:14" x14ac:dyDescent="0.35">
      <c r="A2672" t="s">
        <v>2782</v>
      </c>
      <c r="B2672" t="s">
        <v>15</v>
      </c>
      <c r="C2672" t="s">
        <v>16</v>
      </c>
      <c r="D2672">
        <v>223</v>
      </c>
      <c r="E2672" t="s">
        <v>2773</v>
      </c>
      <c r="F2672">
        <v>5419</v>
      </c>
      <c r="G2672" t="s">
        <v>18</v>
      </c>
      <c r="H2672">
        <v>27</v>
      </c>
      <c r="I2672" t="s">
        <v>19</v>
      </c>
      <c r="J2672">
        <v>1995</v>
      </c>
      <c r="K2672">
        <v>1995</v>
      </c>
      <c r="L2672" t="s">
        <v>20</v>
      </c>
      <c r="M2672">
        <v>50045</v>
      </c>
      <c r="N2672">
        <v>593</v>
      </c>
    </row>
    <row r="2673" spans="1:14" x14ac:dyDescent="0.35">
      <c r="A2673" t="s">
        <v>2783</v>
      </c>
      <c r="B2673" t="s">
        <v>15</v>
      </c>
      <c r="C2673" t="s">
        <v>16</v>
      </c>
      <c r="D2673">
        <v>223</v>
      </c>
      <c r="E2673" t="s">
        <v>2773</v>
      </c>
      <c r="F2673">
        <v>5419</v>
      </c>
      <c r="G2673" t="s">
        <v>18</v>
      </c>
      <c r="H2673">
        <v>27</v>
      </c>
      <c r="I2673" t="s">
        <v>19</v>
      </c>
      <c r="J2673">
        <v>1996</v>
      </c>
      <c r="K2673">
        <v>1996</v>
      </c>
      <c r="L2673" t="s">
        <v>20</v>
      </c>
      <c r="M2673">
        <v>51114</v>
      </c>
      <c r="N2673">
        <v>593</v>
      </c>
    </row>
    <row r="2674" spans="1:14" x14ac:dyDescent="0.35">
      <c r="A2674" t="s">
        <v>2784</v>
      </c>
      <c r="B2674" t="s">
        <v>15</v>
      </c>
      <c r="C2674" t="s">
        <v>16</v>
      </c>
      <c r="D2674">
        <v>223</v>
      </c>
      <c r="E2674" t="s">
        <v>2773</v>
      </c>
      <c r="F2674">
        <v>5419</v>
      </c>
      <c r="G2674" t="s">
        <v>18</v>
      </c>
      <c r="H2674">
        <v>27</v>
      </c>
      <c r="I2674" t="s">
        <v>19</v>
      </c>
      <c r="J2674">
        <v>1997</v>
      </c>
      <c r="K2674">
        <v>1997</v>
      </c>
      <c r="L2674" t="s">
        <v>20</v>
      </c>
      <c r="M2674">
        <v>50005</v>
      </c>
      <c r="N2674">
        <v>593</v>
      </c>
    </row>
    <row r="2675" spans="1:14" x14ac:dyDescent="0.35">
      <c r="A2675" t="s">
        <v>2785</v>
      </c>
      <c r="B2675" t="s">
        <v>15</v>
      </c>
      <c r="C2675" t="s">
        <v>16</v>
      </c>
      <c r="D2675">
        <v>223</v>
      </c>
      <c r="E2675" t="s">
        <v>2773</v>
      </c>
      <c r="F2675">
        <v>5419</v>
      </c>
      <c r="G2675" t="s">
        <v>18</v>
      </c>
      <c r="H2675">
        <v>27</v>
      </c>
      <c r="I2675" t="s">
        <v>19</v>
      </c>
      <c r="J2675">
        <v>1998</v>
      </c>
      <c r="K2675">
        <v>1998</v>
      </c>
      <c r="L2675" t="s">
        <v>20</v>
      </c>
      <c r="M2675">
        <v>52601</v>
      </c>
      <c r="N2675">
        <v>593</v>
      </c>
    </row>
    <row r="2676" spans="1:14" x14ac:dyDescent="0.35">
      <c r="A2676" t="s">
        <v>2786</v>
      </c>
      <c r="B2676" t="s">
        <v>15</v>
      </c>
      <c r="C2676" t="s">
        <v>16</v>
      </c>
      <c r="D2676">
        <v>223</v>
      </c>
      <c r="E2676" t="s">
        <v>2773</v>
      </c>
      <c r="F2676">
        <v>5419</v>
      </c>
      <c r="G2676" t="s">
        <v>18</v>
      </c>
      <c r="H2676">
        <v>27</v>
      </c>
      <c r="I2676" t="s">
        <v>19</v>
      </c>
      <c r="J2676">
        <v>1999</v>
      </c>
      <c r="K2676">
        <v>1999</v>
      </c>
      <c r="L2676" t="s">
        <v>20</v>
      </c>
      <c r="M2676">
        <v>52321</v>
      </c>
      <c r="N2676">
        <v>593</v>
      </c>
    </row>
    <row r="2677" spans="1:14" x14ac:dyDescent="0.35">
      <c r="A2677" t="s">
        <v>2787</v>
      </c>
      <c r="B2677" t="s">
        <v>15</v>
      </c>
      <c r="C2677" t="s">
        <v>16</v>
      </c>
      <c r="D2677">
        <v>223</v>
      </c>
      <c r="E2677" t="s">
        <v>2773</v>
      </c>
      <c r="F2677">
        <v>5419</v>
      </c>
      <c r="G2677" t="s">
        <v>18</v>
      </c>
      <c r="H2677">
        <v>27</v>
      </c>
      <c r="I2677" t="s">
        <v>19</v>
      </c>
      <c r="J2677">
        <v>2000</v>
      </c>
      <c r="K2677">
        <v>2000</v>
      </c>
      <c r="L2677" t="s">
        <v>20</v>
      </c>
      <c r="M2677">
        <v>60492</v>
      </c>
      <c r="N2677">
        <v>593</v>
      </c>
    </row>
    <row r="2678" spans="1:14" x14ac:dyDescent="0.35">
      <c r="A2678" t="s">
        <v>2788</v>
      </c>
      <c r="B2678" t="s">
        <v>15</v>
      </c>
      <c r="C2678" t="s">
        <v>16</v>
      </c>
      <c r="D2678">
        <v>223</v>
      </c>
      <c r="E2678" t="s">
        <v>2773</v>
      </c>
      <c r="F2678">
        <v>5419</v>
      </c>
      <c r="G2678" t="s">
        <v>18</v>
      </c>
      <c r="H2678">
        <v>27</v>
      </c>
      <c r="I2678" t="s">
        <v>19</v>
      </c>
      <c r="J2678">
        <v>2001</v>
      </c>
      <c r="K2678">
        <v>2001</v>
      </c>
      <c r="L2678" t="s">
        <v>20</v>
      </c>
      <c r="M2678">
        <v>61017</v>
      </c>
      <c r="N2678">
        <v>593</v>
      </c>
    </row>
    <row r="2679" spans="1:14" x14ac:dyDescent="0.35">
      <c r="A2679" t="s">
        <v>2789</v>
      </c>
      <c r="B2679" t="s">
        <v>15</v>
      </c>
      <c r="C2679" t="s">
        <v>16</v>
      </c>
      <c r="D2679">
        <v>223</v>
      </c>
      <c r="E2679" t="s">
        <v>2773</v>
      </c>
      <c r="F2679">
        <v>5419</v>
      </c>
      <c r="G2679" t="s">
        <v>18</v>
      </c>
      <c r="H2679">
        <v>27</v>
      </c>
      <c r="I2679" t="s">
        <v>19</v>
      </c>
      <c r="J2679">
        <v>2002</v>
      </c>
      <c r="K2679">
        <v>2002</v>
      </c>
      <c r="L2679" t="s">
        <v>20</v>
      </c>
      <c r="M2679">
        <v>60192</v>
      </c>
      <c r="N2679">
        <v>593</v>
      </c>
    </row>
    <row r="2680" spans="1:14" x14ac:dyDescent="0.35">
      <c r="A2680" t="s">
        <v>2790</v>
      </c>
      <c r="B2680" t="s">
        <v>15</v>
      </c>
      <c r="C2680" t="s">
        <v>16</v>
      </c>
      <c r="D2680">
        <v>223</v>
      </c>
      <c r="E2680" t="s">
        <v>2773</v>
      </c>
      <c r="F2680">
        <v>5419</v>
      </c>
      <c r="G2680" t="s">
        <v>18</v>
      </c>
      <c r="H2680">
        <v>27</v>
      </c>
      <c r="I2680" t="s">
        <v>19</v>
      </c>
      <c r="J2680">
        <v>2004</v>
      </c>
      <c r="K2680">
        <v>2004</v>
      </c>
      <c r="L2680" t="s">
        <v>20</v>
      </c>
      <c r="M2680">
        <v>70010</v>
      </c>
      <c r="N2680">
        <v>593</v>
      </c>
    </row>
    <row r="2681" spans="1:14" x14ac:dyDescent="0.35">
      <c r="A2681" t="s">
        <v>2791</v>
      </c>
      <c r="B2681" t="s">
        <v>15</v>
      </c>
      <c r="C2681" t="s">
        <v>16</v>
      </c>
      <c r="D2681">
        <v>223</v>
      </c>
      <c r="E2681" t="s">
        <v>2773</v>
      </c>
      <c r="F2681">
        <v>5419</v>
      </c>
      <c r="G2681" t="s">
        <v>18</v>
      </c>
      <c r="H2681">
        <v>27</v>
      </c>
      <c r="I2681" t="s">
        <v>19</v>
      </c>
      <c r="J2681">
        <v>2005</v>
      </c>
      <c r="K2681">
        <v>2005</v>
      </c>
      <c r="L2681" t="s">
        <v>20</v>
      </c>
      <c r="M2681">
        <v>70664</v>
      </c>
      <c r="N2681">
        <v>593</v>
      </c>
    </row>
    <row r="2682" spans="1:14" x14ac:dyDescent="0.35">
      <c r="A2682" t="s">
        <v>2792</v>
      </c>
      <c r="B2682" t="s">
        <v>15</v>
      </c>
      <c r="C2682" t="s">
        <v>16</v>
      </c>
      <c r="D2682">
        <v>223</v>
      </c>
      <c r="E2682" t="s">
        <v>2773</v>
      </c>
      <c r="F2682">
        <v>5419</v>
      </c>
      <c r="G2682" t="s">
        <v>18</v>
      </c>
      <c r="H2682">
        <v>27</v>
      </c>
      <c r="I2682" t="s">
        <v>19</v>
      </c>
      <c r="J2682">
        <v>2006</v>
      </c>
      <c r="K2682">
        <v>2006</v>
      </c>
      <c r="L2682" t="s">
        <v>20</v>
      </c>
      <c r="M2682">
        <v>70273</v>
      </c>
      <c r="N2682">
        <v>593</v>
      </c>
    </row>
    <row r="2683" spans="1:14" x14ac:dyDescent="0.35">
      <c r="A2683" t="s">
        <v>2793</v>
      </c>
      <c r="B2683" t="s">
        <v>15</v>
      </c>
      <c r="C2683" t="s">
        <v>16</v>
      </c>
      <c r="D2683">
        <v>223</v>
      </c>
      <c r="E2683" t="s">
        <v>2773</v>
      </c>
      <c r="F2683">
        <v>5419</v>
      </c>
      <c r="G2683" t="s">
        <v>18</v>
      </c>
      <c r="H2683">
        <v>27</v>
      </c>
      <c r="I2683" t="s">
        <v>19</v>
      </c>
      <c r="J2683">
        <v>2007</v>
      </c>
      <c r="K2683">
        <v>2007</v>
      </c>
      <c r="L2683" t="s">
        <v>20</v>
      </c>
      <c r="M2683">
        <v>69084</v>
      </c>
      <c r="N2683">
        <v>593</v>
      </c>
    </row>
    <row r="2684" spans="1:14" x14ac:dyDescent="0.35">
      <c r="A2684" t="s">
        <v>2794</v>
      </c>
      <c r="B2684" t="s">
        <v>15</v>
      </c>
      <c r="C2684" t="s">
        <v>16</v>
      </c>
      <c r="D2684">
        <v>223</v>
      </c>
      <c r="E2684" t="s">
        <v>2773</v>
      </c>
      <c r="F2684">
        <v>5419</v>
      </c>
      <c r="G2684" t="s">
        <v>18</v>
      </c>
      <c r="H2684">
        <v>27</v>
      </c>
      <c r="I2684" t="s">
        <v>19</v>
      </c>
      <c r="J2684">
        <v>2008</v>
      </c>
      <c r="K2684">
        <v>2008</v>
      </c>
      <c r="L2684" t="s">
        <v>20</v>
      </c>
      <c r="M2684">
        <v>75716</v>
      </c>
      <c r="N2684">
        <v>593</v>
      </c>
    </row>
    <row r="2685" spans="1:14" x14ac:dyDescent="0.35">
      <c r="A2685" t="s">
        <v>2795</v>
      </c>
      <c r="B2685" t="s">
        <v>15</v>
      </c>
      <c r="C2685" t="s">
        <v>16</v>
      </c>
      <c r="D2685">
        <v>223</v>
      </c>
      <c r="E2685" t="s">
        <v>2773</v>
      </c>
      <c r="F2685">
        <v>5419</v>
      </c>
      <c r="G2685" t="s">
        <v>18</v>
      </c>
      <c r="H2685">
        <v>27</v>
      </c>
      <c r="I2685" t="s">
        <v>19</v>
      </c>
      <c r="J2685">
        <v>2009</v>
      </c>
      <c r="K2685">
        <v>2009</v>
      </c>
      <c r="L2685" t="s">
        <v>20</v>
      </c>
      <c r="M2685">
        <v>77765</v>
      </c>
      <c r="N2685">
        <v>593</v>
      </c>
    </row>
    <row r="2686" spans="1:14" x14ac:dyDescent="0.35">
      <c r="A2686" t="s">
        <v>2796</v>
      </c>
      <c r="B2686" t="s">
        <v>15</v>
      </c>
      <c r="C2686" t="s">
        <v>16</v>
      </c>
      <c r="D2686">
        <v>223</v>
      </c>
      <c r="E2686" t="s">
        <v>2773</v>
      </c>
      <c r="F2686">
        <v>5419</v>
      </c>
      <c r="G2686" t="s">
        <v>18</v>
      </c>
      <c r="H2686">
        <v>27</v>
      </c>
      <c r="I2686" t="s">
        <v>19</v>
      </c>
      <c r="J2686">
        <v>2010</v>
      </c>
      <c r="K2686">
        <v>2010</v>
      </c>
      <c r="L2686" t="s">
        <v>20</v>
      </c>
      <c r="M2686">
        <v>86899</v>
      </c>
      <c r="N2686">
        <v>593</v>
      </c>
    </row>
    <row r="2687" spans="1:14" x14ac:dyDescent="0.35">
      <c r="A2687" t="s">
        <v>2797</v>
      </c>
      <c r="B2687" t="s">
        <v>15</v>
      </c>
      <c r="C2687" t="s">
        <v>16</v>
      </c>
      <c r="D2687">
        <v>223</v>
      </c>
      <c r="E2687" t="s">
        <v>2773</v>
      </c>
      <c r="F2687">
        <v>5419</v>
      </c>
      <c r="G2687" t="s">
        <v>18</v>
      </c>
      <c r="H2687">
        <v>27</v>
      </c>
      <c r="I2687" t="s">
        <v>19</v>
      </c>
      <c r="J2687">
        <v>2011</v>
      </c>
      <c r="K2687">
        <v>2011</v>
      </c>
      <c r="L2687" t="s">
        <v>20</v>
      </c>
      <c r="M2687">
        <v>90559</v>
      </c>
      <c r="N2687">
        <v>593</v>
      </c>
    </row>
    <row r="2688" spans="1:14" x14ac:dyDescent="0.35">
      <c r="A2688" t="s">
        <v>2798</v>
      </c>
      <c r="B2688" t="s">
        <v>15</v>
      </c>
      <c r="C2688" t="s">
        <v>16</v>
      </c>
      <c r="D2688">
        <v>223</v>
      </c>
      <c r="E2688" t="s">
        <v>2773</v>
      </c>
      <c r="F2688">
        <v>5419</v>
      </c>
      <c r="G2688" t="s">
        <v>18</v>
      </c>
      <c r="H2688">
        <v>27</v>
      </c>
      <c r="I2688" t="s">
        <v>19</v>
      </c>
      <c r="J2688">
        <v>2012</v>
      </c>
      <c r="K2688">
        <v>2012</v>
      </c>
      <c r="L2688" t="s">
        <v>20</v>
      </c>
      <c r="M2688">
        <v>73539</v>
      </c>
      <c r="N2688">
        <v>593</v>
      </c>
    </row>
    <row r="2689" spans="1:14" x14ac:dyDescent="0.35">
      <c r="A2689" t="s">
        <v>2799</v>
      </c>
      <c r="B2689" t="s">
        <v>15</v>
      </c>
      <c r="C2689" t="s">
        <v>16</v>
      </c>
      <c r="D2689">
        <v>223</v>
      </c>
      <c r="E2689" t="s">
        <v>2773</v>
      </c>
      <c r="F2689">
        <v>5419</v>
      </c>
      <c r="G2689" t="s">
        <v>18</v>
      </c>
      <c r="H2689">
        <v>27</v>
      </c>
      <c r="I2689" t="s">
        <v>19</v>
      </c>
      <c r="J2689">
        <v>2013</v>
      </c>
      <c r="K2689">
        <v>2013</v>
      </c>
      <c r="L2689" t="s">
        <v>20</v>
      </c>
      <c r="M2689">
        <v>81380</v>
      </c>
      <c r="N2689">
        <v>593</v>
      </c>
    </row>
    <row r="2690" spans="1:14" x14ac:dyDescent="0.35">
      <c r="A2690" t="s">
        <v>2800</v>
      </c>
      <c r="B2690" t="s">
        <v>15</v>
      </c>
      <c r="C2690" t="s">
        <v>16</v>
      </c>
      <c r="D2690">
        <v>223</v>
      </c>
      <c r="E2690" t="s">
        <v>2773</v>
      </c>
      <c r="F2690">
        <v>5419</v>
      </c>
      <c r="G2690" t="s">
        <v>18</v>
      </c>
      <c r="H2690">
        <v>27</v>
      </c>
      <c r="I2690" t="s">
        <v>19</v>
      </c>
      <c r="J2690">
        <v>2014</v>
      </c>
      <c r="K2690">
        <v>2014</v>
      </c>
      <c r="L2690" t="s">
        <v>20</v>
      </c>
      <c r="M2690">
        <v>74856</v>
      </c>
      <c r="N2690">
        <v>593</v>
      </c>
    </row>
    <row r="2691" spans="1:14" x14ac:dyDescent="0.35">
      <c r="A2691" t="s">
        <v>2801</v>
      </c>
      <c r="B2691" t="s">
        <v>15</v>
      </c>
      <c r="C2691" t="s">
        <v>16</v>
      </c>
      <c r="D2691">
        <v>223</v>
      </c>
      <c r="E2691" t="s">
        <v>2773</v>
      </c>
      <c r="F2691">
        <v>5419</v>
      </c>
      <c r="G2691" t="s">
        <v>18</v>
      </c>
      <c r="H2691">
        <v>27</v>
      </c>
      <c r="I2691" t="s">
        <v>19</v>
      </c>
      <c r="J2691">
        <v>2015</v>
      </c>
      <c r="K2691">
        <v>2015</v>
      </c>
      <c r="L2691" t="s">
        <v>20</v>
      </c>
      <c r="M2691">
        <v>79409</v>
      </c>
      <c r="N2691">
        <v>593</v>
      </c>
    </row>
    <row r="2692" spans="1:14" x14ac:dyDescent="0.35">
      <c r="A2692" t="s">
        <v>2802</v>
      </c>
      <c r="B2692" t="s">
        <v>15</v>
      </c>
      <c r="C2692" t="s">
        <v>16</v>
      </c>
      <c r="D2692">
        <v>223</v>
      </c>
      <c r="E2692" t="s">
        <v>2773</v>
      </c>
      <c r="F2692">
        <v>5419</v>
      </c>
      <c r="G2692" t="s">
        <v>18</v>
      </c>
      <c r="H2692">
        <v>27</v>
      </c>
      <c r="I2692" t="s">
        <v>19</v>
      </c>
      <c r="J2692">
        <v>2016</v>
      </c>
      <c r="K2692">
        <v>2016</v>
      </c>
      <c r="L2692" t="s">
        <v>20</v>
      </c>
      <c r="M2692">
        <v>79272</v>
      </c>
      <c r="N2692">
        <v>593</v>
      </c>
    </row>
    <row r="2693" spans="1:14" x14ac:dyDescent="0.35">
      <c r="A2693" t="s">
        <v>2803</v>
      </c>
      <c r="B2693" t="s">
        <v>15</v>
      </c>
      <c r="C2693" t="s">
        <v>16</v>
      </c>
      <c r="D2693">
        <v>213</v>
      </c>
      <c r="E2693" t="s">
        <v>2804</v>
      </c>
      <c r="F2693">
        <v>5419</v>
      </c>
      <c r="G2693" t="s">
        <v>18</v>
      </c>
      <c r="H2693">
        <v>27</v>
      </c>
      <c r="I2693" t="s">
        <v>19</v>
      </c>
      <c r="J2693">
        <v>1992</v>
      </c>
      <c r="K2693">
        <v>1992</v>
      </c>
      <c r="L2693" t="s">
        <v>20</v>
      </c>
      <c r="M2693">
        <v>22794</v>
      </c>
      <c r="N2693">
        <v>161</v>
      </c>
    </row>
    <row r="2694" spans="1:14" x14ac:dyDescent="0.35">
      <c r="A2694" t="s">
        <v>2805</v>
      </c>
      <c r="B2694" t="s">
        <v>15</v>
      </c>
      <c r="C2694" t="s">
        <v>16</v>
      </c>
      <c r="D2694">
        <v>213</v>
      </c>
      <c r="E2694" t="s">
        <v>2804</v>
      </c>
      <c r="F2694">
        <v>5419</v>
      </c>
      <c r="G2694" t="s">
        <v>18</v>
      </c>
      <c r="H2694">
        <v>27</v>
      </c>
      <c r="I2694" t="s">
        <v>19</v>
      </c>
      <c r="J2694">
        <v>1993</v>
      </c>
      <c r="K2694">
        <v>1993</v>
      </c>
      <c r="L2694" t="s">
        <v>20</v>
      </c>
      <c r="M2694">
        <v>22746</v>
      </c>
      <c r="N2694">
        <v>161</v>
      </c>
    </row>
    <row r="2695" spans="1:14" x14ac:dyDescent="0.35">
      <c r="A2695" t="s">
        <v>2806</v>
      </c>
      <c r="B2695" t="s">
        <v>15</v>
      </c>
      <c r="C2695" t="s">
        <v>16</v>
      </c>
      <c r="D2695">
        <v>213</v>
      </c>
      <c r="E2695" t="s">
        <v>2804</v>
      </c>
      <c r="F2695">
        <v>5419</v>
      </c>
      <c r="G2695" t="s">
        <v>18</v>
      </c>
      <c r="H2695">
        <v>27</v>
      </c>
      <c r="I2695" t="s">
        <v>19</v>
      </c>
      <c r="J2695">
        <v>1994</v>
      </c>
      <c r="K2695">
        <v>1994</v>
      </c>
      <c r="L2695" t="s">
        <v>20</v>
      </c>
      <c r="M2695">
        <v>24865</v>
      </c>
      <c r="N2695">
        <v>161</v>
      </c>
    </row>
    <row r="2696" spans="1:14" x14ac:dyDescent="0.35">
      <c r="A2696" t="s">
        <v>2807</v>
      </c>
      <c r="B2696" t="s">
        <v>15</v>
      </c>
      <c r="C2696" t="s">
        <v>16</v>
      </c>
      <c r="D2696">
        <v>213</v>
      </c>
      <c r="E2696" t="s">
        <v>2804</v>
      </c>
      <c r="F2696">
        <v>5419</v>
      </c>
      <c r="G2696" t="s">
        <v>18</v>
      </c>
      <c r="H2696">
        <v>27</v>
      </c>
      <c r="I2696" t="s">
        <v>19</v>
      </c>
      <c r="J2696">
        <v>1995</v>
      </c>
      <c r="K2696">
        <v>1995</v>
      </c>
      <c r="L2696" t="s">
        <v>20</v>
      </c>
      <c r="M2696">
        <v>27103</v>
      </c>
      <c r="N2696">
        <v>161</v>
      </c>
    </row>
    <row r="2697" spans="1:14" x14ac:dyDescent="0.35">
      <c r="A2697" t="s">
        <v>2808</v>
      </c>
      <c r="B2697" t="s">
        <v>15</v>
      </c>
      <c r="C2697" t="s">
        <v>16</v>
      </c>
      <c r="D2697">
        <v>213</v>
      </c>
      <c r="E2697" t="s">
        <v>2804</v>
      </c>
      <c r="F2697">
        <v>5419</v>
      </c>
      <c r="G2697" t="s">
        <v>18</v>
      </c>
      <c r="H2697">
        <v>27</v>
      </c>
      <c r="I2697" t="s">
        <v>19</v>
      </c>
      <c r="J2697">
        <v>1996</v>
      </c>
      <c r="K2697">
        <v>1996</v>
      </c>
      <c r="L2697" t="s">
        <v>20</v>
      </c>
      <c r="M2697">
        <v>12750</v>
      </c>
      <c r="N2697">
        <v>161</v>
      </c>
    </row>
    <row r="2698" spans="1:14" x14ac:dyDescent="0.35">
      <c r="A2698" t="s">
        <v>2809</v>
      </c>
      <c r="B2698" t="s">
        <v>15</v>
      </c>
      <c r="C2698" t="s">
        <v>16</v>
      </c>
      <c r="D2698">
        <v>213</v>
      </c>
      <c r="E2698" t="s">
        <v>2804</v>
      </c>
      <c r="F2698">
        <v>5419</v>
      </c>
      <c r="G2698" t="s">
        <v>18</v>
      </c>
      <c r="H2698">
        <v>27</v>
      </c>
      <c r="I2698" t="s">
        <v>19</v>
      </c>
      <c r="J2698">
        <v>1997</v>
      </c>
      <c r="K2698">
        <v>1997</v>
      </c>
      <c r="L2698" t="s">
        <v>20</v>
      </c>
      <c r="M2698">
        <v>8406</v>
      </c>
      <c r="N2698">
        <v>161</v>
      </c>
    </row>
    <row r="2699" spans="1:14" x14ac:dyDescent="0.35">
      <c r="A2699" t="s">
        <v>2810</v>
      </c>
      <c r="B2699" t="s">
        <v>15</v>
      </c>
      <c r="C2699" t="s">
        <v>16</v>
      </c>
      <c r="D2699">
        <v>213</v>
      </c>
      <c r="E2699" t="s">
        <v>2804</v>
      </c>
      <c r="F2699">
        <v>5419</v>
      </c>
      <c r="G2699" t="s">
        <v>18</v>
      </c>
      <c r="H2699">
        <v>27</v>
      </c>
      <c r="I2699" t="s">
        <v>19</v>
      </c>
      <c r="J2699">
        <v>1998</v>
      </c>
      <c r="K2699">
        <v>1998</v>
      </c>
      <c r="L2699" t="s">
        <v>20</v>
      </c>
      <c r="M2699">
        <v>6850</v>
      </c>
      <c r="N2699">
        <v>161</v>
      </c>
    </row>
    <row r="2700" spans="1:14" x14ac:dyDescent="0.35">
      <c r="A2700" t="s">
        <v>2811</v>
      </c>
      <c r="B2700" t="s">
        <v>15</v>
      </c>
      <c r="C2700" t="s">
        <v>16</v>
      </c>
      <c r="D2700">
        <v>213</v>
      </c>
      <c r="E2700" t="s">
        <v>2804</v>
      </c>
      <c r="F2700">
        <v>5419</v>
      </c>
      <c r="G2700" t="s">
        <v>18</v>
      </c>
      <c r="H2700">
        <v>27</v>
      </c>
      <c r="I2700" t="s">
        <v>19</v>
      </c>
      <c r="J2700">
        <v>1999</v>
      </c>
      <c r="K2700">
        <v>1999</v>
      </c>
      <c r="L2700" t="s">
        <v>20</v>
      </c>
      <c r="M2700">
        <v>11100</v>
      </c>
      <c r="N2700">
        <v>161</v>
      </c>
    </row>
    <row r="2701" spans="1:14" x14ac:dyDescent="0.35">
      <c r="A2701" t="s">
        <v>2812</v>
      </c>
      <c r="B2701" t="s">
        <v>15</v>
      </c>
      <c r="C2701" t="s">
        <v>16</v>
      </c>
      <c r="D2701">
        <v>213</v>
      </c>
      <c r="E2701" t="s">
        <v>2804</v>
      </c>
      <c r="F2701">
        <v>5419</v>
      </c>
      <c r="G2701" t="s">
        <v>18</v>
      </c>
      <c r="H2701">
        <v>27</v>
      </c>
      <c r="I2701" t="s">
        <v>19</v>
      </c>
      <c r="J2701">
        <v>2000</v>
      </c>
      <c r="K2701">
        <v>2000</v>
      </c>
      <c r="L2701" t="s">
        <v>20</v>
      </c>
      <c r="M2701">
        <v>3900</v>
      </c>
      <c r="N2701">
        <v>161</v>
      </c>
    </row>
    <row r="2702" spans="1:14" x14ac:dyDescent="0.35">
      <c r="A2702" t="s">
        <v>2813</v>
      </c>
      <c r="B2702" t="s">
        <v>15</v>
      </c>
      <c r="C2702" t="s">
        <v>16</v>
      </c>
      <c r="D2702">
        <v>213</v>
      </c>
      <c r="E2702" t="s">
        <v>2804</v>
      </c>
      <c r="F2702">
        <v>5419</v>
      </c>
      <c r="G2702" t="s">
        <v>18</v>
      </c>
      <c r="H2702">
        <v>27</v>
      </c>
      <c r="I2702" t="s">
        <v>19</v>
      </c>
      <c r="J2702">
        <v>2001</v>
      </c>
      <c r="K2702">
        <v>2001</v>
      </c>
      <c r="L2702" t="s">
        <v>20</v>
      </c>
      <c r="M2702">
        <v>11143</v>
      </c>
      <c r="N2702">
        <v>161</v>
      </c>
    </row>
    <row r="2703" spans="1:14" x14ac:dyDescent="0.35">
      <c r="A2703" t="s">
        <v>2814</v>
      </c>
      <c r="B2703" t="s">
        <v>15</v>
      </c>
      <c r="C2703" t="s">
        <v>16</v>
      </c>
      <c r="D2703">
        <v>213</v>
      </c>
      <c r="E2703" t="s">
        <v>2804</v>
      </c>
      <c r="F2703">
        <v>5419</v>
      </c>
      <c r="G2703" t="s">
        <v>18</v>
      </c>
      <c r="H2703">
        <v>27</v>
      </c>
      <c r="I2703" t="s">
        <v>19</v>
      </c>
      <c r="J2703">
        <v>2002</v>
      </c>
      <c r="K2703">
        <v>2002</v>
      </c>
      <c r="L2703" t="s">
        <v>20</v>
      </c>
      <c r="M2703">
        <v>19048</v>
      </c>
      <c r="N2703">
        <v>161</v>
      </c>
    </row>
    <row r="2704" spans="1:14" x14ac:dyDescent="0.35">
      <c r="A2704" t="s">
        <v>2815</v>
      </c>
      <c r="B2704" t="s">
        <v>15</v>
      </c>
      <c r="C2704" t="s">
        <v>16</v>
      </c>
      <c r="D2704">
        <v>213</v>
      </c>
      <c r="E2704" t="s">
        <v>2804</v>
      </c>
      <c r="F2704">
        <v>5419</v>
      </c>
      <c r="G2704" t="s">
        <v>18</v>
      </c>
      <c r="H2704">
        <v>27</v>
      </c>
      <c r="I2704" t="s">
        <v>19</v>
      </c>
      <c r="J2704">
        <v>2004</v>
      </c>
      <c r="K2704">
        <v>2004</v>
      </c>
      <c r="L2704" t="s">
        <v>20</v>
      </c>
      <c r="M2704">
        <v>22000</v>
      </c>
      <c r="N2704">
        <v>161</v>
      </c>
    </row>
    <row r="2705" spans="1:14" x14ac:dyDescent="0.35">
      <c r="A2705" t="s">
        <v>2816</v>
      </c>
      <c r="B2705" t="s">
        <v>15</v>
      </c>
      <c r="C2705" t="s">
        <v>16</v>
      </c>
      <c r="D2705">
        <v>213</v>
      </c>
      <c r="E2705" t="s">
        <v>2804</v>
      </c>
      <c r="F2705">
        <v>5419</v>
      </c>
      <c r="G2705" t="s">
        <v>18</v>
      </c>
      <c r="H2705">
        <v>27</v>
      </c>
      <c r="I2705" t="s">
        <v>19</v>
      </c>
      <c r="J2705">
        <v>2005</v>
      </c>
      <c r="K2705">
        <v>2005</v>
      </c>
      <c r="L2705" t="s">
        <v>20</v>
      </c>
      <c r="M2705">
        <v>21818</v>
      </c>
      <c r="N2705">
        <v>161</v>
      </c>
    </row>
    <row r="2706" spans="1:14" x14ac:dyDescent="0.35">
      <c r="A2706" t="s">
        <v>2817</v>
      </c>
      <c r="B2706" t="s">
        <v>15</v>
      </c>
      <c r="C2706" t="s">
        <v>16</v>
      </c>
      <c r="D2706">
        <v>213</v>
      </c>
      <c r="E2706" t="s">
        <v>2804</v>
      </c>
      <c r="F2706">
        <v>5419</v>
      </c>
      <c r="G2706" t="s">
        <v>18</v>
      </c>
      <c r="H2706">
        <v>27</v>
      </c>
      <c r="I2706" t="s">
        <v>19</v>
      </c>
      <c r="J2706">
        <v>2006</v>
      </c>
      <c r="K2706">
        <v>2006</v>
      </c>
      <c r="L2706" t="s">
        <v>20</v>
      </c>
      <c r="M2706">
        <v>24107</v>
      </c>
      <c r="N2706">
        <v>161</v>
      </c>
    </row>
    <row r="2707" spans="1:14" x14ac:dyDescent="0.35">
      <c r="A2707" t="s">
        <v>2818</v>
      </c>
      <c r="B2707" t="s">
        <v>15</v>
      </c>
      <c r="C2707" t="s">
        <v>16</v>
      </c>
      <c r="D2707">
        <v>213</v>
      </c>
      <c r="E2707" t="s">
        <v>2804</v>
      </c>
      <c r="F2707">
        <v>5419</v>
      </c>
      <c r="G2707" t="s">
        <v>18</v>
      </c>
      <c r="H2707">
        <v>27</v>
      </c>
      <c r="I2707" t="s">
        <v>19</v>
      </c>
      <c r="J2707">
        <v>2007</v>
      </c>
      <c r="K2707">
        <v>2007</v>
      </c>
      <c r="L2707" t="s">
        <v>20</v>
      </c>
      <c r="M2707">
        <v>13000</v>
      </c>
      <c r="N2707">
        <v>161</v>
      </c>
    </row>
    <row r="2708" spans="1:14" x14ac:dyDescent="0.35">
      <c r="A2708" t="s">
        <v>2819</v>
      </c>
      <c r="B2708" t="s">
        <v>15</v>
      </c>
      <c r="C2708" t="s">
        <v>16</v>
      </c>
      <c r="D2708">
        <v>213</v>
      </c>
      <c r="E2708" t="s">
        <v>2804</v>
      </c>
      <c r="F2708">
        <v>5419</v>
      </c>
      <c r="G2708" t="s">
        <v>18</v>
      </c>
      <c r="H2708">
        <v>27</v>
      </c>
      <c r="I2708" t="s">
        <v>19</v>
      </c>
      <c r="J2708">
        <v>2008</v>
      </c>
      <c r="K2708">
        <v>2008</v>
      </c>
      <c r="L2708" t="s">
        <v>20</v>
      </c>
      <c r="M2708">
        <v>11000</v>
      </c>
      <c r="N2708">
        <v>161</v>
      </c>
    </row>
    <row r="2709" spans="1:14" x14ac:dyDescent="0.35">
      <c r="A2709" t="s">
        <v>2820</v>
      </c>
      <c r="B2709" t="s">
        <v>15</v>
      </c>
      <c r="C2709" t="s">
        <v>16</v>
      </c>
      <c r="D2709">
        <v>213</v>
      </c>
      <c r="E2709" t="s">
        <v>2804</v>
      </c>
      <c r="F2709">
        <v>5419</v>
      </c>
      <c r="G2709" t="s">
        <v>18</v>
      </c>
      <c r="H2709">
        <v>27</v>
      </c>
      <c r="I2709" t="s">
        <v>19</v>
      </c>
      <c r="J2709">
        <v>2009</v>
      </c>
      <c r="K2709">
        <v>2009</v>
      </c>
      <c r="L2709" t="s">
        <v>20</v>
      </c>
      <c r="M2709">
        <v>16000</v>
      </c>
      <c r="N2709">
        <v>161</v>
      </c>
    </row>
    <row r="2710" spans="1:14" x14ac:dyDescent="0.35">
      <c r="A2710" t="s">
        <v>2821</v>
      </c>
      <c r="B2710" t="s">
        <v>15</v>
      </c>
      <c r="C2710" t="s">
        <v>16</v>
      </c>
      <c r="D2710">
        <v>213</v>
      </c>
      <c r="E2710" t="s">
        <v>2804</v>
      </c>
      <c r="F2710">
        <v>5419</v>
      </c>
      <c r="G2710" t="s">
        <v>18</v>
      </c>
      <c r="H2710">
        <v>27</v>
      </c>
      <c r="I2710" t="s">
        <v>19</v>
      </c>
      <c r="J2710">
        <v>2010</v>
      </c>
      <c r="K2710">
        <v>2010</v>
      </c>
      <c r="L2710" t="s">
        <v>20</v>
      </c>
      <c r="M2710">
        <v>17000</v>
      </c>
      <c r="N2710">
        <v>161</v>
      </c>
    </row>
    <row r="2711" spans="1:14" x14ac:dyDescent="0.35">
      <c r="A2711" t="s">
        <v>2822</v>
      </c>
      <c r="B2711" t="s">
        <v>15</v>
      </c>
      <c r="C2711" t="s">
        <v>16</v>
      </c>
      <c r="D2711">
        <v>213</v>
      </c>
      <c r="E2711" t="s">
        <v>2804</v>
      </c>
      <c r="F2711">
        <v>5419</v>
      </c>
      <c r="G2711" t="s">
        <v>18</v>
      </c>
      <c r="H2711">
        <v>27</v>
      </c>
      <c r="I2711" t="s">
        <v>19</v>
      </c>
      <c r="J2711">
        <v>2011</v>
      </c>
      <c r="K2711">
        <v>2011</v>
      </c>
      <c r="L2711" t="s">
        <v>20</v>
      </c>
      <c r="M2711">
        <v>15000</v>
      </c>
      <c r="N2711">
        <v>161</v>
      </c>
    </row>
    <row r="2712" spans="1:14" x14ac:dyDescent="0.35">
      <c r="A2712" t="s">
        <v>2823</v>
      </c>
      <c r="B2712" t="s">
        <v>15</v>
      </c>
      <c r="C2712" t="s">
        <v>16</v>
      </c>
      <c r="D2712">
        <v>213</v>
      </c>
      <c r="E2712" t="s">
        <v>2804</v>
      </c>
      <c r="F2712">
        <v>5419</v>
      </c>
      <c r="G2712" t="s">
        <v>18</v>
      </c>
      <c r="H2712">
        <v>27</v>
      </c>
      <c r="I2712" t="s">
        <v>19</v>
      </c>
      <c r="J2712">
        <v>2012</v>
      </c>
      <c r="K2712">
        <v>2012</v>
      </c>
      <c r="L2712" t="s">
        <v>20</v>
      </c>
      <c r="M2712">
        <v>13309</v>
      </c>
      <c r="N2712">
        <v>161</v>
      </c>
    </row>
    <row r="2713" spans="1:14" x14ac:dyDescent="0.35">
      <c r="A2713" t="s">
        <v>2824</v>
      </c>
      <c r="B2713" t="s">
        <v>15</v>
      </c>
      <c r="C2713" t="s">
        <v>16</v>
      </c>
      <c r="D2713">
        <v>213</v>
      </c>
      <c r="E2713" t="s">
        <v>2804</v>
      </c>
      <c r="F2713">
        <v>5419</v>
      </c>
      <c r="G2713" t="s">
        <v>18</v>
      </c>
      <c r="H2713">
        <v>27</v>
      </c>
      <c r="I2713" t="s">
        <v>19</v>
      </c>
      <c r="J2713">
        <v>2013</v>
      </c>
      <c r="K2713">
        <v>2013</v>
      </c>
      <c r="L2713" t="s">
        <v>20</v>
      </c>
      <c r="M2713">
        <v>11533</v>
      </c>
      <c r="N2713">
        <v>161</v>
      </c>
    </row>
    <row r="2714" spans="1:14" x14ac:dyDescent="0.35">
      <c r="A2714" t="s">
        <v>2825</v>
      </c>
      <c r="B2714" t="s">
        <v>15</v>
      </c>
      <c r="C2714" t="s">
        <v>16</v>
      </c>
      <c r="D2714">
        <v>213</v>
      </c>
      <c r="E2714" t="s">
        <v>2804</v>
      </c>
      <c r="F2714">
        <v>5419</v>
      </c>
      <c r="G2714" t="s">
        <v>18</v>
      </c>
      <c r="H2714">
        <v>27</v>
      </c>
      <c r="I2714" t="s">
        <v>19</v>
      </c>
      <c r="J2714">
        <v>2014</v>
      </c>
      <c r="K2714">
        <v>2014</v>
      </c>
      <c r="L2714" t="s">
        <v>20</v>
      </c>
      <c r="M2714">
        <v>10298</v>
      </c>
      <c r="N2714">
        <v>161</v>
      </c>
    </row>
    <row r="2715" spans="1:14" x14ac:dyDescent="0.35">
      <c r="A2715" t="s">
        <v>2826</v>
      </c>
      <c r="B2715" t="s">
        <v>15</v>
      </c>
      <c r="C2715" t="s">
        <v>16</v>
      </c>
      <c r="D2715">
        <v>213</v>
      </c>
      <c r="E2715" t="s">
        <v>2804</v>
      </c>
      <c r="F2715">
        <v>5419</v>
      </c>
      <c r="G2715" t="s">
        <v>18</v>
      </c>
      <c r="H2715">
        <v>27</v>
      </c>
      <c r="I2715" t="s">
        <v>19</v>
      </c>
      <c r="J2715">
        <v>2015</v>
      </c>
      <c r="K2715">
        <v>2015</v>
      </c>
      <c r="L2715" t="s">
        <v>20</v>
      </c>
      <c r="M2715">
        <v>9562</v>
      </c>
      <c r="N2715">
        <v>161</v>
      </c>
    </row>
    <row r="2716" spans="1:14" x14ac:dyDescent="0.35">
      <c r="A2716" t="s">
        <v>2827</v>
      </c>
      <c r="B2716" t="s">
        <v>15</v>
      </c>
      <c r="C2716" t="s">
        <v>16</v>
      </c>
      <c r="D2716">
        <v>213</v>
      </c>
      <c r="E2716" t="s">
        <v>2804</v>
      </c>
      <c r="F2716">
        <v>5419</v>
      </c>
      <c r="G2716" t="s">
        <v>18</v>
      </c>
      <c r="H2716">
        <v>27</v>
      </c>
      <c r="I2716" t="s">
        <v>19</v>
      </c>
      <c r="J2716">
        <v>2016</v>
      </c>
      <c r="K2716">
        <v>2016</v>
      </c>
      <c r="L2716" t="s">
        <v>20</v>
      </c>
      <c r="M2716">
        <v>9064</v>
      </c>
      <c r="N2716">
        <v>161</v>
      </c>
    </row>
    <row r="2717" spans="1:14" x14ac:dyDescent="0.35">
      <c r="A2717" t="s">
        <v>2828</v>
      </c>
      <c r="B2717" t="s">
        <v>15</v>
      </c>
      <c r="C2717" t="s">
        <v>16</v>
      </c>
      <c r="D2717">
        <v>226</v>
      </c>
      <c r="E2717" t="s">
        <v>2829</v>
      </c>
      <c r="F2717">
        <v>5419</v>
      </c>
      <c r="G2717" t="s">
        <v>18</v>
      </c>
      <c r="H2717">
        <v>27</v>
      </c>
      <c r="I2717" t="s">
        <v>19</v>
      </c>
      <c r="J2717">
        <v>1985</v>
      </c>
      <c r="K2717">
        <v>1985</v>
      </c>
      <c r="L2717" t="s">
        <v>20</v>
      </c>
      <c r="M2717">
        <v>13571</v>
      </c>
      <c r="N2717">
        <v>1180</v>
      </c>
    </row>
    <row r="2718" spans="1:14" x14ac:dyDescent="0.35">
      <c r="A2718" t="s">
        <v>2830</v>
      </c>
      <c r="B2718" t="s">
        <v>15</v>
      </c>
      <c r="C2718" t="s">
        <v>16</v>
      </c>
      <c r="D2718">
        <v>226</v>
      </c>
      <c r="E2718" t="s">
        <v>2829</v>
      </c>
      <c r="F2718">
        <v>5419</v>
      </c>
      <c r="G2718" t="s">
        <v>18</v>
      </c>
      <c r="H2718">
        <v>27</v>
      </c>
      <c r="I2718" t="s">
        <v>19</v>
      </c>
      <c r="J2718">
        <v>1986</v>
      </c>
      <c r="K2718">
        <v>1986</v>
      </c>
      <c r="L2718" t="s">
        <v>20</v>
      </c>
      <c r="M2718">
        <v>11053</v>
      </c>
      <c r="N2718">
        <v>1180</v>
      </c>
    </row>
    <row r="2719" spans="1:14" x14ac:dyDescent="0.35">
      <c r="A2719" t="s">
        <v>2831</v>
      </c>
      <c r="B2719" t="s">
        <v>15</v>
      </c>
      <c r="C2719" t="s">
        <v>16</v>
      </c>
      <c r="D2719">
        <v>226</v>
      </c>
      <c r="E2719" t="s">
        <v>2829</v>
      </c>
      <c r="F2719">
        <v>5419</v>
      </c>
      <c r="G2719" t="s">
        <v>18</v>
      </c>
      <c r="H2719">
        <v>27</v>
      </c>
      <c r="I2719" t="s">
        <v>19</v>
      </c>
      <c r="J2719">
        <v>1987</v>
      </c>
      <c r="K2719">
        <v>1987</v>
      </c>
      <c r="L2719" t="s">
        <v>20</v>
      </c>
      <c r="M2719">
        <v>12500</v>
      </c>
      <c r="N2719">
        <v>1180</v>
      </c>
    </row>
    <row r="2720" spans="1:14" x14ac:dyDescent="0.35">
      <c r="A2720" t="s">
        <v>2832</v>
      </c>
      <c r="B2720" t="s">
        <v>15</v>
      </c>
      <c r="C2720" t="s">
        <v>16</v>
      </c>
      <c r="D2720">
        <v>226</v>
      </c>
      <c r="E2720" t="s">
        <v>2829</v>
      </c>
      <c r="F2720">
        <v>5419</v>
      </c>
      <c r="G2720" t="s">
        <v>18</v>
      </c>
      <c r="H2720">
        <v>27</v>
      </c>
      <c r="I2720" t="s">
        <v>19</v>
      </c>
      <c r="J2720">
        <v>1989</v>
      </c>
      <c r="K2720">
        <v>1989</v>
      </c>
      <c r="L2720" t="s">
        <v>20</v>
      </c>
      <c r="M2720">
        <v>14063</v>
      </c>
      <c r="N2720">
        <v>1180</v>
      </c>
    </row>
    <row r="2721" spans="1:14" x14ac:dyDescent="0.35">
      <c r="A2721" t="s">
        <v>2833</v>
      </c>
      <c r="B2721" t="s">
        <v>15</v>
      </c>
      <c r="C2721" t="s">
        <v>16</v>
      </c>
      <c r="D2721">
        <v>226</v>
      </c>
      <c r="E2721" t="s">
        <v>2829</v>
      </c>
      <c r="F2721">
        <v>5419</v>
      </c>
      <c r="G2721" t="s">
        <v>18</v>
      </c>
      <c r="H2721">
        <v>27</v>
      </c>
      <c r="I2721" t="s">
        <v>19</v>
      </c>
      <c r="J2721">
        <v>1990</v>
      </c>
      <c r="K2721">
        <v>1990</v>
      </c>
      <c r="L2721" t="s">
        <v>20</v>
      </c>
      <c r="M2721">
        <v>13846</v>
      </c>
      <c r="N2721">
        <v>1180</v>
      </c>
    </row>
    <row r="2722" spans="1:14" x14ac:dyDescent="0.35">
      <c r="A2722" t="s">
        <v>2834</v>
      </c>
      <c r="B2722" t="s">
        <v>15</v>
      </c>
      <c r="C2722" t="s">
        <v>16</v>
      </c>
      <c r="D2722">
        <v>226</v>
      </c>
      <c r="E2722" t="s">
        <v>2829</v>
      </c>
      <c r="F2722">
        <v>5419</v>
      </c>
      <c r="G2722" t="s">
        <v>18</v>
      </c>
      <c r="H2722">
        <v>27</v>
      </c>
      <c r="I2722" t="s">
        <v>19</v>
      </c>
      <c r="J2722">
        <v>1991</v>
      </c>
      <c r="K2722">
        <v>1991</v>
      </c>
      <c r="L2722" t="s">
        <v>20</v>
      </c>
      <c r="M2722">
        <v>13556</v>
      </c>
      <c r="N2722">
        <v>1180</v>
      </c>
    </row>
    <row r="2723" spans="1:14" x14ac:dyDescent="0.35">
      <c r="A2723" t="s">
        <v>2835</v>
      </c>
      <c r="B2723" t="s">
        <v>15</v>
      </c>
      <c r="C2723" t="s">
        <v>16</v>
      </c>
      <c r="D2723">
        <v>226</v>
      </c>
      <c r="E2723" t="s">
        <v>2829</v>
      </c>
      <c r="F2723">
        <v>5419</v>
      </c>
      <c r="G2723" t="s">
        <v>18</v>
      </c>
      <c r="H2723">
        <v>27</v>
      </c>
      <c r="I2723" t="s">
        <v>19</v>
      </c>
      <c r="J2723">
        <v>1992</v>
      </c>
      <c r="K2723">
        <v>1992</v>
      </c>
      <c r="L2723" t="s">
        <v>20</v>
      </c>
      <c r="M2723">
        <v>13600</v>
      </c>
      <c r="N2723">
        <v>1180</v>
      </c>
    </row>
    <row r="2724" spans="1:14" x14ac:dyDescent="0.35">
      <c r="A2724" t="s">
        <v>2836</v>
      </c>
      <c r="B2724" t="s">
        <v>15</v>
      </c>
      <c r="C2724" t="s">
        <v>16</v>
      </c>
      <c r="D2724">
        <v>226</v>
      </c>
      <c r="E2724" t="s">
        <v>2829</v>
      </c>
      <c r="F2724">
        <v>5419</v>
      </c>
      <c r="G2724" t="s">
        <v>18</v>
      </c>
      <c r="H2724">
        <v>27</v>
      </c>
      <c r="I2724" t="s">
        <v>19</v>
      </c>
      <c r="J2724">
        <v>1993</v>
      </c>
      <c r="K2724">
        <v>1993</v>
      </c>
      <c r="L2724" t="s">
        <v>20</v>
      </c>
      <c r="M2724">
        <v>13962</v>
      </c>
      <c r="N2724">
        <v>1180</v>
      </c>
    </row>
    <row r="2725" spans="1:14" x14ac:dyDescent="0.35">
      <c r="A2725" t="s">
        <v>2837</v>
      </c>
      <c r="B2725" t="s">
        <v>15</v>
      </c>
      <c r="C2725" t="s">
        <v>16</v>
      </c>
      <c r="D2725">
        <v>226</v>
      </c>
      <c r="E2725" t="s">
        <v>2829</v>
      </c>
      <c r="F2725">
        <v>5419</v>
      </c>
      <c r="G2725" t="s">
        <v>18</v>
      </c>
      <c r="H2725">
        <v>27</v>
      </c>
      <c r="I2725" t="s">
        <v>19</v>
      </c>
      <c r="J2725">
        <v>1994</v>
      </c>
      <c r="K2725">
        <v>1994</v>
      </c>
      <c r="L2725" t="s">
        <v>20</v>
      </c>
      <c r="M2725">
        <v>14000</v>
      </c>
      <c r="N2725">
        <v>1180</v>
      </c>
    </row>
    <row r="2726" spans="1:14" x14ac:dyDescent="0.35">
      <c r="A2726" t="s">
        <v>2838</v>
      </c>
      <c r="B2726" t="s">
        <v>15</v>
      </c>
      <c r="C2726" t="s">
        <v>16</v>
      </c>
      <c r="D2726">
        <v>226</v>
      </c>
      <c r="E2726" t="s">
        <v>2829</v>
      </c>
      <c r="F2726">
        <v>5419</v>
      </c>
      <c r="G2726" t="s">
        <v>18</v>
      </c>
      <c r="H2726">
        <v>27</v>
      </c>
      <c r="I2726" t="s">
        <v>19</v>
      </c>
      <c r="J2726">
        <v>1995</v>
      </c>
      <c r="K2726">
        <v>1995</v>
      </c>
      <c r="L2726" t="s">
        <v>20</v>
      </c>
      <c r="M2726">
        <v>14000</v>
      </c>
      <c r="N2726">
        <v>1180</v>
      </c>
    </row>
    <row r="2727" spans="1:14" x14ac:dyDescent="0.35">
      <c r="A2727" t="s">
        <v>2839</v>
      </c>
      <c r="B2727" t="s">
        <v>15</v>
      </c>
      <c r="C2727" t="s">
        <v>16</v>
      </c>
      <c r="D2727">
        <v>226</v>
      </c>
      <c r="E2727" t="s">
        <v>2829</v>
      </c>
      <c r="F2727">
        <v>5419</v>
      </c>
      <c r="G2727" t="s">
        <v>18</v>
      </c>
      <c r="H2727">
        <v>27</v>
      </c>
      <c r="I2727" t="s">
        <v>19</v>
      </c>
      <c r="J2727">
        <v>1996</v>
      </c>
      <c r="K2727">
        <v>1996</v>
      </c>
      <c r="L2727" t="s">
        <v>20</v>
      </c>
      <c r="M2727">
        <v>14138</v>
      </c>
      <c r="N2727">
        <v>1180</v>
      </c>
    </row>
    <row r="2728" spans="1:14" x14ac:dyDescent="0.35">
      <c r="A2728" t="s">
        <v>2840</v>
      </c>
      <c r="B2728" t="s">
        <v>15</v>
      </c>
      <c r="C2728" t="s">
        <v>16</v>
      </c>
      <c r="D2728">
        <v>226</v>
      </c>
      <c r="E2728" t="s">
        <v>2829</v>
      </c>
      <c r="F2728">
        <v>5419</v>
      </c>
      <c r="G2728" t="s">
        <v>18</v>
      </c>
      <c r="H2728">
        <v>27</v>
      </c>
      <c r="I2728" t="s">
        <v>19</v>
      </c>
      <c r="J2728">
        <v>1997</v>
      </c>
      <c r="K2728">
        <v>1997</v>
      </c>
      <c r="L2728" t="s">
        <v>20</v>
      </c>
      <c r="M2728">
        <v>13333</v>
      </c>
      <c r="N2728">
        <v>1180</v>
      </c>
    </row>
    <row r="2729" spans="1:14" x14ac:dyDescent="0.35">
      <c r="A2729" t="s">
        <v>2841</v>
      </c>
      <c r="B2729" t="s">
        <v>15</v>
      </c>
      <c r="C2729" t="s">
        <v>16</v>
      </c>
      <c r="D2729">
        <v>226</v>
      </c>
      <c r="E2729" t="s">
        <v>2829</v>
      </c>
      <c r="F2729">
        <v>5419</v>
      </c>
      <c r="G2729" t="s">
        <v>18</v>
      </c>
      <c r="H2729">
        <v>27</v>
      </c>
      <c r="I2729" t="s">
        <v>19</v>
      </c>
      <c r="J2729">
        <v>1998</v>
      </c>
      <c r="K2729">
        <v>1998</v>
      </c>
      <c r="L2729" t="s">
        <v>20</v>
      </c>
      <c r="M2729">
        <v>14063</v>
      </c>
      <c r="N2729">
        <v>1180</v>
      </c>
    </row>
    <row r="2730" spans="1:14" x14ac:dyDescent="0.35">
      <c r="A2730" t="s">
        <v>2842</v>
      </c>
      <c r="B2730" t="s">
        <v>15</v>
      </c>
      <c r="C2730" t="s">
        <v>16</v>
      </c>
      <c r="D2730">
        <v>226</v>
      </c>
      <c r="E2730" t="s">
        <v>2829</v>
      </c>
      <c r="F2730">
        <v>5419</v>
      </c>
      <c r="G2730" t="s">
        <v>18</v>
      </c>
      <c r="H2730">
        <v>27</v>
      </c>
      <c r="I2730" t="s">
        <v>19</v>
      </c>
      <c r="J2730">
        <v>1999</v>
      </c>
      <c r="K2730">
        <v>1999</v>
      </c>
      <c r="L2730" t="s">
        <v>20</v>
      </c>
      <c r="M2730">
        <v>13971</v>
      </c>
      <c r="N2730">
        <v>1180</v>
      </c>
    </row>
    <row r="2731" spans="1:14" x14ac:dyDescent="0.35">
      <c r="A2731" t="s">
        <v>2843</v>
      </c>
      <c r="B2731" t="s">
        <v>15</v>
      </c>
      <c r="C2731" t="s">
        <v>16</v>
      </c>
      <c r="D2731">
        <v>226</v>
      </c>
      <c r="E2731" t="s">
        <v>2829</v>
      </c>
      <c r="F2731">
        <v>5419</v>
      </c>
      <c r="G2731" t="s">
        <v>18</v>
      </c>
      <c r="H2731">
        <v>27</v>
      </c>
      <c r="I2731" t="s">
        <v>19</v>
      </c>
      <c r="J2731">
        <v>2000</v>
      </c>
      <c r="K2731">
        <v>2000</v>
      </c>
      <c r="L2731" t="s">
        <v>20</v>
      </c>
      <c r="M2731">
        <v>15139</v>
      </c>
      <c r="N2731">
        <v>1180</v>
      </c>
    </row>
    <row r="2732" spans="1:14" x14ac:dyDescent="0.35">
      <c r="A2732" t="s">
        <v>2844</v>
      </c>
      <c r="B2732" t="s">
        <v>15</v>
      </c>
      <c r="C2732" t="s">
        <v>16</v>
      </c>
      <c r="D2732">
        <v>226</v>
      </c>
      <c r="E2732" t="s">
        <v>2829</v>
      </c>
      <c r="F2732">
        <v>5419</v>
      </c>
      <c r="G2732" t="s">
        <v>18</v>
      </c>
      <c r="H2732">
        <v>27</v>
      </c>
      <c r="I2732" t="s">
        <v>19</v>
      </c>
      <c r="J2732">
        <v>2001</v>
      </c>
      <c r="K2732">
        <v>2001</v>
      </c>
      <c r="L2732" t="s">
        <v>20</v>
      </c>
      <c r="M2732">
        <v>15000</v>
      </c>
      <c r="N2732">
        <v>1180</v>
      </c>
    </row>
    <row r="2733" spans="1:14" x14ac:dyDescent="0.35">
      <c r="A2733" t="s">
        <v>2845</v>
      </c>
      <c r="B2733" t="s">
        <v>15</v>
      </c>
      <c r="C2733" t="s">
        <v>16</v>
      </c>
      <c r="D2733">
        <v>226</v>
      </c>
      <c r="E2733" t="s">
        <v>2829</v>
      </c>
      <c r="F2733">
        <v>5419</v>
      </c>
      <c r="G2733" t="s">
        <v>18</v>
      </c>
      <c r="H2733">
        <v>27</v>
      </c>
      <c r="I2733" t="s">
        <v>19</v>
      </c>
      <c r="J2733">
        <v>2002</v>
      </c>
      <c r="K2733">
        <v>2002</v>
      </c>
      <c r="L2733" t="s">
        <v>20</v>
      </c>
      <c r="M2733">
        <v>15000</v>
      </c>
      <c r="N2733">
        <v>1180</v>
      </c>
    </row>
    <row r="2734" spans="1:14" x14ac:dyDescent="0.35">
      <c r="A2734" t="s">
        <v>2846</v>
      </c>
      <c r="B2734" t="s">
        <v>15</v>
      </c>
      <c r="C2734" t="s">
        <v>16</v>
      </c>
      <c r="D2734">
        <v>226</v>
      </c>
      <c r="E2734" t="s">
        <v>2829</v>
      </c>
      <c r="F2734">
        <v>5419</v>
      </c>
      <c r="G2734" t="s">
        <v>18</v>
      </c>
      <c r="H2734">
        <v>27</v>
      </c>
      <c r="I2734" t="s">
        <v>19</v>
      </c>
      <c r="J2734">
        <v>2004</v>
      </c>
      <c r="K2734">
        <v>2004</v>
      </c>
      <c r="L2734" t="s">
        <v>20</v>
      </c>
      <c r="M2734">
        <v>13011</v>
      </c>
      <c r="N2734">
        <v>1180</v>
      </c>
    </row>
    <row r="2735" spans="1:14" x14ac:dyDescent="0.35">
      <c r="A2735" t="s">
        <v>2847</v>
      </c>
      <c r="B2735" t="s">
        <v>15</v>
      </c>
      <c r="C2735" t="s">
        <v>16</v>
      </c>
      <c r="D2735">
        <v>226</v>
      </c>
      <c r="E2735" t="s">
        <v>2829</v>
      </c>
      <c r="F2735">
        <v>5419</v>
      </c>
      <c r="G2735" t="s">
        <v>18</v>
      </c>
      <c r="H2735">
        <v>27</v>
      </c>
      <c r="I2735" t="s">
        <v>19</v>
      </c>
      <c r="J2735">
        <v>2005</v>
      </c>
      <c r="K2735">
        <v>2005</v>
      </c>
      <c r="L2735" t="s">
        <v>20</v>
      </c>
      <c r="M2735">
        <v>15000</v>
      </c>
      <c r="N2735">
        <v>1180</v>
      </c>
    </row>
    <row r="2736" spans="1:14" x14ac:dyDescent="0.35">
      <c r="A2736" t="s">
        <v>2848</v>
      </c>
      <c r="B2736" t="s">
        <v>15</v>
      </c>
      <c r="C2736" t="s">
        <v>16</v>
      </c>
      <c r="D2736">
        <v>226</v>
      </c>
      <c r="E2736" t="s">
        <v>2829</v>
      </c>
      <c r="F2736">
        <v>5419</v>
      </c>
      <c r="G2736" t="s">
        <v>18</v>
      </c>
      <c r="H2736">
        <v>27</v>
      </c>
      <c r="I2736" t="s">
        <v>19</v>
      </c>
      <c r="J2736">
        <v>2006</v>
      </c>
      <c r="K2736">
        <v>2006</v>
      </c>
      <c r="L2736" t="s">
        <v>20</v>
      </c>
      <c r="M2736">
        <v>13628</v>
      </c>
      <c r="N2736">
        <v>1180</v>
      </c>
    </row>
    <row r="2737" spans="1:14" x14ac:dyDescent="0.35">
      <c r="A2737" t="s">
        <v>2849</v>
      </c>
      <c r="B2737" t="s">
        <v>15</v>
      </c>
      <c r="C2737" t="s">
        <v>16</v>
      </c>
      <c r="D2737">
        <v>226</v>
      </c>
      <c r="E2737" t="s">
        <v>2829</v>
      </c>
      <c r="F2737">
        <v>5419</v>
      </c>
      <c r="G2737" t="s">
        <v>18</v>
      </c>
      <c r="H2737">
        <v>27</v>
      </c>
      <c r="I2737" t="s">
        <v>19</v>
      </c>
      <c r="J2737">
        <v>2007</v>
      </c>
      <c r="K2737">
        <v>2007</v>
      </c>
      <c r="L2737" t="s">
        <v>20</v>
      </c>
      <c r="M2737">
        <v>13613</v>
      </c>
      <c r="N2737">
        <v>1180</v>
      </c>
    </row>
    <row r="2738" spans="1:14" x14ac:dyDescent="0.35">
      <c r="A2738" t="s">
        <v>2850</v>
      </c>
      <c r="B2738" t="s">
        <v>15</v>
      </c>
      <c r="C2738" t="s">
        <v>16</v>
      </c>
      <c r="D2738">
        <v>226</v>
      </c>
      <c r="E2738" t="s">
        <v>2829</v>
      </c>
      <c r="F2738">
        <v>5419</v>
      </c>
      <c r="G2738" t="s">
        <v>18</v>
      </c>
      <c r="H2738">
        <v>27</v>
      </c>
      <c r="I2738" t="s">
        <v>19</v>
      </c>
      <c r="J2738">
        <v>2008</v>
      </c>
      <c r="K2738">
        <v>2008</v>
      </c>
      <c r="L2738" t="s">
        <v>20</v>
      </c>
      <c r="M2738">
        <v>13895</v>
      </c>
      <c r="N2738">
        <v>1180</v>
      </c>
    </row>
    <row r="2739" spans="1:14" x14ac:dyDescent="0.35">
      <c r="A2739" t="s">
        <v>2851</v>
      </c>
      <c r="B2739" t="s">
        <v>15</v>
      </c>
      <c r="C2739" t="s">
        <v>16</v>
      </c>
      <c r="D2739">
        <v>226</v>
      </c>
      <c r="E2739" t="s">
        <v>2829</v>
      </c>
      <c r="F2739">
        <v>5419</v>
      </c>
      <c r="G2739" t="s">
        <v>18</v>
      </c>
      <c r="H2739">
        <v>27</v>
      </c>
      <c r="I2739" t="s">
        <v>19</v>
      </c>
      <c r="J2739">
        <v>2009</v>
      </c>
      <c r="K2739">
        <v>2009</v>
      </c>
      <c r="L2739" t="s">
        <v>20</v>
      </c>
      <c r="M2739">
        <v>23926</v>
      </c>
      <c r="N2739">
        <v>1180</v>
      </c>
    </row>
    <row r="2740" spans="1:14" x14ac:dyDescent="0.35">
      <c r="A2740" t="s">
        <v>2852</v>
      </c>
      <c r="B2740" t="s">
        <v>15</v>
      </c>
      <c r="C2740" t="s">
        <v>16</v>
      </c>
      <c r="D2740">
        <v>226</v>
      </c>
      <c r="E2740" t="s">
        <v>2829</v>
      </c>
      <c r="F2740">
        <v>5419</v>
      </c>
      <c r="G2740" t="s">
        <v>18</v>
      </c>
      <c r="H2740">
        <v>27</v>
      </c>
      <c r="I2740" t="s">
        <v>19</v>
      </c>
      <c r="J2740">
        <v>2010</v>
      </c>
      <c r="K2740">
        <v>2010</v>
      </c>
      <c r="L2740" t="s">
        <v>20</v>
      </c>
      <c r="M2740">
        <v>25070</v>
      </c>
      <c r="N2740">
        <v>1180</v>
      </c>
    </row>
    <row r="2741" spans="1:14" x14ac:dyDescent="0.35">
      <c r="A2741" t="s">
        <v>2853</v>
      </c>
      <c r="B2741" t="s">
        <v>15</v>
      </c>
      <c r="C2741" t="s">
        <v>16</v>
      </c>
      <c r="D2741">
        <v>226</v>
      </c>
      <c r="E2741" t="s">
        <v>2829</v>
      </c>
      <c r="F2741">
        <v>5419</v>
      </c>
      <c r="G2741" t="s">
        <v>18</v>
      </c>
      <c r="H2741">
        <v>27</v>
      </c>
      <c r="I2741" t="s">
        <v>19</v>
      </c>
      <c r="J2741">
        <v>2011</v>
      </c>
      <c r="K2741">
        <v>2011</v>
      </c>
      <c r="L2741" t="s">
        <v>20</v>
      </c>
      <c r="M2741">
        <v>25889</v>
      </c>
      <c r="N2741">
        <v>1180</v>
      </c>
    </row>
    <row r="2742" spans="1:14" x14ac:dyDescent="0.35">
      <c r="A2742" t="s">
        <v>2854</v>
      </c>
      <c r="B2742" t="s">
        <v>15</v>
      </c>
      <c r="C2742" t="s">
        <v>16</v>
      </c>
      <c r="D2742">
        <v>226</v>
      </c>
      <c r="E2742" t="s">
        <v>2829</v>
      </c>
      <c r="F2742">
        <v>5419</v>
      </c>
      <c r="G2742" t="s">
        <v>18</v>
      </c>
      <c r="H2742">
        <v>27</v>
      </c>
      <c r="I2742" t="s">
        <v>19</v>
      </c>
      <c r="J2742">
        <v>2012</v>
      </c>
      <c r="K2742">
        <v>2012</v>
      </c>
      <c r="L2742" t="s">
        <v>20</v>
      </c>
      <c r="M2742">
        <v>23043</v>
      </c>
      <c r="N2742">
        <v>1180</v>
      </c>
    </row>
    <row r="2743" spans="1:14" x14ac:dyDescent="0.35">
      <c r="A2743" t="s">
        <v>2855</v>
      </c>
      <c r="B2743" t="s">
        <v>15</v>
      </c>
      <c r="C2743" t="s">
        <v>16</v>
      </c>
      <c r="D2743">
        <v>226</v>
      </c>
      <c r="E2743" t="s">
        <v>2829</v>
      </c>
      <c r="F2743">
        <v>5419</v>
      </c>
      <c r="G2743" t="s">
        <v>18</v>
      </c>
      <c r="H2743">
        <v>27</v>
      </c>
      <c r="I2743" t="s">
        <v>19</v>
      </c>
      <c r="J2743">
        <v>2013</v>
      </c>
      <c r="K2743">
        <v>2013</v>
      </c>
      <c r="L2743" t="s">
        <v>20</v>
      </c>
      <c r="M2743">
        <v>23011</v>
      </c>
      <c r="N2743">
        <v>1180</v>
      </c>
    </row>
    <row r="2744" spans="1:14" x14ac:dyDescent="0.35">
      <c r="A2744" t="s">
        <v>2856</v>
      </c>
      <c r="B2744" t="s">
        <v>15</v>
      </c>
      <c r="C2744" t="s">
        <v>16</v>
      </c>
      <c r="D2744">
        <v>226</v>
      </c>
      <c r="E2744" t="s">
        <v>2829</v>
      </c>
      <c r="F2744">
        <v>5419</v>
      </c>
      <c r="G2744" t="s">
        <v>18</v>
      </c>
      <c r="H2744">
        <v>27</v>
      </c>
      <c r="I2744" t="s">
        <v>19</v>
      </c>
      <c r="J2744">
        <v>2014</v>
      </c>
      <c r="K2744">
        <v>2014</v>
      </c>
      <c r="L2744" t="s">
        <v>20</v>
      </c>
      <c r="M2744">
        <v>24947</v>
      </c>
      <c r="N2744">
        <v>1180</v>
      </c>
    </row>
    <row r="2745" spans="1:14" x14ac:dyDescent="0.35">
      <c r="A2745" t="s">
        <v>2857</v>
      </c>
      <c r="B2745" t="s">
        <v>15</v>
      </c>
      <c r="C2745" t="s">
        <v>16</v>
      </c>
      <c r="D2745">
        <v>226</v>
      </c>
      <c r="E2745" t="s">
        <v>2829</v>
      </c>
      <c r="F2745">
        <v>5419</v>
      </c>
      <c r="G2745" t="s">
        <v>18</v>
      </c>
      <c r="H2745">
        <v>27</v>
      </c>
      <c r="I2745" t="s">
        <v>19</v>
      </c>
      <c r="J2745">
        <v>2015</v>
      </c>
      <c r="K2745">
        <v>2015</v>
      </c>
      <c r="L2745" t="s">
        <v>20</v>
      </c>
      <c r="M2745">
        <v>24876</v>
      </c>
      <c r="N2745">
        <v>1180</v>
      </c>
    </row>
    <row r="2746" spans="1:14" x14ac:dyDescent="0.35">
      <c r="A2746" t="s">
        <v>2858</v>
      </c>
      <c r="B2746" t="s">
        <v>15</v>
      </c>
      <c r="C2746" t="s">
        <v>16</v>
      </c>
      <c r="D2746">
        <v>226</v>
      </c>
      <c r="E2746" t="s">
        <v>2829</v>
      </c>
      <c r="F2746">
        <v>5419</v>
      </c>
      <c r="G2746" t="s">
        <v>18</v>
      </c>
      <c r="H2746">
        <v>27</v>
      </c>
      <c r="I2746" t="s">
        <v>19</v>
      </c>
      <c r="J2746">
        <v>2016</v>
      </c>
      <c r="K2746">
        <v>2016</v>
      </c>
      <c r="L2746" t="s">
        <v>20</v>
      </c>
      <c r="M2746">
        <v>25276</v>
      </c>
      <c r="N2746">
        <v>1180</v>
      </c>
    </row>
    <row r="2747" spans="1:14" x14ac:dyDescent="0.35">
      <c r="A2747" t="s">
        <v>2859</v>
      </c>
      <c r="B2747" t="s">
        <v>15</v>
      </c>
      <c r="C2747" t="s">
        <v>16</v>
      </c>
      <c r="D2747">
        <v>230</v>
      </c>
      <c r="E2747" t="s">
        <v>2860</v>
      </c>
      <c r="F2747">
        <v>5419</v>
      </c>
      <c r="G2747" t="s">
        <v>18</v>
      </c>
      <c r="H2747">
        <v>27</v>
      </c>
      <c r="I2747" t="s">
        <v>19</v>
      </c>
      <c r="J2747">
        <v>1992</v>
      </c>
      <c r="K2747">
        <v>1992</v>
      </c>
      <c r="L2747" t="s">
        <v>20</v>
      </c>
      <c r="M2747">
        <v>37722</v>
      </c>
      <c r="N2747">
        <v>565</v>
      </c>
    </row>
    <row r="2748" spans="1:14" x14ac:dyDescent="0.35">
      <c r="A2748" t="s">
        <v>2861</v>
      </c>
      <c r="B2748" t="s">
        <v>15</v>
      </c>
      <c r="C2748" t="s">
        <v>16</v>
      </c>
      <c r="D2748">
        <v>230</v>
      </c>
      <c r="E2748" t="s">
        <v>2860</v>
      </c>
      <c r="F2748">
        <v>5419</v>
      </c>
      <c r="G2748" t="s">
        <v>18</v>
      </c>
      <c r="H2748">
        <v>27</v>
      </c>
      <c r="I2748" t="s">
        <v>19</v>
      </c>
      <c r="J2748">
        <v>1993</v>
      </c>
      <c r="K2748">
        <v>1993</v>
      </c>
      <c r="L2748" t="s">
        <v>20</v>
      </c>
      <c r="M2748">
        <v>29565</v>
      </c>
      <c r="N2748">
        <v>565</v>
      </c>
    </row>
    <row r="2749" spans="1:14" x14ac:dyDescent="0.35">
      <c r="A2749" t="s">
        <v>2862</v>
      </c>
      <c r="B2749" t="s">
        <v>15</v>
      </c>
      <c r="C2749" t="s">
        <v>16</v>
      </c>
      <c r="D2749">
        <v>230</v>
      </c>
      <c r="E2749" t="s">
        <v>2860</v>
      </c>
      <c r="F2749">
        <v>5419</v>
      </c>
      <c r="G2749" t="s">
        <v>18</v>
      </c>
      <c r="H2749">
        <v>27</v>
      </c>
      <c r="I2749" t="s">
        <v>19</v>
      </c>
      <c r="J2749">
        <v>1994</v>
      </c>
      <c r="K2749">
        <v>1994</v>
      </c>
      <c r="L2749" t="s">
        <v>20</v>
      </c>
      <c r="M2749">
        <v>35909</v>
      </c>
      <c r="N2749">
        <v>565</v>
      </c>
    </row>
    <row r="2750" spans="1:14" x14ac:dyDescent="0.35">
      <c r="A2750" t="s">
        <v>2863</v>
      </c>
      <c r="B2750" t="s">
        <v>15</v>
      </c>
      <c r="C2750" t="s">
        <v>16</v>
      </c>
      <c r="D2750">
        <v>230</v>
      </c>
      <c r="E2750" t="s">
        <v>2860</v>
      </c>
      <c r="F2750">
        <v>5419</v>
      </c>
      <c r="G2750" t="s">
        <v>18</v>
      </c>
      <c r="H2750">
        <v>27</v>
      </c>
      <c r="I2750" t="s">
        <v>19</v>
      </c>
      <c r="J2750">
        <v>1995</v>
      </c>
      <c r="K2750">
        <v>1995</v>
      </c>
      <c r="L2750" t="s">
        <v>20</v>
      </c>
      <c r="M2750">
        <v>36409</v>
      </c>
      <c r="N2750">
        <v>565</v>
      </c>
    </row>
    <row r="2751" spans="1:14" x14ac:dyDescent="0.35">
      <c r="A2751" t="s">
        <v>2864</v>
      </c>
      <c r="B2751" t="s">
        <v>15</v>
      </c>
      <c r="C2751" t="s">
        <v>16</v>
      </c>
      <c r="D2751">
        <v>230</v>
      </c>
      <c r="E2751" t="s">
        <v>2860</v>
      </c>
      <c r="F2751">
        <v>5419</v>
      </c>
      <c r="G2751" t="s">
        <v>18</v>
      </c>
      <c r="H2751">
        <v>27</v>
      </c>
      <c r="I2751" t="s">
        <v>19</v>
      </c>
      <c r="J2751">
        <v>1996</v>
      </c>
      <c r="K2751">
        <v>1996</v>
      </c>
      <c r="L2751" t="s">
        <v>20</v>
      </c>
      <c r="M2751">
        <v>35518</v>
      </c>
      <c r="N2751">
        <v>565</v>
      </c>
    </row>
    <row r="2752" spans="1:14" x14ac:dyDescent="0.35">
      <c r="A2752" t="s">
        <v>2865</v>
      </c>
      <c r="B2752" t="s">
        <v>15</v>
      </c>
      <c r="C2752" t="s">
        <v>16</v>
      </c>
      <c r="D2752">
        <v>230</v>
      </c>
      <c r="E2752" t="s">
        <v>2860</v>
      </c>
      <c r="F2752">
        <v>5419</v>
      </c>
      <c r="G2752" t="s">
        <v>18</v>
      </c>
      <c r="H2752">
        <v>27</v>
      </c>
      <c r="I2752" t="s">
        <v>19</v>
      </c>
      <c r="J2752">
        <v>1997</v>
      </c>
      <c r="K2752">
        <v>1997</v>
      </c>
      <c r="L2752" t="s">
        <v>20</v>
      </c>
      <c r="M2752">
        <v>28889</v>
      </c>
      <c r="N2752">
        <v>565</v>
      </c>
    </row>
    <row r="2753" spans="1:14" x14ac:dyDescent="0.35">
      <c r="A2753" t="s">
        <v>2866</v>
      </c>
      <c r="B2753" t="s">
        <v>15</v>
      </c>
      <c r="C2753" t="s">
        <v>16</v>
      </c>
      <c r="D2753">
        <v>230</v>
      </c>
      <c r="E2753" t="s">
        <v>2860</v>
      </c>
      <c r="F2753">
        <v>5419</v>
      </c>
      <c r="G2753" t="s">
        <v>18</v>
      </c>
      <c r="H2753">
        <v>27</v>
      </c>
      <c r="I2753" t="s">
        <v>19</v>
      </c>
      <c r="J2753">
        <v>1998</v>
      </c>
      <c r="K2753">
        <v>1998</v>
      </c>
      <c r="L2753" t="s">
        <v>20</v>
      </c>
      <c r="M2753">
        <v>30286</v>
      </c>
      <c r="N2753">
        <v>565</v>
      </c>
    </row>
    <row r="2754" spans="1:14" x14ac:dyDescent="0.35">
      <c r="A2754" t="s">
        <v>2867</v>
      </c>
      <c r="B2754" t="s">
        <v>15</v>
      </c>
      <c r="C2754" t="s">
        <v>16</v>
      </c>
      <c r="D2754">
        <v>230</v>
      </c>
      <c r="E2754" t="s">
        <v>2860</v>
      </c>
      <c r="F2754">
        <v>5419</v>
      </c>
      <c r="G2754" t="s">
        <v>18</v>
      </c>
      <c r="H2754">
        <v>27</v>
      </c>
      <c r="I2754" t="s">
        <v>19</v>
      </c>
      <c r="J2754">
        <v>1999</v>
      </c>
      <c r="K2754">
        <v>1999</v>
      </c>
      <c r="L2754" t="s">
        <v>20</v>
      </c>
      <c r="M2754">
        <v>29041</v>
      </c>
      <c r="N2754">
        <v>565</v>
      </c>
    </row>
    <row r="2755" spans="1:14" x14ac:dyDescent="0.35">
      <c r="A2755" t="s">
        <v>2868</v>
      </c>
      <c r="B2755" t="s">
        <v>15</v>
      </c>
      <c r="C2755" t="s">
        <v>16</v>
      </c>
      <c r="D2755">
        <v>230</v>
      </c>
      <c r="E2755" t="s">
        <v>2860</v>
      </c>
      <c r="F2755">
        <v>5419</v>
      </c>
      <c r="G2755" t="s">
        <v>18</v>
      </c>
      <c r="H2755">
        <v>27</v>
      </c>
      <c r="I2755" t="s">
        <v>19</v>
      </c>
      <c r="J2755">
        <v>2000</v>
      </c>
      <c r="K2755">
        <v>2000</v>
      </c>
      <c r="L2755" t="s">
        <v>20</v>
      </c>
      <c r="M2755">
        <v>35595</v>
      </c>
      <c r="N2755">
        <v>565</v>
      </c>
    </row>
    <row r="2756" spans="1:14" x14ac:dyDescent="0.35">
      <c r="A2756" t="s">
        <v>2869</v>
      </c>
      <c r="B2756" t="s">
        <v>15</v>
      </c>
      <c r="C2756" t="s">
        <v>16</v>
      </c>
      <c r="D2756">
        <v>230</v>
      </c>
      <c r="E2756" t="s">
        <v>2860</v>
      </c>
      <c r="F2756">
        <v>5419</v>
      </c>
      <c r="G2756" t="s">
        <v>18</v>
      </c>
      <c r="H2756">
        <v>27</v>
      </c>
      <c r="I2756" t="s">
        <v>19</v>
      </c>
      <c r="J2756">
        <v>2001</v>
      </c>
      <c r="K2756">
        <v>2001</v>
      </c>
      <c r="L2756" t="s">
        <v>20</v>
      </c>
      <c r="M2756">
        <v>36548</v>
      </c>
      <c r="N2756">
        <v>565</v>
      </c>
    </row>
    <row r="2757" spans="1:14" x14ac:dyDescent="0.35">
      <c r="A2757" t="s">
        <v>2870</v>
      </c>
      <c r="B2757" t="s">
        <v>15</v>
      </c>
      <c r="C2757" t="s">
        <v>16</v>
      </c>
      <c r="D2757">
        <v>230</v>
      </c>
      <c r="E2757" t="s">
        <v>2860</v>
      </c>
      <c r="F2757">
        <v>5419</v>
      </c>
      <c r="G2757" t="s">
        <v>18</v>
      </c>
      <c r="H2757">
        <v>27</v>
      </c>
      <c r="I2757" t="s">
        <v>19</v>
      </c>
      <c r="J2757">
        <v>2002</v>
      </c>
      <c r="K2757">
        <v>2002</v>
      </c>
      <c r="L2757" t="s">
        <v>20</v>
      </c>
      <c r="M2757">
        <v>39894</v>
      </c>
      <c r="N2757">
        <v>565</v>
      </c>
    </row>
    <row r="2758" spans="1:14" x14ac:dyDescent="0.35">
      <c r="A2758" t="s">
        <v>2871</v>
      </c>
      <c r="B2758" t="s">
        <v>15</v>
      </c>
      <c r="C2758" t="s">
        <v>16</v>
      </c>
      <c r="D2758">
        <v>230</v>
      </c>
      <c r="E2758" t="s">
        <v>2860</v>
      </c>
      <c r="F2758">
        <v>5419</v>
      </c>
      <c r="G2758" t="s">
        <v>18</v>
      </c>
      <c r="H2758">
        <v>27</v>
      </c>
      <c r="I2758" t="s">
        <v>19</v>
      </c>
      <c r="J2758">
        <v>2004</v>
      </c>
      <c r="K2758">
        <v>2004</v>
      </c>
      <c r="L2758" t="s">
        <v>20</v>
      </c>
      <c r="M2758">
        <v>37746</v>
      </c>
      <c r="N2758">
        <v>565</v>
      </c>
    </row>
    <row r="2759" spans="1:14" x14ac:dyDescent="0.35">
      <c r="A2759" t="s">
        <v>2872</v>
      </c>
      <c r="B2759" t="s">
        <v>15</v>
      </c>
      <c r="C2759" t="s">
        <v>16</v>
      </c>
      <c r="D2759">
        <v>230</v>
      </c>
      <c r="E2759" t="s">
        <v>2860</v>
      </c>
      <c r="F2759">
        <v>5419</v>
      </c>
      <c r="G2759" t="s">
        <v>18</v>
      </c>
      <c r="H2759">
        <v>27</v>
      </c>
      <c r="I2759" t="s">
        <v>19</v>
      </c>
      <c r="J2759">
        <v>2005</v>
      </c>
      <c r="K2759">
        <v>2005</v>
      </c>
      <c r="L2759" t="s">
        <v>20</v>
      </c>
      <c r="M2759">
        <v>43458</v>
      </c>
      <c r="N2759">
        <v>565</v>
      </c>
    </row>
    <row r="2760" spans="1:14" x14ac:dyDescent="0.35">
      <c r="A2760" t="s">
        <v>2873</v>
      </c>
      <c r="B2760" t="s">
        <v>15</v>
      </c>
      <c r="C2760" t="s">
        <v>16</v>
      </c>
      <c r="D2760">
        <v>230</v>
      </c>
      <c r="E2760" t="s">
        <v>2860</v>
      </c>
      <c r="F2760">
        <v>5419</v>
      </c>
      <c r="G2760" t="s">
        <v>18</v>
      </c>
      <c r="H2760">
        <v>27</v>
      </c>
      <c r="I2760" t="s">
        <v>19</v>
      </c>
      <c r="J2760">
        <v>2006</v>
      </c>
      <c r="K2760">
        <v>2006</v>
      </c>
      <c r="L2760" t="s">
        <v>20</v>
      </c>
      <c r="M2760">
        <v>46065</v>
      </c>
      <c r="N2760">
        <v>565</v>
      </c>
    </row>
    <row r="2761" spans="1:14" x14ac:dyDescent="0.35">
      <c r="A2761" t="s">
        <v>2874</v>
      </c>
      <c r="B2761" t="s">
        <v>15</v>
      </c>
      <c r="C2761" t="s">
        <v>16</v>
      </c>
      <c r="D2761">
        <v>230</v>
      </c>
      <c r="E2761" t="s">
        <v>2860</v>
      </c>
      <c r="F2761">
        <v>5419</v>
      </c>
      <c r="G2761" t="s">
        <v>18</v>
      </c>
      <c r="H2761">
        <v>27</v>
      </c>
      <c r="I2761" t="s">
        <v>19</v>
      </c>
      <c r="J2761">
        <v>2007</v>
      </c>
      <c r="K2761">
        <v>2007</v>
      </c>
      <c r="L2761" t="s">
        <v>20</v>
      </c>
      <c r="M2761">
        <v>51185</v>
      </c>
      <c r="N2761">
        <v>565</v>
      </c>
    </row>
    <row r="2762" spans="1:14" x14ac:dyDescent="0.35">
      <c r="A2762" t="s">
        <v>2875</v>
      </c>
      <c r="B2762" t="s">
        <v>15</v>
      </c>
      <c r="C2762" t="s">
        <v>16</v>
      </c>
      <c r="D2762">
        <v>230</v>
      </c>
      <c r="E2762" t="s">
        <v>2860</v>
      </c>
      <c r="F2762">
        <v>5419</v>
      </c>
      <c r="G2762" t="s">
        <v>18</v>
      </c>
      <c r="H2762">
        <v>27</v>
      </c>
      <c r="I2762" t="s">
        <v>19</v>
      </c>
      <c r="J2762">
        <v>2008</v>
      </c>
      <c r="K2762">
        <v>2008</v>
      </c>
      <c r="L2762" t="s">
        <v>20</v>
      </c>
      <c r="M2762">
        <v>50859</v>
      </c>
      <c r="N2762">
        <v>565</v>
      </c>
    </row>
    <row r="2763" spans="1:14" x14ac:dyDescent="0.35">
      <c r="A2763" t="s">
        <v>2876</v>
      </c>
      <c r="B2763" t="s">
        <v>15</v>
      </c>
      <c r="C2763" t="s">
        <v>16</v>
      </c>
      <c r="D2763">
        <v>230</v>
      </c>
      <c r="E2763" t="s">
        <v>2860</v>
      </c>
      <c r="F2763">
        <v>5419</v>
      </c>
      <c r="G2763" t="s">
        <v>18</v>
      </c>
      <c r="H2763">
        <v>27</v>
      </c>
      <c r="I2763" t="s">
        <v>19</v>
      </c>
      <c r="J2763">
        <v>2009</v>
      </c>
      <c r="K2763">
        <v>2009</v>
      </c>
      <c r="L2763" t="s">
        <v>20</v>
      </c>
      <c r="M2763">
        <v>58327</v>
      </c>
      <c r="N2763">
        <v>565</v>
      </c>
    </row>
    <row r="2764" spans="1:14" x14ac:dyDescent="0.35">
      <c r="A2764" t="s">
        <v>2877</v>
      </c>
      <c r="B2764" t="s">
        <v>15</v>
      </c>
      <c r="C2764" t="s">
        <v>16</v>
      </c>
      <c r="D2764">
        <v>230</v>
      </c>
      <c r="E2764" t="s">
        <v>2860</v>
      </c>
      <c r="F2764">
        <v>5419</v>
      </c>
      <c r="G2764" t="s">
        <v>18</v>
      </c>
      <c r="H2764">
        <v>27</v>
      </c>
      <c r="I2764" t="s">
        <v>19</v>
      </c>
      <c r="J2764">
        <v>2010</v>
      </c>
      <c r="K2764">
        <v>2010</v>
      </c>
      <c r="L2764" t="s">
        <v>20</v>
      </c>
      <c r="M2764">
        <v>50512</v>
      </c>
      <c r="N2764">
        <v>565</v>
      </c>
    </row>
    <row r="2765" spans="1:14" x14ac:dyDescent="0.35">
      <c r="A2765" t="s">
        <v>2878</v>
      </c>
      <c r="B2765" t="s">
        <v>15</v>
      </c>
      <c r="C2765" t="s">
        <v>16</v>
      </c>
      <c r="D2765">
        <v>230</v>
      </c>
      <c r="E2765" t="s">
        <v>2860</v>
      </c>
      <c r="F2765">
        <v>5419</v>
      </c>
      <c r="G2765" t="s">
        <v>18</v>
      </c>
      <c r="H2765">
        <v>27</v>
      </c>
      <c r="I2765" t="s">
        <v>19</v>
      </c>
      <c r="J2765">
        <v>2011</v>
      </c>
      <c r="K2765">
        <v>2011</v>
      </c>
      <c r="L2765" t="s">
        <v>20</v>
      </c>
      <c r="M2765">
        <v>57399</v>
      </c>
      <c r="N2765">
        <v>565</v>
      </c>
    </row>
    <row r="2766" spans="1:14" x14ac:dyDescent="0.35">
      <c r="A2766" t="s">
        <v>2879</v>
      </c>
      <c r="B2766" t="s">
        <v>15</v>
      </c>
      <c r="C2766" t="s">
        <v>16</v>
      </c>
      <c r="D2766">
        <v>230</v>
      </c>
      <c r="E2766" t="s">
        <v>2860</v>
      </c>
      <c r="F2766">
        <v>5419</v>
      </c>
      <c r="G2766" t="s">
        <v>18</v>
      </c>
      <c r="H2766">
        <v>27</v>
      </c>
      <c r="I2766" t="s">
        <v>19</v>
      </c>
      <c r="J2766">
        <v>2012</v>
      </c>
      <c r="K2766">
        <v>2012</v>
      </c>
      <c r="L2766" t="s">
        <v>20</v>
      </c>
      <c r="M2766">
        <v>61938</v>
      </c>
      <c r="N2766">
        <v>565</v>
      </c>
    </row>
    <row r="2767" spans="1:14" x14ac:dyDescent="0.35">
      <c r="A2767" t="s">
        <v>2880</v>
      </c>
      <c r="B2767" t="s">
        <v>15</v>
      </c>
      <c r="C2767" t="s">
        <v>16</v>
      </c>
      <c r="D2767">
        <v>230</v>
      </c>
      <c r="E2767" t="s">
        <v>2860</v>
      </c>
      <c r="F2767">
        <v>5419</v>
      </c>
      <c r="G2767" t="s">
        <v>18</v>
      </c>
      <c r="H2767">
        <v>27</v>
      </c>
      <c r="I2767" t="s">
        <v>19</v>
      </c>
      <c r="J2767">
        <v>2013</v>
      </c>
      <c r="K2767">
        <v>2013</v>
      </c>
      <c r="L2767" t="s">
        <v>20</v>
      </c>
      <c r="M2767">
        <v>59938</v>
      </c>
      <c r="N2767">
        <v>565</v>
      </c>
    </row>
    <row r="2768" spans="1:14" x14ac:dyDescent="0.35">
      <c r="A2768" t="s">
        <v>2881</v>
      </c>
      <c r="B2768" t="s">
        <v>15</v>
      </c>
      <c r="C2768" t="s">
        <v>16</v>
      </c>
      <c r="D2768">
        <v>230</v>
      </c>
      <c r="E2768" t="s">
        <v>2860</v>
      </c>
      <c r="F2768">
        <v>5419</v>
      </c>
      <c r="G2768" t="s">
        <v>18</v>
      </c>
      <c r="H2768">
        <v>27</v>
      </c>
      <c r="I2768" t="s">
        <v>19</v>
      </c>
      <c r="J2768">
        <v>2014</v>
      </c>
      <c r="K2768">
        <v>2014</v>
      </c>
      <c r="L2768" t="s">
        <v>20</v>
      </c>
      <c r="M2768">
        <v>49882</v>
      </c>
      <c r="N2768">
        <v>565</v>
      </c>
    </row>
    <row r="2769" spans="1:14" x14ac:dyDescent="0.35">
      <c r="A2769" t="s">
        <v>2882</v>
      </c>
      <c r="B2769" t="s">
        <v>15</v>
      </c>
      <c r="C2769" t="s">
        <v>16</v>
      </c>
      <c r="D2769">
        <v>230</v>
      </c>
      <c r="E2769" t="s">
        <v>2860</v>
      </c>
      <c r="F2769">
        <v>5419</v>
      </c>
      <c r="G2769" t="s">
        <v>18</v>
      </c>
      <c r="H2769">
        <v>27</v>
      </c>
      <c r="I2769" t="s">
        <v>19</v>
      </c>
      <c r="J2769">
        <v>2015</v>
      </c>
      <c r="K2769">
        <v>2015</v>
      </c>
      <c r="L2769" t="s">
        <v>20</v>
      </c>
      <c r="M2769">
        <v>53427</v>
      </c>
      <c r="N2769">
        <v>565</v>
      </c>
    </row>
    <row r="2770" spans="1:14" x14ac:dyDescent="0.35">
      <c r="A2770" t="s">
        <v>2883</v>
      </c>
      <c r="B2770" t="s">
        <v>15</v>
      </c>
      <c r="C2770" t="s">
        <v>16</v>
      </c>
      <c r="D2770">
        <v>230</v>
      </c>
      <c r="E2770" t="s">
        <v>2860</v>
      </c>
      <c r="F2770">
        <v>5419</v>
      </c>
      <c r="G2770" t="s">
        <v>18</v>
      </c>
      <c r="H2770">
        <v>27</v>
      </c>
      <c r="I2770" t="s">
        <v>19</v>
      </c>
      <c r="J2770">
        <v>2016</v>
      </c>
      <c r="K2770">
        <v>2016</v>
      </c>
      <c r="L2770" t="s">
        <v>20</v>
      </c>
      <c r="M2770">
        <v>53917</v>
      </c>
      <c r="N2770">
        <v>565</v>
      </c>
    </row>
    <row r="2771" spans="1:14" x14ac:dyDescent="0.35">
      <c r="A2771" t="s">
        <v>2884</v>
      </c>
      <c r="B2771" t="s">
        <v>15</v>
      </c>
      <c r="C2771" t="s">
        <v>16</v>
      </c>
      <c r="D2771">
        <v>234</v>
      </c>
      <c r="E2771" t="s">
        <v>2885</v>
      </c>
      <c r="F2771">
        <v>5419</v>
      </c>
      <c r="G2771" t="s">
        <v>18</v>
      </c>
      <c r="H2771">
        <v>27</v>
      </c>
      <c r="I2771" t="s">
        <v>19</v>
      </c>
      <c r="J2771">
        <v>1985</v>
      </c>
      <c r="K2771">
        <v>1985</v>
      </c>
      <c r="L2771" t="s">
        <v>20</v>
      </c>
      <c r="M2771">
        <v>49535</v>
      </c>
      <c r="N2771">
        <v>1300</v>
      </c>
    </row>
    <row r="2772" spans="1:14" x14ac:dyDescent="0.35">
      <c r="A2772" t="s">
        <v>2886</v>
      </c>
      <c r="B2772" t="s">
        <v>15</v>
      </c>
      <c r="C2772" t="s">
        <v>16</v>
      </c>
      <c r="D2772">
        <v>234</v>
      </c>
      <c r="E2772" t="s">
        <v>2885</v>
      </c>
      <c r="F2772">
        <v>5419</v>
      </c>
      <c r="G2772" t="s">
        <v>18</v>
      </c>
      <c r="H2772">
        <v>27</v>
      </c>
      <c r="I2772" t="s">
        <v>19</v>
      </c>
      <c r="J2772">
        <v>1986</v>
      </c>
      <c r="K2772">
        <v>1986</v>
      </c>
      <c r="L2772" t="s">
        <v>20</v>
      </c>
      <c r="M2772">
        <v>47842</v>
      </c>
      <c r="N2772">
        <v>1300</v>
      </c>
    </row>
    <row r="2773" spans="1:14" x14ac:dyDescent="0.35">
      <c r="A2773" t="s">
        <v>2887</v>
      </c>
      <c r="B2773" t="s">
        <v>15</v>
      </c>
      <c r="C2773" t="s">
        <v>16</v>
      </c>
      <c r="D2773">
        <v>234</v>
      </c>
      <c r="E2773" t="s">
        <v>2885</v>
      </c>
      <c r="F2773">
        <v>5419</v>
      </c>
      <c r="G2773" t="s">
        <v>18</v>
      </c>
      <c r="H2773">
        <v>27</v>
      </c>
      <c r="I2773" t="s">
        <v>19</v>
      </c>
      <c r="J2773">
        <v>1987</v>
      </c>
      <c r="K2773">
        <v>1987</v>
      </c>
      <c r="L2773" t="s">
        <v>20</v>
      </c>
      <c r="M2773">
        <v>42253</v>
      </c>
      <c r="N2773">
        <v>1300</v>
      </c>
    </row>
    <row r="2774" spans="1:14" x14ac:dyDescent="0.35">
      <c r="A2774" t="s">
        <v>2888</v>
      </c>
      <c r="B2774" t="s">
        <v>15</v>
      </c>
      <c r="C2774" t="s">
        <v>16</v>
      </c>
      <c r="D2774">
        <v>234</v>
      </c>
      <c r="E2774" t="s">
        <v>2885</v>
      </c>
      <c r="F2774">
        <v>5419</v>
      </c>
      <c r="G2774" t="s">
        <v>18</v>
      </c>
      <c r="H2774">
        <v>27</v>
      </c>
      <c r="I2774" t="s">
        <v>19</v>
      </c>
      <c r="J2774">
        <v>1989</v>
      </c>
      <c r="K2774">
        <v>1989</v>
      </c>
      <c r="L2774" t="s">
        <v>20</v>
      </c>
      <c r="M2774">
        <v>56445</v>
      </c>
      <c r="N2774">
        <v>1300</v>
      </c>
    </row>
    <row r="2775" spans="1:14" x14ac:dyDescent="0.35">
      <c r="A2775" t="s">
        <v>2889</v>
      </c>
      <c r="B2775" t="s">
        <v>15</v>
      </c>
      <c r="C2775" t="s">
        <v>16</v>
      </c>
      <c r="D2775">
        <v>234</v>
      </c>
      <c r="E2775" t="s">
        <v>2885</v>
      </c>
      <c r="F2775">
        <v>5419</v>
      </c>
      <c r="G2775" t="s">
        <v>18</v>
      </c>
      <c r="H2775">
        <v>27</v>
      </c>
      <c r="I2775" t="s">
        <v>19</v>
      </c>
      <c r="J2775">
        <v>1990</v>
      </c>
      <c r="K2775">
        <v>1990</v>
      </c>
      <c r="L2775" t="s">
        <v>20</v>
      </c>
      <c r="M2775">
        <v>44474</v>
      </c>
      <c r="N2775">
        <v>1300</v>
      </c>
    </row>
    <row r="2776" spans="1:14" x14ac:dyDescent="0.35">
      <c r="A2776" t="s">
        <v>2890</v>
      </c>
      <c r="B2776" t="s">
        <v>15</v>
      </c>
      <c r="C2776" t="s">
        <v>16</v>
      </c>
      <c r="D2776">
        <v>234</v>
      </c>
      <c r="E2776" t="s">
        <v>2885</v>
      </c>
      <c r="F2776">
        <v>5419</v>
      </c>
      <c r="G2776" t="s">
        <v>18</v>
      </c>
      <c r="H2776">
        <v>27</v>
      </c>
      <c r="I2776" t="s">
        <v>19</v>
      </c>
      <c r="J2776">
        <v>1991</v>
      </c>
      <c r="K2776">
        <v>1991</v>
      </c>
      <c r="L2776" t="s">
        <v>20</v>
      </c>
      <c r="M2776">
        <v>47767</v>
      </c>
      <c r="N2776">
        <v>1300</v>
      </c>
    </row>
    <row r="2777" spans="1:14" x14ac:dyDescent="0.35">
      <c r="A2777" t="s">
        <v>2891</v>
      </c>
      <c r="B2777" t="s">
        <v>15</v>
      </c>
      <c r="C2777" t="s">
        <v>16</v>
      </c>
      <c r="D2777">
        <v>234</v>
      </c>
      <c r="E2777" t="s">
        <v>2885</v>
      </c>
      <c r="F2777">
        <v>5419</v>
      </c>
      <c r="G2777" t="s">
        <v>18</v>
      </c>
      <c r="H2777">
        <v>27</v>
      </c>
      <c r="I2777" t="s">
        <v>19</v>
      </c>
      <c r="J2777">
        <v>1992</v>
      </c>
      <c r="K2777">
        <v>1992</v>
      </c>
      <c r="L2777" t="s">
        <v>20</v>
      </c>
      <c r="M2777">
        <v>47557</v>
      </c>
      <c r="N2777">
        <v>1300</v>
      </c>
    </row>
    <row r="2778" spans="1:14" x14ac:dyDescent="0.35">
      <c r="A2778" t="s">
        <v>2892</v>
      </c>
      <c r="B2778" t="s">
        <v>15</v>
      </c>
      <c r="C2778" t="s">
        <v>16</v>
      </c>
      <c r="D2778">
        <v>234</v>
      </c>
      <c r="E2778" t="s">
        <v>2885</v>
      </c>
      <c r="F2778">
        <v>5419</v>
      </c>
      <c r="G2778" t="s">
        <v>18</v>
      </c>
      <c r="H2778">
        <v>27</v>
      </c>
      <c r="I2778" t="s">
        <v>19</v>
      </c>
      <c r="J2778">
        <v>1993</v>
      </c>
      <c r="K2778">
        <v>1993</v>
      </c>
      <c r="L2778" t="s">
        <v>20</v>
      </c>
      <c r="M2778">
        <v>51717</v>
      </c>
      <c r="N2778">
        <v>1300</v>
      </c>
    </row>
    <row r="2779" spans="1:14" x14ac:dyDescent="0.35">
      <c r="A2779" t="s">
        <v>2893</v>
      </c>
      <c r="B2779" t="s">
        <v>15</v>
      </c>
      <c r="C2779" t="s">
        <v>16</v>
      </c>
      <c r="D2779">
        <v>234</v>
      </c>
      <c r="E2779" t="s">
        <v>2885</v>
      </c>
      <c r="F2779">
        <v>5419</v>
      </c>
      <c r="G2779" t="s">
        <v>18</v>
      </c>
      <c r="H2779">
        <v>27</v>
      </c>
      <c r="I2779" t="s">
        <v>19</v>
      </c>
      <c r="J2779">
        <v>1994</v>
      </c>
      <c r="K2779">
        <v>1994</v>
      </c>
      <c r="L2779" t="s">
        <v>20</v>
      </c>
      <c r="M2779">
        <v>49158</v>
      </c>
      <c r="N2779">
        <v>1300</v>
      </c>
    </row>
    <row r="2780" spans="1:14" x14ac:dyDescent="0.35">
      <c r="A2780" t="s">
        <v>2894</v>
      </c>
      <c r="B2780" t="s">
        <v>15</v>
      </c>
      <c r="C2780" t="s">
        <v>16</v>
      </c>
      <c r="D2780">
        <v>234</v>
      </c>
      <c r="E2780" t="s">
        <v>2885</v>
      </c>
      <c r="F2780">
        <v>5419</v>
      </c>
      <c r="G2780" t="s">
        <v>18</v>
      </c>
      <c r="H2780">
        <v>27</v>
      </c>
      <c r="I2780" t="s">
        <v>19</v>
      </c>
      <c r="J2780">
        <v>1995</v>
      </c>
      <c r="K2780">
        <v>1995</v>
      </c>
      <c r="L2780" t="s">
        <v>20</v>
      </c>
      <c r="M2780">
        <v>55099</v>
      </c>
      <c r="N2780">
        <v>1300</v>
      </c>
    </row>
    <row r="2781" spans="1:14" x14ac:dyDescent="0.35">
      <c r="A2781" t="s">
        <v>2895</v>
      </c>
      <c r="B2781" t="s">
        <v>15</v>
      </c>
      <c r="C2781" t="s">
        <v>16</v>
      </c>
      <c r="D2781">
        <v>234</v>
      </c>
      <c r="E2781" t="s">
        <v>2885</v>
      </c>
      <c r="F2781">
        <v>5419</v>
      </c>
      <c r="G2781" t="s">
        <v>18</v>
      </c>
      <c r="H2781">
        <v>27</v>
      </c>
      <c r="I2781" t="s">
        <v>19</v>
      </c>
      <c r="J2781">
        <v>1996</v>
      </c>
      <c r="K2781">
        <v>1996</v>
      </c>
      <c r="L2781" t="s">
        <v>20</v>
      </c>
      <c r="M2781">
        <v>64684</v>
      </c>
      <c r="N2781">
        <v>1300</v>
      </c>
    </row>
    <row r="2782" spans="1:14" x14ac:dyDescent="0.35">
      <c r="A2782" t="s">
        <v>2896</v>
      </c>
      <c r="B2782" t="s">
        <v>15</v>
      </c>
      <c r="C2782" t="s">
        <v>16</v>
      </c>
      <c r="D2782">
        <v>234</v>
      </c>
      <c r="E2782" t="s">
        <v>2885</v>
      </c>
      <c r="F2782">
        <v>5419</v>
      </c>
      <c r="G2782" t="s">
        <v>18</v>
      </c>
      <c r="H2782">
        <v>27</v>
      </c>
      <c r="I2782" t="s">
        <v>19</v>
      </c>
      <c r="J2782">
        <v>1997</v>
      </c>
      <c r="K2782">
        <v>1997</v>
      </c>
      <c r="L2782" t="s">
        <v>20</v>
      </c>
      <c r="M2782">
        <v>65839</v>
      </c>
      <c r="N2782">
        <v>1300</v>
      </c>
    </row>
    <row r="2783" spans="1:14" x14ac:dyDescent="0.35">
      <c r="A2783" t="s">
        <v>2897</v>
      </c>
      <c r="B2783" t="s">
        <v>15</v>
      </c>
      <c r="C2783" t="s">
        <v>16</v>
      </c>
      <c r="D2783">
        <v>234</v>
      </c>
      <c r="E2783" t="s">
        <v>2885</v>
      </c>
      <c r="F2783">
        <v>5419</v>
      </c>
      <c r="G2783" t="s">
        <v>18</v>
      </c>
      <c r="H2783">
        <v>27</v>
      </c>
      <c r="I2783" t="s">
        <v>19</v>
      </c>
      <c r="J2783">
        <v>1998</v>
      </c>
      <c r="K2783">
        <v>1998</v>
      </c>
      <c r="L2783" t="s">
        <v>20</v>
      </c>
      <c r="M2783">
        <v>50862</v>
      </c>
      <c r="N2783">
        <v>1300</v>
      </c>
    </row>
    <row r="2784" spans="1:14" x14ac:dyDescent="0.35">
      <c r="A2784" t="s">
        <v>2898</v>
      </c>
      <c r="B2784" t="s">
        <v>15</v>
      </c>
      <c r="C2784" t="s">
        <v>16</v>
      </c>
      <c r="D2784">
        <v>234</v>
      </c>
      <c r="E2784" t="s">
        <v>2885</v>
      </c>
      <c r="F2784">
        <v>5419</v>
      </c>
      <c r="G2784" t="s">
        <v>18</v>
      </c>
      <c r="H2784">
        <v>27</v>
      </c>
      <c r="I2784" t="s">
        <v>19</v>
      </c>
      <c r="J2784">
        <v>1999</v>
      </c>
      <c r="K2784">
        <v>1999</v>
      </c>
      <c r="L2784" t="s">
        <v>20</v>
      </c>
      <c r="M2784">
        <v>63830</v>
      </c>
      <c r="N2784">
        <v>1300</v>
      </c>
    </row>
    <row r="2785" spans="1:14" x14ac:dyDescent="0.35">
      <c r="A2785" t="s">
        <v>2899</v>
      </c>
      <c r="B2785" t="s">
        <v>15</v>
      </c>
      <c r="C2785" t="s">
        <v>16</v>
      </c>
      <c r="D2785">
        <v>234</v>
      </c>
      <c r="E2785" t="s">
        <v>2885</v>
      </c>
      <c r="F2785">
        <v>5419</v>
      </c>
      <c r="G2785" t="s">
        <v>18</v>
      </c>
      <c r="H2785">
        <v>27</v>
      </c>
      <c r="I2785" t="s">
        <v>19</v>
      </c>
      <c r="J2785">
        <v>2000</v>
      </c>
      <c r="K2785">
        <v>2000</v>
      </c>
      <c r="L2785" t="s">
        <v>20</v>
      </c>
      <c r="M2785">
        <v>63840</v>
      </c>
      <c r="N2785">
        <v>1300</v>
      </c>
    </row>
    <row r="2786" spans="1:14" x14ac:dyDescent="0.35">
      <c r="A2786" t="s">
        <v>2900</v>
      </c>
      <c r="B2786" t="s">
        <v>15</v>
      </c>
      <c r="C2786" t="s">
        <v>16</v>
      </c>
      <c r="D2786">
        <v>234</v>
      </c>
      <c r="E2786" t="s">
        <v>2885</v>
      </c>
      <c r="F2786">
        <v>5419</v>
      </c>
      <c r="G2786" t="s">
        <v>18</v>
      </c>
      <c r="H2786">
        <v>27</v>
      </c>
      <c r="I2786" t="s">
        <v>19</v>
      </c>
      <c r="J2786">
        <v>2001</v>
      </c>
      <c r="K2786">
        <v>2001</v>
      </c>
      <c r="L2786" t="s">
        <v>20</v>
      </c>
      <c r="M2786">
        <v>67037</v>
      </c>
      <c r="N2786">
        <v>1300</v>
      </c>
    </row>
    <row r="2787" spans="1:14" x14ac:dyDescent="0.35">
      <c r="A2787" t="s">
        <v>2901</v>
      </c>
      <c r="B2787" t="s">
        <v>15</v>
      </c>
      <c r="C2787" t="s">
        <v>16</v>
      </c>
      <c r="D2787">
        <v>234</v>
      </c>
      <c r="E2787" t="s">
        <v>2885</v>
      </c>
      <c r="F2787">
        <v>5419</v>
      </c>
      <c r="G2787" t="s">
        <v>18</v>
      </c>
      <c r="H2787">
        <v>27</v>
      </c>
      <c r="I2787" t="s">
        <v>19</v>
      </c>
      <c r="J2787">
        <v>2002</v>
      </c>
      <c r="K2787">
        <v>2002</v>
      </c>
      <c r="L2787" t="s">
        <v>20</v>
      </c>
      <c r="M2787">
        <v>58632</v>
      </c>
      <c r="N2787">
        <v>1300</v>
      </c>
    </row>
    <row r="2788" spans="1:14" x14ac:dyDescent="0.35">
      <c r="A2788" t="s">
        <v>2902</v>
      </c>
      <c r="B2788" t="s">
        <v>15</v>
      </c>
      <c r="C2788" t="s">
        <v>16</v>
      </c>
      <c r="D2788">
        <v>234</v>
      </c>
      <c r="E2788" t="s">
        <v>2885</v>
      </c>
      <c r="F2788">
        <v>5419</v>
      </c>
      <c r="G2788" t="s">
        <v>18</v>
      </c>
      <c r="H2788">
        <v>27</v>
      </c>
      <c r="I2788" t="s">
        <v>19</v>
      </c>
      <c r="J2788">
        <v>2004</v>
      </c>
      <c r="K2788">
        <v>2004</v>
      </c>
      <c r="L2788" t="s">
        <v>20</v>
      </c>
      <c r="M2788">
        <v>67712</v>
      </c>
      <c r="N2788">
        <v>1300</v>
      </c>
    </row>
    <row r="2789" spans="1:14" x14ac:dyDescent="0.35">
      <c r="A2789" t="s">
        <v>2903</v>
      </c>
      <c r="B2789" t="s">
        <v>15</v>
      </c>
      <c r="C2789" t="s">
        <v>16</v>
      </c>
      <c r="D2789">
        <v>234</v>
      </c>
      <c r="E2789" t="s">
        <v>2885</v>
      </c>
      <c r="F2789">
        <v>5419</v>
      </c>
      <c r="G2789" t="s">
        <v>18</v>
      </c>
      <c r="H2789">
        <v>27</v>
      </c>
      <c r="I2789" t="s">
        <v>19</v>
      </c>
      <c r="J2789">
        <v>2005</v>
      </c>
      <c r="K2789">
        <v>2005</v>
      </c>
      <c r="L2789" t="s">
        <v>20</v>
      </c>
      <c r="M2789">
        <v>66005</v>
      </c>
      <c r="N2789">
        <v>1300</v>
      </c>
    </row>
    <row r="2790" spans="1:14" x14ac:dyDescent="0.35">
      <c r="A2790" t="s">
        <v>2904</v>
      </c>
      <c r="B2790" t="s">
        <v>15</v>
      </c>
      <c r="C2790" t="s">
        <v>16</v>
      </c>
      <c r="D2790">
        <v>234</v>
      </c>
      <c r="E2790" t="s">
        <v>2885</v>
      </c>
      <c r="F2790">
        <v>5419</v>
      </c>
      <c r="G2790" t="s">
        <v>18</v>
      </c>
      <c r="H2790">
        <v>27</v>
      </c>
      <c r="I2790" t="s">
        <v>19</v>
      </c>
      <c r="J2790">
        <v>2006</v>
      </c>
      <c r="K2790">
        <v>2006</v>
      </c>
      <c r="L2790" t="s">
        <v>20</v>
      </c>
      <c r="M2790">
        <v>72893</v>
      </c>
      <c r="N2790">
        <v>1300</v>
      </c>
    </row>
    <row r="2791" spans="1:14" x14ac:dyDescent="0.35">
      <c r="A2791" t="s">
        <v>2905</v>
      </c>
      <c r="B2791" t="s">
        <v>15</v>
      </c>
      <c r="C2791" t="s">
        <v>16</v>
      </c>
      <c r="D2791">
        <v>234</v>
      </c>
      <c r="E2791" t="s">
        <v>2885</v>
      </c>
      <c r="F2791">
        <v>5419</v>
      </c>
      <c r="G2791" t="s">
        <v>18</v>
      </c>
      <c r="H2791">
        <v>27</v>
      </c>
      <c r="I2791" t="s">
        <v>19</v>
      </c>
      <c r="J2791">
        <v>2007</v>
      </c>
      <c r="K2791">
        <v>2007</v>
      </c>
      <c r="L2791" t="s">
        <v>20</v>
      </c>
      <c r="M2791">
        <v>78796</v>
      </c>
      <c r="N2791">
        <v>1300</v>
      </c>
    </row>
    <row r="2792" spans="1:14" x14ac:dyDescent="0.35">
      <c r="A2792" t="s">
        <v>2906</v>
      </c>
      <c r="B2792" t="s">
        <v>15</v>
      </c>
      <c r="C2792" t="s">
        <v>16</v>
      </c>
      <c r="D2792">
        <v>234</v>
      </c>
      <c r="E2792" t="s">
        <v>2885</v>
      </c>
      <c r="F2792">
        <v>5419</v>
      </c>
      <c r="G2792" t="s">
        <v>18</v>
      </c>
      <c r="H2792">
        <v>27</v>
      </c>
      <c r="I2792" t="s">
        <v>19</v>
      </c>
      <c r="J2792">
        <v>2008</v>
      </c>
      <c r="K2792">
        <v>2008</v>
      </c>
      <c r="L2792" t="s">
        <v>20</v>
      </c>
      <c r="M2792">
        <v>78989</v>
      </c>
      <c r="N2792">
        <v>1300</v>
      </c>
    </row>
    <row r="2793" spans="1:14" x14ac:dyDescent="0.35">
      <c r="A2793" t="s">
        <v>2907</v>
      </c>
      <c r="B2793" t="s">
        <v>15</v>
      </c>
      <c r="C2793" t="s">
        <v>16</v>
      </c>
      <c r="D2793">
        <v>234</v>
      </c>
      <c r="E2793" t="s">
        <v>2885</v>
      </c>
      <c r="F2793">
        <v>5419</v>
      </c>
      <c r="G2793" t="s">
        <v>18</v>
      </c>
      <c r="H2793">
        <v>27</v>
      </c>
      <c r="I2793" t="s">
        <v>19</v>
      </c>
      <c r="J2793">
        <v>2009</v>
      </c>
      <c r="K2793">
        <v>2009</v>
      </c>
      <c r="L2793" t="s">
        <v>20</v>
      </c>
      <c r="M2793">
        <v>80100</v>
      </c>
      <c r="N2793">
        <v>1300</v>
      </c>
    </row>
    <row r="2794" spans="1:14" x14ac:dyDescent="0.35">
      <c r="A2794" t="s">
        <v>2908</v>
      </c>
      <c r="B2794" t="s">
        <v>15</v>
      </c>
      <c r="C2794" t="s">
        <v>16</v>
      </c>
      <c r="D2794">
        <v>234</v>
      </c>
      <c r="E2794" t="s">
        <v>2885</v>
      </c>
      <c r="F2794">
        <v>5419</v>
      </c>
      <c r="G2794" t="s">
        <v>18</v>
      </c>
      <c r="H2794">
        <v>27</v>
      </c>
      <c r="I2794" t="s">
        <v>19</v>
      </c>
      <c r="J2794">
        <v>2010</v>
      </c>
      <c r="K2794">
        <v>2010</v>
      </c>
      <c r="L2794" t="s">
        <v>20</v>
      </c>
      <c r="M2794">
        <v>70954</v>
      </c>
      <c r="N2794">
        <v>1300</v>
      </c>
    </row>
    <row r="2795" spans="1:14" x14ac:dyDescent="0.35">
      <c r="A2795" t="s">
        <v>2909</v>
      </c>
      <c r="B2795" t="s">
        <v>15</v>
      </c>
      <c r="C2795" t="s">
        <v>16</v>
      </c>
      <c r="D2795">
        <v>234</v>
      </c>
      <c r="E2795" t="s">
        <v>2885</v>
      </c>
      <c r="F2795">
        <v>5419</v>
      </c>
      <c r="G2795" t="s">
        <v>18</v>
      </c>
      <c r="H2795">
        <v>27</v>
      </c>
      <c r="I2795" t="s">
        <v>19</v>
      </c>
      <c r="J2795">
        <v>2011</v>
      </c>
      <c r="K2795">
        <v>2011</v>
      </c>
      <c r="L2795" t="s">
        <v>20</v>
      </c>
      <c r="M2795">
        <v>83827</v>
      </c>
      <c r="N2795">
        <v>1300</v>
      </c>
    </row>
    <row r="2796" spans="1:14" x14ac:dyDescent="0.35">
      <c r="A2796" t="s">
        <v>2910</v>
      </c>
      <c r="B2796" t="s">
        <v>15</v>
      </c>
      <c r="C2796" t="s">
        <v>16</v>
      </c>
      <c r="D2796">
        <v>234</v>
      </c>
      <c r="E2796" t="s">
        <v>2885</v>
      </c>
      <c r="F2796">
        <v>5419</v>
      </c>
      <c r="G2796" t="s">
        <v>18</v>
      </c>
      <c r="H2796">
        <v>27</v>
      </c>
      <c r="I2796" t="s">
        <v>19</v>
      </c>
      <c r="J2796">
        <v>2012</v>
      </c>
      <c r="K2796">
        <v>2012</v>
      </c>
      <c r="L2796" t="s">
        <v>20</v>
      </c>
      <c r="M2796">
        <v>78513</v>
      </c>
      <c r="N2796">
        <v>1300</v>
      </c>
    </row>
    <row r="2797" spans="1:14" x14ac:dyDescent="0.35">
      <c r="A2797" t="s">
        <v>2911</v>
      </c>
      <c r="B2797" t="s">
        <v>15</v>
      </c>
      <c r="C2797" t="s">
        <v>16</v>
      </c>
      <c r="D2797">
        <v>234</v>
      </c>
      <c r="E2797" t="s">
        <v>2885</v>
      </c>
      <c r="F2797">
        <v>5419</v>
      </c>
      <c r="G2797" t="s">
        <v>18</v>
      </c>
      <c r="H2797">
        <v>27</v>
      </c>
      <c r="I2797" t="s">
        <v>19</v>
      </c>
      <c r="J2797">
        <v>2013</v>
      </c>
      <c r="K2797">
        <v>2013</v>
      </c>
      <c r="L2797" t="s">
        <v>20</v>
      </c>
      <c r="M2797">
        <v>78812</v>
      </c>
      <c r="N2797">
        <v>1300</v>
      </c>
    </row>
    <row r="2798" spans="1:14" x14ac:dyDescent="0.35">
      <c r="A2798" t="s">
        <v>2912</v>
      </c>
      <c r="B2798" t="s">
        <v>15</v>
      </c>
      <c r="C2798" t="s">
        <v>16</v>
      </c>
      <c r="D2798">
        <v>234</v>
      </c>
      <c r="E2798" t="s">
        <v>2885</v>
      </c>
      <c r="F2798">
        <v>5419</v>
      </c>
      <c r="G2798" t="s">
        <v>18</v>
      </c>
      <c r="H2798">
        <v>27</v>
      </c>
      <c r="I2798" t="s">
        <v>19</v>
      </c>
      <c r="J2798">
        <v>2014</v>
      </c>
      <c r="K2798">
        <v>2014</v>
      </c>
      <c r="L2798" t="s">
        <v>20</v>
      </c>
      <c r="M2798">
        <v>80544</v>
      </c>
      <c r="N2798">
        <v>1300</v>
      </c>
    </row>
    <row r="2799" spans="1:14" x14ac:dyDescent="0.35">
      <c r="A2799" t="s">
        <v>2913</v>
      </c>
      <c r="B2799" t="s">
        <v>15</v>
      </c>
      <c r="C2799" t="s">
        <v>16</v>
      </c>
      <c r="D2799">
        <v>234</v>
      </c>
      <c r="E2799" t="s">
        <v>2885</v>
      </c>
      <c r="F2799">
        <v>5419</v>
      </c>
      <c r="G2799" t="s">
        <v>18</v>
      </c>
      <c r="H2799">
        <v>27</v>
      </c>
      <c r="I2799" t="s">
        <v>19</v>
      </c>
      <c r="J2799">
        <v>2015</v>
      </c>
      <c r="K2799">
        <v>2015</v>
      </c>
      <c r="L2799" t="s">
        <v>20</v>
      </c>
      <c r="M2799">
        <v>80896</v>
      </c>
      <c r="N2799">
        <v>1300</v>
      </c>
    </row>
    <row r="2800" spans="1:14" x14ac:dyDescent="0.35">
      <c r="A2800" t="s">
        <v>2914</v>
      </c>
      <c r="B2800" t="s">
        <v>15</v>
      </c>
      <c r="C2800" t="s">
        <v>16</v>
      </c>
      <c r="D2800">
        <v>234</v>
      </c>
      <c r="E2800" t="s">
        <v>2885</v>
      </c>
      <c r="F2800">
        <v>5419</v>
      </c>
      <c r="G2800" t="s">
        <v>18</v>
      </c>
      <c r="H2800">
        <v>27</v>
      </c>
      <c r="I2800" t="s">
        <v>19</v>
      </c>
      <c r="J2800">
        <v>2016</v>
      </c>
      <c r="K2800">
        <v>2016</v>
      </c>
      <c r="L2800" t="s">
        <v>20</v>
      </c>
      <c r="M2800">
        <v>85690</v>
      </c>
      <c r="N2800">
        <v>1300</v>
      </c>
    </row>
    <row r="2801" spans="1:14" x14ac:dyDescent="0.35">
      <c r="A2801" t="s">
        <v>2915</v>
      </c>
      <c r="B2801" t="s">
        <v>15</v>
      </c>
      <c r="C2801" t="s">
        <v>16</v>
      </c>
      <c r="D2801">
        <v>235</v>
      </c>
      <c r="E2801" t="s">
        <v>2916</v>
      </c>
      <c r="F2801">
        <v>5419</v>
      </c>
      <c r="G2801" t="s">
        <v>18</v>
      </c>
      <c r="H2801">
        <v>27</v>
      </c>
      <c r="I2801" t="s">
        <v>19</v>
      </c>
      <c r="J2801">
        <v>1992</v>
      </c>
      <c r="K2801">
        <v>1992</v>
      </c>
      <c r="L2801" t="s">
        <v>20</v>
      </c>
      <c r="M2801">
        <v>32029</v>
      </c>
      <c r="N2801">
        <v>206</v>
      </c>
    </row>
    <row r="2802" spans="1:14" x14ac:dyDescent="0.35">
      <c r="A2802" t="s">
        <v>2917</v>
      </c>
      <c r="B2802" t="s">
        <v>15</v>
      </c>
      <c r="C2802" t="s">
        <v>16</v>
      </c>
      <c r="D2802">
        <v>235</v>
      </c>
      <c r="E2802" t="s">
        <v>2916</v>
      </c>
      <c r="F2802">
        <v>5419</v>
      </c>
      <c r="G2802" t="s">
        <v>18</v>
      </c>
      <c r="H2802">
        <v>27</v>
      </c>
      <c r="I2802" t="s">
        <v>19</v>
      </c>
      <c r="J2802">
        <v>1993</v>
      </c>
      <c r="K2802">
        <v>1993</v>
      </c>
      <c r="L2802" t="s">
        <v>20</v>
      </c>
      <c r="M2802">
        <v>32191</v>
      </c>
      <c r="N2802">
        <v>206</v>
      </c>
    </row>
    <row r="2803" spans="1:14" x14ac:dyDescent="0.35">
      <c r="A2803" t="s">
        <v>2918</v>
      </c>
      <c r="B2803" t="s">
        <v>15</v>
      </c>
      <c r="C2803" t="s">
        <v>16</v>
      </c>
      <c r="D2803">
        <v>235</v>
      </c>
      <c r="E2803" t="s">
        <v>2916</v>
      </c>
      <c r="F2803">
        <v>5419</v>
      </c>
      <c r="G2803" t="s">
        <v>18</v>
      </c>
      <c r="H2803">
        <v>27</v>
      </c>
      <c r="I2803" t="s">
        <v>19</v>
      </c>
      <c r="J2803">
        <v>1994</v>
      </c>
      <c r="K2803">
        <v>1994</v>
      </c>
      <c r="L2803" t="s">
        <v>20</v>
      </c>
      <c r="M2803">
        <v>31622</v>
      </c>
      <c r="N2803">
        <v>206</v>
      </c>
    </row>
    <row r="2804" spans="1:14" x14ac:dyDescent="0.35">
      <c r="A2804" t="s">
        <v>2919</v>
      </c>
      <c r="B2804" t="s">
        <v>15</v>
      </c>
      <c r="C2804" t="s">
        <v>16</v>
      </c>
      <c r="D2804">
        <v>235</v>
      </c>
      <c r="E2804" t="s">
        <v>2916</v>
      </c>
      <c r="F2804">
        <v>5419</v>
      </c>
      <c r="G2804" t="s">
        <v>18</v>
      </c>
      <c r="H2804">
        <v>27</v>
      </c>
      <c r="I2804" t="s">
        <v>19</v>
      </c>
      <c r="J2804">
        <v>1995</v>
      </c>
      <c r="K2804">
        <v>1995</v>
      </c>
      <c r="L2804" t="s">
        <v>20</v>
      </c>
      <c r="M2804">
        <v>19747</v>
      </c>
      <c r="N2804">
        <v>206</v>
      </c>
    </row>
    <row r="2805" spans="1:14" x14ac:dyDescent="0.35">
      <c r="A2805" t="s">
        <v>2920</v>
      </c>
      <c r="B2805" t="s">
        <v>15</v>
      </c>
      <c r="C2805" t="s">
        <v>16</v>
      </c>
      <c r="D2805">
        <v>235</v>
      </c>
      <c r="E2805" t="s">
        <v>2916</v>
      </c>
      <c r="F2805">
        <v>5419</v>
      </c>
      <c r="G2805" t="s">
        <v>18</v>
      </c>
      <c r="H2805">
        <v>27</v>
      </c>
      <c r="I2805" t="s">
        <v>19</v>
      </c>
      <c r="J2805">
        <v>1996</v>
      </c>
      <c r="K2805">
        <v>1996</v>
      </c>
      <c r="L2805" t="s">
        <v>20</v>
      </c>
      <c r="M2805">
        <v>19249</v>
      </c>
      <c r="N2805">
        <v>206</v>
      </c>
    </row>
    <row r="2806" spans="1:14" x14ac:dyDescent="0.35">
      <c r="A2806" t="s">
        <v>2921</v>
      </c>
      <c r="B2806" t="s">
        <v>15</v>
      </c>
      <c r="C2806" t="s">
        <v>16</v>
      </c>
      <c r="D2806">
        <v>235</v>
      </c>
      <c r="E2806" t="s">
        <v>2916</v>
      </c>
      <c r="F2806">
        <v>5419</v>
      </c>
      <c r="G2806" t="s">
        <v>18</v>
      </c>
      <c r="H2806">
        <v>27</v>
      </c>
      <c r="I2806" t="s">
        <v>19</v>
      </c>
      <c r="J2806">
        <v>1997</v>
      </c>
      <c r="K2806">
        <v>1997</v>
      </c>
      <c r="L2806" t="s">
        <v>20</v>
      </c>
      <c r="M2806">
        <v>21347</v>
      </c>
      <c r="N2806">
        <v>206</v>
      </c>
    </row>
    <row r="2807" spans="1:14" x14ac:dyDescent="0.35">
      <c r="A2807" t="s">
        <v>2922</v>
      </c>
      <c r="B2807" t="s">
        <v>15</v>
      </c>
      <c r="C2807" t="s">
        <v>16</v>
      </c>
      <c r="D2807">
        <v>235</v>
      </c>
      <c r="E2807" t="s">
        <v>2916</v>
      </c>
      <c r="F2807">
        <v>5419</v>
      </c>
      <c r="G2807" t="s">
        <v>18</v>
      </c>
      <c r="H2807">
        <v>27</v>
      </c>
      <c r="I2807" t="s">
        <v>19</v>
      </c>
      <c r="J2807">
        <v>1998</v>
      </c>
      <c r="K2807">
        <v>1998</v>
      </c>
      <c r="L2807" t="s">
        <v>20</v>
      </c>
      <c r="M2807">
        <v>25121</v>
      </c>
      <c r="N2807">
        <v>206</v>
      </c>
    </row>
    <row r="2808" spans="1:14" x14ac:dyDescent="0.35">
      <c r="A2808" t="s">
        <v>2923</v>
      </c>
      <c r="B2808" t="s">
        <v>15</v>
      </c>
      <c r="C2808" t="s">
        <v>16</v>
      </c>
      <c r="D2808">
        <v>235</v>
      </c>
      <c r="E2808" t="s">
        <v>2916</v>
      </c>
      <c r="F2808">
        <v>5419</v>
      </c>
      <c r="G2808" t="s">
        <v>18</v>
      </c>
      <c r="H2808">
        <v>27</v>
      </c>
      <c r="I2808" t="s">
        <v>19</v>
      </c>
      <c r="J2808">
        <v>1999</v>
      </c>
      <c r="K2808">
        <v>1999</v>
      </c>
      <c r="L2808" t="s">
        <v>20</v>
      </c>
      <c r="M2808">
        <v>26973</v>
      </c>
      <c r="N2808">
        <v>206</v>
      </c>
    </row>
    <row r="2809" spans="1:14" x14ac:dyDescent="0.35">
      <c r="A2809" t="s">
        <v>2924</v>
      </c>
      <c r="B2809" t="s">
        <v>15</v>
      </c>
      <c r="C2809" t="s">
        <v>16</v>
      </c>
      <c r="D2809">
        <v>235</v>
      </c>
      <c r="E2809" t="s">
        <v>2916</v>
      </c>
      <c r="F2809">
        <v>5419</v>
      </c>
      <c r="G2809" t="s">
        <v>18</v>
      </c>
      <c r="H2809">
        <v>27</v>
      </c>
      <c r="I2809" t="s">
        <v>19</v>
      </c>
      <c r="J2809">
        <v>2000</v>
      </c>
      <c r="K2809">
        <v>2000</v>
      </c>
      <c r="L2809" t="s">
        <v>20</v>
      </c>
      <c r="M2809">
        <v>35224</v>
      </c>
      <c r="N2809">
        <v>206</v>
      </c>
    </row>
    <row r="2810" spans="1:14" x14ac:dyDescent="0.35">
      <c r="A2810" t="s">
        <v>2925</v>
      </c>
      <c r="B2810" t="s">
        <v>15</v>
      </c>
      <c r="C2810" t="s">
        <v>16</v>
      </c>
      <c r="D2810">
        <v>235</v>
      </c>
      <c r="E2810" t="s">
        <v>2916</v>
      </c>
      <c r="F2810">
        <v>5419</v>
      </c>
      <c r="G2810" t="s">
        <v>18</v>
      </c>
      <c r="H2810">
        <v>27</v>
      </c>
      <c r="I2810" t="s">
        <v>19</v>
      </c>
      <c r="J2810">
        <v>2001</v>
      </c>
      <c r="K2810">
        <v>2001</v>
      </c>
      <c r="L2810" t="s">
        <v>20</v>
      </c>
      <c r="M2810">
        <v>23256</v>
      </c>
      <c r="N2810">
        <v>206</v>
      </c>
    </row>
    <row r="2811" spans="1:14" x14ac:dyDescent="0.35">
      <c r="A2811" t="s">
        <v>2926</v>
      </c>
      <c r="B2811" t="s">
        <v>15</v>
      </c>
      <c r="C2811" t="s">
        <v>16</v>
      </c>
      <c r="D2811">
        <v>235</v>
      </c>
      <c r="E2811" t="s">
        <v>2916</v>
      </c>
      <c r="F2811">
        <v>5419</v>
      </c>
      <c r="G2811" t="s">
        <v>18</v>
      </c>
      <c r="H2811">
        <v>27</v>
      </c>
      <c r="I2811" t="s">
        <v>19</v>
      </c>
      <c r="J2811">
        <v>2002</v>
      </c>
      <c r="K2811">
        <v>2002</v>
      </c>
      <c r="L2811" t="s">
        <v>20</v>
      </c>
      <c r="M2811">
        <v>52877</v>
      </c>
      <c r="N2811">
        <v>206</v>
      </c>
    </row>
    <row r="2812" spans="1:14" x14ac:dyDescent="0.35">
      <c r="A2812" t="s">
        <v>2927</v>
      </c>
      <c r="B2812" t="s">
        <v>15</v>
      </c>
      <c r="C2812" t="s">
        <v>16</v>
      </c>
      <c r="D2812">
        <v>235</v>
      </c>
      <c r="E2812" t="s">
        <v>2916</v>
      </c>
      <c r="F2812">
        <v>5419</v>
      </c>
      <c r="G2812" t="s">
        <v>18</v>
      </c>
      <c r="H2812">
        <v>27</v>
      </c>
      <c r="I2812" t="s">
        <v>19</v>
      </c>
      <c r="J2812">
        <v>2004</v>
      </c>
      <c r="K2812">
        <v>2004</v>
      </c>
      <c r="L2812" t="s">
        <v>20</v>
      </c>
      <c r="M2812">
        <v>28453</v>
      </c>
      <c r="N2812">
        <v>206</v>
      </c>
    </row>
    <row r="2813" spans="1:14" x14ac:dyDescent="0.35">
      <c r="A2813" t="s">
        <v>2928</v>
      </c>
      <c r="B2813" t="s">
        <v>15</v>
      </c>
      <c r="C2813" t="s">
        <v>16</v>
      </c>
      <c r="D2813">
        <v>235</v>
      </c>
      <c r="E2813" t="s">
        <v>2916</v>
      </c>
      <c r="F2813">
        <v>5419</v>
      </c>
      <c r="G2813" t="s">
        <v>18</v>
      </c>
      <c r="H2813">
        <v>27</v>
      </c>
      <c r="I2813" t="s">
        <v>19</v>
      </c>
      <c r="J2813">
        <v>2005</v>
      </c>
      <c r="K2813">
        <v>2005</v>
      </c>
      <c r="L2813" t="s">
        <v>20</v>
      </c>
      <c r="M2813">
        <v>32717</v>
      </c>
      <c r="N2813">
        <v>206</v>
      </c>
    </row>
    <row r="2814" spans="1:14" x14ac:dyDescent="0.35">
      <c r="A2814" t="s">
        <v>2929</v>
      </c>
      <c r="B2814" t="s">
        <v>15</v>
      </c>
      <c r="C2814" t="s">
        <v>16</v>
      </c>
      <c r="D2814">
        <v>235</v>
      </c>
      <c r="E2814" t="s">
        <v>2916</v>
      </c>
      <c r="F2814">
        <v>5419</v>
      </c>
      <c r="G2814" t="s">
        <v>18</v>
      </c>
      <c r="H2814">
        <v>27</v>
      </c>
      <c r="I2814" t="s">
        <v>19</v>
      </c>
      <c r="J2814">
        <v>2006</v>
      </c>
      <c r="K2814">
        <v>2006</v>
      </c>
      <c r="L2814" t="s">
        <v>20</v>
      </c>
      <c r="M2814">
        <v>36927</v>
      </c>
      <c r="N2814">
        <v>206</v>
      </c>
    </row>
    <row r="2815" spans="1:14" x14ac:dyDescent="0.35">
      <c r="A2815" t="s">
        <v>2930</v>
      </c>
      <c r="B2815" t="s">
        <v>15</v>
      </c>
      <c r="C2815" t="s">
        <v>16</v>
      </c>
      <c r="D2815">
        <v>235</v>
      </c>
      <c r="E2815" t="s">
        <v>2916</v>
      </c>
      <c r="F2815">
        <v>5419</v>
      </c>
      <c r="G2815" t="s">
        <v>18</v>
      </c>
      <c r="H2815">
        <v>27</v>
      </c>
      <c r="I2815" t="s">
        <v>19</v>
      </c>
      <c r="J2815">
        <v>2007</v>
      </c>
      <c r="K2815">
        <v>2007</v>
      </c>
      <c r="L2815" t="s">
        <v>20</v>
      </c>
      <c r="M2815">
        <v>41208</v>
      </c>
      <c r="N2815">
        <v>206</v>
      </c>
    </row>
    <row r="2816" spans="1:14" x14ac:dyDescent="0.35">
      <c r="A2816" t="s">
        <v>2931</v>
      </c>
      <c r="B2816" t="s">
        <v>15</v>
      </c>
      <c r="C2816" t="s">
        <v>16</v>
      </c>
      <c r="D2816">
        <v>235</v>
      </c>
      <c r="E2816" t="s">
        <v>2916</v>
      </c>
      <c r="F2816">
        <v>5419</v>
      </c>
      <c r="G2816" t="s">
        <v>18</v>
      </c>
      <c r="H2816">
        <v>27</v>
      </c>
      <c r="I2816" t="s">
        <v>19</v>
      </c>
      <c r="J2816">
        <v>2008</v>
      </c>
      <c r="K2816">
        <v>2008</v>
      </c>
      <c r="L2816" t="s">
        <v>20</v>
      </c>
      <c r="M2816">
        <v>33639</v>
      </c>
      <c r="N2816">
        <v>206</v>
      </c>
    </row>
    <row r="2817" spans="1:14" x14ac:dyDescent="0.35">
      <c r="A2817" t="s">
        <v>2932</v>
      </c>
      <c r="B2817" t="s">
        <v>15</v>
      </c>
      <c r="C2817" t="s">
        <v>16</v>
      </c>
      <c r="D2817">
        <v>235</v>
      </c>
      <c r="E2817" t="s">
        <v>2916</v>
      </c>
      <c r="F2817">
        <v>5419</v>
      </c>
      <c r="G2817" t="s">
        <v>18</v>
      </c>
      <c r="H2817">
        <v>27</v>
      </c>
      <c r="I2817" t="s">
        <v>19</v>
      </c>
      <c r="J2817">
        <v>2009</v>
      </c>
      <c r="K2817">
        <v>2009</v>
      </c>
      <c r="L2817" t="s">
        <v>20</v>
      </c>
      <c r="M2817">
        <v>44656</v>
      </c>
      <c r="N2817">
        <v>206</v>
      </c>
    </row>
    <row r="2818" spans="1:14" x14ac:dyDescent="0.35">
      <c r="A2818" t="s">
        <v>2933</v>
      </c>
      <c r="B2818" t="s">
        <v>15</v>
      </c>
      <c r="C2818" t="s">
        <v>16</v>
      </c>
      <c r="D2818">
        <v>235</v>
      </c>
      <c r="E2818" t="s">
        <v>2916</v>
      </c>
      <c r="F2818">
        <v>5419</v>
      </c>
      <c r="G2818" t="s">
        <v>18</v>
      </c>
      <c r="H2818">
        <v>27</v>
      </c>
      <c r="I2818" t="s">
        <v>19</v>
      </c>
      <c r="J2818">
        <v>2010</v>
      </c>
      <c r="K2818">
        <v>2010</v>
      </c>
      <c r="L2818" t="s">
        <v>20</v>
      </c>
      <c r="M2818">
        <v>36098</v>
      </c>
      <c r="N2818">
        <v>206</v>
      </c>
    </row>
    <row r="2819" spans="1:14" x14ac:dyDescent="0.35">
      <c r="A2819" t="s">
        <v>2934</v>
      </c>
      <c r="B2819" t="s">
        <v>15</v>
      </c>
      <c r="C2819" t="s">
        <v>16</v>
      </c>
      <c r="D2819">
        <v>235</v>
      </c>
      <c r="E2819" t="s">
        <v>2916</v>
      </c>
      <c r="F2819">
        <v>5419</v>
      </c>
      <c r="G2819" t="s">
        <v>18</v>
      </c>
      <c r="H2819">
        <v>27</v>
      </c>
      <c r="I2819" t="s">
        <v>19</v>
      </c>
      <c r="J2819">
        <v>2011</v>
      </c>
      <c r="K2819">
        <v>2011</v>
      </c>
      <c r="L2819" t="s">
        <v>20</v>
      </c>
      <c r="M2819">
        <v>51843</v>
      </c>
      <c r="N2819">
        <v>206</v>
      </c>
    </row>
    <row r="2820" spans="1:14" x14ac:dyDescent="0.35">
      <c r="A2820" t="s">
        <v>2935</v>
      </c>
      <c r="B2820" t="s">
        <v>15</v>
      </c>
      <c r="C2820" t="s">
        <v>16</v>
      </c>
      <c r="D2820">
        <v>235</v>
      </c>
      <c r="E2820" t="s">
        <v>2916</v>
      </c>
      <c r="F2820">
        <v>5419</v>
      </c>
      <c r="G2820" t="s">
        <v>18</v>
      </c>
      <c r="H2820">
        <v>27</v>
      </c>
      <c r="I2820" t="s">
        <v>19</v>
      </c>
      <c r="J2820">
        <v>2012</v>
      </c>
      <c r="K2820">
        <v>2012</v>
      </c>
      <c r="L2820" t="s">
        <v>20</v>
      </c>
      <c r="M2820">
        <v>42689</v>
      </c>
      <c r="N2820">
        <v>206</v>
      </c>
    </row>
    <row r="2821" spans="1:14" x14ac:dyDescent="0.35">
      <c r="A2821" t="s">
        <v>2936</v>
      </c>
      <c r="B2821" t="s">
        <v>15</v>
      </c>
      <c r="C2821" t="s">
        <v>16</v>
      </c>
      <c r="D2821">
        <v>235</v>
      </c>
      <c r="E2821" t="s">
        <v>2916</v>
      </c>
      <c r="F2821">
        <v>5419</v>
      </c>
      <c r="G2821" t="s">
        <v>18</v>
      </c>
      <c r="H2821">
        <v>27</v>
      </c>
      <c r="I2821" t="s">
        <v>19</v>
      </c>
      <c r="J2821">
        <v>2013</v>
      </c>
      <c r="K2821">
        <v>2013</v>
      </c>
      <c r="L2821" t="s">
        <v>20</v>
      </c>
      <c r="M2821">
        <v>75773</v>
      </c>
      <c r="N2821">
        <v>206</v>
      </c>
    </row>
    <row r="2822" spans="1:14" x14ac:dyDescent="0.35">
      <c r="A2822" t="s">
        <v>2937</v>
      </c>
      <c r="B2822" t="s">
        <v>15</v>
      </c>
      <c r="C2822" t="s">
        <v>16</v>
      </c>
      <c r="D2822">
        <v>235</v>
      </c>
      <c r="E2822" t="s">
        <v>2916</v>
      </c>
      <c r="F2822">
        <v>5419</v>
      </c>
      <c r="G2822" t="s">
        <v>18</v>
      </c>
      <c r="H2822">
        <v>27</v>
      </c>
      <c r="I2822" t="s">
        <v>19</v>
      </c>
      <c r="J2822">
        <v>2014</v>
      </c>
      <c r="K2822">
        <v>2014</v>
      </c>
      <c r="L2822" t="s">
        <v>20</v>
      </c>
      <c r="M2822">
        <v>72971</v>
      </c>
      <c r="N2822">
        <v>206</v>
      </c>
    </row>
    <row r="2823" spans="1:14" x14ac:dyDescent="0.35">
      <c r="A2823" t="s">
        <v>2938</v>
      </c>
      <c r="B2823" t="s">
        <v>15</v>
      </c>
      <c r="C2823" t="s">
        <v>16</v>
      </c>
      <c r="D2823">
        <v>235</v>
      </c>
      <c r="E2823" t="s">
        <v>2916</v>
      </c>
      <c r="F2823">
        <v>5419</v>
      </c>
      <c r="G2823" t="s">
        <v>18</v>
      </c>
      <c r="H2823">
        <v>27</v>
      </c>
      <c r="I2823" t="s">
        <v>19</v>
      </c>
      <c r="J2823">
        <v>2015</v>
      </c>
      <c r="K2823">
        <v>2015</v>
      </c>
      <c r="L2823" t="s">
        <v>20</v>
      </c>
      <c r="M2823">
        <v>60389</v>
      </c>
      <c r="N2823">
        <v>206</v>
      </c>
    </row>
    <row r="2824" spans="1:14" x14ac:dyDescent="0.35">
      <c r="A2824" t="s">
        <v>2939</v>
      </c>
      <c r="B2824" t="s">
        <v>15</v>
      </c>
      <c r="C2824" t="s">
        <v>16</v>
      </c>
      <c r="D2824">
        <v>235</v>
      </c>
      <c r="E2824" t="s">
        <v>2916</v>
      </c>
      <c r="F2824">
        <v>5419</v>
      </c>
      <c r="G2824" t="s">
        <v>18</v>
      </c>
      <c r="H2824">
        <v>27</v>
      </c>
      <c r="I2824" t="s">
        <v>19</v>
      </c>
      <c r="J2824">
        <v>2016</v>
      </c>
      <c r="K2824">
        <v>2016</v>
      </c>
      <c r="L2824" t="s">
        <v>20</v>
      </c>
      <c r="M2824">
        <v>29322</v>
      </c>
      <c r="N2824">
        <v>206</v>
      </c>
    </row>
    <row r="2825" spans="1:14" x14ac:dyDescent="0.35">
      <c r="A2825" t="s">
        <v>2940</v>
      </c>
      <c r="B2825" t="s">
        <v>15</v>
      </c>
      <c r="C2825" t="s">
        <v>16</v>
      </c>
      <c r="D2825">
        <v>251</v>
      </c>
      <c r="E2825" t="s">
        <v>2941</v>
      </c>
      <c r="F2825">
        <v>5419</v>
      </c>
      <c r="G2825" t="s">
        <v>18</v>
      </c>
      <c r="H2825">
        <v>27</v>
      </c>
      <c r="I2825" t="s">
        <v>19</v>
      </c>
      <c r="J2825">
        <v>1985</v>
      </c>
      <c r="K2825">
        <v>1985</v>
      </c>
      <c r="L2825" t="s">
        <v>20</v>
      </c>
      <c r="M2825">
        <v>10497</v>
      </c>
      <c r="N2825">
        <v>1020</v>
      </c>
    </row>
    <row r="2826" spans="1:14" x14ac:dyDescent="0.35">
      <c r="A2826" t="s">
        <v>2942</v>
      </c>
      <c r="B2826" t="s">
        <v>15</v>
      </c>
      <c r="C2826" t="s">
        <v>16</v>
      </c>
      <c r="D2826">
        <v>251</v>
      </c>
      <c r="E2826" t="s">
        <v>2941</v>
      </c>
      <c r="F2826">
        <v>5419</v>
      </c>
      <c r="G2826" t="s">
        <v>18</v>
      </c>
      <c r="H2826">
        <v>27</v>
      </c>
      <c r="I2826" t="s">
        <v>19</v>
      </c>
      <c r="J2826">
        <v>1986</v>
      </c>
      <c r="K2826">
        <v>1986</v>
      </c>
      <c r="L2826" t="s">
        <v>20</v>
      </c>
      <c r="M2826">
        <v>10772</v>
      </c>
      <c r="N2826">
        <v>1020</v>
      </c>
    </row>
    <row r="2827" spans="1:14" x14ac:dyDescent="0.35">
      <c r="A2827" t="s">
        <v>2943</v>
      </c>
      <c r="B2827" t="s">
        <v>15</v>
      </c>
      <c r="C2827" t="s">
        <v>16</v>
      </c>
      <c r="D2827">
        <v>251</v>
      </c>
      <c r="E2827" t="s">
        <v>2941</v>
      </c>
      <c r="F2827">
        <v>5419</v>
      </c>
      <c r="G2827" t="s">
        <v>18</v>
      </c>
      <c r="H2827">
        <v>27</v>
      </c>
      <c r="I2827" t="s">
        <v>19</v>
      </c>
      <c r="J2827">
        <v>1987</v>
      </c>
      <c r="K2827">
        <v>1987</v>
      </c>
      <c r="L2827" t="s">
        <v>20</v>
      </c>
      <c r="M2827">
        <v>9486</v>
      </c>
      <c r="N2827">
        <v>1020</v>
      </c>
    </row>
    <row r="2828" spans="1:14" x14ac:dyDescent="0.35">
      <c r="A2828" t="s">
        <v>2944</v>
      </c>
      <c r="B2828" t="s">
        <v>15</v>
      </c>
      <c r="C2828" t="s">
        <v>16</v>
      </c>
      <c r="D2828">
        <v>251</v>
      </c>
      <c r="E2828" t="s">
        <v>2941</v>
      </c>
      <c r="F2828">
        <v>5419</v>
      </c>
      <c r="G2828" t="s">
        <v>18</v>
      </c>
      <c r="H2828">
        <v>27</v>
      </c>
      <c r="I2828" t="s">
        <v>19</v>
      </c>
      <c r="J2828">
        <v>1989</v>
      </c>
      <c r="K2828">
        <v>1989</v>
      </c>
      <c r="L2828" t="s">
        <v>20</v>
      </c>
      <c r="M2828">
        <v>9159</v>
      </c>
      <c r="N2828">
        <v>1020</v>
      </c>
    </row>
    <row r="2829" spans="1:14" x14ac:dyDescent="0.35">
      <c r="A2829" t="s">
        <v>2945</v>
      </c>
      <c r="B2829" t="s">
        <v>15</v>
      </c>
      <c r="C2829" t="s">
        <v>16</v>
      </c>
      <c r="D2829">
        <v>251</v>
      </c>
      <c r="E2829" t="s">
        <v>2941</v>
      </c>
      <c r="F2829">
        <v>5419</v>
      </c>
      <c r="G2829" t="s">
        <v>18</v>
      </c>
      <c r="H2829">
        <v>27</v>
      </c>
      <c r="I2829" t="s">
        <v>19</v>
      </c>
      <c r="J2829">
        <v>1990</v>
      </c>
      <c r="K2829">
        <v>1990</v>
      </c>
      <c r="L2829" t="s">
        <v>20</v>
      </c>
      <c r="M2829">
        <v>9664</v>
      </c>
      <c r="N2829">
        <v>1020</v>
      </c>
    </row>
    <row r="2830" spans="1:14" x14ac:dyDescent="0.35">
      <c r="A2830" t="s">
        <v>2946</v>
      </c>
      <c r="B2830" t="s">
        <v>15</v>
      </c>
      <c r="C2830" t="s">
        <v>16</v>
      </c>
      <c r="D2830">
        <v>251</v>
      </c>
      <c r="E2830" t="s">
        <v>2941</v>
      </c>
      <c r="F2830">
        <v>5419</v>
      </c>
      <c r="G2830" t="s">
        <v>18</v>
      </c>
      <c r="H2830">
        <v>27</v>
      </c>
      <c r="I2830" t="s">
        <v>19</v>
      </c>
      <c r="J2830">
        <v>1991</v>
      </c>
      <c r="K2830">
        <v>1991</v>
      </c>
      <c r="L2830" t="s">
        <v>20</v>
      </c>
      <c r="M2830">
        <v>10857</v>
      </c>
      <c r="N2830">
        <v>1020</v>
      </c>
    </row>
    <row r="2831" spans="1:14" x14ac:dyDescent="0.35">
      <c r="A2831" t="s">
        <v>2947</v>
      </c>
      <c r="B2831" t="s">
        <v>15</v>
      </c>
      <c r="C2831" t="s">
        <v>16</v>
      </c>
      <c r="D2831">
        <v>251</v>
      </c>
      <c r="E2831" t="s">
        <v>2941</v>
      </c>
      <c r="F2831">
        <v>5419</v>
      </c>
      <c r="G2831" t="s">
        <v>18</v>
      </c>
      <c r="H2831">
        <v>27</v>
      </c>
      <c r="I2831" t="s">
        <v>19</v>
      </c>
      <c r="J2831">
        <v>1992</v>
      </c>
      <c r="K2831">
        <v>1992</v>
      </c>
      <c r="L2831" t="s">
        <v>20</v>
      </c>
      <c r="M2831">
        <v>5764</v>
      </c>
      <c r="N2831">
        <v>1020</v>
      </c>
    </row>
    <row r="2832" spans="1:14" x14ac:dyDescent="0.35">
      <c r="A2832" t="s">
        <v>2948</v>
      </c>
      <c r="B2832" t="s">
        <v>15</v>
      </c>
      <c r="C2832" t="s">
        <v>16</v>
      </c>
      <c r="D2832">
        <v>251</v>
      </c>
      <c r="E2832" t="s">
        <v>2941</v>
      </c>
      <c r="F2832">
        <v>5419</v>
      </c>
      <c r="G2832" t="s">
        <v>18</v>
      </c>
      <c r="H2832">
        <v>27</v>
      </c>
      <c r="I2832" t="s">
        <v>19</v>
      </c>
      <c r="J2832">
        <v>1993</v>
      </c>
      <c r="K2832">
        <v>1993</v>
      </c>
      <c r="L2832" t="s">
        <v>20</v>
      </c>
      <c r="M2832">
        <v>10138</v>
      </c>
      <c r="N2832">
        <v>1020</v>
      </c>
    </row>
    <row r="2833" spans="1:14" x14ac:dyDescent="0.35">
      <c r="A2833" t="s">
        <v>2949</v>
      </c>
      <c r="B2833" t="s">
        <v>15</v>
      </c>
      <c r="C2833" t="s">
        <v>16</v>
      </c>
      <c r="D2833">
        <v>251</v>
      </c>
      <c r="E2833" t="s">
        <v>2941</v>
      </c>
      <c r="F2833">
        <v>5419</v>
      </c>
      <c r="G2833" t="s">
        <v>18</v>
      </c>
      <c r="H2833">
        <v>27</v>
      </c>
      <c r="I2833" t="s">
        <v>19</v>
      </c>
      <c r="J2833">
        <v>1994</v>
      </c>
      <c r="K2833">
        <v>1994</v>
      </c>
      <c r="L2833" t="s">
        <v>20</v>
      </c>
      <c r="M2833">
        <v>8859</v>
      </c>
      <c r="N2833">
        <v>1020</v>
      </c>
    </row>
    <row r="2834" spans="1:14" x14ac:dyDescent="0.35">
      <c r="A2834" t="s">
        <v>2950</v>
      </c>
      <c r="B2834" t="s">
        <v>15</v>
      </c>
      <c r="C2834" t="s">
        <v>16</v>
      </c>
      <c r="D2834">
        <v>251</v>
      </c>
      <c r="E2834" t="s">
        <v>2941</v>
      </c>
      <c r="F2834">
        <v>5419</v>
      </c>
      <c r="G2834" t="s">
        <v>18</v>
      </c>
      <c r="H2834">
        <v>27</v>
      </c>
      <c r="I2834" t="s">
        <v>19</v>
      </c>
      <c r="J2834">
        <v>1995</v>
      </c>
      <c r="K2834">
        <v>1995</v>
      </c>
      <c r="L2834" t="s">
        <v>20</v>
      </c>
      <c r="M2834">
        <v>12426</v>
      </c>
      <c r="N2834">
        <v>1020</v>
      </c>
    </row>
    <row r="2835" spans="1:14" x14ac:dyDescent="0.35">
      <c r="A2835" t="s">
        <v>2951</v>
      </c>
      <c r="B2835" t="s">
        <v>15</v>
      </c>
      <c r="C2835" t="s">
        <v>16</v>
      </c>
      <c r="D2835">
        <v>251</v>
      </c>
      <c r="E2835" t="s">
        <v>2941</v>
      </c>
      <c r="F2835">
        <v>5419</v>
      </c>
      <c r="G2835" t="s">
        <v>18</v>
      </c>
      <c r="H2835">
        <v>27</v>
      </c>
      <c r="I2835" t="s">
        <v>19</v>
      </c>
      <c r="J2835">
        <v>1996</v>
      </c>
      <c r="K2835">
        <v>1996</v>
      </c>
      <c r="L2835" t="s">
        <v>20</v>
      </c>
      <c r="M2835">
        <v>13447</v>
      </c>
      <c r="N2835">
        <v>1020</v>
      </c>
    </row>
    <row r="2836" spans="1:14" x14ac:dyDescent="0.35">
      <c r="A2836" t="s">
        <v>2952</v>
      </c>
      <c r="B2836" t="s">
        <v>15</v>
      </c>
      <c r="C2836" t="s">
        <v>16</v>
      </c>
      <c r="D2836">
        <v>251</v>
      </c>
      <c r="E2836" t="s">
        <v>2941</v>
      </c>
      <c r="F2836">
        <v>5419</v>
      </c>
      <c r="G2836" t="s">
        <v>18</v>
      </c>
      <c r="H2836">
        <v>27</v>
      </c>
      <c r="I2836" t="s">
        <v>19</v>
      </c>
      <c r="J2836">
        <v>1997</v>
      </c>
      <c r="K2836">
        <v>1997</v>
      </c>
      <c r="L2836" t="s">
        <v>20</v>
      </c>
      <c r="M2836">
        <v>10049</v>
      </c>
      <c r="N2836">
        <v>1020</v>
      </c>
    </row>
    <row r="2837" spans="1:14" x14ac:dyDescent="0.35">
      <c r="A2837" t="s">
        <v>2953</v>
      </c>
      <c r="B2837" t="s">
        <v>15</v>
      </c>
      <c r="C2837" t="s">
        <v>16</v>
      </c>
      <c r="D2837">
        <v>251</v>
      </c>
      <c r="E2837" t="s">
        <v>2941</v>
      </c>
      <c r="F2837">
        <v>5419</v>
      </c>
      <c r="G2837" t="s">
        <v>18</v>
      </c>
      <c r="H2837">
        <v>27</v>
      </c>
      <c r="I2837" t="s">
        <v>19</v>
      </c>
      <c r="J2837">
        <v>1998</v>
      </c>
      <c r="K2837">
        <v>1998</v>
      </c>
      <c r="L2837" t="s">
        <v>20</v>
      </c>
      <c r="M2837">
        <v>7059</v>
      </c>
      <c r="N2837">
        <v>1020</v>
      </c>
    </row>
    <row r="2838" spans="1:14" x14ac:dyDescent="0.35">
      <c r="A2838" t="s">
        <v>2954</v>
      </c>
      <c r="B2838" t="s">
        <v>15</v>
      </c>
      <c r="C2838" t="s">
        <v>16</v>
      </c>
      <c r="D2838">
        <v>251</v>
      </c>
      <c r="E2838" t="s">
        <v>2941</v>
      </c>
      <c r="F2838">
        <v>5419</v>
      </c>
      <c r="G2838" t="s">
        <v>18</v>
      </c>
      <c r="H2838">
        <v>27</v>
      </c>
      <c r="I2838" t="s">
        <v>19</v>
      </c>
      <c r="J2838">
        <v>1999</v>
      </c>
      <c r="K2838">
        <v>1999</v>
      </c>
      <c r="L2838" t="s">
        <v>20</v>
      </c>
      <c r="M2838">
        <v>9119</v>
      </c>
      <c r="N2838">
        <v>1020</v>
      </c>
    </row>
    <row r="2839" spans="1:14" x14ac:dyDescent="0.35">
      <c r="A2839" t="s">
        <v>2955</v>
      </c>
      <c r="B2839" t="s">
        <v>15</v>
      </c>
      <c r="C2839" t="s">
        <v>16</v>
      </c>
      <c r="D2839">
        <v>251</v>
      </c>
      <c r="E2839" t="s">
        <v>2941</v>
      </c>
      <c r="F2839">
        <v>5419</v>
      </c>
      <c r="G2839" t="s">
        <v>18</v>
      </c>
      <c r="H2839">
        <v>27</v>
      </c>
      <c r="I2839" t="s">
        <v>19</v>
      </c>
      <c r="J2839">
        <v>2000</v>
      </c>
      <c r="K2839">
        <v>2000</v>
      </c>
      <c r="L2839" t="s">
        <v>20</v>
      </c>
      <c r="M2839">
        <v>11333</v>
      </c>
      <c r="N2839">
        <v>1020</v>
      </c>
    </row>
    <row r="2840" spans="1:14" x14ac:dyDescent="0.35">
      <c r="A2840" t="s">
        <v>2956</v>
      </c>
      <c r="B2840" t="s">
        <v>15</v>
      </c>
      <c r="C2840" t="s">
        <v>16</v>
      </c>
      <c r="D2840">
        <v>251</v>
      </c>
      <c r="E2840" t="s">
        <v>2941</v>
      </c>
      <c r="F2840">
        <v>5419</v>
      </c>
      <c r="G2840" t="s">
        <v>18</v>
      </c>
      <c r="H2840">
        <v>27</v>
      </c>
      <c r="I2840" t="s">
        <v>19</v>
      </c>
      <c r="J2840">
        <v>2001</v>
      </c>
      <c r="K2840">
        <v>2001</v>
      </c>
      <c r="L2840" t="s">
        <v>20</v>
      </c>
      <c r="M2840">
        <v>12562</v>
      </c>
      <c r="N2840">
        <v>1020</v>
      </c>
    </row>
    <row r="2841" spans="1:14" x14ac:dyDescent="0.35">
      <c r="A2841" t="s">
        <v>2957</v>
      </c>
      <c r="B2841" t="s">
        <v>15</v>
      </c>
      <c r="C2841" t="s">
        <v>16</v>
      </c>
      <c r="D2841">
        <v>251</v>
      </c>
      <c r="E2841" t="s">
        <v>2941</v>
      </c>
      <c r="F2841">
        <v>5419</v>
      </c>
      <c r="G2841" t="s">
        <v>18</v>
      </c>
      <c r="H2841">
        <v>27</v>
      </c>
      <c r="I2841" t="s">
        <v>19</v>
      </c>
      <c r="J2841">
        <v>2002</v>
      </c>
      <c r="K2841">
        <v>2002</v>
      </c>
      <c r="L2841" t="s">
        <v>20</v>
      </c>
      <c r="M2841">
        <v>12857</v>
      </c>
      <c r="N2841">
        <v>1020</v>
      </c>
    </row>
    <row r="2842" spans="1:14" x14ac:dyDescent="0.35">
      <c r="A2842" t="s">
        <v>2958</v>
      </c>
      <c r="B2842" t="s">
        <v>15</v>
      </c>
      <c r="C2842" t="s">
        <v>16</v>
      </c>
      <c r="D2842">
        <v>251</v>
      </c>
      <c r="E2842" t="s">
        <v>2941</v>
      </c>
      <c r="F2842">
        <v>5419</v>
      </c>
      <c r="G2842" t="s">
        <v>18</v>
      </c>
      <c r="H2842">
        <v>27</v>
      </c>
      <c r="I2842" t="s">
        <v>19</v>
      </c>
      <c r="J2842">
        <v>2004</v>
      </c>
      <c r="K2842">
        <v>2004</v>
      </c>
      <c r="L2842" t="s">
        <v>20</v>
      </c>
      <c r="M2842">
        <v>13751</v>
      </c>
      <c r="N2842">
        <v>1020</v>
      </c>
    </row>
    <row r="2843" spans="1:14" x14ac:dyDescent="0.35">
      <c r="A2843" t="s">
        <v>2959</v>
      </c>
      <c r="B2843" t="s">
        <v>15</v>
      </c>
      <c r="C2843" t="s">
        <v>16</v>
      </c>
      <c r="D2843">
        <v>251</v>
      </c>
      <c r="E2843" t="s">
        <v>2941</v>
      </c>
      <c r="F2843">
        <v>5419</v>
      </c>
      <c r="G2843" t="s">
        <v>18</v>
      </c>
      <c r="H2843">
        <v>27</v>
      </c>
      <c r="I2843" t="s">
        <v>19</v>
      </c>
      <c r="J2843">
        <v>2005</v>
      </c>
      <c r="K2843">
        <v>2005</v>
      </c>
      <c r="L2843" t="s">
        <v>20</v>
      </c>
      <c r="M2843">
        <v>12864</v>
      </c>
      <c r="N2843">
        <v>1020</v>
      </c>
    </row>
    <row r="2844" spans="1:14" x14ac:dyDescent="0.35">
      <c r="A2844" t="s">
        <v>2960</v>
      </c>
      <c r="B2844" t="s">
        <v>15</v>
      </c>
      <c r="C2844" t="s">
        <v>16</v>
      </c>
      <c r="D2844">
        <v>251</v>
      </c>
      <c r="E2844" t="s">
        <v>2941</v>
      </c>
      <c r="F2844">
        <v>5419</v>
      </c>
      <c r="G2844" t="s">
        <v>18</v>
      </c>
      <c r="H2844">
        <v>27</v>
      </c>
      <c r="I2844" t="s">
        <v>19</v>
      </c>
      <c r="J2844">
        <v>2006</v>
      </c>
      <c r="K2844">
        <v>2006</v>
      </c>
      <c r="L2844" t="s">
        <v>20</v>
      </c>
      <c r="M2844">
        <v>9726</v>
      </c>
      <c r="N2844">
        <v>1020</v>
      </c>
    </row>
    <row r="2845" spans="1:14" x14ac:dyDescent="0.35">
      <c r="A2845" t="s">
        <v>2961</v>
      </c>
      <c r="B2845" t="s">
        <v>15</v>
      </c>
      <c r="C2845" t="s">
        <v>16</v>
      </c>
      <c r="D2845">
        <v>251</v>
      </c>
      <c r="E2845" t="s">
        <v>2941</v>
      </c>
      <c r="F2845">
        <v>5419</v>
      </c>
      <c r="G2845" t="s">
        <v>18</v>
      </c>
      <c r="H2845">
        <v>27</v>
      </c>
      <c r="I2845" t="s">
        <v>19</v>
      </c>
      <c r="J2845">
        <v>2007</v>
      </c>
      <c r="K2845">
        <v>2007</v>
      </c>
      <c r="L2845" t="s">
        <v>20</v>
      </c>
      <c r="M2845">
        <v>15126</v>
      </c>
      <c r="N2845">
        <v>1020</v>
      </c>
    </row>
    <row r="2846" spans="1:14" x14ac:dyDescent="0.35">
      <c r="A2846" t="s">
        <v>2962</v>
      </c>
      <c r="B2846" t="s">
        <v>15</v>
      </c>
      <c r="C2846" t="s">
        <v>16</v>
      </c>
      <c r="D2846">
        <v>251</v>
      </c>
      <c r="E2846" t="s">
        <v>2941</v>
      </c>
      <c r="F2846">
        <v>5419</v>
      </c>
      <c r="G2846" t="s">
        <v>18</v>
      </c>
      <c r="H2846">
        <v>27</v>
      </c>
      <c r="I2846" t="s">
        <v>19</v>
      </c>
      <c r="J2846">
        <v>2008</v>
      </c>
      <c r="K2846">
        <v>2008</v>
      </c>
      <c r="L2846" t="s">
        <v>20</v>
      </c>
      <c r="M2846">
        <v>13833</v>
      </c>
      <c r="N2846">
        <v>1020</v>
      </c>
    </row>
    <row r="2847" spans="1:14" x14ac:dyDescent="0.35">
      <c r="A2847" t="s">
        <v>2963</v>
      </c>
      <c r="B2847" t="s">
        <v>15</v>
      </c>
      <c r="C2847" t="s">
        <v>16</v>
      </c>
      <c r="D2847">
        <v>251</v>
      </c>
      <c r="E2847" t="s">
        <v>2941</v>
      </c>
      <c r="F2847">
        <v>5419</v>
      </c>
      <c r="G2847" t="s">
        <v>18</v>
      </c>
      <c r="H2847">
        <v>27</v>
      </c>
      <c r="I2847" t="s">
        <v>19</v>
      </c>
      <c r="J2847">
        <v>2009</v>
      </c>
      <c r="K2847">
        <v>2009</v>
      </c>
      <c r="L2847" t="s">
        <v>20</v>
      </c>
      <c r="M2847">
        <v>16390</v>
      </c>
      <c r="N2847">
        <v>1020</v>
      </c>
    </row>
    <row r="2848" spans="1:14" x14ac:dyDescent="0.35">
      <c r="A2848" t="s">
        <v>2964</v>
      </c>
      <c r="B2848" t="s">
        <v>15</v>
      </c>
      <c r="C2848" t="s">
        <v>16</v>
      </c>
      <c r="D2848">
        <v>251</v>
      </c>
      <c r="E2848" t="s">
        <v>2941</v>
      </c>
      <c r="F2848">
        <v>5419</v>
      </c>
      <c r="G2848" t="s">
        <v>18</v>
      </c>
      <c r="H2848">
        <v>27</v>
      </c>
      <c r="I2848" t="s">
        <v>19</v>
      </c>
      <c r="J2848">
        <v>2010</v>
      </c>
      <c r="K2848">
        <v>2010</v>
      </c>
      <c r="L2848" t="s">
        <v>20</v>
      </c>
      <c r="M2848">
        <v>16778</v>
      </c>
      <c r="N2848">
        <v>1020</v>
      </c>
    </row>
    <row r="2849" spans="1:14" x14ac:dyDescent="0.35">
      <c r="A2849" t="s">
        <v>2965</v>
      </c>
      <c r="B2849" t="s">
        <v>15</v>
      </c>
      <c r="C2849" t="s">
        <v>16</v>
      </c>
      <c r="D2849">
        <v>251</v>
      </c>
      <c r="E2849" t="s">
        <v>2941</v>
      </c>
      <c r="F2849">
        <v>5419</v>
      </c>
      <c r="G2849" t="s">
        <v>18</v>
      </c>
      <c r="H2849">
        <v>27</v>
      </c>
      <c r="I2849" t="s">
        <v>19</v>
      </c>
      <c r="J2849">
        <v>2011</v>
      </c>
      <c r="K2849">
        <v>2011</v>
      </c>
      <c r="L2849" t="s">
        <v>20</v>
      </c>
      <c r="M2849">
        <v>17974</v>
      </c>
      <c r="N2849">
        <v>1020</v>
      </c>
    </row>
    <row r="2850" spans="1:14" x14ac:dyDescent="0.35">
      <c r="A2850" t="s">
        <v>2966</v>
      </c>
      <c r="B2850" t="s">
        <v>15</v>
      </c>
      <c r="C2850" t="s">
        <v>16</v>
      </c>
      <c r="D2850">
        <v>251</v>
      </c>
      <c r="E2850" t="s">
        <v>2941</v>
      </c>
      <c r="F2850">
        <v>5419</v>
      </c>
      <c r="G2850" t="s">
        <v>18</v>
      </c>
      <c r="H2850">
        <v>27</v>
      </c>
      <c r="I2850" t="s">
        <v>19</v>
      </c>
      <c r="J2850">
        <v>2012</v>
      </c>
      <c r="K2850">
        <v>2012</v>
      </c>
      <c r="L2850" t="s">
        <v>20</v>
      </c>
      <c r="M2850">
        <v>17255</v>
      </c>
      <c r="N2850">
        <v>1020</v>
      </c>
    </row>
    <row r="2851" spans="1:14" x14ac:dyDescent="0.35">
      <c r="A2851" t="s">
        <v>2967</v>
      </c>
      <c r="B2851" t="s">
        <v>15</v>
      </c>
      <c r="C2851" t="s">
        <v>16</v>
      </c>
      <c r="D2851">
        <v>251</v>
      </c>
      <c r="E2851" t="s">
        <v>2941</v>
      </c>
      <c r="F2851">
        <v>5419</v>
      </c>
      <c r="G2851" t="s">
        <v>18</v>
      </c>
      <c r="H2851">
        <v>27</v>
      </c>
      <c r="I2851" t="s">
        <v>19</v>
      </c>
      <c r="J2851">
        <v>2013</v>
      </c>
      <c r="K2851">
        <v>2013</v>
      </c>
      <c r="L2851" t="s">
        <v>20</v>
      </c>
      <c r="M2851">
        <v>11617</v>
      </c>
      <c r="N2851">
        <v>1020</v>
      </c>
    </row>
    <row r="2852" spans="1:14" x14ac:dyDescent="0.35">
      <c r="A2852" t="s">
        <v>2968</v>
      </c>
      <c r="B2852" t="s">
        <v>15</v>
      </c>
      <c r="C2852" t="s">
        <v>16</v>
      </c>
      <c r="D2852">
        <v>251</v>
      </c>
      <c r="E2852" t="s">
        <v>2941</v>
      </c>
      <c r="F2852">
        <v>5419</v>
      </c>
      <c r="G2852" t="s">
        <v>18</v>
      </c>
      <c r="H2852">
        <v>27</v>
      </c>
      <c r="I2852" t="s">
        <v>19</v>
      </c>
      <c r="J2852">
        <v>2014</v>
      </c>
      <c r="K2852">
        <v>2014</v>
      </c>
      <c r="L2852" t="s">
        <v>20</v>
      </c>
      <c r="M2852">
        <v>14949</v>
      </c>
      <c r="N2852">
        <v>1020</v>
      </c>
    </row>
    <row r="2853" spans="1:14" x14ac:dyDescent="0.35">
      <c r="A2853" t="s">
        <v>2969</v>
      </c>
      <c r="B2853" t="s">
        <v>15</v>
      </c>
      <c r="C2853" t="s">
        <v>16</v>
      </c>
      <c r="D2853">
        <v>251</v>
      </c>
      <c r="E2853" t="s">
        <v>2941</v>
      </c>
      <c r="F2853">
        <v>5419</v>
      </c>
      <c r="G2853" t="s">
        <v>18</v>
      </c>
      <c r="H2853">
        <v>27</v>
      </c>
      <c r="I2853" t="s">
        <v>19</v>
      </c>
      <c r="J2853">
        <v>2015</v>
      </c>
      <c r="K2853">
        <v>2015</v>
      </c>
      <c r="L2853" t="s">
        <v>20</v>
      </c>
      <c r="M2853">
        <v>14248</v>
      </c>
      <c r="N2853">
        <v>1020</v>
      </c>
    </row>
    <row r="2854" spans="1:14" x14ac:dyDescent="0.35">
      <c r="A2854" t="s">
        <v>2970</v>
      </c>
      <c r="B2854" t="s">
        <v>15</v>
      </c>
      <c r="C2854" t="s">
        <v>16</v>
      </c>
      <c r="D2854">
        <v>251</v>
      </c>
      <c r="E2854" t="s">
        <v>2941</v>
      </c>
      <c r="F2854">
        <v>5419</v>
      </c>
      <c r="G2854" t="s">
        <v>18</v>
      </c>
      <c r="H2854">
        <v>27</v>
      </c>
      <c r="I2854" t="s">
        <v>19</v>
      </c>
      <c r="J2854">
        <v>2016</v>
      </c>
      <c r="K2854">
        <v>2016</v>
      </c>
      <c r="L2854" t="s">
        <v>20</v>
      </c>
      <c r="M2854">
        <v>12077</v>
      </c>
      <c r="N2854">
        <v>1020</v>
      </c>
    </row>
    <row r="2855" spans="1:14" x14ac:dyDescent="0.35">
      <c r="A2855" t="s">
        <v>2971</v>
      </c>
      <c r="B2855" t="s">
        <v>15</v>
      </c>
      <c r="C2855" t="s">
        <v>16</v>
      </c>
      <c r="D2855">
        <v>181</v>
      </c>
      <c r="E2855" t="s">
        <v>2972</v>
      </c>
      <c r="F2855">
        <v>5419</v>
      </c>
      <c r="G2855" t="s">
        <v>18</v>
      </c>
      <c r="H2855">
        <v>27</v>
      </c>
      <c r="I2855" t="s">
        <v>19</v>
      </c>
      <c r="J2855">
        <v>1985</v>
      </c>
      <c r="K2855">
        <v>1985</v>
      </c>
      <c r="L2855" t="s">
        <v>20</v>
      </c>
      <c r="M2855">
        <v>14300</v>
      </c>
      <c r="N2855">
        <v>657</v>
      </c>
    </row>
    <row r="2856" spans="1:14" x14ac:dyDescent="0.35">
      <c r="A2856" t="s">
        <v>2973</v>
      </c>
      <c r="B2856" t="s">
        <v>15</v>
      </c>
      <c r="C2856" t="s">
        <v>16</v>
      </c>
      <c r="D2856">
        <v>181</v>
      </c>
      <c r="E2856" t="s">
        <v>2972</v>
      </c>
      <c r="F2856">
        <v>5419</v>
      </c>
      <c r="G2856" t="s">
        <v>18</v>
      </c>
      <c r="H2856">
        <v>27</v>
      </c>
      <c r="I2856" t="s">
        <v>19</v>
      </c>
      <c r="J2856">
        <v>1986</v>
      </c>
      <c r="K2856">
        <v>1986</v>
      </c>
      <c r="L2856" t="s">
        <v>20</v>
      </c>
      <c r="M2856">
        <v>29100</v>
      </c>
      <c r="N2856">
        <v>657</v>
      </c>
    </row>
    <row r="2857" spans="1:14" x14ac:dyDescent="0.35">
      <c r="A2857" t="s">
        <v>2974</v>
      </c>
      <c r="B2857" t="s">
        <v>15</v>
      </c>
      <c r="C2857" t="s">
        <v>16</v>
      </c>
      <c r="D2857">
        <v>181</v>
      </c>
      <c r="E2857" t="s">
        <v>2972</v>
      </c>
      <c r="F2857">
        <v>5419</v>
      </c>
      <c r="G2857" t="s">
        <v>18</v>
      </c>
      <c r="H2857">
        <v>27</v>
      </c>
      <c r="I2857" t="s">
        <v>19</v>
      </c>
      <c r="J2857">
        <v>1987</v>
      </c>
      <c r="K2857">
        <v>1987</v>
      </c>
      <c r="L2857" t="s">
        <v>20</v>
      </c>
      <c r="M2857">
        <v>28744</v>
      </c>
      <c r="N2857">
        <v>657</v>
      </c>
    </row>
    <row r="2858" spans="1:14" x14ac:dyDescent="0.35">
      <c r="A2858" t="s">
        <v>2975</v>
      </c>
      <c r="B2858" t="s">
        <v>15</v>
      </c>
      <c r="C2858" t="s">
        <v>16</v>
      </c>
      <c r="D2858">
        <v>181</v>
      </c>
      <c r="E2858" t="s">
        <v>2972</v>
      </c>
      <c r="F2858">
        <v>5419</v>
      </c>
      <c r="G2858" t="s">
        <v>18</v>
      </c>
      <c r="H2858">
        <v>27</v>
      </c>
      <c r="I2858" t="s">
        <v>19</v>
      </c>
      <c r="J2858">
        <v>1989</v>
      </c>
      <c r="K2858">
        <v>1989</v>
      </c>
      <c r="L2858" t="s">
        <v>20</v>
      </c>
      <c r="M2858">
        <v>26847</v>
      </c>
      <c r="N2858">
        <v>657</v>
      </c>
    </row>
    <row r="2859" spans="1:14" x14ac:dyDescent="0.35">
      <c r="A2859" t="s">
        <v>2976</v>
      </c>
      <c r="B2859" t="s">
        <v>15</v>
      </c>
      <c r="C2859" t="s">
        <v>16</v>
      </c>
      <c r="D2859">
        <v>181</v>
      </c>
      <c r="E2859" t="s">
        <v>2972</v>
      </c>
      <c r="F2859">
        <v>5419</v>
      </c>
      <c r="G2859" t="s">
        <v>18</v>
      </c>
      <c r="H2859">
        <v>27</v>
      </c>
      <c r="I2859" t="s">
        <v>19</v>
      </c>
      <c r="J2859">
        <v>1990</v>
      </c>
      <c r="K2859">
        <v>1990</v>
      </c>
      <c r="L2859" t="s">
        <v>20</v>
      </c>
      <c r="M2859">
        <v>23400</v>
      </c>
      <c r="N2859">
        <v>657</v>
      </c>
    </row>
    <row r="2860" spans="1:14" x14ac:dyDescent="0.35">
      <c r="A2860" t="s">
        <v>2977</v>
      </c>
      <c r="B2860" t="s">
        <v>15</v>
      </c>
      <c r="C2860" t="s">
        <v>16</v>
      </c>
      <c r="D2860">
        <v>181</v>
      </c>
      <c r="E2860" t="s">
        <v>2972</v>
      </c>
      <c r="F2860">
        <v>5419</v>
      </c>
      <c r="G2860" t="s">
        <v>18</v>
      </c>
      <c r="H2860">
        <v>27</v>
      </c>
      <c r="I2860" t="s">
        <v>19</v>
      </c>
      <c r="J2860">
        <v>1991</v>
      </c>
      <c r="K2860">
        <v>1991</v>
      </c>
      <c r="L2860" t="s">
        <v>20</v>
      </c>
      <c r="M2860">
        <v>22500</v>
      </c>
      <c r="N2860">
        <v>657</v>
      </c>
    </row>
    <row r="2861" spans="1:14" x14ac:dyDescent="0.35">
      <c r="A2861" t="s">
        <v>2978</v>
      </c>
      <c r="B2861" t="s">
        <v>15</v>
      </c>
      <c r="C2861" t="s">
        <v>16</v>
      </c>
      <c r="D2861">
        <v>181</v>
      </c>
      <c r="E2861" t="s">
        <v>2972</v>
      </c>
      <c r="F2861">
        <v>5419</v>
      </c>
      <c r="G2861" t="s">
        <v>18</v>
      </c>
      <c r="H2861">
        <v>27</v>
      </c>
      <c r="I2861" t="s">
        <v>19</v>
      </c>
      <c r="J2861">
        <v>1992</v>
      </c>
      <c r="K2861">
        <v>1992</v>
      </c>
      <c r="L2861" t="s">
        <v>20</v>
      </c>
      <c r="M2861">
        <v>22222</v>
      </c>
      <c r="N2861">
        <v>657</v>
      </c>
    </row>
    <row r="2862" spans="1:14" x14ac:dyDescent="0.35">
      <c r="A2862" t="s">
        <v>2979</v>
      </c>
      <c r="B2862" t="s">
        <v>15</v>
      </c>
      <c r="C2862" t="s">
        <v>16</v>
      </c>
      <c r="D2862">
        <v>181</v>
      </c>
      <c r="E2862" t="s">
        <v>2972</v>
      </c>
      <c r="F2862">
        <v>5419</v>
      </c>
      <c r="G2862" t="s">
        <v>18</v>
      </c>
      <c r="H2862">
        <v>27</v>
      </c>
      <c r="I2862" t="s">
        <v>19</v>
      </c>
      <c r="J2862">
        <v>1993</v>
      </c>
      <c r="K2862">
        <v>1993</v>
      </c>
      <c r="L2862" t="s">
        <v>20</v>
      </c>
      <c r="M2862">
        <v>25000</v>
      </c>
      <c r="N2862">
        <v>657</v>
      </c>
    </row>
    <row r="2863" spans="1:14" x14ac:dyDescent="0.35">
      <c r="A2863" t="s">
        <v>2980</v>
      </c>
      <c r="B2863" t="s">
        <v>15</v>
      </c>
      <c r="C2863" t="s">
        <v>16</v>
      </c>
      <c r="D2863">
        <v>181</v>
      </c>
      <c r="E2863" t="s">
        <v>2972</v>
      </c>
      <c r="F2863">
        <v>5419</v>
      </c>
      <c r="G2863" t="s">
        <v>18</v>
      </c>
      <c r="H2863">
        <v>27</v>
      </c>
      <c r="I2863" t="s">
        <v>19</v>
      </c>
      <c r="J2863">
        <v>1994</v>
      </c>
      <c r="K2863">
        <v>1994</v>
      </c>
      <c r="L2863" t="s">
        <v>20</v>
      </c>
      <c r="M2863">
        <v>23871</v>
      </c>
      <c r="N2863">
        <v>657</v>
      </c>
    </row>
    <row r="2864" spans="1:14" x14ac:dyDescent="0.35">
      <c r="A2864" t="s">
        <v>2981</v>
      </c>
      <c r="B2864" t="s">
        <v>15</v>
      </c>
      <c r="C2864" t="s">
        <v>16</v>
      </c>
      <c r="D2864">
        <v>181</v>
      </c>
      <c r="E2864" t="s">
        <v>2972</v>
      </c>
      <c r="F2864">
        <v>5419</v>
      </c>
      <c r="G2864" t="s">
        <v>18</v>
      </c>
      <c r="H2864">
        <v>27</v>
      </c>
      <c r="I2864" t="s">
        <v>19</v>
      </c>
      <c r="J2864">
        <v>1995</v>
      </c>
      <c r="K2864">
        <v>1995</v>
      </c>
      <c r="L2864" t="s">
        <v>20</v>
      </c>
      <c r="M2864">
        <v>23246</v>
      </c>
      <c r="N2864">
        <v>657</v>
      </c>
    </row>
    <row r="2865" spans="1:14" x14ac:dyDescent="0.35">
      <c r="A2865" t="s">
        <v>2982</v>
      </c>
      <c r="B2865" t="s">
        <v>15</v>
      </c>
      <c r="C2865" t="s">
        <v>16</v>
      </c>
      <c r="D2865">
        <v>181</v>
      </c>
      <c r="E2865" t="s">
        <v>2972</v>
      </c>
      <c r="F2865">
        <v>5419</v>
      </c>
      <c r="G2865" t="s">
        <v>18</v>
      </c>
      <c r="H2865">
        <v>27</v>
      </c>
      <c r="I2865" t="s">
        <v>19</v>
      </c>
      <c r="J2865">
        <v>1996</v>
      </c>
      <c r="K2865">
        <v>1996</v>
      </c>
      <c r="L2865" t="s">
        <v>20</v>
      </c>
      <c r="M2865">
        <v>22727</v>
      </c>
      <c r="N2865">
        <v>657</v>
      </c>
    </row>
    <row r="2866" spans="1:14" x14ac:dyDescent="0.35">
      <c r="A2866" t="s">
        <v>2983</v>
      </c>
      <c r="B2866" t="s">
        <v>15</v>
      </c>
      <c r="C2866" t="s">
        <v>16</v>
      </c>
      <c r="D2866">
        <v>181</v>
      </c>
      <c r="E2866" t="s">
        <v>2972</v>
      </c>
      <c r="F2866">
        <v>5419</v>
      </c>
      <c r="G2866" t="s">
        <v>18</v>
      </c>
      <c r="H2866">
        <v>27</v>
      </c>
      <c r="I2866" t="s">
        <v>19</v>
      </c>
      <c r="J2866">
        <v>1997</v>
      </c>
      <c r="K2866">
        <v>1997</v>
      </c>
      <c r="L2866" t="s">
        <v>20</v>
      </c>
      <c r="M2866">
        <v>22133</v>
      </c>
      <c r="N2866">
        <v>657</v>
      </c>
    </row>
    <row r="2867" spans="1:14" x14ac:dyDescent="0.35">
      <c r="A2867" t="s">
        <v>2984</v>
      </c>
      <c r="B2867" t="s">
        <v>15</v>
      </c>
      <c r="C2867" t="s">
        <v>16</v>
      </c>
      <c r="D2867">
        <v>181</v>
      </c>
      <c r="E2867" t="s">
        <v>2972</v>
      </c>
      <c r="F2867">
        <v>5419</v>
      </c>
      <c r="G2867" t="s">
        <v>18</v>
      </c>
      <c r="H2867">
        <v>27</v>
      </c>
      <c r="I2867" t="s">
        <v>19</v>
      </c>
      <c r="J2867">
        <v>1998</v>
      </c>
      <c r="K2867">
        <v>1998</v>
      </c>
      <c r="L2867" t="s">
        <v>20</v>
      </c>
      <c r="M2867">
        <v>20000</v>
      </c>
      <c r="N2867">
        <v>657</v>
      </c>
    </row>
    <row r="2868" spans="1:14" x14ac:dyDescent="0.35">
      <c r="A2868" t="s">
        <v>2985</v>
      </c>
      <c r="B2868" t="s">
        <v>15</v>
      </c>
      <c r="C2868" t="s">
        <v>16</v>
      </c>
      <c r="D2868">
        <v>181</v>
      </c>
      <c r="E2868" t="s">
        <v>2972</v>
      </c>
      <c r="F2868">
        <v>5419</v>
      </c>
      <c r="G2868" t="s">
        <v>18</v>
      </c>
      <c r="H2868">
        <v>27</v>
      </c>
      <c r="I2868" t="s">
        <v>19</v>
      </c>
      <c r="J2868">
        <v>1999</v>
      </c>
      <c r="K2868">
        <v>1999</v>
      </c>
      <c r="L2868" t="s">
        <v>20</v>
      </c>
      <c r="M2868">
        <v>21457</v>
      </c>
      <c r="N2868">
        <v>657</v>
      </c>
    </row>
    <row r="2869" spans="1:14" x14ac:dyDescent="0.35">
      <c r="A2869" t="s">
        <v>2986</v>
      </c>
      <c r="B2869" t="s">
        <v>15</v>
      </c>
      <c r="C2869" t="s">
        <v>16</v>
      </c>
      <c r="D2869">
        <v>181</v>
      </c>
      <c r="E2869" t="s">
        <v>2972</v>
      </c>
      <c r="F2869">
        <v>5419</v>
      </c>
      <c r="G2869" t="s">
        <v>18</v>
      </c>
      <c r="H2869">
        <v>27</v>
      </c>
      <c r="I2869" t="s">
        <v>19</v>
      </c>
      <c r="J2869">
        <v>2000</v>
      </c>
      <c r="K2869">
        <v>2000</v>
      </c>
      <c r="L2869" t="s">
        <v>20</v>
      </c>
      <c r="M2869">
        <v>20000</v>
      </c>
      <c r="N2869">
        <v>657</v>
      </c>
    </row>
    <row r="2870" spans="1:14" x14ac:dyDescent="0.35">
      <c r="A2870" t="s">
        <v>2987</v>
      </c>
      <c r="B2870" t="s">
        <v>15</v>
      </c>
      <c r="C2870" t="s">
        <v>16</v>
      </c>
      <c r="D2870">
        <v>181</v>
      </c>
      <c r="E2870" t="s">
        <v>2972</v>
      </c>
      <c r="F2870">
        <v>5419</v>
      </c>
      <c r="G2870" t="s">
        <v>18</v>
      </c>
      <c r="H2870">
        <v>27</v>
      </c>
      <c r="I2870" t="s">
        <v>19</v>
      </c>
      <c r="J2870">
        <v>2001</v>
      </c>
      <c r="K2870">
        <v>2001</v>
      </c>
      <c r="L2870" t="s">
        <v>20</v>
      </c>
      <c r="M2870">
        <v>22070</v>
      </c>
      <c r="N2870">
        <v>657</v>
      </c>
    </row>
    <row r="2871" spans="1:14" x14ac:dyDescent="0.35">
      <c r="A2871" t="s">
        <v>2988</v>
      </c>
      <c r="B2871" t="s">
        <v>15</v>
      </c>
      <c r="C2871" t="s">
        <v>16</v>
      </c>
      <c r="D2871">
        <v>181</v>
      </c>
      <c r="E2871" t="s">
        <v>2972</v>
      </c>
      <c r="F2871">
        <v>5419</v>
      </c>
      <c r="G2871" t="s">
        <v>18</v>
      </c>
      <c r="H2871">
        <v>27</v>
      </c>
      <c r="I2871" t="s">
        <v>19</v>
      </c>
      <c r="J2871">
        <v>2002</v>
      </c>
      <c r="K2871">
        <v>2002</v>
      </c>
      <c r="L2871" t="s">
        <v>20</v>
      </c>
      <c r="M2871">
        <v>22618</v>
      </c>
      <c r="N2871">
        <v>657</v>
      </c>
    </row>
    <row r="2872" spans="1:14" x14ac:dyDescent="0.35">
      <c r="A2872" t="s">
        <v>2989</v>
      </c>
      <c r="B2872" t="s">
        <v>15</v>
      </c>
      <c r="C2872" t="s">
        <v>16</v>
      </c>
      <c r="D2872">
        <v>181</v>
      </c>
      <c r="E2872" t="s">
        <v>2972</v>
      </c>
      <c r="F2872">
        <v>5419</v>
      </c>
      <c r="G2872" t="s">
        <v>18</v>
      </c>
      <c r="H2872">
        <v>27</v>
      </c>
      <c r="I2872" t="s">
        <v>19</v>
      </c>
      <c r="J2872">
        <v>2004</v>
      </c>
      <c r="K2872">
        <v>2004</v>
      </c>
      <c r="L2872" t="s">
        <v>20</v>
      </c>
      <c r="M2872">
        <v>23149</v>
      </c>
      <c r="N2872">
        <v>657</v>
      </c>
    </row>
    <row r="2873" spans="1:14" x14ac:dyDescent="0.35">
      <c r="A2873" t="s">
        <v>2990</v>
      </c>
      <c r="B2873" t="s">
        <v>15</v>
      </c>
      <c r="C2873" t="s">
        <v>16</v>
      </c>
      <c r="D2873">
        <v>181</v>
      </c>
      <c r="E2873" t="s">
        <v>2972</v>
      </c>
      <c r="F2873">
        <v>5419</v>
      </c>
      <c r="G2873" t="s">
        <v>18</v>
      </c>
      <c r="H2873">
        <v>27</v>
      </c>
      <c r="I2873" t="s">
        <v>19</v>
      </c>
      <c r="J2873">
        <v>2005</v>
      </c>
      <c r="K2873">
        <v>2005</v>
      </c>
      <c r="L2873" t="s">
        <v>20</v>
      </c>
      <c r="M2873">
        <v>23165</v>
      </c>
      <c r="N2873">
        <v>657</v>
      </c>
    </row>
    <row r="2874" spans="1:14" x14ac:dyDescent="0.35">
      <c r="A2874" t="s">
        <v>2991</v>
      </c>
      <c r="B2874" t="s">
        <v>15</v>
      </c>
      <c r="C2874" t="s">
        <v>16</v>
      </c>
      <c r="D2874">
        <v>181</v>
      </c>
      <c r="E2874" t="s">
        <v>2972</v>
      </c>
      <c r="F2874">
        <v>5419</v>
      </c>
      <c r="G2874" t="s">
        <v>18</v>
      </c>
      <c r="H2874">
        <v>27</v>
      </c>
      <c r="I2874" t="s">
        <v>19</v>
      </c>
      <c r="J2874">
        <v>2006</v>
      </c>
      <c r="K2874">
        <v>2006</v>
      </c>
      <c r="L2874" t="s">
        <v>20</v>
      </c>
      <c r="M2874">
        <v>24000</v>
      </c>
      <c r="N2874">
        <v>657</v>
      </c>
    </row>
    <row r="2875" spans="1:14" x14ac:dyDescent="0.35">
      <c r="A2875" t="s">
        <v>2992</v>
      </c>
      <c r="B2875" t="s">
        <v>15</v>
      </c>
      <c r="C2875" t="s">
        <v>16</v>
      </c>
      <c r="D2875">
        <v>181</v>
      </c>
      <c r="E2875" t="s">
        <v>2972</v>
      </c>
      <c r="F2875">
        <v>5419</v>
      </c>
      <c r="G2875" t="s">
        <v>18</v>
      </c>
      <c r="H2875">
        <v>27</v>
      </c>
      <c r="I2875" t="s">
        <v>19</v>
      </c>
      <c r="J2875">
        <v>2007</v>
      </c>
      <c r="K2875">
        <v>2007</v>
      </c>
      <c r="L2875" t="s">
        <v>20</v>
      </c>
      <c r="M2875">
        <v>23058</v>
      </c>
      <c r="N2875">
        <v>657</v>
      </c>
    </row>
    <row r="2876" spans="1:14" x14ac:dyDescent="0.35">
      <c r="A2876" t="s">
        <v>2993</v>
      </c>
      <c r="B2876" t="s">
        <v>15</v>
      </c>
      <c r="C2876" t="s">
        <v>16</v>
      </c>
      <c r="D2876">
        <v>181</v>
      </c>
      <c r="E2876" t="s">
        <v>2972</v>
      </c>
      <c r="F2876">
        <v>5419</v>
      </c>
      <c r="G2876" t="s">
        <v>18</v>
      </c>
      <c r="H2876">
        <v>27</v>
      </c>
      <c r="I2876" t="s">
        <v>19</v>
      </c>
      <c r="J2876">
        <v>2008</v>
      </c>
      <c r="K2876">
        <v>2008</v>
      </c>
      <c r="L2876" t="s">
        <v>20</v>
      </c>
      <c r="M2876">
        <v>22951</v>
      </c>
      <c r="N2876">
        <v>657</v>
      </c>
    </row>
    <row r="2877" spans="1:14" x14ac:dyDescent="0.35">
      <c r="A2877" t="s">
        <v>2994</v>
      </c>
      <c r="B2877" t="s">
        <v>15</v>
      </c>
      <c r="C2877" t="s">
        <v>16</v>
      </c>
      <c r="D2877">
        <v>181</v>
      </c>
      <c r="E2877" t="s">
        <v>2972</v>
      </c>
      <c r="F2877">
        <v>5419</v>
      </c>
      <c r="G2877" t="s">
        <v>18</v>
      </c>
      <c r="H2877">
        <v>27</v>
      </c>
      <c r="I2877" t="s">
        <v>19</v>
      </c>
      <c r="J2877">
        <v>2009</v>
      </c>
      <c r="K2877">
        <v>2009</v>
      </c>
      <c r="L2877" t="s">
        <v>20</v>
      </c>
      <c r="M2877">
        <v>22857</v>
      </c>
      <c r="N2877">
        <v>657</v>
      </c>
    </row>
    <row r="2878" spans="1:14" x14ac:dyDescent="0.35">
      <c r="A2878" t="s">
        <v>2995</v>
      </c>
      <c r="B2878" t="s">
        <v>15</v>
      </c>
      <c r="C2878" t="s">
        <v>16</v>
      </c>
      <c r="D2878">
        <v>181</v>
      </c>
      <c r="E2878" t="s">
        <v>2972</v>
      </c>
      <c r="F2878">
        <v>5419</v>
      </c>
      <c r="G2878" t="s">
        <v>18</v>
      </c>
      <c r="H2878">
        <v>27</v>
      </c>
      <c r="I2878" t="s">
        <v>19</v>
      </c>
      <c r="J2878">
        <v>2010</v>
      </c>
      <c r="K2878">
        <v>2010</v>
      </c>
      <c r="L2878" t="s">
        <v>20</v>
      </c>
      <c r="M2878">
        <v>22775</v>
      </c>
      <c r="N2878">
        <v>657</v>
      </c>
    </row>
    <row r="2879" spans="1:14" x14ac:dyDescent="0.35">
      <c r="A2879" t="s">
        <v>2996</v>
      </c>
      <c r="B2879" t="s">
        <v>15</v>
      </c>
      <c r="C2879" t="s">
        <v>16</v>
      </c>
      <c r="D2879">
        <v>181</v>
      </c>
      <c r="E2879" t="s">
        <v>2972</v>
      </c>
      <c r="F2879">
        <v>5419</v>
      </c>
      <c r="G2879" t="s">
        <v>18</v>
      </c>
      <c r="H2879">
        <v>27</v>
      </c>
      <c r="I2879" t="s">
        <v>19</v>
      </c>
      <c r="J2879">
        <v>2011</v>
      </c>
      <c r="K2879">
        <v>2011</v>
      </c>
      <c r="L2879" t="s">
        <v>20</v>
      </c>
      <c r="M2879">
        <v>22704</v>
      </c>
      <c r="N2879">
        <v>657</v>
      </c>
    </row>
    <row r="2880" spans="1:14" x14ac:dyDescent="0.35">
      <c r="A2880" t="s">
        <v>2997</v>
      </c>
      <c r="B2880" t="s">
        <v>15</v>
      </c>
      <c r="C2880" t="s">
        <v>16</v>
      </c>
      <c r="D2880">
        <v>181</v>
      </c>
      <c r="E2880" t="s">
        <v>2972</v>
      </c>
      <c r="F2880">
        <v>5419</v>
      </c>
      <c r="G2880" t="s">
        <v>18</v>
      </c>
      <c r="H2880">
        <v>27</v>
      </c>
      <c r="I2880" t="s">
        <v>19</v>
      </c>
      <c r="J2880">
        <v>2012</v>
      </c>
      <c r="K2880">
        <v>2012</v>
      </c>
      <c r="L2880" t="s">
        <v>20</v>
      </c>
      <c r="M2880">
        <v>22581</v>
      </c>
      <c r="N2880">
        <v>657</v>
      </c>
    </row>
    <row r="2881" spans="1:14" x14ac:dyDescent="0.35">
      <c r="A2881" t="s">
        <v>2998</v>
      </c>
      <c r="B2881" t="s">
        <v>15</v>
      </c>
      <c r="C2881" t="s">
        <v>16</v>
      </c>
      <c r="D2881">
        <v>181</v>
      </c>
      <c r="E2881" t="s">
        <v>2972</v>
      </c>
      <c r="F2881">
        <v>5419</v>
      </c>
      <c r="G2881" t="s">
        <v>18</v>
      </c>
      <c r="H2881">
        <v>27</v>
      </c>
      <c r="I2881" t="s">
        <v>19</v>
      </c>
      <c r="J2881">
        <v>2013</v>
      </c>
      <c r="K2881">
        <v>2013</v>
      </c>
      <c r="L2881" t="s">
        <v>20</v>
      </c>
      <c r="M2881">
        <v>22581</v>
      </c>
      <c r="N2881">
        <v>657</v>
      </c>
    </row>
    <row r="2882" spans="1:14" x14ac:dyDescent="0.35">
      <c r="A2882" t="s">
        <v>2999</v>
      </c>
      <c r="B2882" t="s">
        <v>15</v>
      </c>
      <c r="C2882" t="s">
        <v>16</v>
      </c>
      <c r="D2882">
        <v>181</v>
      </c>
      <c r="E2882" t="s">
        <v>2972</v>
      </c>
      <c r="F2882">
        <v>5419</v>
      </c>
      <c r="G2882" t="s">
        <v>18</v>
      </c>
      <c r="H2882">
        <v>27</v>
      </c>
      <c r="I2882" t="s">
        <v>19</v>
      </c>
      <c r="J2882">
        <v>2014</v>
      </c>
      <c r="K2882">
        <v>2014</v>
      </c>
      <c r="L2882" t="s">
        <v>20</v>
      </c>
      <c r="M2882">
        <v>22651</v>
      </c>
      <c r="N2882">
        <v>657</v>
      </c>
    </row>
    <row r="2883" spans="1:14" x14ac:dyDescent="0.35">
      <c r="A2883" t="s">
        <v>3000</v>
      </c>
      <c r="B2883" t="s">
        <v>15</v>
      </c>
      <c r="C2883" t="s">
        <v>16</v>
      </c>
      <c r="D2883">
        <v>181</v>
      </c>
      <c r="E2883" t="s">
        <v>2972</v>
      </c>
      <c r="F2883">
        <v>5419</v>
      </c>
      <c r="G2883" t="s">
        <v>18</v>
      </c>
      <c r="H2883">
        <v>27</v>
      </c>
      <c r="I2883" t="s">
        <v>19</v>
      </c>
      <c r="J2883">
        <v>2015</v>
      </c>
      <c r="K2883">
        <v>2015</v>
      </c>
      <c r="L2883" t="s">
        <v>20</v>
      </c>
      <c r="M2883">
        <v>22766</v>
      </c>
      <c r="N2883">
        <v>657</v>
      </c>
    </row>
    <row r="2884" spans="1:14" x14ac:dyDescent="0.35">
      <c r="A2884" t="s">
        <v>3001</v>
      </c>
      <c r="B2884" t="s">
        <v>15</v>
      </c>
      <c r="C2884" t="s">
        <v>16</v>
      </c>
      <c r="D2884">
        <v>181</v>
      </c>
      <c r="E2884" t="s">
        <v>2972</v>
      </c>
      <c r="F2884">
        <v>5419</v>
      </c>
      <c r="G2884" t="s">
        <v>18</v>
      </c>
      <c r="H2884">
        <v>27</v>
      </c>
      <c r="I2884" t="s">
        <v>19</v>
      </c>
      <c r="J2884">
        <v>2016</v>
      </c>
      <c r="K2884">
        <v>2016</v>
      </c>
      <c r="L2884" t="s">
        <v>20</v>
      </c>
      <c r="M2884">
        <v>22828</v>
      </c>
      <c r="N2884">
        <v>657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A177DC-6DAF-4860-B196-B18808472288}">
  <dimension ref="A1:J2884"/>
  <sheetViews>
    <sheetView workbookViewId="0">
      <selection activeCell="L14" sqref="L14"/>
    </sheetView>
  </sheetViews>
  <sheetFormatPr defaultRowHeight="14.5" x14ac:dyDescent="0.35"/>
  <cols>
    <col min="1" max="3" width="17.36328125" customWidth="1"/>
    <col min="5" max="5" width="13.26953125" customWidth="1"/>
    <col min="9" max="9" width="15" customWidth="1"/>
    <col min="10" max="10" width="14.1796875" customWidth="1"/>
  </cols>
  <sheetData>
    <row r="1" spans="1:10" x14ac:dyDescent="0.35">
      <c r="A1" s="3" t="s">
        <v>3003</v>
      </c>
      <c r="B1" s="3" t="s">
        <v>3036</v>
      </c>
      <c r="C1" s="3" t="s">
        <v>3004</v>
      </c>
      <c r="D1" s="3" t="s">
        <v>3002</v>
      </c>
      <c r="E1" s="3" t="s">
        <v>3016</v>
      </c>
      <c r="F1" s="4" t="s">
        <v>3006</v>
      </c>
      <c r="G1" s="3" t="s">
        <v>3005</v>
      </c>
      <c r="I1" s="2" t="s">
        <v>3007</v>
      </c>
      <c r="J1" s="2">
        <f>AVERAGE(A2:A2884)</f>
        <v>1338.3520638224072</v>
      </c>
    </row>
    <row r="2" spans="1:10" x14ac:dyDescent="0.35">
      <c r="A2" s="2">
        <v>327</v>
      </c>
      <c r="B2" s="2">
        <f>A2-$J$1</f>
        <v>-1011.3520638224072</v>
      </c>
      <c r="C2" s="2">
        <f>B2^2</f>
        <v>1022832.9969978424</v>
      </c>
      <c r="D2" s="2">
        <v>22482</v>
      </c>
      <c r="E2" s="2">
        <f>D2/10000</f>
        <v>2.2482000000000002</v>
      </c>
      <c r="F2" s="2">
        <f>E2-$J$2</f>
        <v>-1.1316559833506723</v>
      </c>
      <c r="G2" s="2">
        <f>F2^2</f>
        <v>1.280645264653377</v>
      </c>
      <c r="I2" s="2" t="s">
        <v>3008</v>
      </c>
      <c r="J2" s="2">
        <f>AVERAGE(E2:E2884)</f>
        <v>3.3798559833506725</v>
      </c>
    </row>
    <row r="3" spans="1:10" x14ac:dyDescent="0.35">
      <c r="A3" s="2">
        <v>327</v>
      </c>
      <c r="B3" s="2">
        <f t="shared" ref="B3:B66" si="0">A3-$J$1</f>
        <v>-1011.3520638224072</v>
      </c>
      <c r="C3" s="2">
        <f t="shared" ref="C3:C66" si="1">B3^2</f>
        <v>1022832.9969978424</v>
      </c>
      <c r="D3" s="2">
        <v>22400</v>
      </c>
      <c r="E3" s="2">
        <f t="shared" ref="E3:E66" si="2">D3/10000</f>
        <v>2.2400000000000002</v>
      </c>
      <c r="F3" s="2">
        <f t="shared" ref="F3:F66" si="3">E3-$J$2</f>
        <v>-1.1398559833506723</v>
      </c>
      <c r="G3" s="2">
        <f t="shared" ref="G3:G66" si="4">F3^2</f>
        <v>1.299271662780328</v>
      </c>
      <c r="I3" s="2" t="s">
        <v>3009</v>
      </c>
      <c r="J3" s="2">
        <f>MEDIAN(A2:A2884)</f>
        <v>1187</v>
      </c>
    </row>
    <row r="4" spans="1:10" x14ac:dyDescent="0.35">
      <c r="A4" s="2">
        <v>327</v>
      </c>
      <c r="B4" s="2">
        <f t="shared" si="0"/>
        <v>-1011.3520638224072</v>
      </c>
      <c r="C4" s="2">
        <f t="shared" si="1"/>
        <v>1022832.9969978424</v>
      </c>
      <c r="D4" s="2">
        <v>20000</v>
      </c>
      <c r="E4" s="2">
        <f t="shared" si="2"/>
        <v>2</v>
      </c>
      <c r="F4" s="2">
        <f t="shared" si="3"/>
        <v>-1.3798559833506725</v>
      </c>
      <c r="G4" s="2">
        <f t="shared" si="4"/>
        <v>1.9040025347886513</v>
      </c>
      <c r="I4" s="2" t="s">
        <v>3010</v>
      </c>
      <c r="J4" s="2">
        <f>MEDIAN(E2:E2884)</f>
        <v>3.0004</v>
      </c>
    </row>
    <row r="5" spans="1:10" x14ac:dyDescent="0.35">
      <c r="A5" s="2">
        <v>327</v>
      </c>
      <c r="B5" s="2">
        <f t="shared" si="0"/>
        <v>-1011.3520638224072</v>
      </c>
      <c r="C5" s="2">
        <f t="shared" si="1"/>
        <v>1022832.9969978424</v>
      </c>
      <c r="D5" s="2">
        <v>18824</v>
      </c>
      <c r="E5" s="2">
        <f t="shared" si="2"/>
        <v>1.8824000000000001</v>
      </c>
      <c r="F5" s="2">
        <f t="shared" si="3"/>
        <v>-1.4974559833506724</v>
      </c>
      <c r="G5" s="2">
        <f t="shared" si="4"/>
        <v>2.2423744220727295</v>
      </c>
      <c r="I5" s="2" t="s">
        <v>3011</v>
      </c>
      <c r="J5" s="2">
        <f>SUM(C2:C2884)</f>
        <v>1959967027.6552002</v>
      </c>
    </row>
    <row r="6" spans="1:10" x14ac:dyDescent="0.35">
      <c r="A6" s="2">
        <v>327</v>
      </c>
      <c r="B6" s="2">
        <f t="shared" si="0"/>
        <v>-1011.3520638224072</v>
      </c>
      <c r="C6" s="2">
        <f t="shared" si="1"/>
        <v>1022832.9969978424</v>
      </c>
      <c r="D6" s="2">
        <v>19029</v>
      </c>
      <c r="E6" s="2">
        <f t="shared" si="2"/>
        <v>1.9029</v>
      </c>
      <c r="F6" s="2">
        <f t="shared" si="3"/>
        <v>-1.4769559833506725</v>
      </c>
      <c r="G6" s="2">
        <f t="shared" si="4"/>
        <v>2.1813989767553519</v>
      </c>
      <c r="I6" s="2" t="s">
        <v>3012</v>
      </c>
      <c r="J6" s="2">
        <f>SUM(G2:G2884)</f>
        <v>9974.5825727842894</v>
      </c>
    </row>
    <row r="7" spans="1:10" x14ac:dyDescent="0.35">
      <c r="A7" s="2">
        <v>327</v>
      </c>
      <c r="B7" s="2">
        <f t="shared" si="0"/>
        <v>-1011.3520638224072</v>
      </c>
      <c r="C7" s="2">
        <f t="shared" si="1"/>
        <v>1022832.9969978424</v>
      </c>
      <c r="D7" s="2">
        <v>19364</v>
      </c>
      <c r="E7" s="2">
        <f t="shared" si="2"/>
        <v>1.9363999999999999</v>
      </c>
      <c r="F7" s="2">
        <f t="shared" si="3"/>
        <v>-1.4434559833506726</v>
      </c>
      <c r="G7" s="2">
        <f t="shared" si="4"/>
        <v>2.0835651758708571</v>
      </c>
      <c r="I7" s="2" t="s">
        <v>3013</v>
      </c>
      <c r="J7" s="2">
        <f>SQRT(J5/2883)</f>
        <v>824.52164579388523</v>
      </c>
    </row>
    <row r="8" spans="1:10" x14ac:dyDescent="0.35">
      <c r="A8" s="2">
        <v>327</v>
      </c>
      <c r="B8" s="2">
        <f t="shared" si="0"/>
        <v>-1011.3520638224072</v>
      </c>
      <c r="C8" s="2">
        <f t="shared" si="1"/>
        <v>1022832.9969978424</v>
      </c>
      <c r="D8" s="2">
        <v>17143</v>
      </c>
      <c r="E8" s="2">
        <f t="shared" si="2"/>
        <v>1.7142999999999999</v>
      </c>
      <c r="F8" s="2">
        <f t="shared" si="3"/>
        <v>-1.6655559833506726</v>
      </c>
      <c r="G8" s="2">
        <f t="shared" si="4"/>
        <v>2.7740767336752259</v>
      </c>
      <c r="I8" s="2" t="s">
        <v>3014</v>
      </c>
      <c r="J8" s="2">
        <f>SQRT(J6/2883)</f>
        <v>1.8600518207439898</v>
      </c>
    </row>
    <row r="9" spans="1:10" x14ac:dyDescent="0.35">
      <c r="A9" s="2">
        <v>327</v>
      </c>
      <c r="B9" s="2">
        <f t="shared" si="0"/>
        <v>-1011.3520638224072</v>
      </c>
      <c r="C9" s="2">
        <f t="shared" si="1"/>
        <v>1022832.9969978424</v>
      </c>
      <c r="D9" s="2">
        <v>17143</v>
      </c>
      <c r="E9" s="2">
        <f t="shared" si="2"/>
        <v>1.7142999999999999</v>
      </c>
      <c r="F9" s="2">
        <f t="shared" si="3"/>
        <v>-1.6655559833506726</v>
      </c>
      <c r="G9" s="2">
        <f t="shared" si="4"/>
        <v>2.7740767336752259</v>
      </c>
    </row>
    <row r="10" spans="1:10" x14ac:dyDescent="0.35">
      <c r="A10" s="2">
        <v>327</v>
      </c>
      <c r="B10" s="2">
        <f t="shared" si="0"/>
        <v>-1011.3520638224072</v>
      </c>
      <c r="C10" s="2">
        <f t="shared" si="1"/>
        <v>1022832.9969978424</v>
      </c>
      <c r="D10" s="2">
        <v>19000</v>
      </c>
      <c r="E10" s="2">
        <f t="shared" si="2"/>
        <v>1.9</v>
      </c>
      <c r="F10" s="2">
        <f t="shared" si="3"/>
        <v>-1.4798559833506726</v>
      </c>
      <c r="G10" s="2">
        <f t="shared" si="4"/>
        <v>2.1899737314587862</v>
      </c>
    </row>
    <row r="11" spans="1:10" x14ac:dyDescent="0.35">
      <c r="A11" s="2">
        <v>327</v>
      </c>
      <c r="B11" s="2">
        <f t="shared" si="0"/>
        <v>-1011.3520638224072</v>
      </c>
      <c r="C11" s="2">
        <f t="shared" si="1"/>
        <v>1022832.9969978424</v>
      </c>
      <c r="D11" s="2">
        <v>22941</v>
      </c>
      <c r="E11" s="2">
        <f t="shared" si="2"/>
        <v>2.2940999999999998</v>
      </c>
      <c r="F11" s="2">
        <f t="shared" si="3"/>
        <v>-1.0857559833506727</v>
      </c>
      <c r="G11" s="2">
        <f t="shared" si="4"/>
        <v>1.1788660553817862</v>
      </c>
      <c r="I11" s="6" t="s">
        <v>3015</v>
      </c>
      <c r="J11" s="6"/>
    </row>
    <row r="12" spans="1:10" x14ac:dyDescent="0.35">
      <c r="A12" s="2">
        <v>327</v>
      </c>
      <c r="B12" s="2">
        <f t="shared" si="0"/>
        <v>-1011.3520638224072</v>
      </c>
      <c r="C12" s="2">
        <f t="shared" si="1"/>
        <v>1022832.9969978424</v>
      </c>
      <c r="D12" s="2">
        <v>19429</v>
      </c>
      <c r="E12" s="2">
        <f t="shared" si="2"/>
        <v>1.9429000000000001</v>
      </c>
      <c r="F12" s="2">
        <f t="shared" si="3"/>
        <v>-1.4369559833506724</v>
      </c>
      <c r="G12" s="2">
        <f t="shared" si="4"/>
        <v>2.0648424980872981</v>
      </c>
      <c r="I12" s="2" t="s">
        <v>3007</v>
      </c>
      <c r="J12" s="2">
        <f>(A2+A32+A40+A70+A100+A130+A160+A184+A214+A244+A274+A304+A334+A364+A394)/15</f>
        <v>1195.4666666666667</v>
      </c>
    </row>
    <row r="13" spans="1:10" x14ac:dyDescent="0.35">
      <c r="A13" s="2">
        <v>327</v>
      </c>
      <c r="B13" s="2">
        <f t="shared" si="0"/>
        <v>-1011.3520638224072</v>
      </c>
      <c r="C13" s="2">
        <f t="shared" si="1"/>
        <v>1022832.9969978424</v>
      </c>
      <c r="D13" s="2">
        <v>22222</v>
      </c>
      <c r="E13" s="2">
        <f t="shared" si="2"/>
        <v>2.2222</v>
      </c>
      <c r="F13" s="2">
        <f t="shared" si="3"/>
        <v>-1.1576559833506725</v>
      </c>
      <c r="G13" s="2">
        <f t="shared" si="4"/>
        <v>1.3401673757876127</v>
      </c>
      <c r="I13" s="2" t="s">
        <v>3008</v>
      </c>
      <c r="J13" s="2">
        <f>AVERAGE(E2:E16)</f>
        <v>2.0331800000000002</v>
      </c>
    </row>
    <row r="14" spans="1:10" x14ac:dyDescent="0.35">
      <c r="A14" s="2">
        <v>327</v>
      </c>
      <c r="B14" s="2">
        <f t="shared" si="0"/>
        <v>-1011.3520638224072</v>
      </c>
      <c r="C14" s="2">
        <f t="shared" si="1"/>
        <v>1022832.9969978424</v>
      </c>
      <c r="D14" s="2">
        <v>25000</v>
      </c>
      <c r="E14" s="2">
        <f t="shared" si="2"/>
        <v>2.5</v>
      </c>
      <c r="F14" s="2">
        <f t="shared" si="3"/>
        <v>-0.8798559833506725</v>
      </c>
      <c r="G14" s="2">
        <f t="shared" si="4"/>
        <v>0.77414655143797884</v>
      </c>
      <c r="I14" s="2" t="s">
        <v>3009</v>
      </c>
      <c r="J14" s="2">
        <f>MEDIAN(A2,A32,A40,A70,A100,A130,A160,A184,A214,A244,A274,A304,A334,A364,A394)</f>
        <v>1010</v>
      </c>
    </row>
    <row r="15" spans="1:10" x14ac:dyDescent="0.35">
      <c r="A15" s="2">
        <v>327</v>
      </c>
      <c r="B15" s="2">
        <f t="shared" si="0"/>
        <v>-1011.3520638224072</v>
      </c>
      <c r="C15" s="2">
        <f t="shared" si="1"/>
        <v>1022832.9969978424</v>
      </c>
      <c r="D15" s="2">
        <v>20000</v>
      </c>
      <c r="E15" s="2">
        <f t="shared" si="2"/>
        <v>2</v>
      </c>
      <c r="F15" s="2">
        <f t="shared" si="3"/>
        <v>-1.3798559833506725</v>
      </c>
      <c r="G15" s="2">
        <f t="shared" si="4"/>
        <v>1.9040025347886513</v>
      </c>
      <c r="I15" s="2" t="s">
        <v>3010</v>
      </c>
      <c r="J15" s="2">
        <f>MEDIAN(E2:E16)</f>
        <v>2</v>
      </c>
    </row>
    <row r="16" spans="1:10" x14ac:dyDescent="0.35">
      <c r="A16" s="2">
        <v>327</v>
      </c>
      <c r="B16" s="2">
        <f t="shared" si="0"/>
        <v>-1011.3520638224072</v>
      </c>
      <c r="C16" s="2">
        <f t="shared" si="1"/>
        <v>1022832.9969978424</v>
      </c>
      <c r="D16" s="2">
        <v>20000</v>
      </c>
      <c r="E16" s="2">
        <f t="shared" si="2"/>
        <v>2</v>
      </c>
      <c r="F16" s="2">
        <f t="shared" si="3"/>
        <v>-1.3798559833506725</v>
      </c>
      <c r="G16" s="2">
        <f t="shared" si="4"/>
        <v>1.9040025347886513</v>
      </c>
      <c r="I16" s="2" t="s">
        <v>3011</v>
      </c>
      <c r="J16" s="2">
        <f>C2+C32+C40+C70+C100+C130+C160+C184+C214+C244+C274+C304+C334+C364+C394</f>
        <v>10417231.284138639</v>
      </c>
    </row>
    <row r="17" spans="1:10" x14ac:dyDescent="0.35">
      <c r="A17" s="2">
        <v>327</v>
      </c>
      <c r="B17" s="2">
        <f t="shared" si="0"/>
        <v>-1011.3520638224072</v>
      </c>
      <c r="C17" s="2">
        <f t="shared" si="1"/>
        <v>1022832.9969978424</v>
      </c>
      <c r="D17" s="2">
        <v>20000</v>
      </c>
      <c r="E17" s="2">
        <f t="shared" si="2"/>
        <v>2</v>
      </c>
      <c r="F17" s="2">
        <f t="shared" si="3"/>
        <v>-1.3798559833506725</v>
      </c>
      <c r="G17" s="2">
        <f t="shared" si="4"/>
        <v>1.9040025347886513</v>
      </c>
      <c r="I17" s="2" t="s">
        <v>3012</v>
      </c>
      <c r="J17" s="2">
        <f>SUM(G2:G16)</f>
        <v>27.895412786002513</v>
      </c>
    </row>
    <row r="18" spans="1:10" x14ac:dyDescent="0.35">
      <c r="A18" s="2">
        <v>327</v>
      </c>
      <c r="B18" s="2">
        <f t="shared" si="0"/>
        <v>-1011.3520638224072</v>
      </c>
      <c r="C18" s="2">
        <f t="shared" si="1"/>
        <v>1022832.9969978424</v>
      </c>
      <c r="D18" s="2">
        <v>28741</v>
      </c>
      <c r="E18" s="2">
        <f t="shared" si="2"/>
        <v>2.8740999999999999</v>
      </c>
      <c r="F18" s="2">
        <f t="shared" si="3"/>
        <v>-0.50575598335067262</v>
      </c>
      <c r="G18" s="2">
        <f t="shared" si="4"/>
        <v>0.25578911469500587</v>
      </c>
      <c r="I18" s="2" t="s">
        <v>3013</v>
      </c>
      <c r="J18" s="2">
        <f>SQRT(J16/15)</f>
        <v>833.35591772617931</v>
      </c>
    </row>
    <row r="19" spans="1:10" x14ac:dyDescent="0.35">
      <c r="A19" s="2">
        <v>327</v>
      </c>
      <c r="B19" s="2">
        <f t="shared" si="0"/>
        <v>-1011.3520638224072</v>
      </c>
      <c r="C19" s="2">
        <f t="shared" si="1"/>
        <v>1022832.9969978424</v>
      </c>
      <c r="D19" s="2">
        <v>23744</v>
      </c>
      <c r="E19" s="2">
        <f t="shared" si="2"/>
        <v>2.3744000000000001</v>
      </c>
      <c r="F19" s="2">
        <f t="shared" si="3"/>
        <v>-1.0054559833506724</v>
      </c>
      <c r="G19" s="2">
        <f t="shared" si="4"/>
        <v>1.0109417344556677</v>
      </c>
      <c r="I19" s="2" t="s">
        <v>3014</v>
      </c>
      <c r="J19" s="2">
        <f>SQRT(J17/15)</f>
        <v>1.3637060481399579</v>
      </c>
    </row>
    <row r="20" spans="1:10" x14ac:dyDescent="0.35">
      <c r="A20" s="2">
        <v>327</v>
      </c>
      <c r="B20" s="2">
        <f t="shared" si="0"/>
        <v>-1011.3520638224072</v>
      </c>
      <c r="C20" s="2">
        <f t="shared" si="1"/>
        <v>1022832.9969978424</v>
      </c>
      <c r="D20" s="2">
        <v>30313</v>
      </c>
      <c r="E20" s="2">
        <f t="shared" si="2"/>
        <v>3.0312999999999999</v>
      </c>
      <c r="F20" s="2">
        <f t="shared" si="3"/>
        <v>-0.34855598335067262</v>
      </c>
      <c r="G20" s="2">
        <f t="shared" si="4"/>
        <v>0.12149127352955437</v>
      </c>
    </row>
    <row r="21" spans="1:10" x14ac:dyDescent="0.35">
      <c r="A21" s="2">
        <v>327</v>
      </c>
      <c r="B21" s="2">
        <f t="shared" si="0"/>
        <v>-1011.3520638224072</v>
      </c>
      <c r="C21" s="2">
        <f t="shared" si="1"/>
        <v>1022832.9969978424</v>
      </c>
      <c r="D21" s="2">
        <v>33750</v>
      </c>
      <c r="E21" s="2">
        <f t="shared" si="2"/>
        <v>3.375</v>
      </c>
      <c r="F21" s="2">
        <f t="shared" si="3"/>
        <v>-4.8559833506724992E-3</v>
      </c>
      <c r="G21" s="2">
        <f t="shared" si="4"/>
        <v>2.3580574302008511E-5</v>
      </c>
    </row>
    <row r="22" spans="1:10" x14ac:dyDescent="0.35">
      <c r="A22" s="2">
        <v>327</v>
      </c>
      <c r="B22" s="2">
        <f t="shared" si="0"/>
        <v>-1011.3520638224072</v>
      </c>
      <c r="C22" s="2">
        <f t="shared" si="1"/>
        <v>1022832.9969978424</v>
      </c>
      <c r="D22" s="2">
        <v>32471</v>
      </c>
      <c r="E22" s="2">
        <f t="shared" si="2"/>
        <v>3.2471000000000001</v>
      </c>
      <c r="F22" s="2">
        <f t="shared" si="3"/>
        <v>-0.1327559833506724</v>
      </c>
      <c r="G22" s="2">
        <f t="shared" si="4"/>
        <v>1.7624151115404007E-2</v>
      </c>
    </row>
    <row r="23" spans="1:10" x14ac:dyDescent="0.35">
      <c r="A23" s="2">
        <v>327</v>
      </c>
      <c r="B23" s="2">
        <f t="shared" si="0"/>
        <v>-1011.3520638224072</v>
      </c>
      <c r="C23" s="2">
        <f t="shared" si="1"/>
        <v>1022832.9969978424</v>
      </c>
      <c r="D23" s="2">
        <v>32211</v>
      </c>
      <c r="E23" s="2">
        <f t="shared" si="2"/>
        <v>3.2210999999999999</v>
      </c>
      <c r="F23" s="2">
        <f t="shared" si="3"/>
        <v>-0.15875598335067265</v>
      </c>
      <c r="G23" s="2">
        <f t="shared" si="4"/>
        <v>2.5203462249639052E-2</v>
      </c>
    </row>
    <row r="24" spans="1:10" x14ac:dyDescent="0.35">
      <c r="A24" s="2">
        <v>327</v>
      </c>
      <c r="B24" s="2">
        <f t="shared" si="0"/>
        <v>-1011.3520638224072</v>
      </c>
      <c r="C24" s="2">
        <f t="shared" si="1"/>
        <v>1022832.9969978424</v>
      </c>
      <c r="D24" s="2">
        <v>32250</v>
      </c>
      <c r="E24" s="2">
        <f t="shared" si="2"/>
        <v>3.2250000000000001</v>
      </c>
      <c r="F24" s="2">
        <f t="shared" si="3"/>
        <v>-0.15485598335067241</v>
      </c>
      <c r="G24" s="2">
        <f t="shared" si="4"/>
        <v>2.3980375579503731E-2</v>
      </c>
    </row>
    <row r="25" spans="1:10" x14ac:dyDescent="0.35">
      <c r="A25" s="2">
        <v>327</v>
      </c>
      <c r="B25" s="2">
        <f t="shared" si="0"/>
        <v>-1011.3520638224072</v>
      </c>
      <c r="C25" s="2">
        <f t="shared" si="1"/>
        <v>1022832.9969978424</v>
      </c>
      <c r="D25" s="2">
        <v>32308</v>
      </c>
      <c r="E25" s="2">
        <f t="shared" si="2"/>
        <v>3.2307999999999999</v>
      </c>
      <c r="F25" s="2">
        <f t="shared" si="3"/>
        <v>-0.14905598335067261</v>
      </c>
      <c r="G25" s="2">
        <f t="shared" si="4"/>
        <v>2.2217686172635989E-2</v>
      </c>
    </row>
    <row r="26" spans="1:10" x14ac:dyDescent="0.35">
      <c r="A26" s="2">
        <v>327</v>
      </c>
      <c r="B26" s="2">
        <f t="shared" si="0"/>
        <v>-1011.3520638224072</v>
      </c>
      <c r="C26" s="2">
        <f t="shared" si="1"/>
        <v>1022832.9969978424</v>
      </c>
      <c r="D26" s="2">
        <v>32000</v>
      </c>
      <c r="E26" s="2">
        <f t="shared" si="2"/>
        <v>3.2</v>
      </c>
      <c r="F26" s="2">
        <f t="shared" si="3"/>
        <v>-0.17985598335067232</v>
      </c>
      <c r="G26" s="2">
        <f t="shared" si="4"/>
        <v>3.2348174747037321E-2</v>
      </c>
    </row>
    <row r="27" spans="1:10" x14ac:dyDescent="0.35">
      <c r="A27" s="2">
        <v>327</v>
      </c>
      <c r="B27" s="2">
        <f t="shared" si="0"/>
        <v>-1011.3520638224072</v>
      </c>
      <c r="C27" s="2">
        <f t="shared" si="1"/>
        <v>1022832.9969978424</v>
      </c>
      <c r="D27" s="2">
        <v>24390</v>
      </c>
      <c r="E27" s="2">
        <f t="shared" si="2"/>
        <v>2.4390000000000001</v>
      </c>
      <c r="F27" s="2">
        <f t="shared" si="3"/>
        <v>-0.94085598335067244</v>
      </c>
      <c r="G27" s="2">
        <f t="shared" si="4"/>
        <v>0.88520998140676077</v>
      </c>
    </row>
    <row r="28" spans="1:10" x14ac:dyDescent="0.35">
      <c r="A28" s="2">
        <v>327</v>
      </c>
      <c r="B28" s="2">
        <f t="shared" si="0"/>
        <v>-1011.3520638224072</v>
      </c>
      <c r="C28" s="2">
        <f t="shared" si="1"/>
        <v>1022832.9969978424</v>
      </c>
      <c r="D28" s="2">
        <v>24980</v>
      </c>
      <c r="E28" s="2">
        <f t="shared" si="2"/>
        <v>2.4980000000000002</v>
      </c>
      <c r="F28" s="2">
        <f t="shared" si="3"/>
        <v>-0.88185598335067228</v>
      </c>
      <c r="G28" s="2">
        <f t="shared" si="4"/>
        <v>0.77766997537138116</v>
      </c>
    </row>
    <row r="29" spans="1:10" x14ac:dyDescent="0.35">
      <c r="A29" s="2">
        <v>327</v>
      </c>
      <c r="B29" s="2">
        <f t="shared" si="0"/>
        <v>-1011.3520638224072</v>
      </c>
      <c r="C29" s="2">
        <f t="shared" si="1"/>
        <v>1022832.9969978424</v>
      </c>
      <c r="D29" s="2">
        <v>24409</v>
      </c>
      <c r="E29" s="2">
        <f t="shared" si="2"/>
        <v>2.4409000000000001</v>
      </c>
      <c r="F29" s="2">
        <f t="shared" si="3"/>
        <v>-0.93895598335067243</v>
      </c>
      <c r="G29" s="2">
        <f t="shared" si="4"/>
        <v>0.88163833867002828</v>
      </c>
    </row>
    <row r="30" spans="1:10" x14ac:dyDescent="0.35">
      <c r="A30" s="2">
        <v>327</v>
      </c>
      <c r="B30" s="2">
        <f t="shared" si="0"/>
        <v>-1011.3520638224072</v>
      </c>
      <c r="C30" s="2">
        <f t="shared" si="1"/>
        <v>1022832.9969978424</v>
      </c>
      <c r="D30" s="2">
        <v>25000</v>
      </c>
      <c r="E30" s="2">
        <f t="shared" si="2"/>
        <v>2.5</v>
      </c>
      <c r="F30" s="2">
        <f t="shared" si="3"/>
        <v>-0.8798559833506725</v>
      </c>
      <c r="G30" s="2">
        <f t="shared" si="4"/>
        <v>0.77414655143797884</v>
      </c>
    </row>
    <row r="31" spans="1:10" x14ac:dyDescent="0.35">
      <c r="A31" s="2">
        <v>327</v>
      </c>
      <c r="B31" s="2">
        <f t="shared" si="0"/>
        <v>-1011.3520638224072</v>
      </c>
      <c r="C31" s="2">
        <f t="shared" si="1"/>
        <v>1022832.9969978424</v>
      </c>
      <c r="D31" s="2">
        <v>29963</v>
      </c>
      <c r="E31" s="2">
        <f t="shared" si="2"/>
        <v>2.9963000000000002</v>
      </c>
      <c r="F31" s="2">
        <f t="shared" si="3"/>
        <v>-0.38355598335067231</v>
      </c>
      <c r="G31" s="2">
        <f t="shared" si="4"/>
        <v>0.14711519236410123</v>
      </c>
    </row>
    <row r="32" spans="1:10" x14ac:dyDescent="0.35">
      <c r="A32" s="2">
        <v>1485</v>
      </c>
      <c r="B32" s="2">
        <f t="shared" si="0"/>
        <v>146.64793617759278</v>
      </c>
      <c r="C32" s="2">
        <f t="shared" si="1"/>
        <v>21505.617185147326</v>
      </c>
      <c r="D32" s="2">
        <v>40000</v>
      </c>
      <c r="E32" s="2">
        <f t="shared" si="2"/>
        <v>4</v>
      </c>
      <c r="F32" s="2">
        <f t="shared" si="3"/>
        <v>0.6201440166493275</v>
      </c>
      <c r="G32" s="2">
        <f t="shared" si="4"/>
        <v>0.38457860138596139</v>
      </c>
    </row>
    <row r="33" spans="1:7" x14ac:dyDescent="0.35">
      <c r="A33" s="2">
        <v>1485</v>
      </c>
      <c r="B33" s="2">
        <f t="shared" si="0"/>
        <v>146.64793617759278</v>
      </c>
      <c r="C33" s="2">
        <f t="shared" si="1"/>
        <v>21505.617185147326</v>
      </c>
      <c r="D33" s="2">
        <v>36667</v>
      </c>
      <c r="E33" s="2">
        <f t="shared" si="2"/>
        <v>3.6667000000000001</v>
      </c>
      <c r="F33" s="2">
        <f t="shared" si="3"/>
        <v>0.28684401664932757</v>
      </c>
      <c r="G33" s="2">
        <f t="shared" si="4"/>
        <v>8.2279489887519708E-2</v>
      </c>
    </row>
    <row r="34" spans="1:7" x14ac:dyDescent="0.35">
      <c r="A34" s="2">
        <v>1485</v>
      </c>
      <c r="B34" s="2">
        <f t="shared" si="0"/>
        <v>146.64793617759278</v>
      </c>
      <c r="C34" s="2">
        <f t="shared" si="1"/>
        <v>21505.617185147326</v>
      </c>
      <c r="D34" s="2">
        <v>32121</v>
      </c>
      <c r="E34" s="2">
        <f t="shared" si="2"/>
        <v>3.2121</v>
      </c>
      <c r="F34" s="2">
        <f t="shared" si="3"/>
        <v>-0.16775598335067254</v>
      </c>
      <c r="G34" s="2">
        <f t="shared" si="4"/>
        <v>2.8142069949951123E-2</v>
      </c>
    </row>
    <row r="35" spans="1:7" x14ac:dyDescent="0.35">
      <c r="A35" s="2">
        <v>1485</v>
      </c>
      <c r="B35" s="2">
        <f t="shared" si="0"/>
        <v>146.64793617759278</v>
      </c>
      <c r="C35" s="2">
        <f t="shared" si="1"/>
        <v>21505.617185147326</v>
      </c>
      <c r="D35" s="2">
        <v>31296</v>
      </c>
      <c r="E35" s="2">
        <f t="shared" si="2"/>
        <v>3.1295999999999999</v>
      </c>
      <c r="F35" s="2">
        <f t="shared" si="3"/>
        <v>-0.25025598335067256</v>
      </c>
      <c r="G35" s="2">
        <f t="shared" si="4"/>
        <v>6.2628057202812101E-2</v>
      </c>
    </row>
    <row r="36" spans="1:7" x14ac:dyDescent="0.35">
      <c r="A36" s="2">
        <v>1485</v>
      </c>
      <c r="B36" s="2">
        <f t="shared" si="0"/>
        <v>146.64793617759278</v>
      </c>
      <c r="C36" s="2">
        <f t="shared" si="1"/>
        <v>21505.617185147326</v>
      </c>
      <c r="D36" s="2">
        <v>23333</v>
      </c>
      <c r="E36" s="2">
        <f t="shared" si="2"/>
        <v>2.3332999999999999</v>
      </c>
      <c r="F36" s="2">
        <f t="shared" si="3"/>
        <v>-1.0465559833506726</v>
      </c>
      <c r="G36" s="2">
        <f t="shared" si="4"/>
        <v>1.0952794262870933</v>
      </c>
    </row>
    <row r="37" spans="1:7" x14ac:dyDescent="0.35">
      <c r="A37" s="2">
        <v>1485</v>
      </c>
      <c r="B37" s="2">
        <f t="shared" si="0"/>
        <v>146.64793617759278</v>
      </c>
      <c r="C37" s="2">
        <f t="shared" si="1"/>
        <v>21505.617185147326</v>
      </c>
      <c r="D37" s="2">
        <v>28538</v>
      </c>
      <c r="E37" s="2">
        <f t="shared" si="2"/>
        <v>2.8538000000000001</v>
      </c>
      <c r="F37" s="2">
        <f t="shared" si="3"/>
        <v>-0.52605598335067238</v>
      </c>
      <c r="G37" s="2">
        <f t="shared" si="4"/>
        <v>0.27673489761904291</v>
      </c>
    </row>
    <row r="38" spans="1:7" x14ac:dyDescent="0.35">
      <c r="A38" s="2">
        <v>1485</v>
      </c>
      <c r="B38" s="2">
        <f t="shared" si="0"/>
        <v>146.64793617759278</v>
      </c>
      <c r="C38" s="2">
        <f t="shared" si="1"/>
        <v>21505.617185147326</v>
      </c>
      <c r="D38" s="2">
        <v>40000</v>
      </c>
      <c r="E38" s="2">
        <f t="shared" si="2"/>
        <v>4</v>
      </c>
      <c r="F38" s="2">
        <f t="shared" si="3"/>
        <v>0.6201440166493275</v>
      </c>
      <c r="G38" s="2">
        <f t="shared" si="4"/>
        <v>0.38457860138596139</v>
      </c>
    </row>
    <row r="39" spans="1:7" x14ac:dyDescent="0.35">
      <c r="A39" s="2">
        <v>1485</v>
      </c>
      <c r="B39" s="2">
        <f t="shared" si="0"/>
        <v>146.64793617759278</v>
      </c>
      <c r="C39" s="2">
        <f t="shared" si="1"/>
        <v>21505.617185147326</v>
      </c>
      <c r="D39" s="2">
        <v>41786</v>
      </c>
      <c r="E39" s="2">
        <f t="shared" si="2"/>
        <v>4.1786000000000003</v>
      </c>
      <c r="F39" s="2">
        <f t="shared" si="3"/>
        <v>0.79874401664932781</v>
      </c>
      <c r="G39" s="2">
        <f t="shared" si="4"/>
        <v>0.63799200413310164</v>
      </c>
    </row>
    <row r="40" spans="1:7" x14ac:dyDescent="0.35">
      <c r="A40" s="2">
        <v>89</v>
      </c>
      <c r="B40" s="2">
        <f t="shared" si="0"/>
        <v>-1249.3520638224072</v>
      </c>
      <c r="C40" s="2">
        <f t="shared" si="1"/>
        <v>1560880.5793773083</v>
      </c>
      <c r="D40" s="2">
        <v>26667</v>
      </c>
      <c r="E40" s="2">
        <f t="shared" si="2"/>
        <v>2.6667000000000001</v>
      </c>
      <c r="F40" s="2">
        <f t="shared" si="3"/>
        <v>-0.71315598335067243</v>
      </c>
      <c r="G40" s="2">
        <f t="shared" si="4"/>
        <v>0.50859145658886462</v>
      </c>
    </row>
    <row r="41" spans="1:7" x14ac:dyDescent="0.35">
      <c r="A41" s="2">
        <v>89</v>
      </c>
      <c r="B41" s="2">
        <f t="shared" si="0"/>
        <v>-1249.3520638224072</v>
      </c>
      <c r="C41" s="2">
        <f t="shared" si="1"/>
        <v>1560880.5793773083</v>
      </c>
      <c r="D41" s="2">
        <v>26957</v>
      </c>
      <c r="E41" s="2">
        <f t="shared" si="2"/>
        <v>2.6957</v>
      </c>
      <c r="F41" s="2">
        <f t="shared" si="3"/>
        <v>-0.68415598335067251</v>
      </c>
      <c r="G41" s="2">
        <f t="shared" si="4"/>
        <v>0.46806940955452569</v>
      </c>
    </row>
    <row r="42" spans="1:7" x14ac:dyDescent="0.35">
      <c r="A42" s="2">
        <v>89</v>
      </c>
      <c r="B42" s="2">
        <f t="shared" si="0"/>
        <v>-1249.3520638224072</v>
      </c>
      <c r="C42" s="2">
        <f t="shared" si="1"/>
        <v>1560880.5793773083</v>
      </c>
      <c r="D42" s="2">
        <v>27083</v>
      </c>
      <c r="E42" s="2">
        <f t="shared" si="2"/>
        <v>2.7082999999999999</v>
      </c>
      <c r="F42" s="2">
        <f t="shared" si="3"/>
        <v>-0.67155598335067257</v>
      </c>
      <c r="G42" s="2">
        <f t="shared" si="4"/>
        <v>0.45098743877408881</v>
      </c>
    </row>
    <row r="43" spans="1:7" x14ac:dyDescent="0.35">
      <c r="A43" s="2">
        <v>89</v>
      </c>
      <c r="B43" s="2">
        <f t="shared" si="0"/>
        <v>-1249.3520638224072</v>
      </c>
      <c r="C43" s="2">
        <f t="shared" si="1"/>
        <v>1560880.5793773083</v>
      </c>
      <c r="D43" s="2">
        <v>27925</v>
      </c>
      <c r="E43" s="2">
        <f t="shared" si="2"/>
        <v>2.7925</v>
      </c>
      <c r="F43" s="2">
        <f t="shared" si="3"/>
        <v>-0.58735598335067252</v>
      </c>
      <c r="G43" s="2">
        <f t="shared" si="4"/>
        <v>0.34498705117783551</v>
      </c>
    </row>
    <row r="44" spans="1:7" x14ac:dyDescent="0.35">
      <c r="A44" s="2">
        <v>89</v>
      </c>
      <c r="B44" s="2">
        <f t="shared" si="0"/>
        <v>-1249.3520638224072</v>
      </c>
      <c r="C44" s="2">
        <f t="shared" si="1"/>
        <v>1560880.5793773083</v>
      </c>
      <c r="D44" s="2">
        <v>28000</v>
      </c>
      <c r="E44" s="2">
        <f t="shared" si="2"/>
        <v>2.8</v>
      </c>
      <c r="F44" s="2">
        <f t="shared" si="3"/>
        <v>-0.57985598335067268</v>
      </c>
      <c r="G44" s="2">
        <f t="shared" si="4"/>
        <v>0.33623296142757558</v>
      </c>
    </row>
    <row r="45" spans="1:7" x14ac:dyDescent="0.35">
      <c r="A45" s="2">
        <v>89</v>
      </c>
      <c r="B45" s="2">
        <f t="shared" si="0"/>
        <v>-1249.3520638224072</v>
      </c>
      <c r="C45" s="2">
        <f t="shared" si="1"/>
        <v>1560880.5793773083</v>
      </c>
      <c r="D45" s="2">
        <v>26786</v>
      </c>
      <c r="E45" s="2">
        <f t="shared" si="2"/>
        <v>2.6785999999999999</v>
      </c>
      <c r="F45" s="2">
        <f t="shared" si="3"/>
        <v>-0.70125598335067263</v>
      </c>
      <c r="G45" s="2">
        <f t="shared" si="4"/>
        <v>0.49175995418511886</v>
      </c>
    </row>
    <row r="46" spans="1:7" x14ac:dyDescent="0.35">
      <c r="A46" s="2">
        <v>89</v>
      </c>
      <c r="B46" s="2">
        <f t="shared" si="0"/>
        <v>-1249.3520638224072</v>
      </c>
      <c r="C46" s="2">
        <f t="shared" si="1"/>
        <v>1560880.5793773083</v>
      </c>
      <c r="D46" s="2">
        <v>24733</v>
      </c>
      <c r="E46" s="2">
        <f t="shared" si="2"/>
        <v>2.4733000000000001</v>
      </c>
      <c r="F46" s="2">
        <f t="shared" si="3"/>
        <v>-0.90655598335067245</v>
      </c>
      <c r="G46" s="2">
        <f t="shared" si="4"/>
        <v>0.82184375094890472</v>
      </c>
    </row>
    <row r="47" spans="1:7" x14ac:dyDescent="0.35">
      <c r="A47" s="2">
        <v>89</v>
      </c>
      <c r="B47" s="2">
        <f t="shared" si="0"/>
        <v>-1249.3520638224072</v>
      </c>
      <c r="C47" s="2">
        <f t="shared" si="1"/>
        <v>1560880.5793773083</v>
      </c>
      <c r="D47" s="2">
        <v>23111</v>
      </c>
      <c r="E47" s="2">
        <f t="shared" si="2"/>
        <v>2.3111000000000002</v>
      </c>
      <c r="F47" s="2">
        <f t="shared" si="3"/>
        <v>-1.0687559833506723</v>
      </c>
      <c r="G47" s="2">
        <f t="shared" si="4"/>
        <v>1.1422393519478626</v>
      </c>
    </row>
    <row r="48" spans="1:7" x14ac:dyDescent="0.35">
      <c r="A48" s="2">
        <v>89</v>
      </c>
      <c r="B48" s="2">
        <f t="shared" si="0"/>
        <v>-1249.3520638224072</v>
      </c>
      <c r="C48" s="2">
        <f t="shared" si="1"/>
        <v>1560880.5793773083</v>
      </c>
      <c r="D48" s="2">
        <v>21374</v>
      </c>
      <c r="E48" s="2">
        <f t="shared" si="2"/>
        <v>2.1374</v>
      </c>
      <c r="F48" s="2">
        <f t="shared" si="3"/>
        <v>-1.2424559833506725</v>
      </c>
      <c r="G48" s="2">
        <f t="shared" si="4"/>
        <v>1.5436968705638867</v>
      </c>
    </row>
    <row r="49" spans="1:7" x14ac:dyDescent="0.35">
      <c r="A49" s="2">
        <v>89</v>
      </c>
      <c r="B49" s="2">
        <f t="shared" si="0"/>
        <v>-1249.3520638224072</v>
      </c>
      <c r="C49" s="2">
        <f t="shared" si="1"/>
        <v>1560880.5793773083</v>
      </c>
      <c r="D49" s="2">
        <v>19598</v>
      </c>
      <c r="E49" s="2">
        <f t="shared" si="2"/>
        <v>1.9598</v>
      </c>
      <c r="F49" s="2">
        <f t="shared" si="3"/>
        <v>-1.4200559833506725</v>
      </c>
      <c r="G49" s="2">
        <f t="shared" si="4"/>
        <v>2.0165589958500454</v>
      </c>
    </row>
    <row r="50" spans="1:7" x14ac:dyDescent="0.35">
      <c r="A50" s="2">
        <v>89</v>
      </c>
      <c r="B50" s="2">
        <f t="shared" si="0"/>
        <v>-1249.3520638224072</v>
      </c>
      <c r="C50" s="2">
        <f t="shared" si="1"/>
        <v>1560880.5793773083</v>
      </c>
      <c r="D50" s="2">
        <v>17861</v>
      </c>
      <c r="E50" s="2">
        <f t="shared" si="2"/>
        <v>1.7861</v>
      </c>
      <c r="F50" s="2">
        <f t="shared" si="3"/>
        <v>-1.5937559833506725</v>
      </c>
      <c r="G50" s="2">
        <f t="shared" si="4"/>
        <v>2.5400581344660691</v>
      </c>
    </row>
    <row r="51" spans="1:7" x14ac:dyDescent="0.35">
      <c r="A51" s="2">
        <v>89</v>
      </c>
      <c r="B51" s="2">
        <f t="shared" si="0"/>
        <v>-1249.3520638224072</v>
      </c>
      <c r="C51" s="2">
        <f t="shared" si="1"/>
        <v>1560880.5793773083</v>
      </c>
      <c r="D51" s="2">
        <v>15000</v>
      </c>
      <c r="E51" s="2">
        <f t="shared" si="2"/>
        <v>1.5</v>
      </c>
      <c r="F51" s="2">
        <f t="shared" si="3"/>
        <v>-1.8798559833506725</v>
      </c>
      <c r="G51" s="2">
        <f t="shared" si="4"/>
        <v>3.5338585181393238</v>
      </c>
    </row>
    <row r="52" spans="1:7" x14ac:dyDescent="0.35">
      <c r="A52" s="2">
        <v>89</v>
      </c>
      <c r="B52" s="2">
        <f t="shared" si="0"/>
        <v>-1249.3520638224072</v>
      </c>
      <c r="C52" s="2">
        <f t="shared" si="1"/>
        <v>1560880.5793773083</v>
      </c>
      <c r="D52" s="2">
        <v>15000</v>
      </c>
      <c r="E52" s="2">
        <f t="shared" si="2"/>
        <v>1.5</v>
      </c>
      <c r="F52" s="2">
        <f t="shared" si="3"/>
        <v>-1.8798559833506725</v>
      </c>
      <c r="G52" s="2">
        <f t="shared" si="4"/>
        <v>3.5338585181393238</v>
      </c>
    </row>
    <row r="53" spans="1:7" x14ac:dyDescent="0.35">
      <c r="A53" s="2">
        <v>89</v>
      </c>
      <c r="B53" s="2">
        <f t="shared" si="0"/>
        <v>-1249.3520638224072</v>
      </c>
      <c r="C53" s="2">
        <f t="shared" si="1"/>
        <v>1560880.5793773083</v>
      </c>
      <c r="D53" s="2">
        <v>13942</v>
      </c>
      <c r="E53" s="2">
        <f t="shared" si="2"/>
        <v>1.3942000000000001</v>
      </c>
      <c r="F53" s="2">
        <f t="shared" si="3"/>
        <v>-1.9856559833506724</v>
      </c>
      <c r="G53" s="2">
        <f t="shared" si="4"/>
        <v>3.942829684216326</v>
      </c>
    </row>
    <row r="54" spans="1:7" x14ac:dyDescent="0.35">
      <c r="A54" s="2">
        <v>89</v>
      </c>
      <c r="B54" s="2">
        <f t="shared" si="0"/>
        <v>-1249.3520638224072</v>
      </c>
      <c r="C54" s="2">
        <f t="shared" si="1"/>
        <v>1560880.5793773083</v>
      </c>
      <c r="D54" s="2">
        <v>13052</v>
      </c>
      <c r="E54" s="2">
        <f t="shared" si="2"/>
        <v>1.3051999999999999</v>
      </c>
      <c r="F54" s="2">
        <f t="shared" si="3"/>
        <v>-2.0746559833506728</v>
      </c>
      <c r="G54" s="2">
        <f t="shared" si="4"/>
        <v>4.3041974492527473</v>
      </c>
    </row>
    <row r="55" spans="1:7" x14ac:dyDescent="0.35">
      <c r="A55" s="2">
        <v>89</v>
      </c>
      <c r="B55" s="2">
        <f t="shared" si="0"/>
        <v>-1249.3520638224072</v>
      </c>
      <c r="C55" s="2">
        <f t="shared" si="1"/>
        <v>1560880.5793773083</v>
      </c>
      <c r="D55" s="2">
        <v>12314</v>
      </c>
      <c r="E55" s="2">
        <f t="shared" si="2"/>
        <v>1.2314000000000001</v>
      </c>
      <c r="F55" s="2">
        <f t="shared" si="3"/>
        <v>-2.1484559833506722</v>
      </c>
      <c r="G55" s="2">
        <f t="shared" si="4"/>
        <v>4.6158631123953038</v>
      </c>
    </row>
    <row r="56" spans="1:7" x14ac:dyDescent="0.35">
      <c r="A56" s="2">
        <v>89</v>
      </c>
      <c r="B56" s="2">
        <f t="shared" si="0"/>
        <v>-1249.3520638224072</v>
      </c>
      <c r="C56" s="2">
        <f t="shared" si="1"/>
        <v>1560880.5793773083</v>
      </c>
      <c r="D56" s="2">
        <v>12959</v>
      </c>
      <c r="E56" s="2">
        <f t="shared" si="2"/>
        <v>1.2959000000000001</v>
      </c>
      <c r="F56" s="2">
        <f t="shared" si="3"/>
        <v>-2.0839559833506724</v>
      </c>
      <c r="G56" s="2">
        <f t="shared" si="4"/>
        <v>4.3428725405430679</v>
      </c>
    </row>
    <row r="57" spans="1:7" x14ac:dyDescent="0.35">
      <c r="A57" s="2">
        <v>89</v>
      </c>
      <c r="B57" s="2">
        <f t="shared" si="0"/>
        <v>-1249.3520638224072</v>
      </c>
      <c r="C57" s="2">
        <f t="shared" si="1"/>
        <v>1560880.5793773083</v>
      </c>
      <c r="D57" s="2">
        <v>12829</v>
      </c>
      <c r="E57" s="2">
        <f t="shared" si="2"/>
        <v>1.2828999999999999</v>
      </c>
      <c r="F57" s="2">
        <f t="shared" si="3"/>
        <v>-2.0969559833506723</v>
      </c>
      <c r="G57" s="2">
        <f t="shared" si="4"/>
        <v>4.3972243961101851</v>
      </c>
    </row>
    <row r="58" spans="1:7" x14ac:dyDescent="0.35">
      <c r="A58" s="2">
        <v>89</v>
      </c>
      <c r="B58" s="2">
        <f t="shared" si="0"/>
        <v>-1249.3520638224072</v>
      </c>
      <c r="C58" s="2">
        <f t="shared" si="1"/>
        <v>1560880.5793773083</v>
      </c>
      <c r="D58" s="2">
        <v>12998</v>
      </c>
      <c r="E58" s="2">
        <f t="shared" si="2"/>
        <v>1.2998000000000001</v>
      </c>
      <c r="F58" s="2">
        <f t="shared" si="3"/>
        <v>-2.0800559833506727</v>
      </c>
      <c r="G58" s="2">
        <f t="shared" si="4"/>
        <v>4.3266328938729339</v>
      </c>
    </row>
    <row r="59" spans="1:7" x14ac:dyDescent="0.35">
      <c r="A59" s="2">
        <v>89</v>
      </c>
      <c r="B59" s="2">
        <f t="shared" si="0"/>
        <v>-1249.3520638224072</v>
      </c>
      <c r="C59" s="2">
        <f t="shared" si="1"/>
        <v>1560880.5793773083</v>
      </c>
      <c r="D59" s="2">
        <v>12769</v>
      </c>
      <c r="E59" s="2">
        <f t="shared" si="2"/>
        <v>1.2768999999999999</v>
      </c>
      <c r="F59" s="2">
        <f t="shared" si="3"/>
        <v>-2.1029559833506726</v>
      </c>
      <c r="G59" s="2">
        <f t="shared" si="4"/>
        <v>4.4224238679103944</v>
      </c>
    </row>
    <row r="60" spans="1:7" x14ac:dyDescent="0.35">
      <c r="A60" s="2">
        <v>89</v>
      </c>
      <c r="B60" s="2">
        <f t="shared" si="0"/>
        <v>-1249.3520638224072</v>
      </c>
      <c r="C60" s="2">
        <f t="shared" si="1"/>
        <v>1560880.5793773083</v>
      </c>
      <c r="D60" s="2">
        <v>13375</v>
      </c>
      <c r="E60" s="2">
        <f t="shared" si="2"/>
        <v>1.3374999999999999</v>
      </c>
      <c r="F60" s="2">
        <f t="shared" si="3"/>
        <v>-2.0423559833506726</v>
      </c>
      <c r="G60" s="2">
        <f t="shared" si="4"/>
        <v>4.171217962728293</v>
      </c>
    </row>
    <row r="61" spans="1:7" x14ac:dyDescent="0.35">
      <c r="A61" s="2">
        <v>89</v>
      </c>
      <c r="B61" s="2">
        <f t="shared" si="0"/>
        <v>-1249.3520638224072</v>
      </c>
      <c r="C61" s="2">
        <f t="shared" si="1"/>
        <v>1560880.5793773083</v>
      </c>
      <c r="D61" s="2">
        <v>13952</v>
      </c>
      <c r="E61" s="2">
        <f t="shared" si="2"/>
        <v>1.3952</v>
      </c>
      <c r="F61" s="2">
        <f t="shared" si="3"/>
        <v>-1.9846559833506725</v>
      </c>
      <c r="G61" s="2">
        <f t="shared" si="4"/>
        <v>3.9388593722496248</v>
      </c>
    </row>
    <row r="62" spans="1:7" x14ac:dyDescent="0.35">
      <c r="A62" s="2">
        <v>89</v>
      </c>
      <c r="B62" s="2">
        <f t="shared" si="0"/>
        <v>-1249.3520638224072</v>
      </c>
      <c r="C62" s="2">
        <f t="shared" si="1"/>
        <v>1560880.5793773083</v>
      </c>
      <c r="D62" s="2">
        <v>14594</v>
      </c>
      <c r="E62" s="2">
        <f t="shared" si="2"/>
        <v>1.4594</v>
      </c>
      <c r="F62" s="2">
        <f t="shared" si="3"/>
        <v>-1.9204559833506725</v>
      </c>
      <c r="G62" s="2">
        <f t="shared" si="4"/>
        <v>3.6881511839873982</v>
      </c>
    </row>
    <row r="63" spans="1:7" x14ac:dyDescent="0.35">
      <c r="A63" s="2">
        <v>89</v>
      </c>
      <c r="B63" s="2">
        <f t="shared" si="0"/>
        <v>-1249.3520638224072</v>
      </c>
      <c r="C63" s="2">
        <f t="shared" si="1"/>
        <v>1560880.5793773083</v>
      </c>
      <c r="D63" s="2">
        <v>15305</v>
      </c>
      <c r="E63" s="2">
        <f t="shared" si="2"/>
        <v>1.5305</v>
      </c>
      <c r="F63" s="2">
        <f t="shared" si="3"/>
        <v>-1.8493559833506725</v>
      </c>
      <c r="G63" s="2">
        <f t="shared" si="4"/>
        <v>3.4201175531549328</v>
      </c>
    </row>
    <row r="64" spans="1:7" x14ac:dyDescent="0.35">
      <c r="A64" s="2">
        <v>89</v>
      </c>
      <c r="B64" s="2">
        <f t="shared" si="0"/>
        <v>-1249.3520638224072</v>
      </c>
      <c r="C64" s="2">
        <f t="shared" si="1"/>
        <v>1560880.5793773083</v>
      </c>
      <c r="D64" s="2">
        <v>16081</v>
      </c>
      <c r="E64" s="2">
        <f t="shared" si="2"/>
        <v>1.6081000000000001</v>
      </c>
      <c r="F64" s="2">
        <f t="shared" si="3"/>
        <v>-1.7717559833506724</v>
      </c>
      <c r="G64" s="2">
        <f t="shared" si="4"/>
        <v>3.1391192645389081</v>
      </c>
    </row>
    <row r="65" spans="1:7" x14ac:dyDescent="0.35">
      <c r="A65" s="2">
        <v>89</v>
      </c>
      <c r="B65" s="2">
        <f t="shared" si="0"/>
        <v>-1249.3520638224072</v>
      </c>
      <c r="C65" s="2">
        <f t="shared" si="1"/>
        <v>1560880.5793773083</v>
      </c>
      <c r="D65" s="2">
        <v>16667</v>
      </c>
      <c r="E65" s="2">
        <f t="shared" si="2"/>
        <v>1.6667000000000001</v>
      </c>
      <c r="F65" s="2">
        <f t="shared" si="3"/>
        <v>-1.7131559833506724</v>
      </c>
      <c r="G65" s="2">
        <f t="shared" si="4"/>
        <v>2.9349034232902094</v>
      </c>
    </row>
    <row r="66" spans="1:7" x14ac:dyDescent="0.35">
      <c r="A66" s="2">
        <v>89</v>
      </c>
      <c r="B66" s="2">
        <f t="shared" si="0"/>
        <v>-1249.3520638224072</v>
      </c>
      <c r="C66" s="2">
        <f t="shared" si="1"/>
        <v>1560880.5793773083</v>
      </c>
      <c r="D66" s="2">
        <v>17778</v>
      </c>
      <c r="E66" s="2">
        <f t="shared" si="2"/>
        <v>1.7778</v>
      </c>
      <c r="F66" s="2">
        <f t="shared" si="3"/>
        <v>-1.6020559833506725</v>
      </c>
      <c r="G66" s="2">
        <f t="shared" si="4"/>
        <v>2.5665833737896899</v>
      </c>
    </row>
    <row r="67" spans="1:7" x14ac:dyDescent="0.35">
      <c r="A67" s="2">
        <v>89</v>
      </c>
      <c r="B67" s="2">
        <f t="shared" ref="B67:B130" si="5">A67-$J$1</f>
        <v>-1249.3520638224072</v>
      </c>
      <c r="C67" s="2">
        <f t="shared" ref="C67:C130" si="6">B67^2</f>
        <v>1560880.5793773083</v>
      </c>
      <c r="D67" s="2">
        <v>17778</v>
      </c>
      <c r="E67" s="2">
        <f t="shared" ref="E67:E130" si="7">D67/10000</f>
        <v>1.7778</v>
      </c>
      <c r="F67" s="2">
        <f t="shared" ref="F67:F130" si="8">E67-$J$2</f>
        <v>-1.6020559833506725</v>
      </c>
      <c r="G67" s="2">
        <f t="shared" ref="G67:G130" si="9">F67^2</f>
        <v>2.5665833737896899</v>
      </c>
    </row>
    <row r="68" spans="1:7" x14ac:dyDescent="0.35">
      <c r="A68" s="2">
        <v>89</v>
      </c>
      <c r="B68" s="2">
        <f t="shared" si="5"/>
        <v>-1249.3520638224072</v>
      </c>
      <c r="C68" s="2">
        <f t="shared" si="6"/>
        <v>1560880.5793773083</v>
      </c>
      <c r="D68" s="2">
        <v>17579</v>
      </c>
      <c r="E68" s="2">
        <f t="shared" si="7"/>
        <v>1.7579</v>
      </c>
      <c r="F68" s="2">
        <f t="shared" si="8"/>
        <v>-1.6219559833506725</v>
      </c>
      <c r="G68" s="2">
        <f t="shared" si="9"/>
        <v>2.630741211927047</v>
      </c>
    </row>
    <row r="69" spans="1:7" x14ac:dyDescent="0.35">
      <c r="A69" s="2">
        <v>89</v>
      </c>
      <c r="B69" s="2">
        <f t="shared" si="5"/>
        <v>-1249.3520638224072</v>
      </c>
      <c r="C69" s="2">
        <f t="shared" si="6"/>
        <v>1560880.5793773083</v>
      </c>
      <c r="D69" s="2">
        <v>17502</v>
      </c>
      <c r="E69" s="2">
        <f t="shared" si="7"/>
        <v>1.7502</v>
      </c>
      <c r="F69" s="2">
        <f t="shared" si="8"/>
        <v>-1.6296559833506725</v>
      </c>
      <c r="G69" s="2">
        <f t="shared" si="9"/>
        <v>2.6557786240706474</v>
      </c>
    </row>
    <row r="70" spans="1:7" x14ac:dyDescent="0.35">
      <c r="A70" s="2">
        <v>1010</v>
      </c>
      <c r="B70" s="2">
        <f t="shared" si="5"/>
        <v>-328.35206382240722</v>
      </c>
      <c r="C70" s="2">
        <f t="shared" si="6"/>
        <v>107815.07781643418</v>
      </c>
      <c r="D70" s="2">
        <v>8333</v>
      </c>
      <c r="E70" s="2">
        <f t="shared" si="7"/>
        <v>0.83330000000000004</v>
      </c>
      <c r="F70" s="2">
        <f t="shared" si="8"/>
        <v>-2.5465559833506726</v>
      </c>
      <c r="G70" s="2">
        <f t="shared" si="9"/>
        <v>6.484947376339111</v>
      </c>
    </row>
    <row r="71" spans="1:7" x14ac:dyDescent="0.35">
      <c r="A71" s="2">
        <v>1010</v>
      </c>
      <c r="B71" s="2">
        <f t="shared" si="5"/>
        <v>-328.35206382240722</v>
      </c>
      <c r="C71" s="2">
        <f t="shared" si="6"/>
        <v>107815.07781643418</v>
      </c>
      <c r="D71" s="2">
        <v>8333</v>
      </c>
      <c r="E71" s="2">
        <f t="shared" si="7"/>
        <v>0.83330000000000004</v>
      </c>
      <c r="F71" s="2">
        <f t="shared" si="8"/>
        <v>-2.5465559833506726</v>
      </c>
      <c r="G71" s="2">
        <f t="shared" si="9"/>
        <v>6.484947376339111</v>
      </c>
    </row>
    <row r="72" spans="1:7" x14ac:dyDescent="0.35">
      <c r="A72" s="2">
        <v>1010</v>
      </c>
      <c r="B72" s="2">
        <f t="shared" si="5"/>
        <v>-328.35206382240722</v>
      </c>
      <c r="C72" s="2">
        <f t="shared" si="6"/>
        <v>107815.07781643418</v>
      </c>
      <c r="D72" s="2">
        <v>6667</v>
      </c>
      <c r="E72" s="2">
        <f t="shared" si="7"/>
        <v>0.66669999999999996</v>
      </c>
      <c r="F72" s="2">
        <f t="shared" si="8"/>
        <v>-2.7131559833506724</v>
      </c>
      <c r="G72" s="2">
        <f t="shared" si="9"/>
        <v>7.3612153899915542</v>
      </c>
    </row>
    <row r="73" spans="1:7" x14ac:dyDescent="0.35">
      <c r="A73" s="2">
        <v>1010</v>
      </c>
      <c r="B73" s="2">
        <f t="shared" si="5"/>
        <v>-328.35206382240722</v>
      </c>
      <c r="C73" s="2">
        <f t="shared" si="6"/>
        <v>107815.07781643418</v>
      </c>
      <c r="D73" s="2">
        <v>7500</v>
      </c>
      <c r="E73" s="2">
        <f t="shared" si="7"/>
        <v>0.75</v>
      </c>
      <c r="F73" s="2">
        <f t="shared" si="8"/>
        <v>-2.6298559833506725</v>
      </c>
      <c r="G73" s="2">
        <f t="shared" si="9"/>
        <v>6.9161424931653324</v>
      </c>
    </row>
    <row r="74" spans="1:7" x14ac:dyDescent="0.35">
      <c r="A74" s="2">
        <v>1010</v>
      </c>
      <c r="B74" s="2">
        <f t="shared" si="5"/>
        <v>-328.35206382240722</v>
      </c>
      <c r="C74" s="2">
        <f t="shared" si="6"/>
        <v>107815.07781643418</v>
      </c>
      <c r="D74" s="2">
        <v>9512</v>
      </c>
      <c r="E74" s="2">
        <f t="shared" si="7"/>
        <v>0.95120000000000005</v>
      </c>
      <c r="F74" s="2">
        <f t="shared" si="8"/>
        <v>-2.4286559833506725</v>
      </c>
      <c r="G74" s="2">
        <f t="shared" si="9"/>
        <v>5.8983698854650219</v>
      </c>
    </row>
    <row r="75" spans="1:7" x14ac:dyDescent="0.35">
      <c r="A75" s="2">
        <v>1010</v>
      </c>
      <c r="B75" s="2">
        <f t="shared" si="5"/>
        <v>-328.35206382240722</v>
      </c>
      <c r="C75" s="2">
        <f t="shared" si="6"/>
        <v>107815.07781643418</v>
      </c>
      <c r="D75" s="2">
        <v>10000</v>
      </c>
      <c r="E75" s="2">
        <f t="shared" si="7"/>
        <v>1</v>
      </c>
      <c r="F75" s="2">
        <f t="shared" si="8"/>
        <v>-2.3798559833506725</v>
      </c>
      <c r="G75" s="2">
        <f t="shared" si="9"/>
        <v>5.6637145014899968</v>
      </c>
    </row>
    <row r="76" spans="1:7" x14ac:dyDescent="0.35">
      <c r="A76" s="2">
        <v>1010</v>
      </c>
      <c r="B76" s="2">
        <f t="shared" si="5"/>
        <v>-328.35206382240722</v>
      </c>
      <c r="C76" s="2">
        <f t="shared" si="6"/>
        <v>107815.07781643418</v>
      </c>
      <c r="D76" s="2">
        <v>9106</v>
      </c>
      <c r="E76" s="2">
        <f t="shared" si="7"/>
        <v>0.91059999999999997</v>
      </c>
      <c r="F76" s="2">
        <f t="shared" si="8"/>
        <v>-2.4692559833506724</v>
      </c>
      <c r="G76" s="2">
        <f t="shared" si="9"/>
        <v>6.0972251113130964</v>
      </c>
    </row>
    <row r="77" spans="1:7" x14ac:dyDescent="0.35">
      <c r="A77" s="2">
        <v>1010</v>
      </c>
      <c r="B77" s="2">
        <f t="shared" si="5"/>
        <v>-328.35206382240722</v>
      </c>
      <c r="C77" s="2">
        <f t="shared" si="6"/>
        <v>107815.07781643418</v>
      </c>
      <c r="D77" s="2">
        <v>8000</v>
      </c>
      <c r="E77" s="2">
        <f t="shared" si="7"/>
        <v>0.8</v>
      </c>
      <c r="F77" s="2">
        <f t="shared" si="8"/>
        <v>-2.5798559833506722</v>
      </c>
      <c r="G77" s="2">
        <f t="shared" si="9"/>
        <v>6.6556568948302637</v>
      </c>
    </row>
    <row r="78" spans="1:7" x14ac:dyDescent="0.35">
      <c r="A78" s="2">
        <v>1010</v>
      </c>
      <c r="B78" s="2">
        <f t="shared" si="5"/>
        <v>-328.35206382240722</v>
      </c>
      <c r="C78" s="2">
        <f t="shared" si="6"/>
        <v>107815.07781643418</v>
      </c>
      <c r="D78" s="2">
        <v>8750</v>
      </c>
      <c r="E78" s="2">
        <f t="shared" si="7"/>
        <v>0.875</v>
      </c>
      <c r="F78" s="2">
        <f t="shared" si="8"/>
        <v>-2.5048559833506725</v>
      </c>
      <c r="G78" s="2">
        <f t="shared" si="9"/>
        <v>6.2743034973276641</v>
      </c>
    </row>
    <row r="79" spans="1:7" x14ac:dyDescent="0.35">
      <c r="A79" s="2">
        <v>1010</v>
      </c>
      <c r="B79" s="2">
        <f t="shared" si="5"/>
        <v>-328.35206382240722</v>
      </c>
      <c r="C79" s="2">
        <f t="shared" si="6"/>
        <v>107815.07781643418</v>
      </c>
      <c r="D79" s="2">
        <v>14615</v>
      </c>
      <c r="E79" s="2">
        <f t="shared" si="7"/>
        <v>1.4615</v>
      </c>
      <c r="F79" s="2">
        <f t="shared" si="8"/>
        <v>-1.9183559833506725</v>
      </c>
      <c r="G79" s="2">
        <f t="shared" si="9"/>
        <v>3.6800896788573256</v>
      </c>
    </row>
    <row r="80" spans="1:7" x14ac:dyDescent="0.35">
      <c r="A80" s="2">
        <v>1010</v>
      </c>
      <c r="B80" s="2">
        <f t="shared" si="5"/>
        <v>-328.35206382240722</v>
      </c>
      <c r="C80" s="2">
        <f t="shared" si="6"/>
        <v>107815.07781643418</v>
      </c>
      <c r="D80" s="2">
        <v>17500</v>
      </c>
      <c r="E80" s="2">
        <f t="shared" si="7"/>
        <v>1.75</v>
      </c>
      <c r="F80" s="2">
        <f t="shared" si="8"/>
        <v>-1.6298559833506725</v>
      </c>
      <c r="G80" s="2">
        <f t="shared" si="9"/>
        <v>2.6564305264639878</v>
      </c>
    </row>
    <row r="81" spans="1:7" x14ac:dyDescent="0.35">
      <c r="A81" s="2">
        <v>1010</v>
      </c>
      <c r="B81" s="2">
        <f t="shared" si="5"/>
        <v>-328.35206382240722</v>
      </c>
      <c r="C81" s="2">
        <f t="shared" si="6"/>
        <v>107815.07781643418</v>
      </c>
      <c r="D81" s="2">
        <v>20000</v>
      </c>
      <c r="E81" s="2">
        <f t="shared" si="7"/>
        <v>2</v>
      </c>
      <c r="F81" s="2">
        <f t="shared" si="8"/>
        <v>-1.3798559833506725</v>
      </c>
      <c r="G81" s="2">
        <f t="shared" si="9"/>
        <v>1.9040025347886513</v>
      </c>
    </row>
    <row r="82" spans="1:7" x14ac:dyDescent="0.35">
      <c r="A82" s="2">
        <v>1010</v>
      </c>
      <c r="B82" s="2">
        <f t="shared" si="5"/>
        <v>-328.35206382240722</v>
      </c>
      <c r="C82" s="2">
        <f t="shared" si="6"/>
        <v>107815.07781643418</v>
      </c>
      <c r="D82" s="2">
        <v>20000</v>
      </c>
      <c r="E82" s="2">
        <f t="shared" si="7"/>
        <v>2</v>
      </c>
      <c r="F82" s="2">
        <f t="shared" si="8"/>
        <v>-1.3798559833506725</v>
      </c>
      <c r="G82" s="2">
        <f t="shared" si="9"/>
        <v>1.9040025347886513</v>
      </c>
    </row>
    <row r="83" spans="1:7" x14ac:dyDescent="0.35">
      <c r="A83" s="2">
        <v>1010</v>
      </c>
      <c r="B83" s="2">
        <f t="shared" si="5"/>
        <v>-328.35206382240722</v>
      </c>
      <c r="C83" s="2">
        <f t="shared" si="6"/>
        <v>107815.07781643418</v>
      </c>
      <c r="D83" s="2">
        <v>14235</v>
      </c>
      <c r="E83" s="2">
        <f t="shared" si="7"/>
        <v>1.4235</v>
      </c>
      <c r="F83" s="2">
        <f t="shared" si="8"/>
        <v>-1.9563559833506725</v>
      </c>
      <c r="G83" s="2">
        <f t="shared" si="9"/>
        <v>3.827328733591977</v>
      </c>
    </row>
    <row r="84" spans="1:7" x14ac:dyDescent="0.35">
      <c r="A84" s="2">
        <v>1010</v>
      </c>
      <c r="B84" s="2">
        <f t="shared" si="5"/>
        <v>-328.35206382240722</v>
      </c>
      <c r="C84" s="2">
        <f t="shared" si="6"/>
        <v>107815.07781643418</v>
      </c>
      <c r="D84" s="2">
        <v>13454</v>
      </c>
      <c r="E84" s="2">
        <f t="shared" si="7"/>
        <v>1.3453999999999999</v>
      </c>
      <c r="F84" s="2">
        <f t="shared" si="8"/>
        <v>-2.0344559833506723</v>
      </c>
      <c r="G84" s="2">
        <f t="shared" si="9"/>
        <v>4.1390111481913516</v>
      </c>
    </row>
    <row r="85" spans="1:7" x14ac:dyDescent="0.35">
      <c r="A85" s="2">
        <v>1010</v>
      </c>
      <c r="B85" s="2">
        <f t="shared" si="5"/>
        <v>-328.35206382240722</v>
      </c>
      <c r="C85" s="2">
        <f t="shared" si="6"/>
        <v>107815.07781643418</v>
      </c>
      <c r="D85" s="2">
        <v>13701</v>
      </c>
      <c r="E85" s="2">
        <f t="shared" si="7"/>
        <v>1.3701000000000001</v>
      </c>
      <c r="F85" s="2">
        <f t="shared" si="8"/>
        <v>-2.0097559833506722</v>
      </c>
      <c r="G85" s="2">
        <f t="shared" si="9"/>
        <v>4.0391191126138271</v>
      </c>
    </row>
    <row r="86" spans="1:7" x14ac:dyDescent="0.35">
      <c r="A86" s="2">
        <v>1010</v>
      </c>
      <c r="B86" s="2">
        <f t="shared" si="5"/>
        <v>-328.35206382240722</v>
      </c>
      <c r="C86" s="2">
        <f t="shared" si="6"/>
        <v>107815.07781643418</v>
      </c>
      <c r="D86" s="2">
        <v>13198</v>
      </c>
      <c r="E86" s="2">
        <f t="shared" si="7"/>
        <v>1.3198000000000001</v>
      </c>
      <c r="F86" s="2">
        <f t="shared" si="8"/>
        <v>-2.0600559833506722</v>
      </c>
      <c r="G86" s="2">
        <f t="shared" si="9"/>
        <v>4.2438306545389048</v>
      </c>
    </row>
    <row r="87" spans="1:7" x14ac:dyDescent="0.35">
      <c r="A87" s="2">
        <v>1010</v>
      </c>
      <c r="B87" s="2">
        <f t="shared" si="5"/>
        <v>-328.35206382240722</v>
      </c>
      <c r="C87" s="2">
        <f t="shared" si="6"/>
        <v>107815.07781643418</v>
      </c>
      <c r="D87" s="2">
        <v>11584</v>
      </c>
      <c r="E87" s="2">
        <f t="shared" si="7"/>
        <v>1.1584000000000001</v>
      </c>
      <c r="F87" s="2">
        <f t="shared" si="8"/>
        <v>-2.2214559833506726</v>
      </c>
      <c r="G87" s="2">
        <f t="shared" si="9"/>
        <v>4.9348666859645043</v>
      </c>
    </row>
    <row r="88" spans="1:7" x14ac:dyDescent="0.35">
      <c r="A88" s="2">
        <v>1010</v>
      </c>
      <c r="B88" s="2">
        <f t="shared" si="5"/>
        <v>-328.35206382240722</v>
      </c>
      <c r="C88" s="2">
        <f t="shared" si="6"/>
        <v>107815.07781643418</v>
      </c>
      <c r="D88" s="2">
        <v>6977</v>
      </c>
      <c r="E88" s="2">
        <f t="shared" si="7"/>
        <v>0.69769999999999999</v>
      </c>
      <c r="F88" s="2">
        <f t="shared" si="8"/>
        <v>-2.6821559833506727</v>
      </c>
      <c r="G88" s="2">
        <f t="shared" si="9"/>
        <v>7.1939607190238144</v>
      </c>
    </row>
    <row r="89" spans="1:7" x14ac:dyDescent="0.35">
      <c r="A89" s="2">
        <v>1010</v>
      </c>
      <c r="B89" s="2">
        <f t="shared" si="5"/>
        <v>-328.35206382240722</v>
      </c>
      <c r="C89" s="2">
        <f t="shared" si="6"/>
        <v>107815.07781643418</v>
      </c>
      <c r="D89" s="2">
        <v>4947</v>
      </c>
      <c r="E89" s="2">
        <f t="shared" si="7"/>
        <v>0.49469999999999997</v>
      </c>
      <c r="F89" s="2">
        <f t="shared" si="8"/>
        <v>-2.8851559833506726</v>
      </c>
      <c r="G89" s="2">
        <f t="shared" si="9"/>
        <v>8.324125048264186</v>
      </c>
    </row>
    <row r="90" spans="1:7" x14ac:dyDescent="0.35">
      <c r="A90" s="2">
        <v>1010</v>
      </c>
      <c r="B90" s="2">
        <f t="shared" si="5"/>
        <v>-328.35206382240722</v>
      </c>
      <c r="C90" s="2">
        <f t="shared" si="6"/>
        <v>107815.07781643418</v>
      </c>
      <c r="D90" s="2">
        <v>5143</v>
      </c>
      <c r="E90" s="2">
        <f t="shared" si="7"/>
        <v>0.51429999999999998</v>
      </c>
      <c r="F90" s="2">
        <f t="shared" si="8"/>
        <v>-2.8655559833506725</v>
      </c>
      <c r="G90" s="2">
        <f t="shared" si="9"/>
        <v>8.2114110937168405</v>
      </c>
    </row>
    <row r="91" spans="1:7" x14ac:dyDescent="0.35">
      <c r="A91" s="2">
        <v>1010</v>
      </c>
      <c r="B91" s="2">
        <f t="shared" si="5"/>
        <v>-328.35206382240722</v>
      </c>
      <c r="C91" s="2">
        <f t="shared" si="6"/>
        <v>107815.07781643418</v>
      </c>
      <c r="D91" s="2">
        <v>5084</v>
      </c>
      <c r="E91" s="2">
        <f t="shared" si="7"/>
        <v>0.50839999999999996</v>
      </c>
      <c r="F91" s="2">
        <f t="shared" si="8"/>
        <v>-2.8714559833506725</v>
      </c>
      <c r="G91" s="2">
        <f t="shared" si="9"/>
        <v>8.2452594643203785</v>
      </c>
    </row>
    <row r="92" spans="1:7" x14ac:dyDescent="0.35">
      <c r="A92" s="2">
        <v>1010</v>
      </c>
      <c r="B92" s="2">
        <f t="shared" si="5"/>
        <v>-328.35206382240722</v>
      </c>
      <c r="C92" s="2">
        <f t="shared" si="6"/>
        <v>107815.07781643418</v>
      </c>
      <c r="D92" s="2">
        <v>6028</v>
      </c>
      <c r="E92" s="2">
        <f t="shared" si="7"/>
        <v>0.6028</v>
      </c>
      <c r="F92" s="2">
        <f t="shared" si="8"/>
        <v>-2.7770559833506727</v>
      </c>
      <c r="G92" s="2">
        <f t="shared" si="9"/>
        <v>7.712039934663772</v>
      </c>
    </row>
    <row r="93" spans="1:7" x14ac:dyDescent="0.35">
      <c r="A93" s="2">
        <v>1010</v>
      </c>
      <c r="B93" s="2">
        <f t="shared" si="5"/>
        <v>-328.35206382240722</v>
      </c>
      <c r="C93" s="2">
        <f t="shared" si="6"/>
        <v>107815.07781643418</v>
      </c>
      <c r="D93" s="2">
        <v>7403</v>
      </c>
      <c r="E93" s="2">
        <f t="shared" si="7"/>
        <v>0.74029999999999996</v>
      </c>
      <c r="F93" s="2">
        <f t="shared" si="8"/>
        <v>-2.6395559833506725</v>
      </c>
      <c r="G93" s="2">
        <f t="shared" si="9"/>
        <v>6.9672557892423361</v>
      </c>
    </row>
    <row r="94" spans="1:7" x14ac:dyDescent="0.35">
      <c r="A94" s="2">
        <v>1010</v>
      </c>
      <c r="B94" s="2">
        <f t="shared" si="5"/>
        <v>-328.35206382240722</v>
      </c>
      <c r="C94" s="2">
        <f t="shared" si="6"/>
        <v>107815.07781643418</v>
      </c>
      <c r="D94" s="2">
        <v>8914</v>
      </c>
      <c r="E94" s="2">
        <f t="shared" si="7"/>
        <v>0.89139999999999997</v>
      </c>
      <c r="F94" s="2">
        <f t="shared" si="8"/>
        <v>-2.4884559833506725</v>
      </c>
      <c r="G94" s="2">
        <f t="shared" si="9"/>
        <v>6.1924131810737624</v>
      </c>
    </row>
    <row r="95" spans="1:7" x14ac:dyDescent="0.35">
      <c r="A95" s="2">
        <v>1010</v>
      </c>
      <c r="B95" s="2">
        <f t="shared" si="5"/>
        <v>-328.35206382240722</v>
      </c>
      <c r="C95" s="2">
        <f t="shared" si="6"/>
        <v>107815.07781643418</v>
      </c>
      <c r="D95" s="2">
        <v>7703</v>
      </c>
      <c r="E95" s="2">
        <f t="shared" si="7"/>
        <v>0.77029999999999998</v>
      </c>
      <c r="F95" s="2">
        <f t="shared" si="8"/>
        <v>-2.6095559833506723</v>
      </c>
      <c r="G95" s="2">
        <f t="shared" si="9"/>
        <v>6.8097824302412944</v>
      </c>
    </row>
    <row r="96" spans="1:7" x14ac:dyDescent="0.35">
      <c r="A96" s="2">
        <v>1010</v>
      </c>
      <c r="B96" s="2">
        <f t="shared" si="5"/>
        <v>-328.35206382240722</v>
      </c>
      <c r="C96" s="2">
        <f t="shared" si="6"/>
        <v>107815.07781643418</v>
      </c>
      <c r="D96" s="2">
        <v>12744</v>
      </c>
      <c r="E96" s="2">
        <f t="shared" si="7"/>
        <v>1.2744</v>
      </c>
      <c r="F96" s="2">
        <f t="shared" si="8"/>
        <v>-2.1054559833506725</v>
      </c>
      <c r="G96" s="2">
        <f t="shared" si="9"/>
        <v>4.4329448978271477</v>
      </c>
    </row>
    <row r="97" spans="1:7" x14ac:dyDescent="0.35">
      <c r="A97" s="2">
        <v>1010</v>
      </c>
      <c r="B97" s="2">
        <f t="shared" si="5"/>
        <v>-328.35206382240722</v>
      </c>
      <c r="C97" s="2">
        <f t="shared" si="6"/>
        <v>107815.07781643418</v>
      </c>
      <c r="D97" s="2">
        <v>14064</v>
      </c>
      <c r="E97" s="2">
        <f t="shared" si="7"/>
        <v>1.4064000000000001</v>
      </c>
      <c r="F97" s="2">
        <f t="shared" si="8"/>
        <v>-1.9734559833506724</v>
      </c>
      <c r="G97" s="2">
        <f t="shared" si="9"/>
        <v>3.8945285182225695</v>
      </c>
    </row>
    <row r="98" spans="1:7" x14ac:dyDescent="0.35">
      <c r="A98" s="2">
        <v>1010</v>
      </c>
      <c r="B98" s="2">
        <f t="shared" si="5"/>
        <v>-328.35206382240722</v>
      </c>
      <c r="C98" s="2">
        <f t="shared" si="6"/>
        <v>107815.07781643418</v>
      </c>
      <c r="D98" s="2">
        <v>15068</v>
      </c>
      <c r="E98" s="2">
        <f t="shared" si="7"/>
        <v>1.5067999999999999</v>
      </c>
      <c r="F98" s="2">
        <f t="shared" si="8"/>
        <v>-1.8730559833506726</v>
      </c>
      <c r="G98" s="2">
        <f t="shared" si="9"/>
        <v>3.5083387167657549</v>
      </c>
    </row>
    <row r="99" spans="1:7" x14ac:dyDescent="0.35">
      <c r="A99" s="2">
        <v>1010</v>
      </c>
      <c r="B99" s="2">
        <f t="shared" si="5"/>
        <v>-328.35206382240722</v>
      </c>
      <c r="C99" s="2">
        <f t="shared" si="6"/>
        <v>107815.07781643418</v>
      </c>
      <c r="D99" s="2">
        <v>15477</v>
      </c>
      <c r="E99" s="2">
        <f t="shared" si="7"/>
        <v>1.5477000000000001</v>
      </c>
      <c r="F99" s="2">
        <f t="shared" si="8"/>
        <v>-1.8321559833506724</v>
      </c>
      <c r="G99" s="2">
        <f t="shared" si="9"/>
        <v>3.3567955473276694</v>
      </c>
    </row>
    <row r="100" spans="1:7" x14ac:dyDescent="0.35">
      <c r="A100" s="2">
        <v>591</v>
      </c>
      <c r="B100" s="2">
        <f t="shared" si="5"/>
        <v>-747.35206382240722</v>
      </c>
      <c r="C100" s="2">
        <f t="shared" si="6"/>
        <v>558535.10729961144</v>
      </c>
      <c r="D100" s="2">
        <v>36782</v>
      </c>
      <c r="E100" s="2">
        <f t="shared" si="7"/>
        <v>3.6781999999999999</v>
      </c>
      <c r="F100" s="2">
        <f t="shared" si="8"/>
        <v>0.29834401664932741</v>
      </c>
      <c r="G100" s="2">
        <f t="shared" si="9"/>
        <v>8.9009152270454153E-2</v>
      </c>
    </row>
    <row r="101" spans="1:7" x14ac:dyDescent="0.35">
      <c r="A101" s="2">
        <v>591</v>
      </c>
      <c r="B101" s="2">
        <f t="shared" si="5"/>
        <v>-747.35206382240722</v>
      </c>
      <c r="C101" s="2">
        <f t="shared" si="6"/>
        <v>558535.10729961144</v>
      </c>
      <c r="D101" s="2">
        <v>38849</v>
      </c>
      <c r="E101" s="2">
        <f t="shared" si="7"/>
        <v>3.8849</v>
      </c>
      <c r="F101" s="2">
        <f t="shared" si="8"/>
        <v>0.50504401664932752</v>
      </c>
      <c r="G101" s="2">
        <f t="shared" si="9"/>
        <v>0.25506945875328624</v>
      </c>
    </row>
    <row r="102" spans="1:7" x14ac:dyDescent="0.35">
      <c r="A102" s="2">
        <v>591</v>
      </c>
      <c r="B102" s="2">
        <f t="shared" si="5"/>
        <v>-747.35206382240722</v>
      </c>
      <c r="C102" s="2">
        <f t="shared" si="6"/>
        <v>558535.10729961144</v>
      </c>
      <c r="D102" s="2">
        <v>39185</v>
      </c>
      <c r="E102" s="2">
        <f t="shared" si="7"/>
        <v>3.9184999999999999</v>
      </c>
      <c r="F102" s="2">
        <f t="shared" si="8"/>
        <v>0.53864401664932737</v>
      </c>
      <c r="G102" s="2">
        <f t="shared" si="9"/>
        <v>0.29013737667212086</v>
      </c>
    </row>
    <row r="103" spans="1:7" x14ac:dyDescent="0.35">
      <c r="A103" s="2">
        <v>591</v>
      </c>
      <c r="B103" s="2">
        <f t="shared" si="5"/>
        <v>-747.35206382240722</v>
      </c>
      <c r="C103" s="2">
        <f t="shared" si="6"/>
        <v>558535.10729961144</v>
      </c>
      <c r="D103" s="2">
        <v>46711</v>
      </c>
      <c r="E103" s="2">
        <f t="shared" si="7"/>
        <v>4.6711</v>
      </c>
      <c r="F103" s="2">
        <f t="shared" si="8"/>
        <v>1.2912440166493275</v>
      </c>
      <c r="G103" s="2">
        <f t="shared" si="9"/>
        <v>1.6673111105326888</v>
      </c>
    </row>
    <row r="104" spans="1:7" x14ac:dyDescent="0.35">
      <c r="A104" s="2">
        <v>591</v>
      </c>
      <c r="B104" s="2">
        <f t="shared" si="5"/>
        <v>-747.35206382240722</v>
      </c>
      <c r="C104" s="2">
        <f t="shared" si="6"/>
        <v>558535.10729961144</v>
      </c>
      <c r="D104" s="2">
        <v>36709</v>
      </c>
      <c r="E104" s="2">
        <f t="shared" si="7"/>
        <v>3.6709000000000001</v>
      </c>
      <c r="F104" s="2">
        <f t="shared" si="8"/>
        <v>0.29104401664932755</v>
      </c>
      <c r="G104" s="2">
        <f t="shared" si="9"/>
        <v>8.4706619627374052E-2</v>
      </c>
    </row>
    <row r="105" spans="1:7" x14ac:dyDescent="0.35">
      <c r="A105" s="2">
        <v>591</v>
      </c>
      <c r="B105" s="2">
        <f t="shared" si="5"/>
        <v>-747.35206382240722</v>
      </c>
      <c r="C105" s="2">
        <f t="shared" si="6"/>
        <v>558535.10729961144</v>
      </c>
      <c r="D105" s="2">
        <v>40294</v>
      </c>
      <c r="E105" s="2">
        <f t="shared" si="7"/>
        <v>4.0293999999999999</v>
      </c>
      <c r="F105" s="2">
        <f t="shared" si="8"/>
        <v>0.64954401664932737</v>
      </c>
      <c r="G105" s="2">
        <f t="shared" si="9"/>
        <v>0.42190742956494165</v>
      </c>
    </row>
    <row r="106" spans="1:7" x14ac:dyDescent="0.35">
      <c r="A106" s="2">
        <v>591</v>
      </c>
      <c r="B106" s="2">
        <f t="shared" si="5"/>
        <v>-747.35206382240722</v>
      </c>
      <c r="C106" s="2">
        <f t="shared" si="6"/>
        <v>558535.10729961144</v>
      </c>
      <c r="D106" s="2">
        <v>52075</v>
      </c>
      <c r="E106" s="2">
        <f t="shared" si="7"/>
        <v>5.2074999999999996</v>
      </c>
      <c r="F106" s="2">
        <f t="shared" si="8"/>
        <v>1.8276440166493271</v>
      </c>
      <c r="G106" s="2">
        <f t="shared" si="9"/>
        <v>3.3402826515940856</v>
      </c>
    </row>
    <row r="107" spans="1:7" x14ac:dyDescent="0.35">
      <c r="A107" s="2">
        <v>591</v>
      </c>
      <c r="B107" s="2">
        <f t="shared" si="5"/>
        <v>-747.35206382240722</v>
      </c>
      <c r="C107" s="2">
        <f t="shared" si="6"/>
        <v>558535.10729961144</v>
      </c>
      <c r="D107" s="2">
        <v>43559</v>
      </c>
      <c r="E107" s="2">
        <f t="shared" si="7"/>
        <v>4.3559000000000001</v>
      </c>
      <c r="F107" s="2">
        <f t="shared" si="8"/>
        <v>0.97604401664932761</v>
      </c>
      <c r="G107" s="2">
        <f t="shared" si="9"/>
        <v>0.95266192243695291</v>
      </c>
    </row>
    <row r="108" spans="1:7" x14ac:dyDescent="0.35">
      <c r="A108" s="2">
        <v>591</v>
      </c>
      <c r="B108" s="2">
        <f t="shared" si="5"/>
        <v>-747.35206382240722</v>
      </c>
      <c r="C108" s="2">
        <f t="shared" si="6"/>
        <v>558535.10729961144</v>
      </c>
      <c r="D108" s="2">
        <v>42989</v>
      </c>
      <c r="E108" s="2">
        <f t="shared" si="7"/>
        <v>4.2988999999999997</v>
      </c>
      <c r="F108" s="2">
        <f t="shared" si="8"/>
        <v>0.91904401664932722</v>
      </c>
      <c r="G108" s="2">
        <f t="shared" si="9"/>
        <v>0.84464190453892884</v>
      </c>
    </row>
    <row r="109" spans="1:7" x14ac:dyDescent="0.35">
      <c r="A109" s="2">
        <v>591</v>
      </c>
      <c r="B109" s="2">
        <f t="shared" si="5"/>
        <v>-747.35206382240722</v>
      </c>
      <c r="C109" s="2">
        <f t="shared" si="6"/>
        <v>558535.10729961144</v>
      </c>
      <c r="D109" s="2">
        <v>50306</v>
      </c>
      <c r="E109" s="2">
        <f t="shared" si="7"/>
        <v>5.0305999999999997</v>
      </c>
      <c r="F109" s="2">
        <f t="shared" si="8"/>
        <v>1.6507440166493272</v>
      </c>
      <c r="G109" s="2">
        <f t="shared" si="9"/>
        <v>2.7249558085035543</v>
      </c>
    </row>
    <row r="110" spans="1:7" x14ac:dyDescent="0.35">
      <c r="A110" s="2">
        <v>591</v>
      </c>
      <c r="B110" s="2">
        <f t="shared" si="5"/>
        <v>-747.35206382240722</v>
      </c>
      <c r="C110" s="2">
        <f t="shared" si="6"/>
        <v>558535.10729961144</v>
      </c>
      <c r="D110" s="2">
        <v>51031</v>
      </c>
      <c r="E110" s="2">
        <f t="shared" si="7"/>
        <v>5.1031000000000004</v>
      </c>
      <c r="F110" s="2">
        <f t="shared" si="8"/>
        <v>1.7232440166493279</v>
      </c>
      <c r="G110" s="2">
        <f t="shared" si="9"/>
        <v>2.969569940917709</v>
      </c>
    </row>
    <row r="111" spans="1:7" x14ac:dyDescent="0.35">
      <c r="A111" s="2">
        <v>591</v>
      </c>
      <c r="B111" s="2">
        <f t="shared" si="5"/>
        <v>-747.35206382240722</v>
      </c>
      <c r="C111" s="2">
        <f t="shared" si="6"/>
        <v>558535.10729961144</v>
      </c>
      <c r="D111" s="2">
        <v>53703</v>
      </c>
      <c r="E111" s="2">
        <f t="shared" si="7"/>
        <v>5.3703000000000003</v>
      </c>
      <c r="F111" s="2">
        <f t="shared" si="8"/>
        <v>1.9904440166493278</v>
      </c>
      <c r="G111" s="2">
        <f t="shared" si="9"/>
        <v>3.9618673834151097</v>
      </c>
    </row>
    <row r="112" spans="1:7" x14ac:dyDescent="0.35">
      <c r="A112" s="2">
        <v>591</v>
      </c>
      <c r="B112" s="2">
        <f t="shared" si="5"/>
        <v>-747.35206382240722</v>
      </c>
      <c r="C112" s="2">
        <f t="shared" si="6"/>
        <v>558535.10729961144</v>
      </c>
      <c r="D112" s="2">
        <v>47762</v>
      </c>
      <c r="E112" s="2">
        <f t="shared" si="7"/>
        <v>4.7762000000000002</v>
      </c>
      <c r="F112" s="2">
        <f t="shared" si="8"/>
        <v>1.3963440166493277</v>
      </c>
      <c r="G112" s="2">
        <f t="shared" si="9"/>
        <v>1.9497766128323779</v>
      </c>
    </row>
    <row r="113" spans="1:7" x14ac:dyDescent="0.35">
      <c r="A113" s="2">
        <v>591</v>
      </c>
      <c r="B113" s="2">
        <f t="shared" si="5"/>
        <v>-747.35206382240722</v>
      </c>
      <c r="C113" s="2">
        <f t="shared" si="6"/>
        <v>558535.10729961144</v>
      </c>
      <c r="D113" s="2">
        <v>57337</v>
      </c>
      <c r="E113" s="2">
        <f t="shared" si="7"/>
        <v>5.7336999999999998</v>
      </c>
      <c r="F113" s="2">
        <f t="shared" si="8"/>
        <v>2.3538440166493273</v>
      </c>
      <c r="G113" s="2">
        <f t="shared" si="9"/>
        <v>5.5405816547158384</v>
      </c>
    </row>
    <row r="114" spans="1:7" x14ac:dyDescent="0.35">
      <c r="A114" s="2">
        <v>591</v>
      </c>
      <c r="B114" s="2">
        <f t="shared" si="5"/>
        <v>-747.35206382240722</v>
      </c>
      <c r="C114" s="2">
        <f t="shared" si="6"/>
        <v>558535.10729961144</v>
      </c>
      <c r="D114" s="2">
        <v>47798</v>
      </c>
      <c r="E114" s="2">
        <f t="shared" si="7"/>
        <v>4.7797999999999998</v>
      </c>
      <c r="F114" s="2">
        <f t="shared" si="8"/>
        <v>1.3999440166493273</v>
      </c>
      <c r="G114" s="2">
        <f t="shared" si="9"/>
        <v>1.959843249752252</v>
      </c>
    </row>
    <row r="115" spans="1:7" x14ac:dyDescent="0.35">
      <c r="A115" s="2">
        <v>591</v>
      </c>
      <c r="B115" s="2">
        <f t="shared" si="5"/>
        <v>-747.35206382240722</v>
      </c>
      <c r="C115" s="2">
        <f t="shared" si="6"/>
        <v>558535.10729961144</v>
      </c>
      <c r="D115" s="2">
        <v>57495</v>
      </c>
      <c r="E115" s="2">
        <f t="shared" si="7"/>
        <v>5.7495000000000003</v>
      </c>
      <c r="F115" s="2">
        <f t="shared" si="8"/>
        <v>2.3696440166493278</v>
      </c>
      <c r="G115" s="2">
        <f t="shared" si="9"/>
        <v>5.6152127656419593</v>
      </c>
    </row>
    <row r="116" spans="1:7" x14ac:dyDescent="0.35">
      <c r="A116" s="2">
        <v>591</v>
      </c>
      <c r="B116" s="2">
        <f t="shared" si="5"/>
        <v>-747.35206382240722</v>
      </c>
      <c r="C116" s="2">
        <f t="shared" si="6"/>
        <v>558535.10729961144</v>
      </c>
      <c r="D116" s="2">
        <v>57197</v>
      </c>
      <c r="E116" s="2">
        <f t="shared" si="7"/>
        <v>5.7196999999999996</v>
      </c>
      <c r="F116" s="2">
        <f t="shared" si="8"/>
        <v>2.3398440166493271</v>
      </c>
      <c r="G116" s="2">
        <f t="shared" si="9"/>
        <v>5.4748700222496565</v>
      </c>
    </row>
    <row r="117" spans="1:7" x14ac:dyDescent="0.35">
      <c r="A117" s="2">
        <v>591</v>
      </c>
      <c r="B117" s="2">
        <f t="shared" si="5"/>
        <v>-747.35206382240722</v>
      </c>
      <c r="C117" s="2">
        <f t="shared" si="6"/>
        <v>558535.10729961144</v>
      </c>
      <c r="D117" s="2">
        <v>62661</v>
      </c>
      <c r="E117" s="2">
        <f t="shared" si="7"/>
        <v>6.2660999999999998</v>
      </c>
      <c r="F117" s="2">
        <f t="shared" si="8"/>
        <v>2.8862440166493273</v>
      </c>
      <c r="G117" s="2">
        <f t="shared" si="9"/>
        <v>8.3304045236440416</v>
      </c>
    </row>
    <row r="118" spans="1:7" x14ac:dyDescent="0.35">
      <c r="A118" s="2">
        <v>591</v>
      </c>
      <c r="B118" s="2">
        <f t="shared" si="5"/>
        <v>-747.35206382240722</v>
      </c>
      <c r="C118" s="2">
        <f t="shared" si="6"/>
        <v>558535.10729961144</v>
      </c>
      <c r="D118" s="2">
        <v>60165</v>
      </c>
      <c r="E118" s="2">
        <f t="shared" si="7"/>
        <v>6.0164999999999997</v>
      </c>
      <c r="F118" s="2">
        <f t="shared" si="8"/>
        <v>2.6366440166493272</v>
      </c>
      <c r="G118" s="2">
        <f t="shared" si="9"/>
        <v>6.9518916705326976</v>
      </c>
    </row>
    <row r="119" spans="1:7" x14ac:dyDescent="0.35">
      <c r="A119" s="2">
        <v>591</v>
      </c>
      <c r="B119" s="2">
        <f t="shared" si="5"/>
        <v>-747.35206382240722</v>
      </c>
      <c r="C119" s="2">
        <f t="shared" si="6"/>
        <v>558535.10729961144</v>
      </c>
      <c r="D119" s="2">
        <v>70610</v>
      </c>
      <c r="E119" s="2">
        <f t="shared" si="7"/>
        <v>7.0609999999999999</v>
      </c>
      <c r="F119" s="2">
        <f t="shared" si="8"/>
        <v>3.6811440166493274</v>
      </c>
      <c r="G119" s="2">
        <f t="shared" si="9"/>
        <v>13.550821271313144</v>
      </c>
    </row>
    <row r="120" spans="1:7" x14ac:dyDescent="0.35">
      <c r="A120" s="2">
        <v>591</v>
      </c>
      <c r="B120" s="2">
        <f t="shared" si="5"/>
        <v>-747.35206382240722</v>
      </c>
      <c r="C120" s="2">
        <f t="shared" si="6"/>
        <v>558535.10729961144</v>
      </c>
      <c r="D120" s="2">
        <v>65604</v>
      </c>
      <c r="E120" s="2">
        <f t="shared" si="7"/>
        <v>6.5603999999999996</v>
      </c>
      <c r="F120" s="2">
        <f t="shared" si="8"/>
        <v>3.1805440166493271</v>
      </c>
      <c r="G120" s="2">
        <f t="shared" si="9"/>
        <v>10.115860241843835</v>
      </c>
    </row>
    <row r="121" spans="1:7" x14ac:dyDescent="0.35">
      <c r="A121" s="2">
        <v>591</v>
      </c>
      <c r="B121" s="2">
        <f t="shared" si="5"/>
        <v>-747.35206382240722</v>
      </c>
      <c r="C121" s="2">
        <f t="shared" si="6"/>
        <v>558535.10729961144</v>
      </c>
      <c r="D121" s="2">
        <v>68278</v>
      </c>
      <c r="E121" s="2">
        <f t="shared" si="7"/>
        <v>6.8277999999999999</v>
      </c>
      <c r="F121" s="2">
        <f t="shared" si="8"/>
        <v>3.4479440166493274</v>
      </c>
      <c r="G121" s="2">
        <f t="shared" si="9"/>
        <v>11.888317941947896</v>
      </c>
    </row>
    <row r="122" spans="1:7" x14ac:dyDescent="0.35">
      <c r="A122" s="2">
        <v>591</v>
      </c>
      <c r="B122" s="2">
        <f t="shared" si="5"/>
        <v>-747.35206382240722</v>
      </c>
      <c r="C122" s="2">
        <f t="shared" si="6"/>
        <v>558535.10729961144</v>
      </c>
      <c r="D122" s="2">
        <v>68842</v>
      </c>
      <c r="E122" s="2">
        <f t="shared" si="7"/>
        <v>6.8841999999999999</v>
      </c>
      <c r="F122" s="2">
        <f t="shared" si="8"/>
        <v>3.5043440166493274</v>
      </c>
      <c r="G122" s="2">
        <f t="shared" si="9"/>
        <v>12.28042698702594</v>
      </c>
    </row>
    <row r="123" spans="1:7" x14ac:dyDescent="0.35">
      <c r="A123" s="2">
        <v>591</v>
      </c>
      <c r="B123" s="2">
        <f t="shared" si="5"/>
        <v>-747.35206382240722</v>
      </c>
      <c r="C123" s="2">
        <f t="shared" si="6"/>
        <v>558535.10729961144</v>
      </c>
      <c r="D123" s="2">
        <v>57646</v>
      </c>
      <c r="E123" s="2">
        <f t="shared" si="7"/>
        <v>5.7645999999999997</v>
      </c>
      <c r="F123" s="2">
        <f t="shared" si="8"/>
        <v>2.3847440166493272</v>
      </c>
      <c r="G123" s="2">
        <f t="shared" si="9"/>
        <v>5.6870040249447671</v>
      </c>
    </row>
    <row r="124" spans="1:7" x14ac:dyDescent="0.35">
      <c r="A124" s="2">
        <v>591</v>
      </c>
      <c r="B124" s="2">
        <f t="shared" si="5"/>
        <v>-747.35206382240722</v>
      </c>
      <c r="C124" s="2">
        <f t="shared" si="6"/>
        <v>558535.10729961144</v>
      </c>
      <c r="D124" s="2">
        <v>67901</v>
      </c>
      <c r="E124" s="2">
        <f t="shared" si="7"/>
        <v>6.7900999999999998</v>
      </c>
      <c r="F124" s="2">
        <f t="shared" si="8"/>
        <v>3.4102440166493273</v>
      </c>
      <c r="G124" s="2">
        <f t="shared" si="9"/>
        <v>11.629764253092537</v>
      </c>
    </row>
    <row r="125" spans="1:7" x14ac:dyDescent="0.35">
      <c r="A125" s="2">
        <v>591</v>
      </c>
      <c r="B125" s="2">
        <f t="shared" si="5"/>
        <v>-747.35206382240722</v>
      </c>
      <c r="C125" s="2">
        <f t="shared" si="6"/>
        <v>558535.10729961144</v>
      </c>
      <c r="D125" s="2">
        <v>66617</v>
      </c>
      <c r="E125" s="2">
        <f t="shared" si="7"/>
        <v>6.6616999999999997</v>
      </c>
      <c r="F125" s="2">
        <f t="shared" si="8"/>
        <v>3.2818440166493272</v>
      </c>
      <c r="G125" s="2">
        <f t="shared" si="9"/>
        <v>10.770500149616989</v>
      </c>
    </row>
    <row r="126" spans="1:7" x14ac:dyDescent="0.35">
      <c r="A126" s="2">
        <v>591</v>
      </c>
      <c r="B126" s="2">
        <f t="shared" si="5"/>
        <v>-747.35206382240722</v>
      </c>
      <c r="C126" s="2">
        <f t="shared" si="6"/>
        <v>558535.10729961144</v>
      </c>
      <c r="D126" s="2">
        <v>67187</v>
      </c>
      <c r="E126" s="2">
        <f t="shared" si="7"/>
        <v>6.7187000000000001</v>
      </c>
      <c r="F126" s="2">
        <f t="shared" si="8"/>
        <v>3.3388440166493276</v>
      </c>
      <c r="G126" s="2">
        <f t="shared" si="9"/>
        <v>11.147879367515015</v>
      </c>
    </row>
    <row r="127" spans="1:7" x14ac:dyDescent="0.35">
      <c r="A127" s="2">
        <v>591</v>
      </c>
      <c r="B127" s="2">
        <f t="shared" si="5"/>
        <v>-747.35206382240722</v>
      </c>
      <c r="C127" s="2">
        <f t="shared" si="6"/>
        <v>558535.10729961144</v>
      </c>
      <c r="D127" s="2">
        <v>65042</v>
      </c>
      <c r="E127" s="2">
        <f t="shared" si="7"/>
        <v>6.5042</v>
      </c>
      <c r="F127" s="2">
        <f t="shared" si="8"/>
        <v>3.1243440166493275</v>
      </c>
      <c r="G127" s="2">
        <f t="shared" si="9"/>
        <v>9.7615255343724527</v>
      </c>
    </row>
    <row r="128" spans="1:7" x14ac:dyDescent="0.35">
      <c r="A128" s="2">
        <v>591</v>
      </c>
      <c r="B128" s="2">
        <f t="shared" si="5"/>
        <v>-747.35206382240722</v>
      </c>
      <c r="C128" s="2">
        <f t="shared" si="6"/>
        <v>558535.10729961144</v>
      </c>
      <c r="D128" s="2">
        <v>66989</v>
      </c>
      <c r="E128" s="2">
        <f t="shared" si="7"/>
        <v>6.6989000000000001</v>
      </c>
      <c r="F128" s="2">
        <f t="shared" si="8"/>
        <v>3.3190440166493276</v>
      </c>
      <c r="G128" s="2">
        <f t="shared" si="9"/>
        <v>11.016053184455702</v>
      </c>
    </row>
    <row r="129" spans="1:7" x14ac:dyDescent="0.35">
      <c r="A129" s="2">
        <v>591</v>
      </c>
      <c r="B129" s="2">
        <f t="shared" si="5"/>
        <v>-747.35206382240722</v>
      </c>
      <c r="C129" s="2">
        <f t="shared" si="6"/>
        <v>558535.10729961144</v>
      </c>
      <c r="D129" s="2">
        <v>67632</v>
      </c>
      <c r="E129" s="2">
        <f t="shared" si="7"/>
        <v>6.7632000000000003</v>
      </c>
      <c r="F129" s="2">
        <f t="shared" si="8"/>
        <v>3.3833440166493278</v>
      </c>
      <c r="G129" s="2">
        <f t="shared" si="9"/>
        <v>11.447016734996808</v>
      </c>
    </row>
    <row r="130" spans="1:7" x14ac:dyDescent="0.35">
      <c r="A130" s="2">
        <v>534</v>
      </c>
      <c r="B130" s="2">
        <f t="shared" si="5"/>
        <v>-804.35206382240722</v>
      </c>
      <c r="C130" s="2">
        <f t="shared" si="6"/>
        <v>646982.24257536582</v>
      </c>
      <c r="D130" s="2">
        <v>70936</v>
      </c>
      <c r="E130" s="2">
        <f t="shared" si="7"/>
        <v>7.0936000000000003</v>
      </c>
      <c r="F130" s="2">
        <f t="shared" si="8"/>
        <v>3.7137440166493279</v>
      </c>
      <c r="G130" s="2">
        <f t="shared" si="9"/>
        <v>13.791894621198683</v>
      </c>
    </row>
    <row r="131" spans="1:7" x14ac:dyDescent="0.35">
      <c r="A131" s="2">
        <v>534</v>
      </c>
      <c r="B131" s="2">
        <f t="shared" ref="B131:B194" si="10">A131-$J$1</f>
        <v>-804.35206382240722</v>
      </c>
      <c r="C131" s="2">
        <f t="shared" ref="C131:C194" si="11">B131^2</f>
        <v>646982.24257536582</v>
      </c>
      <c r="D131" s="2">
        <v>64750</v>
      </c>
      <c r="E131" s="2">
        <f t="shared" ref="E131:E194" si="12">D131/10000</f>
        <v>6.4749999999999996</v>
      </c>
      <c r="F131" s="2">
        <f t="shared" ref="F131:F194" si="13">E131-$J$2</f>
        <v>3.0951440166493271</v>
      </c>
      <c r="G131" s="2">
        <f t="shared" ref="G131:G194" si="14">F131^2</f>
        <v>9.5799164838001296</v>
      </c>
    </row>
    <row r="132" spans="1:7" x14ac:dyDescent="0.35">
      <c r="A132" s="2">
        <v>534</v>
      </c>
      <c r="B132" s="2">
        <f t="shared" si="10"/>
        <v>-804.35206382240722</v>
      </c>
      <c r="C132" s="2">
        <f t="shared" si="11"/>
        <v>646982.24257536582</v>
      </c>
      <c r="D132" s="2">
        <v>57247</v>
      </c>
      <c r="E132" s="2">
        <f t="shared" si="12"/>
        <v>5.7247000000000003</v>
      </c>
      <c r="F132" s="2">
        <f t="shared" si="13"/>
        <v>2.3448440166493278</v>
      </c>
      <c r="G132" s="2">
        <f t="shared" si="14"/>
        <v>5.4982934624161537</v>
      </c>
    </row>
    <row r="133" spans="1:7" x14ac:dyDescent="0.35">
      <c r="A133" s="2">
        <v>534</v>
      </c>
      <c r="B133" s="2">
        <f t="shared" si="10"/>
        <v>-804.35206382240722</v>
      </c>
      <c r="C133" s="2">
        <f t="shared" si="11"/>
        <v>646982.24257536582</v>
      </c>
      <c r="D133" s="2">
        <v>82990</v>
      </c>
      <c r="E133" s="2">
        <f t="shared" si="12"/>
        <v>8.2989999999999995</v>
      </c>
      <c r="F133" s="2">
        <f t="shared" si="13"/>
        <v>4.9191440166493265</v>
      </c>
      <c r="G133" s="2">
        <f t="shared" si="14"/>
        <v>24.19797785653687</v>
      </c>
    </row>
    <row r="134" spans="1:7" x14ac:dyDescent="0.35">
      <c r="A134" s="2">
        <v>534</v>
      </c>
      <c r="B134" s="2">
        <f t="shared" si="10"/>
        <v>-804.35206382240722</v>
      </c>
      <c r="C134" s="2">
        <f t="shared" si="11"/>
        <v>646982.24257536582</v>
      </c>
      <c r="D134" s="2">
        <v>88000</v>
      </c>
      <c r="E134" s="2">
        <f t="shared" si="12"/>
        <v>8.8000000000000007</v>
      </c>
      <c r="F134" s="2">
        <f t="shared" si="13"/>
        <v>5.4201440166493278</v>
      </c>
      <c r="G134" s="2">
        <f t="shared" si="14"/>
        <v>29.37796116121951</v>
      </c>
    </row>
    <row r="135" spans="1:7" x14ac:dyDescent="0.35">
      <c r="A135" s="2">
        <v>534</v>
      </c>
      <c r="B135" s="2">
        <f t="shared" si="10"/>
        <v>-804.35206382240722</v>
      </c>
      <c r="C135" s="2">
        <f t="shared" si="11"/>
        <v>646982.24257536582</v>
      </c>
      <c r="D135" s="2">
        <v>88427</v>
      </c>
      <c r="E135" s="2">
        <f t="shared" si="12"/>
        <v>8.8427000000000007</v>
      </c>
      <c r="F135" s="2">
        <f t="shared" si="13"/>
        <v>5.4628440166493277</v>
      </c>
      <c r="G135" s="2">
        <f t="shared" si="14"/>
        <v>29.842664750241362</v>
      </c>
    </row>
    <row r="136" spans="1:7" x14ac:dyDescent="0.35">
      <c r="A136" s="2">
        <v>534</v>
      </c>
      <c r="B136" s="2">
        <f t="shared" si="10"/>
        <v>-804.35206382240722</v>
      </c>
      <c r="C136" s="2">
        <f t="shared" si="11"/>
        <v>646982.24257536582</v>
      </c>
      <c r="D136" s="2">
        <v>88346</v>
      </c>
      <c r="E136" s="2">
        <f t="shared" si="12"/>
        <v>8.8346</v>
      </c>
      <c r="F136" s="2">
        <f t="shared" si="13"/>
        <v>5.4547440166493271</v>
      </c>
      <c r="G136" s="2">
        <f t="shared" si="14"/>
        <v>29.754232287171636</v>
      </c>
    </row>
    <row r="137" spans="1:7" x14ac:dyDescent="0.35">
      <c r="A137" s="2">
        <v>534</v>
      </c>
      <c r="B137" s="2">
        <f t="shared" si="10"/>
        <v>-804.35206382240722</v>
      </c>
      <c r="C137" s="2">
        <f t="shared" si="11"/>
        <v>646982.24257536582</v>
      </c>
      <c r="D137" s="2">
        <v>76400</v>
      </c>
      <c r="E137" s="2">
        <f t="shared" si="12"/>
        <v>7.64</v>
      </c>
      <c r="F137" s="2">
        <f t="shared" si="13"/>
        <v>4.2601440166493276</v>
      </c>
      <c r="G137" s="2">
        <f t="shared" si="14"/>
        <v>18.148827042593066</v>
      </c>
    </row>
    <row r="138" spans="1:7" x14ac:dyDescent="0.35">
      <c r="A138" s="2">
        <v>534</v>
      </c>
      <c r="B138" s="2">
        <f t="shared" si="10"/>
        <v>-804.35206382240722</v>
      </c>
      <c r="C138" s="2">
        <f t="shared" si="11"/>
        <v>646982.24257536582</v>
      </c>
      <c r="D138" s="2">
        <v>81537</v>
      </c>
      <c r="E138" s="2">
        <f t="shared" si="12"/>
        <v>8.1537000000000006</v>
      </c>
      <c r="F138" s="2">
        <f t="shared" si="13"/>
        <v>4.7738440166493277</v>
      </c>
      <c r="G138" s="2">
        <f t="shared" si="14"/>
        <v>22.789586695298585</v>
      </c>
    </row>
    <row r="139" spans="1:7" x14ac:dyDescent="0.35">
      <c r="A139" s="2">
        <v>534</v>
      </c>
      <c r="B139" s="2">
        <f t="shared" si="10"/>
        <v>-804.35206382240722</v>
      </c>
      <c r="C139" s="2">
        <f t="shared" si="11"/>
        <v>646982.24257536582</v>
      </c>
      <c r="D139" s="2">
        <v>88003</v>
      </c>
      <c r="E139" s="2">
        <f t="shared" si="12"/>
        <v>8.8003</v>
      </c>
      <c r="F139" s="2">
        <f t="shared" si="13"/>
        <v>5.4204440166493271</v>
      </c>
      <c r="G139" s="2">
        <f t="shared" si="14"/>
        <v>29.38121333762949</v>
      </c>
    </row>
    <row r="140" spans="1:7" x14ac:dyDescent="0.35">
      <c r="A140" s="2">
        <v>534</v>
      </c>
      <c r="B140" s="2">
        <f t="shared" si="10"/>
        <v>-804.35206382240722</v>
      </c>
      <c r="C140" s="2">
        <f t="shared" si="11"/>
        <v>646982.24257536582</v>
      </c>
      <c r="D140" s="2">
        <v>63540</v>
      </c>
      <c r="E140" s="2">
        <f t="shared" si="12"/>
        <v>6.3540000000000001</v>
      </c>
      <c r="F140" s="2">
        <f t="shared" si="13"/>
        <v>2.9741440166493276</v>
      </c>
      <c r="G140" s="2">
        <f t="shared" si="14"/>
        <v>8.845532631770995</v>
      </c>
    </row>
    <row r="141" spans="1:7" x14ac:dyDescent="0.35">
      <c r="A141" s="2">
        <v>534</v>
      </c>
      <c r="B141" s="2">
        <f t="shared" si="10"/>
        <v>-804.35206382240722</v>
      </c>
      <c r="C141" s="2">
        <f t="shared" si="11"/>
        <v>646982.24257536582</v>
      </c>
      <c r="D141" s="2">
        <v>83263</v>
      </c>
      <c r="E141" s="2">
        <f t="shared" si="12"/>
        <v>8.3262999999999998</v>
      </c>
      <c r="F141" s="2">
        <f t="shared" si="13"/>
        <v>4.9464440166493269</v>
      </c>
      <c r="G141" s="2">
        <f t="shared" si="14"/>
        <v>24.467308409845927</v>
      </c>
    </row>
    <row r="142" spans="1:7" x14ac:dyDescent="0.35">
      <c r="A142" s="2">
        <v>534</v>
      </c>
      <c r="B142" s="2">
        <f t="shared" si="10"/>
        <v>-804.35206382240722</v>
      </c>
      <c r="C142" s="2">
        <f t="shared" si="11"/>
        <v>646982.24257536582</v>
      </c>
      <c r="D142" s="2">
        <v>94256</v>
      </c>
      <c r="E142" s="2">
        <f t="shared" si="12"/>
        <v>9.4255999999999993</v>
      </c>
      <c r="F142" s="2">
        <f t="shared" si="13"/>
        <v>6.0457440166493264</v>
      </c>
      <c r="G142" s="2">
        <f t="shared" si="14"/>
        <v>36.551020714851127</v>
      </c>
    </row>
    <row r="143" spans="1:7" x14ac:dyDescent="0.35">
      <c r="A143" s="2">
        <v>534</v>
      </c>
      <c r="B143" s="2">
        <f t="shared" si="10"/>
        <v>-804.35206382240722</v>
      </c>
      <c r="C143" s="2">
        <f t="shared" si="11"/>
        <v>646982.24257536582</v>
      </c>
      <c r="D143" s="2">
        <v>91615</v>
      </c>
      <c r="E143" s="2">
        <f t="shared" si="12"/>
        <v>9.1615000000000002</v>
      </c>
      <c r="F143" s="2">
        <f t="shared" si="13"/>
        <v>5.7816440166493273</v>
      </c>
      <c r="G143" s="2">
        <f t="shared" si="14"/>
        <v>33.427407535256968</v>
      </c>
    </row>
    <row r="144" spans="1:7" x14ac:dyDescent="0.35">
      <c r="A144" s="2">
        <v>534</v>
      </c>
      <c r="B144" s="2">
        <f t="shared" si="10"/>
        <v>-804.35206382240722</v>
      </c>
      <c r="C144" s="2">
        <f t="shared" si="11"/>
        <v>646982.24257536582</v>
      </c>
      <c r="D144" s="2">
        <v>82573</v>
      </c>
      <c r="E144" s="2">
        <f t="shared" si="12"/>
        <v>8.2573000000000008</v>
      </c>
      <c r="F144" s="2">
        <f t="shared" si="13"/>
        <v>4.8774440166493278</v>
      </c>
      <c r="G144" s="2">
        <f t="shared" si="14"/>
        <v>23.789460135548328</v>
      </c>
    </row>
    <row r="145" spans="1:7" x14ac:dyDescent="0.35">
      <c r="A145" s="2">
        <v>534</v>
      </c>
      <c r="B145" s="2">
        <f t="shared" si="10"/>
        <v>-804.35206382240722</v>
      </c>
      <c r="C145" s="2">
        <f t="shared" si="11"/>
        <v>646982.24257536582</v>
      </c>
      <c r="D145" s="2">
        <v>93071</v>
      </c>
      <c r="E145" s="2">
        <f t="shared" si="12"/>
        <v>9.3071000000000002</v>
      </c>
      <c r="F145" s="2">
        <f t="shared" si="13"/>
        <v>5.9272440166493272</v>
      </c>
      <c r="G145" s="2">
        <f t="shared" si="14"/>
        <v>35.132221632905249</v>
      </c>
    </row>
    <row r="146" spans="1:7" x14ac:dyDescent="0.35">
      <c r="A146" s="2">
        <v>534</v>
      </c>
      <c r="B146" s="2">
        <f t="shared" si="10"/>
        <v>-804.35206382240722</v>
      </c>
      <c r="C146" s="2">
        <f t="shared" si="11"/>
        <v>646982.24257536582</v>
      </c>
      <c r="D146" s="2">
        <v>82580</v>
      </c>
      <c r="E146" s="2">
        <f t="shared" si="12"/>
        <v>8.2579999999999991</v>
      </c>
      <c r="F146" s="2">
        <f t="shared" si="13"/>
        <v>4.8781440166493262</v>
      </c>
      <c r="G146" s="2">
        <f t="shared" si="14"/>
        <v>23.796289047171623</v>
      </c>
    </row>
    <row r="147" spans="1:7" x14ac:dyDescent="0.35">
      <c r="A147" s="2">
        <v>534</v>
      </c>
      <c r="B147" s="2">
        <f t="shared" si="10"/>
        <v>-804.35206382240722</v>
      </c>
      <c r="C147" s="2">
        <f t="shared" si="11"/>
        <v>646982.24257536582</v>
      </c>
      <c r="D147" s="2">
        <v>83305</v>
      </c>
      <c r="E147" s="2">
        <f t="shared" si="12"/>
        <v>8.3305000000000007</v>
      </c>
      <c r="F147" s="2">
        <f t="shared" si="13"/>
        <v>4.9506440166493277</v>
      </c>
      <c r="G147" s="2">
        <f t="shared" si="14"/>
        <v>24.508876179585791</v>
      </c>
    </row>
    <row r="148" spans="1:7" x14ac:dyDescent="0.35">
      <c r="A148" s="2">
        <v>534</v>
      </c>
      <c r="B148" s="2">
        <f t="shared" si="10"/>
        <v>-804.35206382240722</v>
      </c>
      <c r="C148" s="2">
        <f t="shared" si="11"/>
        <v>646982.24257536582</v>
      </c>
      <c r="D148" s="2">
        <v>66168</v>
      </c>
      <c r="E148" s="2">
        <f t="shared" si="12"/>
        <v>6.6167999999999996</v>
      </c>
      <c r="F148" s="2">
        <f t="shared" si="13"/>
        <v>3.2369440166493271</v>
      </c>
      <c r="G148" s="2">
        <f t="shared" si="14"/>
        <v>10.477806566921879</v>
      </c>
    </row>
    <row r="149" spans="1:7" x14ac:dyDescent="0.35">
      <c r="A149" s="2">
        <v>534</v>
      </c>
      <c r="B149" s="2">
        <f t="shared" si="10"/>
        <v>-804.35206382240722</v>
      </c>
      <c r="C149" s="2">
        <f t="shared" si="11"/>
        <v>646982.24257536582</v>
      </c>
      <c r="D149" s="2">
        <v>98176</v>
      </c>
      <c r="E149" s="2">
        <f t="shared" si="12"/>
        <v>9.8176000000000005</v>
      </c>
      <c r="F149" s="2">
        <f t="shared" si="13"/>
        <v>6.4377440166493276</v>
      </c>
      <c r="G149" s="2">
        <f t="shared" si="14"/>
        <v>41.444548023904218</v>
      </c>
    </row>
    <row r="150" spans="1:7" x14ac:dyDescent="0.35">
      <c r="A150" s="2">
        <v>534</v>
      </c>
      <c r="B150" s="2">
        <f t="shared" si="10"/>
        <v>-804.35206382240722</v>
      </c>
      <c r="C150" s="2">
        <f t="shared" si="11"/>
        <v>646982.24257536582</v>
      </c>
      <c r="D150" s="2">
        <v>82609</v>
      </c>
      <c r="E150" s="2">
        <f t="shared" si="12"/>
        <v>8.2608999999999995</v>
      </c>
      <c r="F150" s="2">
        <f t="shared" si="13"/>
        <v>4.8810440166493265</v>
      </c>
      <c r="G150" s="2">
        <f t="shared" si="14"/>
        <v>23.824590692468192</v>
      </c>
    </row>
    <row r="151" spans="1:7" x14ac:dyDescent="0.35">
      <c r="A151" s="2">
        <v>534</v>
      </c>
      <c r="B151" s="2">
        <f t="shared" si="10"/>
        <v>-804.35206382240722</v>
      </c>
      <c r="C151" s="2">
        <f t="shared" si="11"/>
        <v>646982.24257536582</v>
      </c>
      <c r="D151" s="2">
        <v>75988</v>
      </c>
      <c r="E151" s="2">
        <f t="shared" si="12"/>
        <v>7.5987999999999998</v>
      </c>
      <c r="F151" s="2">
        <f t="shared" si="13"/>
        <v>4.2189440166493277</v>
      </c>
      <c r="G151" s="2">
        <f t="shared" si="14"/>
        <v>17.799488615621161</v>
      </c>
    </row>
    <row r="152" spans="1:7" x14ac:dyDescent="0.35">
      <c r="A152" s="2">
        <v>534</v>
      </c>
      <c r="B152" s="2">
        <f t="shared" si="10"/>
        <v>-804.35206382240722</v>
      </c>
      <c r="C152" s="2">
        <f t="shared" si="11"/>
        <v>646982.24257536582</v>
      </c>
      <c r="D152" s="2">
        <v>84609</v>
      </c>
      <c r="E152" s="2">
        <f t="shared" si="12"/>
        <v>8.4609000000000005</v>
      </c>
      <c r="F152" s="2">
        <f t="shared" si="13"/>
        <v>5.0810440166493276</v>
      </c>
      <c r="G152" s="2">
        <f t="shared" si="14"/>
        <v>25.817008299127931</v>
      </c>
    </row>
    <row r="153" spans="1:7" x14ac:dyDescent="0.35">
      <c r="A153" s="2">
        <v>534</v>
      </c>
      <c r="B153" s="2">
        <f t="shared" si="10"/>
        <v>-804.35206382240722</v>
      </c>
      <c r="C153" s="2">
        <f t="shared" si="11"/>
        <v>646982.24257536582</v>
      </c>
      <c r="D153" s="2">
        <v>103895</v>
      </c>
      <c r="E153" s="2">
        <f t="shared" si="12"/>
        <v>10.3895</v>
      </c>
      <c r="F153" s="2">
        <f t="shared" si="13"/>
        <v>7.009644016649327</v>
      </c>
      <c r="G153" s="2">
        <f t="shared" si="14"/>
        <v>49.135109240147713</v>
      </c>
    </row>
    <row r="154" spans="1:7" x14ac:dyDescent="0.35">
      <c r="A154" s="2">
        <v>534</v>
      </c>
      <c r="B154" s="2">
        <f t="shared" si="10"/>
        <v>-804.35206382240722</v>
      </c>
      <c r="C154" s="2">
        <f t="shared" si="11"/>
        <v>646982.24257536582</v>
      </c>
      <c r="D154" s="2">
        <v>95441</v>
      </c>
      <c r="E154" s="2">
        <f t="shared" si="12"/>
        <v>9.5441000000000003</v>
      </c>
      <c r="F154" s="2">
        <f t="shared" si="13"/>
        <v>6.1642440166493273</v>
      </c>
      <c r="G154" s="2">
        <f t="shared" si="14"/>
        <v>37.997904296797032</v>
      </c>
    </row>
    <row r="155" spans="1:7" x14ac:dyDescent="0.35">
      <c r="A155" s="2">
        <v>534</v>
      </c>
      <c r="B155" s="2">
        <f t="shared" si="10"/>
        <v>-804.35206382240722</v>
      </c>
      <c r="C155" s="2">
        <f t="shared" si="11"/>
        <v>646982.24257536582</v>
      </c>
      <c r="D155" s="2">
        <v>89098</v>
      </c>
      <c r="E155" s="2">
        <f t="shared" si="12"/>
        <v>8.9098000000000006</v>
      </c>
      <c r="F155" s="2">
        <f t="shared" si="13"/>
        <v>5.5299440166493277</v>
      </c>
      <c r="G155" s="2">
        <f t="shared" si="14"/>
        <v>30.580280827275701</v>
      </c>
    </row>
    <row r="156" spans="1:7" x14ac:dyDescent="0.35">
      <c r="A156" s="2">
        <v>534</v>
      </c>
      <c r="B156" s="2">
        <f t="shared" si="10"/>
        <v>-804.35206382240722</v>
      </c>
      <c r="C156" s="2">
        <f t="shared" si="11"/>
        <v>646982.24257536582</v>
      </c>
      <c r="D156" s="2">
        <v>102177</v>
      </c>
      <c r="E156" s="2">
        <f t="shared" si="12"/>
        <v>10.217700000000001</v>
      </c>
      <c r="F156" s="2">
        <f t="shared" si="13"/>
        <v>6.8378440166493277</v>
      </c>
      <c r="G156" s="2">
        <f t="shared" si="14"/>
        <v>46.756110796027009</v>
      </c>
    </row>
    <row r="157" spans="1:7" x14ac:dyDescent="0.35">
      <c r="A157" s="2">
        <v>534</v>
      </c>
      <c r="B157" s="2">
        <f t="shared" si="10"/>
        <v>-804.35206382240722</v>
      </c>
      <c r="C157" s="2">
        <f t="shared" si="11"/>
        <v>646982.24257536582</v>
      </c>
      <c r="D157" s="2">
        <v>106827</v>
      </c>
      <c r="E157" s="2">
        <f t="shared" si="12"/>
        <v>10.682700000000001</v>
      </c>
      <c r="F157" s="2">
        <f t="shared" si="13"/>
        <v>7.3028440166493276</v>
      </c>
      <c r="G157" s="2">
        <f t="shared" si="14"/>
        <v>53.331530731510881</v>
      </c>
    </row>
    <row r="158" spans="1:7" x14ac:dyDescent="0.35">
      <c r="A158" s="2">
        <v>534</v>
      </c>
      <c r="B158" s="2">
        <f t="shared" si="10"/>
        <v>-804.35206382240722</v>
      </c>
      <c r="C158" s="2">
        <f t="shared" si="11"/>
        <v>646982.24257536582</v>
      </c>
      <c r="D158" s="2">
        <v>99103</v>
      </c>
      <c r="E158" s="2">
        <f t="shared" si="12"/>
        <v>9.9102999999999994</v>
      </c>
      <c r="F158" s="2">
        <f t="shared" si="13"/>
        <v>6.5304440166493265</v>
      </c>
      <c r="G158" s="2">
        <f t="shared" si="14"/>
        <v>42.646699054590989</v>
      </c>
    </row>
    <row r="159" spans="1:7" x14ac:dyDescent="0.35">
      <c r="A159" s="2">
        <v>534</v>
      </c>
      <c r="B159" s="2">
        <f t="shared" si="10"/>
        <v>-804.35206382240722</v>
      </c>
      <c r="C159" s="2">
        <f t="shared" si="11"/>
        <v>646982.24257536582</v>
      </c>
      <c r="D159" s="2">
        <v>102889</v>
      </c>
      <c r="E159" s="2">
        <f t="shared" si="12"/>
        <v>10.2889</v>
      </c>
      <c r="F159" s="2">
        <f t="shared" si="13"/>
        <v>6.909044016649327</v>
      </c>
      <c r="G159" s="2">
        <f t="shared" si="14"/>
        <v>47.734889223997868</v>
      </c>
    </row>
    <row r="160" spans="1:7" x14ac:dyDescent="0.35">
      <c r="A160" s="2">
        <v>447</v>
      </c>
      <c r="B160" s="2">
        <f t="shared" si="10"/>
        <v>-891.35206382240722</v>
      </c>
      <c r="C160" s="2">
        <f t="shared" si="11"/>
        <v>794508.50168046472</v>
      </c>
      <c r="D160" s="2">
        <v>7292</v>
      </c>
      <c r="E160" s="2">
        <f t="shared" si="12"/>
        <v>0.72919999999999996</v>
      </c>
      <c r="F160" s="2">
        <f t="shared" si="13"/>
        <v>-2.6506559833506724</v>
      </c>
      <c r="G160" s="2">
        <f t="shared" si="14"/>
        <v>7.0259771420727199</v>
      </c>
    </row>
    <row r="161" spans="1:7" x14ac:dyDescent="0.35">
      <c r="A161" s="2">
        <v>447</v>
      </c>
      <c r="B161" s="2">
        <f t="shared" si="10"/>
        <v>-891.35206382240722</v>
      </c>
      <c r="C161" s="2">
        <f t="shared" si="11"/>
        <v>794508.50168046472</v>
      </c>
      <c r="D161" s="2">
        <v>9461</v>
      </c>
      <c r="E161" s="2">
        <f t="shared" si="12"/>
        <v>0.94610000000000005</v>
      </c>
      <c r="F161" s="2">
        <f t="shared" si="13"/>
        <v>-2.4337559833506726</v>
      </c>
      <c r="G161" s="2">
        <f t="shared" si="14"/>
        <v>5.9231681864951993</v>
      </c>
    </row>
    <row r="162" spans="1:7" x14ac:dyDescent="0.35">
      <c r="A162" s="2">
        <v>447</v>
      </c>
      <c r="B162" s="2">
        <f t="shared" si="10"/>
        <v>-891.35206382240722</v>
      </c>
      <c r="C162" s="2">
        <f t="shared" si="11"/>
        <v>794508.50168046472</v>
      </c>
      <c r="D162" s="2">
        <v>10059</v>
      </c>
      <c r="E162" s="2">
        <f t="shared" si="12"/>
        <v>1.0059</v>
      </c>
      <c r="F162" s="2">
        <f t="shared" si="13"/>
        <v>-2.3739559833506725</v>
      </c>
      <c r="G162" s="2">
        <f t="shared" si="14"/>
        <v>5.6356670108864586</v>
      </c>
    </row>
    <row r="163" spans="1:7" x14ac:dyDescent="0.35">
      <c r="A163" s="2">
        <v>447</v>
      </c>
      <c r="B163" s="2">
        <f t="shared" si="10"/>
        <v>-891.35206382240722</v>
      </c>
      <c r="C163" s="2">
        <f t="shared" si="11"/>
        <v>794508.50168046472</v>
      </c>
      <c r="D163" s="2">
        <v>19890</v>
      </c>
      <c r="E163" s="2">
        <f t="shared" si="12"/>
        <v>1.9890000000000001</v>
      </c>
      <c r="F163" s="2">
        <f t="shared" si="13"/>
        <v>-1.3908559833506724</v>
      </c>
      <c r="G163" s="2">
        <f t="shared" si="14"/>
        <v>1.934480366422366</v>
      </c>
    </row>
    <row r="164" spans="1:7" x14ac:dyDescent="0.35">
      <c r="A164" s="2">
        <v>447</v>
      </c>
      <c r="B164" s="2">
        <f t="shared" si="10"/>
        <v>-891.35206382240722</v>
      </c>
      <c r="C164" s="2">
        <f t="shared" si="11"/>
        <v>794508.50168046472</v>
      </c>
      <c r="D164" s="2">
        <v>36917</v>
      </c>
      <c r="E164" s="2">
        <f t="shared" si="12"/>
        <v>3.6917</v>
      </c>
      <c r="F164" s="2">
        <f t="shared" si="13"/>
        <v>0.31184401664932748</v>
      </c>
      <c r="G164" s="2">
        <f t="shared" si="14"/>
        <v>9.724669071998604E-2</v>
      </c>
    </row>
    <row r="165" spans="1:7" x14ac:dyDescent="0.35">
      <c r="A165" s="2">
        <v>447</v>
      </c>
      <c r="B165" s="2">
        <f t="shared" si="10"/>
        <v>-891.35206382240722</v>
      </c>
      <c r="C165" s="2">
        <f t="shared" si="11"/>
        <v>794508.50168046472</v>
      </c>
      <c r="D165" s="2">
        <v>46082</v>
      </c>
      <c r="E165" s="2">
        <f t="shared" si="12"/>
        <v>4.6082000000000001</v>
      </c>
      <c r="F165" s="2">
        <f t="shared" si="13"/>
        <v>1.2283440166493276</v>
      </c>
      <c r="G165" s="2">
        <f t="shared" si="14"/>
        <v>1.5088290232382036</v>
      </c>
    </row>
    <row r="166" spans="1:7" x14ac:dyDescent="0.35">
      <c r="A166" s="2">
        <v>447</v>
      </c>
      <c r="B166" s="2">
        <f t="shared" si="10"/>
        <v>-891.35206382240722</v>
      </c>
      <c r="C166" s="2">
        <f t="shared" si="11"/>
        <v>794508.50168046472</v>
      </c>
      <c r="D166" s="2">
        <v>48046</v>
      </c>
      <c r="E166" s="2">
        <f t="shared" si="12"/>
        <v>4.8045999999999998</v>
      </c>
      <c r="F166" s="2">
        <f t="shared" si="13"/>
        <v>1.4247440166493273</v>
      </c>
      <c r="G166" s="2">
        <f t="shared" si="14"/>
        <v>2.0298955129780585</v>
      </c>
    </row>
    <row r="167" spans="1:7" x14ac:dyDescent="0.35">
      <c r="A167" s="2">
        <v>447</v>
      </c>
      <c r="B167" s="2">
        <f t="shared" si="10"/>
        <v>-891.35206382240722</v>
      </c>
      <c r="C167" s="2">
        <f t="shared" si="11"/>
        <v>794508.50168046472</v>
      </c>
      <c r="D167" s="2">
        <v>44415</v>
      </c>
      <c r="E167" s="2">
        <f t="shared" si="12"/>
        <v>4.4414999999999996</v>
      </c>
      <c r="F167" s="2">
        <f t="shared" si="13"/>
        <v>1.0616440166493271</v>
      </c>
      <c r="G167" s="2">
        <f t="shared" si="14"/>
        <v>1.1270880180873166</v>
      </c>
    </row>
    <row r="168" spans="1:7" x14ac:dyDescent="0.35">
      <c r="A168" s="2">
        <v>447</v>
      </c>
      <c r="B168" s="2">
        <f t="shared" si="10"/>
        <v>-891.35206382240722</v>
      </c>
      <c r="C168" s="2">
        <f t="shared" si="11"/>
        <v>794508.50168046472</v>
      </c>
      <c r="D168" s="2">
        <v>50191</v>
      </c>
      <c r="E168" s="2">
        <f t="shared" si="12"/>
        <v>5.0190999999999999</v>
      </c>
      <c r="F168" s="2">
        <f t="shared" si="13"/>
        <v>1.6392440166493274</v>
      </c>
      <c r="G168" s="2">
        <f t="shared" si="14"/>
        <v>2.6871209461206202</v>
      </c>
    </row>
    <row r="169" spans="1:7" x14ac:dyDescent="0.35">
      <c r="A169" s="2">
        <v>447</v>
      </c>
      <c r="B169" s="2">
        <f t="shared" si="10"/>
        <v>-891.35206382240722</v>
      </c>
      <c r="C169" s="2">
        <f t="shared" si="11"/>
        <v>794508.50168046472</v>
      </c>
      <c r="D169" s="2">
        <v>48495</v>
      </c>
      <c r="E169" s="2">
        <f t="shared" si="12"/>
        <v>4.8494999999999999</v>
      </c>
      <c r="F169" s="2">
        <f t="shared" si="13"/>
        <v>1.4696440166493274</v>
      </c>
      <c r="G169" s="2">
        <f t="shared" si="14"/>
        <v>2.1598535356731685</v>
      </c>
    </row>
    <row r="170" spans="1:7" x14ac:dyDescent="0.35">
      <c r="A170" s="2">
        <v>447</v>
      </c>
      <c r="B170" s="2">
        <f t="shared" si="10"/>
        <v>-891.35206382240722</v>
      </c>
      <c r="C170" s="2">
        <f t="shared" si="11"/>
        <v>794508.50168046472</v>
      </c>
      <c r="D170" s="2">
        <v>46532</v>
      </c>
      <c r="E170" s="2">
        <f t="shared" si="12"/>
        <v>4.6532</v>
      </c>
      <c r="F170" s="2">
        <f t="shared" si="13"/>
        <v>1.2733440166493275</v>
      </c>
      <c r="G170" s="2">
        <f t="shared" si="14"/>
        <v>1.6214049847366427</v>
      </c>
    </row>
    <row r="171" spans="1:7" x14ac:dyDescent="0.35">
      <c r="A171" s="2">
        <v>447</v>
      </c>
      <c r="B171" s="2">
        <f t="shared" si="10"/>
        <v>-891.35206382240722</v>
      </c>
      <c r="C171" s="2">
        <f t="shared" si="11"/>
        <v>794508.50168046472</v>
      </c>
      <c r="D171" s="2">
        <v>39810</v>
      </c>
      <c r="E171" s="2">
        <f t="shared" si="12"/>
        <v>3.9809999999999999</v>
      </c>
      <c r="F171" s="2">
        <f t="shared" si="13"/>
        <v>0.60114401664932737</v>
      </c>
      <c r="G171" s="2">
        <f t="shared" si="14"/>
        <v>0.36137412875328678</v>
      </c>
    </row>
    <row r="172" spans="1:7" x14ac:dyDescent="0.35">
      <c r="A172" s="2">
        <v>447</v>
      </c>
      <c r="B172" s="2">
        <f t="shared" si="10"/>
        <v>-891.35206382240722</v>
      </c>
      <c r="C172" s="2">
        <f t="shared" si="11"/>
        <v>794508.50168046472</v>
      </c>
      <c r="D172" s="2">
        <v>35903</v>
      </c>
      <c r="E172" s="2">
        <f t="shared" si="12"/>
        <v>3.5903</v>
      </c>
      <c r="F172" s="2">
        <f t="shared" si="13"/>
        <v>0.21044401664932755</v>
      </c>
      <c r="G172" s="2">
        <f t="shared" si="14"/>
        <v>4.4286684143502453E-2</v>
      </c>
    </row>
    <row r="173" spans="1:7" x14ac:dyDescent="0.35">
      <c r="A173" s="2">
        <v>447</v>
      </c>
      <c r="B173" s="2">
        <f t="shared" si="10"/>
        <v>-891.35206382240722</v>
      </c>
      <c r="C173" s="2">
        <f t="shared" si="11"/>
        <v>794508.50168046472</v>
      </c>
      <c r="D173" s="2">
        <v>42375</v>
      </c>
      <c r="E173" s="2">
        <f t="shared" si="12"/>
        <v>4.2374999999999998</v>
      </c>
      <c r="F173" s="2">
        <f t="shared" si="13"/>
        <v>0.85764401664932732</v>
      </c>
      <c r="G173" s="2">
        <f t="shared" si="14"/>
        <v>0.73555325929439164</v>
      </c>
    </row>
    <row r="174" spans="1:7" x14ac:dyDescent="0.35">
      <c r="A174" s="2">
        <v>447</v>
      </c>
      <c r="B174" s="2">
        <f t="shared" si="10"/>
        <v>-891.35206382240722</v>
      </c>
      <c r="C174" s="2">
        <f t="shared" si="11"/>
        <v>794508.50168046472</v>
      </c>
      <c r="D174" s="2">
        <v>33886</v>
      </c>
      <c r="E174" s="2">
        <f t="shared" si="12"/>
        <v>3.3885999999999998</v>
      </c>
      <c r="F174" s="2">
        <f t="shared" si="13"/>
        <v>8.7440166493273352E-3</v>
      </c>
      <c r="G174" s="2">
        <f t="shared" si="14"/>
        <v>7.6457827163713639E-5</v>
      </c>
    </row>
    <row r="175" spans="1:7" x14ac:dyDescent="0.35">
      <c r="A175" s="2">
        <v>447</v>
      </c>
      <c r="B175" s="2">
        <f t="shared" si="10"/>
        <v>-891.35206382240722</v>
      </c>
      <c r="C175" s="2">
        <f t="shared" si="11"/>
        <v>794508.50168046472</v>
      </c>
      <c r="D175" s="2">
        <v>27973</v>
      </c>
      <c r="E175" s="2">
        <f t="shared" si="12"/>
        <v>2.7972999999999999</v>
      </c>
      <c r="F175" s="2">
        <f t="shared" si="13"/>
        <v>-0.5825559833506726</v>
      </c>
      <c r="G175" s="2">
        <f t="shared" si="14"/>
        <v>0.33937147373766913</v>
      </c>
    </row>
    <row r="176" spans="1:7" x14ac:dyDescent="0.35">
      <c r="A176" s="2">
        <v>447</v>
      </c>
      <c r="B176" s="2">
        <f t="shared" si="10"/>
        <v>-891.35206382240722</v>
      </c>
      <c r="C176" s="2">
        <f t="shared" si="11"/>
        <v>794508.50168046472</v>
      </c>
      <c r="D176" s="2">
        <v>25279</v>
      </c>
      <c r="E176" s="2">
        <f t="shared" si="12"/>
        <v>2.5278999999999998</v>
      </c>
      <c r="F176" s="2">
        <f t="shared" si="13"/>
        <v>-0.85195598335067269</v>
      </c>
      <c r="G176" s="2">
        <f t="shared" si="14"/>
        <v>0.72582899756701169</v>
      </c>
    </row>
    <row r="177" spans="1:7" x14ac:dyDescent="0.35">
      <c r="A177" s="2">
        <v>447</v>
      </c>
      <c r="B177" s="2">
        <f t="shared" si="10"/>
        <v>-891.35206382240722</v>
      </c>
      <c r="C177" s="2">
        <f t="shared" si="11"/>
        <v>794508.50168046472</v>
      </c>
      <c r="D177" s="2">
        <v>23963</v>
      </c>
      <c r="E177" s="2">
        <f t="shared" si="12"/>
        <v>2.3963000000000001</v>
      </c>
      <c r="F177" s="2">
        <f t="shared" si="13"/>
        <v>-0.9835559833506724</v>
      </c>
      <c r="G177" s="2">
        <f t="shared" si="14"/>
        <v>0.96738237238490821</v>
      </c>
    </row>
    <row r="178" spans="1:7" x14ac:dyDescent="0.35">
      <c r="A178" s="2">
        <v>447</v>
      </c>
      <c r="B178" s="2">
        <f t="shared" si="10"/>
        <v>-891.35206382240722</v>
      </c>
      <c r="C178" s="2">
        <f t="shared" si="11"/>
        <v>794508.50168046472</v>
      </c>
      <c r="D178" s="2">
        <v>20947</v>
      </c>
      <c r="E178" s="2">
        <f t="shared" si="12"/>
        <v>2.0947</v>
      </c>
      <c r="F178" s="2">
        <f t="shared" si="13"/>
        <v>-1.2851559833506725</v>
      </c>
      <c r="G178" s="2">
        <f t="shared" si="14"/>
        <v>1.651625901542034</v>
      </c>
    </row>
    <row r="179" spans="1:7" x14ac:dyDescent="0.35">
      <c r="A179" s="2">
        <v>447</v>
      </c>
      <c r="B179" s="2">
        <f t="shared" si="10"/>
        <v>-891.35206382240722</v>
      </c>
      <c r="C179" s="2">
        <f t="shared" si="11"/>
        <v>794508.50168046472</v>
      </c>
      <c r="D179" s="2">
        <v>22249</v>
      </c>
      <c r="E179" s="2">
        <f t="shared" si="12"/>
        <v>2.2248999999999999</v>
      </c>
      <c r="F179" s="2">
        <f t="shared" si="13"/>
        <v>-1.1549559833506726</v>
      </c>
      <c r="G179" s="2">
        <f t="shared" si="14"/>
        <v>1.3339233234775192</v>
      </c>
    </row>
    <row r="180" spans="1:7" x14ac:dyDescent="0.35">
      <c r="A180" s="2">
        <v>447</v>
      </c>
      <c r="B180" s="2">
        <f t="shared" si="10"/>
        <v>-891.35206382240722</v>
      </c>
      <c r="C180" s="2">
        <f t="shared" si="11"/>
        <v>794508.50168046472</v>
      </c>
      <c r="D180" s="2">
        <v>22808</v>
      </c>
      <c r="E180" s="2">
        <f t="shared" si="12"/>
        <v>2.2808000000000002</v>
      </c>
      <c r="F180" s="2">
        <f t="shared" si="13"/>
        <v>-1.0990559833506723</v>
      </c>
      <c r="G180" s="2">
        <f t="shared" si="14"/>
        <v>1.2079240545389134</v>
      </c>
    </row>
    <row r="181" spans="1:7" x14ac:dyDescent="0.35">
      <c r="A181" s="2">
        <v>447</v>
      </c>
      <c r="B181" s="2">
        <f t="shared" si="10"/>
        <v>-891.35206382240722</v>
      </c>
      <c r="C181" s="2">
        <f t="shared" si="11"/>
        <v>794508.50168046472</v>
      </c>
      <c r="D181" s="2">
        <v>24646</v>
      </c>
      <c r="E181" s="2">
        <f t="shared" si="12"/>
        <v>2.4645999999999999</v>
      </c>
      <c r="F181" s="2">
        <f t="shared" si="13"/>
        <v>-0.9152559833506726</v>
      </c>
      <c r="G181" s="2">
        <f t="shared" si="14"/>
        <v>0.83769351505920664</v>
      </c>
    </row>
    <row r="182" spans="1:7" x14ac:dyDescent="0.35">
      <c r="A182" s="2">
        <v>447</v>
      </c>
      <c r="B182" s="2">
        <f t="shared" si="10"/>
        <v>-891.35206382240722</v>
      </c>
      <c r="C182" s="2">
        <f t="shared" si="11"/>
        <v>794508.50168046472</v>
      </c>
      <c r="D182" s="2">
        <v>23696</v>
      </c>
      <c r="E182" s="2">
        <f t="shared" si="12"/>
        <v>2.3696000000000002</v>
      </c>
      <c r="F182" s="2">
        <f t="shared" si="13"/>
        <v>-1.0102559833506723</v>
      </c>
      <c r="G182" s="2">
        <f t="shared" si="14"/>
        <v>1.020617151895834</v>
      </c>
    </row>
    <row r="183" spans="1:7" x14ac:dyDescent="0.35">
      <c r="A183" s="2">
        <v>447</v>
      </c>
      <c r="B183" s="2">
        <f t="shared" si="10"/>
        <v>-891.35206382240722</v>
      </c>
      <c r="C183" s="2">
        <f t="shared" si="11"/>
        <v>794508.50168046472</v>
      </c>
      <c r="D183" s="2">
        <v>21538</v>
      </c>
      <c r="E183" s="2">
        <f t="shared" si="12"/>
        <v>2.1537999999999999</v>
      </c>
      <c r="F183" s="2">
        <f t="shared" si="13"/>
        <v>-1.2260559833506726</v>
      </c>
      <c r="G183" s="2">
        <f t="shared" si="14"/>
        <v>1.5032132743099846</v>
      </c>
    </row>
    <row r="184" spans="1:7" x14ac:dyDescent="0.35">
      <c r="A184" s="2">
        <v>2666</v>
      </c>
      <c r="B184" s="2">
        <f t="shared" si="10"/>
        <v>1327.6479361775928</v>
      </c>
      <c r="C184" s="2">
        <f t="shared" si="11"/>
        <v>1762649.0424366214</v>
      </c>
      <c r="D184" s="2">
        <v>21693</v>
      </c>
      <c r="E184" s="2">
        <f t="shared" si="12"/>
        <v>2.1692999999999998</v>
      </c>
      <c r="F184" s="2">
        <f t="shared" si="13"/>
        <v>-1.2105559833506727</v>
      </c>
      <c r="G184" s="2">
        <f t="shared" si="14"/>
        <v>1.4654457888261141</v>
      </c>
    </row>
    <row r="185" spans="1:7" x14ac:dyDescent="0.35">
      <c r="A185" s="2">
        <v>2666</v>
      </c>
      <c r="B185" s="2">
        <f t="shared" si="10"/>
        <v>1327.6479361775928</v>
      </c>
      <c r="C185" s="2">
        <f t="shared" si="11"/>
        <v>1762649.0424366214</v>
      </c>
      <c r="D185" s="2">
        <v>21783</v>
      </c>
      <c r="E185" s="2">
        <f t="shared" si="12"/>
        <v>2.1783000000000001</v>
      </c>
      <c r="F185" s="2">
        <f t="shared" si="13"/>
        <v>-1.2015559833506724</v>
      </c>
      <c r="G185" s="2">
        <f t="shared" si="14"/>
        <v>1.4437367811258013</v>
      </c>
    </row>
    <row r="186" spans="1:7" x14ac:dyDescent="0.35">
      <c r="A186" s="2">
        <v>2666</v>
      </c>
      <c r="B186" s="2">
        <f t="shared" si="10"/>
        <v>1327.6479361775928</v>
      </c>
      <c r="C186" s="2">
        <f t="shared" si="11"/>
        <v>1762649.0424366214</v>
      </c>
      <c r="D186" s="2">
        <v>22399</v>
      </c>
      <c r="E186" s="2">
        <f t="shared" si="12"/>
        <v>2.2399</v>
      </c>
      <c r="F186" s="2">
        <f t="shared" si="13"/>
        <v>-1.1399559833506725</v>
      </c>
      <c r="G186" s="2">
        <f t="shared" si="14"/>
        <v>1.2994996439769988</v>
      </c>
    </row>
    <row r="187" spans="1:7" x14ac:dyDescent="0.35">
      <c r="A187" s="2">
        <v>2666</v>
      </c>
      <c r="B187" s="2">
        <f t="shared" si="10"/>
        <v>1327.6479361775928</v>
      </c>
      <c r="C187" s="2">
        <f t="shared" si="11"/>
        <v>1762649.0424366214</v>
      </c>
      <c r="D187" s="2">
        <v>25562</v>
      </c>
      <c r="E187" s="2">
        <f t="shared" si="12"/>
        <v>2.5562</v>
      </c>
      <c r="F187" s="2">
        <f t="shared" si="13"/>
        <v>-0.82365598335067247</v>
      </c>
      <c r="G187" s="2">
        <f t="shared" si="14"/>
        <v>0.67840917890936325</v>
      </c>
    </row>
    <row r="188" spans="1:7" x14ac:dyDescent="0.35">
      <c r="A188" s="2">
        <v>2666</v>
      </c>
      <c r="B188" s="2">
        <f t="shared" si="10"/>
        <v>1327.6479361775928</v>
      </c>
      <c r="C188" s="2">
        <f t="shared" si="11"/>
        <v>1762649.0424366214</v>
      </c>
      <c r="D188" s="2">
        <v>25661</v>
      </c>
      <c r="E188" s="2">
        <f t="shared" si="12"/>
        <v>2.5661</v>
      </c>
      <c r="F188" s="2">
        <f t="shared" si="13"/>
        <v>-0.81375598335067245</v>
      </c>
      <c r="G188" s="2">
        <f t="shared" si="14"/>
        <v>0.66219880043901991</v>
      </c>
    </row>
    <row r="189" spans="1:7" x14ac:dyDescent="0.35">
      <c r="A189" s="2">
        <v>2666</v>
      </c>
      <c r="B189" s="2">
        <f t="shared" si="10"/>
        <v>1327.6479361775928</v>
      </c>
      <c r="C189" s="2">
        <f t="shared" si="11"/>
        <v>1762649.0424366214</v>
      </c>
      <c r="D189" s="2">
        <v>26592</v>
      </c>
      <c r="E189" s="2">
        <f t="shared" si="12"/>
        <v>2.6591999999999998</v>
      </c>
      <c r="F189" s="2">
        <f t="shared" si="13"/>
        <v>-0.72065598335067271</v>
      </c>
      <c r="G189" s="2">
        <f t="shared" si="14"/>
        <v>0.51934504633912504</v>
      </c>
    </row>
    <row r="190" spans="1:7" x14ac:dyDescent="0.35">
      <c r="A190" s="2">
        <v>2666</v>
      </c>
      <c r="B190" s="2">
        <f t="shared" si="10"/>
        <v>1327.6479361775928</v>
      </c>
      <c r="C190" s="2">
        <f t="shared" si="11"/>
        <v>1762649.0424366214</v>
      </c>
      <c r="D190" s="2">
        <v>26893</v>
      </c>
      <c r="E190" s="2">
        <f t="shared" si="12"/>
        <v>2.6892999999999998</v>
      </c>
      <c r="F190" s="2">
        <f t="shared" si="13"/>
        <v>-0.6905559833506727</v>
      </c>
      <c r="G190" s="2">
        <f t="shared" si="14"/>
        <v>0.47686756614141457</v>
      </c>
    </row>
    <row r="191" spans="1:7" x14ac:dyDescent="0.35">
      <c r="A191" s="2">
        <v>2666</v>
      </c>
      <c r="B191" s="2">
        <f t="shared" si="10"/>
        <v>1327.6479361775928</v>
      </c>
      <c r="C191" s="2">
        <f t="shared" si="11"/>
        <v>1762649.0424366214</v>
      </c>
      <c r="D191" s="2">
        <v>27185</v>
      </c>
      <c r="E191" s="2">
        <f t="shared" si="12"/>
        <v>2.7185000000000001</v>
      </c>
      <c r="F191" s="2">
        <f t="shared" si="13"/>
        <v>-0.66135598335067236</v>
      </c>
      <c r="G191" s="2">
        <f t="shared" si="14"/>
        <v>0.43739173671373482</v>
      </c>
    </row>
    <row r="192" spans="1:7" x14ac:dyDescent="0.35">
      <c r="A192" s="2">
        <v>2666</v>
      </c>
      <c r="B192" s="2">
        <f t="shared" si="10"/>
        <v>1327.6479361775928</v>
      </c>
      <c r="C192" s="2">
        <f t="shared" si="11"/>
        <v>1762649.0424366214</v>
      </c>
      <c r="D192" s="2">
        <v>25328</v>
      </c>
      <c r="E192" s="2">
        <f t="shared" si="12"/>
        <v>2.5327999999999999</v>
      </c>
      <c r="F192" s="2">
        <f t="shared" si="13"/>
        <v>-0.84705598335067256</v>
      </c>
      <c r="G192" s="2">
        <f t="shared" si="14"/>
        <v>0.71750383893017489</v>
      </c>
    </row>
    <row r="193" spans="1:7" x14ac:dyDescent="0.35">
      <c r="A193" s="2">
        <v>2666</v>
      </c>
      <c r="B193" s="2">
        <f t="shared" si="10"/>
        <v>1327.6479361775928</v>
      </c>
      <c r="C193" s="2">
        <f t="shared" si="11"/>
        <v>1762649.0424366214</v>
      </c>
      <c r="D193" s="2">
        <v>26527</v>
      </c>
      <c r="E193" s="2">
        <f t="shared" si="12"/>
        <v>2.6526999999999998</v>
      </c>
      <c r="F193" s="2">
        <f t="shared" si="13"/>
        <v>-0.72715598335067266</v>
      </c>
      <c r="G193" s="2">
        <f t="shared" si="14"/>
        <v>0.52875582412268374</v>
      </c>
    </row>
    <row r="194" spans="1:7" x14ac:dyDescent="0.35">
      <c r="A194" s="2">
        <v>2666</v>
      </c>
      <c r="B194" s="2">
        <f t="shared" si="10"/>
        <v>1327.6479361775928</v>
      </c>
      <c r="C194" s="2">
        <f t="shared" si="11"/>
        <v>1762649.0424366214</v>
      </c>
      <c r="D194" s="2">
        <v>27629</v>
      </c>
      <c r="E194" s="2">
        <f t="shared" si="12"/>
        <v>2.7629000000000001</v>
      </c>
      <c r="F194" s="2">
        <f t="shared" si="13"/>
        <v>-0.61695598335067237</v>
      </c>
      <c r="G194" s="2">
        <f t="shared" si="14"/>
        <v>0.38063468539219514</v>
      </c>
    </row>
    <row r="195" spans="1:7" x14ac:dyDescent="0.35">
      <c r="A195" s="2">
        <v>2666</v>
      </c>
      <c r="B195" s="2">
        <f t="shared" ref="B195:B258" si="15">A195-$J$1</f>
        <v>1327.6479361775928</v>
      </c>
      <c r="C195" s="2">
        <f t="shared" ref="C195:C258" si="16">B195^2</f>
        <v>1762649.0424366214</v>
      </c>
      <c r="D195" s="2">
        <v>27431</v>
      </c>
      <c r="E195" s="2">
        <f t="shared" ref="E195:E258" si="17">D195/10000</f>
        <v>2.7431000000000001</v>
      </c>
      <c r="F195" s="2">
        <f t="shared" ref="F195:F258" si="18">E195-$J$2</f>
        <v>-0.63675598335067241</v>
      </c>
      <c r="G195" s="2">
        <f t="shared" ref="G195:G258" si="19">F195^2</f>
        <v>0.40545818233288178</v>
      </c>
    </row>
    <row r="196" spans="1:7" x14ac:dyDescent="0.35">
      <c r="A196" s="2">
        <v>2666</v>
      </c>
      <c r="B196" s="2">
        <f t="shared" si="15"/>
        <v>1327.6479361775928</v>
      </c>
      <c r="C196" s="2">
        <f t="shared" si="16"/>
        <v>1762649.0424366214</v>
      </c>
      <c r="D196" s="2">
        <v>29358</v>
      </c>
      <c r="E196" s="2">
        <f t="shared" si="17"/>
        <v>2.9358</v>
      </c>
      <c r="F196" s="2">
        <f t="shared" si="18"/>
        <v>-0.44405598335067253</v>
      </c>
      <c r="G196" s="2">
        <f t="shared" si="19"/>
        <v>0.19718571634953277</v>
      </c>
    </row>
    <row r="197" spans="1:7" x14ac:dyDescent="0.35">
      <c r="A197" s="2">
        <v>2666</v>
      </c>
      <c r="B197" s="2">
        <f t="shared" si="15"/>
        <v>1327.6479361775928</v>
      </c>
      <c r="C197" s="2">
        <f t="shared" si="16"/>
        <v>1762649.0424366214</v>
      </c>
      <c r="D197" s="2">
        <v>32139</v>
      </c>
      <c r="E197" s="2">
        <f t="shared" si="17"/>
        <v>3.2139000000000002</v>
      </c>
      <c r="F197" s="2">
        <f t="shared" si="18"/>
        <v>-0.1659559833506723</v>
      </c>
      <c r="G197" s="2">
        <f t="shared" si="19"/>
        <v>2.754138840988862E-2</v>
      </c>
    </row>
    <row r="198" spans="1:7" x14ac:dyDescent="0.35">
      <c r="A198" s="2">
        <v>2666</v>
      </c>
      <c r="B198" s="2">
        <f t="shared" si="15"/>
        <v>1327.6479361775928</v>
      </c>
      <c r="C198" s="2">
        <f t="shared" si="16"/>
        <v>1762649.0424366214</v>
      </c>
      <c r="D198" s="2">
        <v>34836</v>
      </c>
      <c r="E198" s="2">
        <f t="shared" si="17"/>
        <v>3.4836</v>
      </c>
      <c r="F198" s="2">
        <f t="shared" si="18"/>
        <v>0.10374401664932753</v>
      </c>
      <c r="G198" s="2">
        <f t="shared" si="19"/>
        <v>1.0762820990535948E-2</v>
      </c>
    </row>
    <row r="199" spans="1:7" x14ac:dyDescent="0.35">
      <c r="A199" s="2">
        <v>2666</v>
      </c>
      <c r="B199" s="2">
        <f t="shared" si="15"/>
        <v>1327.6479361775928</v>
      </c>
      <c r="C199" s="2">
        <f t="shared" si="16"/>
        <v>1762649.0424366214</v>
      </c>
      <c r="D199" s="2">
        <v>34020</v>
      </c>
      <c r="E199" s="2">
        <f t="shared" si="17"/>
        <v>3.4020000000000001</v>
      </c>
      <c r="F199" s="2">
        <f t="shared" si="18"/>
        <v>2.2144016649327636E-2</v>
      </c>
      <c r="G199" s="2">
        <f t="shared" si="19"/>
        <v>4.9035747336569958E-4</v>
      </c>
    </row>
    <row r="200" spans="1:7" x14ac:dyDescent="0.35">
      <c r="A200" s="2">
        <v>2666</v>
      </c>
      <c r="B200" s="2">
        <f t="shared" si="15"/>
        <v>1327.6479361775928</v>
      </c>
      <c r="C200" s="2">
        <f t="shared" si="16"/>
        <v>1762649.0424366214</v>
      </c>
      <c r="D200" s="2">
        <v>34902</v>
      </c>
      <c r="E200" s="2">
        <f t="shared" si="17"/>
        <v>3.4902000000000002</v>
      </c>
      <c r="F200" s="2">
        <f t="shared" si="18"/>
        <v>0.11034401664932769</v>
      </c>
      <c r="G200" s="2">
        <f t="shared" si="19"/>
        <v>1.2175802010307107E-2</v>
      </c>
    </row>
    <row r="201" spans="1:7" x14ac:dyDescent="0.35">
      <c r="A201" s="2">
        <v>2666</v>
      </c>
      <c r="B201" s="2">
        <f t="shared" si="15"/>
        <v>1327.6479361775928</v>
      </c>
      <c r="C201" s="2">
        <f t="shared" si="16"/>
        <v>1762649.0424366214</v>
      </c>
      <c r="D201" s="2">
        <v>35359</v>
      </c>
      <c r="E201" s="2">
        <f t="shared" si="17"/>
        <v>3.5358999999999998</v>
      </c>
      <c r="F201" s="2">
        <f t="shared" si="18"/>
        <v>0.15604401664932732</v>
      </c>
      <c r="G201" s="2">
        <f t="shared" si="19"/>
        <v>2.4349735132055541E-2</v>
      </c>
    </row>
    <row r="202" spans="1:7" x14ac:dyDescent="0.35">
      <c r="A202" s="2">
        <v>2666</v>
      </c>
      <c r="B202" s="2">
        <f t="shared" si="15"/>
        <v>1327.6479361775928</v>
      </c>
      <c r="C202" s="2">
        <f t="shared" si="16"/>
        <v>1762649.0424366214</v>
      </c>
      <c r="D202" s="2">
        <v>37814</v>
      </c>
      <c r="E202" s="2">
        <f t="shared" si="17"/>
        <v>3.7814000000000001</v>
      </c>
      <c r="F202" s="2">
        <f t="shared" si="18"/>
        <v>0.4015440166493276</v>
      </c>
      <c r="G202" s="2">
        <f t="shared" si="19"/>
        <v>0.16123759730687548</v>
      </c>
    </row>
    <row r="203" spans="1:7" x14ac:dyDescent="0.35">
      <c r="A203" s="2">
        <v>2666</v>
      </c>
      <c r="B203" s="2">
        <f t="shared" si="15"/>
        <v>1327.6479361775928</v>
      </c>
      <c r="C203" s="2">
        <f t="shared" si="16"/>
        <v>1762649.0424366214</v>
      </c>
      <c r="D203" s="2">
        <v>38541</v>
      </c>
      <c r="E203" s="2">
        <f t="shared" si="17"/>
        <v>3.8540999999999999</v>
      </c>
      <c r="F203" s="2">
        <f t="shared" si="18"/>
        <v>0.47424401664932736</v>
      </c>
      <c r="G203" s="2">
        <f t="shared" si="19"/>
        <v>0.22490738732768747</v>
      </c>
    </row>
    <row r="204" spans="1:7" x14ac:dyDescent="0.35">
      <c r="A204" s="2">
        <v>2666</v>
      </c>
      <c r="B204" s="2">
        <f t="shared" si="15"/>
        <v>1327.6479361775928</v>
      </c>
      <c r="C204" s="2">
        <f t="shared" si="16"/>
        <v>1762649.0424366214</v>
      </c>
      <c r="D204" s="2">
        <v>40833</v>
      </c>
      <c r="E204" s="2">
        <f t="shared" si="17"/>
        <v>4.0833000000000004</v>
      </c>
      <c r="F204" s="2">
        <f t="shared" si="18"/>
        <v>0.70344401664932787</v>
      </c>
      <c r="G204" s="2">
        <f t="shared" si="19"/>
        <v>0.49483348455973986</v>
      </c>
    </row>
    <row r="205" spans="1:7" x14ac:dyDescent="0.35">
      <c r="A205" s="2">
        <v>2666</v>
      </c>
      <c r="B205" s="2">
        <f t="shared" si="15"/>
        <v>1327.6479361775928</v>
      </c>
      <c r="C205" s="2">
        <f t="shared" si="16"/>
        <v>1762649.0424366214</v>
      </c>
      <c r="D205" s="2">
        <v>41441</v>
      </c>
      <c r="E205" s="2">
        <f t="shared" si="17"/>
        <v>4.1440999999999999</v>
      </c>
      <c r="F205" s="2">
        <f t="shared" si="18"/>
        <v>0.7642440166493274</v>
      </c>
      <c r="G205" s="2">
        <f t="shared" si="19"/>
        <v>0.58406891698429741</v>
      </c>
    </row>
    <row r="206" spans="1:7" x14ac:dyDescent="0.35">
      <c r="A206" s="2">
        <v>2666</v>
      </c>
      <c r="B206" s="2">
        <f t="shared" si="15"/>
        <v>1327.6479361775928</v>
      </c>
      <c r="C206" s="2">
        <f t="shared" si="16"/>
        <v>1762649.0424366214</v>
      </c>
      <c r="D206" s="2">
        <v>42404</v>
      </c>
      <c r="E206" s="2">
        <f t="shared" si="17"/>
        <v>4.2404000000000002</v>
      </c>
      <c r="F206" s="2">
        <f t="shared" si="18"/>
        <v>0.86054401664932767</v>
      </c>
      <c r="G206" s="2">
        <f t="shared" si="19"/>
        <v>0.74053600459095836</v>
      </c>
    </row>
    <row r="207" spans="1:7" x14ac:dyDescent="0.35">
      <c r="A207" s="2">
        <v>2666</v>
      </c>
      <c r="B207" s="2">
        <f t="shared" si="15"/>
        <v>1327.6479361775928</v>
      </c>
      <c r="C207" s="2">
        <f t="shared" si="16"/>
        <v>1762649.0424366214</v>
      </c>
      <c r="D207" s="2">
        <v>43422</v>
      </c>
      <c r="E207" s="2">
        <f t="shared" si="17"/>
        <v>4.3422000000000001</v>
      </c>
      <c r="F207" s="2">
        <f t="shared" si="18"/>
        <v>0.96234401664932756</v>
      </c>
      <c r="G207" s="2">
        <f t="shared" si="19"/>
        <v>0.92610600638076124</v>
      </c>
    </row>
    <row r="208" spans="1:7" x14ac:dyDescent="0.35">
      <c r="A208" s="2">
        <v>2666</v>
      </c>
      <c r="B208" s="2">
        <f t="shared" si="15"/>
        <v>1327.6479361775928</v>
      </c>
      <c r="C208" s="2">
        <f t="shared" si="16"/>
        <v>1762649.0424366214</v>
      </c>
      <c r="D208" s="2">
        <v>43917</v>
      </c>
      <c r="E208" s="2">
        <f t="shared" si="17"/>
        <v>4.3917000000000002</v>
      </c>
      <c r="F208" s="2">
        <f t="shared" si="18"/>
        <v>1.0118440166493277</v>
      </c>
      <c r="G208" s="2">
        <f t="shared" si="19"/>
        <v>1.023828314029045</v>
      </c>
    </row>
    <row r="209" spans="1:7" x14ac:dyDescent="0.35">
      <c r="A209" s="2">
        <v>2666</v>
      </c>
      <c r="B209" s="2">
        <f t="shared" si="15"/>
        <v>1327.6479361775928</v>
      </c>
      <c r="C209" s="2">
        <f t="shared" si="16"/>
        <v>1762649.0424366214</v>
      </c>
      <c r="D209" s="2">
        <v>44206</v>
      </c>
      <c r="E209" s="2">
        <f t="shared" si="17"/>
        <v>4.4206000000000003</v>
      </c>
      <c r="F209" s="2">
        <f t="shared" si="18"/>
        <v>1.0407440166493278</v>
      </c>
      <c r="G209" s="2">
        <f t="shared" si="19"/>
        <v>1.0831481081913763</v>
      </c>
    </row>
    <row r="210" spans="1:7" x14ac:dyDescent="0.35">
      <c r="A210" s="2">
        <v>2666</v>
      </c>
      <c r="B210" s="2">
        <f t="shared" si="15"/>
        <v>1327.6479361775928</v>
      </c>
      <c r="C210" s="2">
        <f t="shared" si="16"/>
        <v>1762649.0424366214</v>
      </c>
      <c r="D210" s="2">
        <v>45317</v>
      </c>
      <c r="E210" s="2">
        <f t="shared" si="17"/>
        <v>4.5316999999999998</v>
      </c>
      <c r="F210" s="2">
        <f t="shared" si="18"/>
        <v>1.1518440166493273</v>
      </c>
      <c r="G210" s="2">
        <f t="shared" si="19"/>
        <v>1.3267446386908559</v>
      </c>
    </row>
    <row r="211" spans="1:7" x14ac:dyDescent="0.35">
      <c r="A211" s="2">
        <v>2666</v>
      </c>
      <c r="B211" s="2">
        <f t="shared" si="15"/>
        <v>1327.6479361775928</v>
      </c>
      <c r="C211" s="2">
        <f t="shared" si="16"/>
        <v>1762649.0424366214</v>
      </c>
      <c r="D211" s="2">
        <v>46226</v>
      </c>
      <c r="E211" s="2">
        <f t="shared" si="17"/>
        <v>4.6226000000000003</v>
      </c>
      <c r="F211" s="2">
        <f t="shared" si="18"/>
        <v>1.2427440166493278</v>
      </c>
      <c r="G211" s="2">
        <f t="shared" si="19"/>
        <v>1.5444126909177047</v>
      </c>
    </row>
    <row r="212" spans="1:7" x14ac:dyDescent="0.35">
      <c r="A212" s="2">
        <v>2666</v>
      </c>
      <c r="B212" s="2">
        <f t="shared" si="15"/>
        <v>1327.6479361775928</v>
      </c>
      <c r="C212" s="2">
        <f t="shared" si="16"/>
        <v>1762649.0424366214</v>
      </c>
      <c r="D212" s="2">
        <v>45093</v>
      </c>
      <c r="E212" s="2">
        <f t="shared" si="17"/>
        <v>4.5092999999999996</v>
      </c>
      <c r="F212" s="2">
        <f t="shared" si="18"/>
        <v>1.1294440166493271</v>
      </c>
      <c r="G212" s="2">
        <f t="shared" si="19"/>
        <v>1.2756437867449655</v>
      </c>
    </row>
    <row r="213" spans="1:7" x14ac:dyDescent="0.35">
      <c r="A213" s="2">
        <v>2666</v>
      </c>
      <c r="B213" s="2">
        <f t="shared" si="15"/>
        <v>1327.6479361775928</v>
      </c>
      <c r="C213" s="2">
        <f t="shared" si="16"/>
        <v>1762649.0424366214</v>
      </c>
      <c r="D213" s="2">
        <v>46188</v>
      </c>
      <c r="E213" s="2">
        <f t="shared" si="17"/>
        <v>4.6188000000000002</v>
      </c>
      <c r="F213" s="2">
        <f t="shared" si="18"/>
        <v>1.2389440166493277</v>
      </c>
      <c r="G213" s="2">
        <f t="shared" si="19"/>
        <v>1.5349822763911698</v>
      </c>
    </row>
    <row r="214" spans="1:7" x14ac:dyDescent="0.35">
      <c r="A214" s="2">
        <v>1705</v>
      </c>
      <c r="B214" s="2">
        <f t="shared" si="15"/>
        <v>366.64793617759278</v>
      </c>
      <c r="C214" s="2">
        <f t="shared" si="16"/>
        <v>134430.70910328816</v>
      </c>
      <c r="D214" s="2">
        <v>22749</v>
      </c>
      <c r="E214" s="2">
        <f t="shared" si="17"/>
        <v>2.2749000000000001</v>
      </c>
      <c r="F214" s="2">
        <f t="shared" si="18"/>
        <v>-1.1049559833506724</v>
      </c>
      <c r="G214" s="2">
        <f t="shared" si="19"/>
        <v>1.2209277251424513</v>
      </c>
    </row>
    <row r="215" spans="1:7" x14ac:dyDescent="0.35">
      <c r="A215" s="2">
        <v>1705</v>
      </c>
      <c r="B215" s="2">
        <f t="shared" si="15"/>
        <v>366.64793617759278</v>
      </c>
      <c r="C215" s="2">
        <f t="shared" si="16"/>
        <v>134430.70910328816</v>
      </c>
      <c r="D215" s="2">
        <v>28784</v>
      </c>
      <c r="E215" s="2">
        <f t="shared" si="17"/>
        <v>2.8784000000000001</v>
      </c>
      <c r="F215" s="2">
        <f t="shared" si="18"/>
        <v>-0.50145598335067243</v>
      </c>
      <c r="G215" s="2">
        <f t="shared" si="19"/>
        <v>0.25145810323818985</v>
      </c>
    </row>
    <row r="216" spans="1:7" x14ac:dyDescent="0.35">
      <c r="A216" s="2">
        <v>1705</v>
      </c>
      <c r="B216" s="2">
        <f t="shared" si="15"/>
        <v>366.64793617759278</v>
      </c>
      <c r="C216" s="2">
        <f t="shared" si="16"/>
        <v>134430.70910328816</v>
      </c>
      <c r="D216" s="2">
        <v>25517</v>
      </c>
      <c r="E216" s="2">
        <f t="shared" si="17"/>
        <v>2.5516999999999999</v>
      </c>
      <c r="F216" s="2">
        <f t="shared" si="18"/>
        <v>-0.82815598335067264</v>
      </c>
      <c r="G216" s="2">
        <f t="shared" si="19"/>
        <v>0.68584233275951956</v>
      </c>
    </row>
    <row r="217" spans="1:7" x14ac:dyDescent="0.35">
      <c r="A217" s="2">
        <v>1705</v>
      </c>
      <c r="B217" s="2">
        <f t="shared" si="15"/>
        <v>366.64793617759278</v>
      </c>
      <c r="C217" s="2">
        <f t="shared" si="16"/>
        <v>134430.70910328816</v>
      </c>
      <c r="D217" s="2">
        <v>12117</v>
      </c>
      <c r="E217" s="2">
        <f t="shared" si="17"/>
        <v>1.2117</v>
      </c>
      <c r="F217" s="2">
        <f t="shared" si="18"/>
        <v>-2.1681559833506725</v>
      </c>
      <c r="G217" s="2">
        <f t="shared" si="19"/>
        <v>4.7009003681393216</v>
      </c>
    </row>
    <row r="218" spans="1:7" x14ac:dyDescent="0.35">
      <c r="A218" s="2">
        <v>1705</v>
      </c>
      <c r="B218" s="2">
        <f t="shared" si="15"/>
        <v>366.64793617759278</v>
      </c>
      <c r="C218" s="2">
        <f t="shared" si="16"/>
        <v>134430.70910328816</v>
      </c>
      <c r="D218" s="2">
        <v>14419</v>
      </c>
      <c r="E218" s="2">
        <f t="shared" si="17"/>
        <v>1.4419</v>
      </c>
      <c r="F218" s="2">
        <f t="shared" si="18"/>
        <v>-1.9379559833506725</v>
      </c>
      <c r="G218" s="2">
        <f t="shared" si="19"/>
        <v>3.7556733934046722</v>
      </c>
    </row>
    <row r="219" spans="1:7" x14ac:dyDescent="0.35">
      <c r="A219" s="2">
        <v>1705</v>
      </c>
      <c r="B219" s="2">
        <f t="shared" si="15"/>
        <v>366.64793617759278</v>
      </c>
      <c r="C219" s="2">
        <f t="shared" si="16"/>
        <v>134430.70910328816</v>
      </c>
      <c r="D219" s="2">
        <v>12896</v>
      </c>
      <c r="E219" s="2">
        <f t="shared" si="17"/>
        <v>1.2896000000000001</v>
      </c>
      <c r="F219" s="2">
        <f t="shared" si="18"/>
        <v>-2.0902559833506724</v>
      </c>
      <c r="G219" s="2">
        <f t="shared" si="19"/>
        <v>4.3691700759332868</v>
      </c>
    </row>
    <row r="220" spans="1:7" x14ac:dyDescent="0.35">
      <c r="A220" s="2">
        <v>1705</v>
      </c>
      <c r="B220" s="2">
        <f t="shared" si="15"/>
        <v>366.64793617759278</v>
      </c>
      <c r="C220" s="2">
        <f t="shared" si="16"/>
        <v>134430.70910328816</v>
      </c>
      <c r="D220" s="2">
        <v>22756</v>
      </c>
      <c r="E220" s="2">
        <f t="shared" si="17"/>
        <v>2.2755999999999998</v>
      </c>
      <c r="F220" s="2">
        <f t="shared" si="18"/>
        <v>-1.1042559833506727</v>
      </c>
      <c r="G220" s="2">
        <f t="shared" si="19"/>
        <v>1.219381276765761</v>
      </c>
    </row>
    <row r="221" spans="1:7" x14ac:dyDescent="0.35">
      <c r="A221" s="2">
        <v>1705</v>
      </c>
      <c r="B221" s="2">
        <f t="shared" si="15"/>
        <v>366.64793617759278</v>
      </c>
      <c r="C221" s="2">
        <f t="shared" si="16"/>
        <v>134430.70910328816</v>
      </c>
      <c r="D221" s="2">
        <v>21874</v>
      </c>
      <c r="E221" s="2">
        <f t="shared" si="17"/>
        <v>2.1873999999999998</v>
      </c>
      <c r="F221" s="2">
        <f t="shared" si="18"/>
        <v>-1.1924559833506727</v>
      </c>
      <c r="G221" s="2">
        <f t="shared" si="19"/>
        <v>1.4219512722288199</v>
      </c>
    </row>
    <row r="222" spans="1:7" x14ac:dyDescent="0.35">
      <c r="A222" s="2">
        <v>1705</v>
      </c>
      <c r="B222" s="2">
        <f t="shared" si="15"/>
        <v>366.64793617759278</v>
      </c>
      <c r="C222" s="2">
        <f t="shared" si="16"/>
        <v>134430.70910328816</v>
      </c>
      <c r="D222" s="2">
        <v>15005</v>
      </c>
      <c r="E222" s="2">
        <f t="shared" si="17"/>
        <v>1.5004999999999999</v>
      </c>
      <c r="F222" s="2">
        <f t="shared" si="18"/>
        <v>-1.8793559833506726</v>
      </c>
      <c r="G222" s="2">
        <f t="shared" si="19"/>
        <v>3.5319789121559735</v>
      </c>
    </row>
    <row r="223" spans="1:7" x14ac:dyDescent="0.35">
      <c r="A223" s="2">
        <v>1705</v>
      </c>
      <c r="B223" s="2">
        <f t="shared" si="15"/>
        <v>366.64793617759278</v>
      </c>
      <c r="C223" s="2">
        <f t="shared" si="16"/>
        <v>134430.70910328816</v>
      </c>
      <c r="D223" s="2">
        <v>19521</v>
      </c>
      <c r="E223" s="2">
        <f t="shared" si="17"/>
        <v>1.9520999999999999</v>
      </c>
      <c r="F223" s="2">
        <f t="shared" si="18"/>
        <v>-1.4277559833506726</v>
      </c>
      <c r="G223" s="2">
        <f t="shared" si="19"/>
        <v>2.0384871479936462</v>
      </c>
    </row>
    <row r="224" spans="1:7" x14ac:dyDescent="0.35">
      <c r="A224" s="2">
        <v>1705</v>
      </c>
      <c r="B224" s="2">
        <f t="shared" si="15"/>
        <v>366.64793617759278</v>
      </c>
      <c r="C224" s="2">
        <f t="shared" si="16"/>
        <v>134430.70910328816</v>
      </c>
      <c r="D224" s="2">
        <v>22010</v>
      </c>
      <c r="E224" s="2">
        <f t="shared" si="17"/>
        <v>2.2010000000000001</v>
      </c>
      <c r="F224" s="2">
        <f t="shared" si="18"/>
        <v>-1.1788559833506724</v>
      </c>
      <c r="G224" s="2">
        <f t="shared" si="19"/>
        <v>1.389701429481681</v>
      </c>
    </row>
    <row r="225" spans="1:7" x14ac:dyDescent="0.35">
      <c r="A225" s="2">
        <v>1705</v>
      </c>
      <c r="B225" s="2">
        <f t="shared" si="15"/>
        <v>366.64793617759278</v>
      </c>
      <c r="C225" s="2">
        <f t="shared" si="16"/>
        <v>134430.70910328816</v>
      </c>
      <c r="D225" s="2">
        <v>26767</v>
      </c>
      <c r="E225" s="2">
        <f t="shared" si="17"/>
        <v>2.6766999999999999</v>
      </c>
      <c r="F225" s="2">
        <f t="shared" si="18"/>
        <v>-0.70315598335067264</v>
      </c>
      <c r="G225" s="2">
        <f t="shared" si="19"/>
        <v>0.4944283369218514</v>
      </c>
    </row>
    <row r="226" spans="1:7" x14ac:dyDescent="0.35">
      <c r="A226" s="2">
        <v>1705</v>
      </c>
      <c r="B226" s="2">
        <f t="shared" si="15"/>
        <v>366.64793617759278</v>
      </c>
      <c r="C226" s="2">
        <f t="shared" si="16"/>
        <v>134430.70910328816</v>
      </c>
      <c r="D226" s="2">
        <v>18107</v>
      </c>
      <c r="E226" s="2">
        <f t="shared" si="17"/>
        <v>1.8107</v>
      </c>
      <c r="F226" s="2">
        <f t="shared" si="18"/>
        <v>-1.5691559833506725</v>
      </c>
      <c r="G226" s="2">
        <f t="shared" si="19"/>
        <v>2.462250500085216</v>
      </c>
    </row>
    <row r="227" spans="1:7" x14ac:dyDescent="0.35">
      <c r="A227" s="2">
        <v>1705</v>
      </c>
      <c r="B227" s="2">
        <f t="shared" si="15"/>
        <v>366.64793617759278</v>
      </c>
      <c r="C227" s="2">
        <f t="shared" si="16"/>
        <v>134430.70910328816</v>
      </c>
      <c r="D227" s="2">
        <v>27409</v>
      </c>
      <c r="E227" s="2">
        <f t="shared" si="17"/>
        <v>2.7408999999999999</v>
      </c>
      <c r="F227" s="2">
        <f t="shared" si="18"/>
        <v>-0.63895598335067261</v>
      </c>
      <c r="G227" s="2">
        <f t="shared" si="19"/>
        <v>0.40826474865962503</v>
      </c>
    </row>
    <row r="228" spans="1:7" x14ac:dyDescent="0.35">
      <c r="A228" s="2">
        <v>1705</v>
      </c>
      <c r="B228" s="2">
        <f t="shared" si="15"/>
        <v>366.64793617759278</v>
      </c>
      <c r="C228" s="2">
        <f t="shared" si="16"/>
        <v>134430.70910328816</v>
      </c>
      <c r="D228" s="2">
        <v>27172</v>
      </c>
      <c r="E228" s="2">
        <f t="shared" si="17"/>
        <v>2.7172000000000001</v>
      </c>
      <c r="F228" s="2">
        <f t="shared" si="18"/>
        <v>-0.66265598335067244</v>
      </c>
      <c r="G228" s="2">
        <f t="shared" si="19"/>
        <v>0.43911295227044667</v>
      </c>
    </row>
    <row r="229" spans="1:7" x14ac:dyDescent="0.35">
      <c r="A229" s="2">
        <v>1705</v>
      </c>
      <c r="B229" s="2">
        <f t="shared" si="15"/>
        <v>366.64793617759278</v>
      </c>
      <c r="C229" s="2">
        <f t="shared" si="16"/>
        <v>134430.70910328816</v>
      </c>
      <c r="D229" s="2">
        <v>30137</v>
      </c>
      <c r="E229" s="2">
        <f t="shared" si="17"/>
        <v>3.0137</v>
      </c>
      <c r="F229" s="2">
        <f t="shared" si="18"/>
        <v>-0.36615598335067245</v>
      </c>
      <c r="G229" s="2">
        <f t="shared" si="19"/>
        <v>0.13407020414349793</v>
      </c>
    </row>
    <row r="230" spans="1:7" x14ac:dyDescent="0.35">
      <c r="A230" s="2">
        <v>1705</v>
      </c>
      <c r="B230" s="2">
        <f t="shared" si="15"/>
        <v>366.64793617759278</v>
      </c>
      <c r="C230" s="2">
        <f t="shared" si="16"/>
        <v>134430.70910328816</v>
      </c>
      <c r="D230" s="2">
        <v>22935</v>
      </c>
      <c r="E230" s="2">
        <f t="shared" si="17"/>
        <v>2.2934999999999999</v>
      </c>
      <c r="F230" s="2">
        <f t="shared" si="18"/>
        <v>-1.0863559833506726</v>
      </c>
      <c r="G230" s="2">
        <f t="shared" si="19"/>
        <v>1.1801693225618068</v>
      </c>
    </row>
    <row r="231" spans="1:7" x14ac:dyDescent="0.35">
      <c r="A231" s="2">
        <v>1705</v>
      </c>
      <c r="B231" s="2">
        <f t="shared" si="15"/>
        <v>366.64793617759278</v>
      </c>
      <c r="C231" s="2">
        <f t="shared" si="16"/>
        <v>134430.70910328816</v>
      </c>
      <c r="D231" s="2">
        <v>33294</v>
      </c>
      <c r="E231" s="2">
        <f t="shared" si="17"/>
        <v>3.3294000000000001</v>
      </c>
      <c r="F231" s="2">
        <f t="shared" si="18"/>
        <v>-5.0455983350672362E-2</v>
      </c>
      <c r="G231" s="2">
        <f t="shared" si="19"/>
        <v>2.5458062558833265E-3</v>
      </c>
    </row>
    <row r="232" spans="1:7" x14ac:dyDescent="0.35">
      <c r="A232" s="2">
        <v>1705</v>
      </c>
      <c r="B232" s="2">
        <f t="shared" si="15"/>
        <v>366.64793617759278</v>
      </c>
      <c r="C232" s="2">
        <f t="shared" si="16"/>
        <v>134430.70910328816</v>
      </c>
      <c r="D232" s="2">
        <v>46984</v>
      </c>
      <c r="E232" s="2">
        <f t="shared" si="17"/>
        <v>4.6984000000000004</v>
      </c>
      <c r="F232" s="2">
        <f t="shared" si="18"/>
        <v>1.3185440166493279</v>
      </c>
      <c r="G232" s="2">
        <f t="shared" si="19"/>
        <v>1.738558323841743</v>
      </c>
    </row>
    <row r="233" spans="1:7" x14ac:dyDescent="0.35">
      <c r="A233" s="2">
        <v>1705</v>
      </c>
      <c r="B233" s="2">
        <f t="shared" si="15"/>
        <v>366.64793617759278</v>
      </c>
      <c r="C233" s="2">
        <f t="shared" si="16"/>
        <v>134430.70910328816</v>
      </c>
      <c r="D233" s="2">
        <v>40697</v>
      </c>
      <c r="E233" s="2">
        <f t="shared" si="17"/>
        <v>4.0697000000000001</v>
      </c>
      <c r="F233" s="2">
        <f t="shared" si="18"/>
        <v>0.6898440166493276</v>
      </c>
      <c r="G233" s="2">
        <f t="shared" si="19"/>
        <v>0.47588476730687779</v>
      </c>
    </row>
    <row r="234" spans="1:7" x14ac:dyDescent="0.35">
      <c r="A234" s="2">
        <v>1705</v>
      </c>
      <c r="B234" s="2">
        <f t="shared" si="15"/>
        <v>366.64793617759278</v>
      </c>
      <c r="C234" s="2">
        <f t="shared" si="16"/>
        <v>134430.70910328816</v>
      </c>
      <c r="D234" s="2">
        <v>47872</v>
      </c>
      <c r="E234" s="2">
        <f t="shared" si="17"/>
        <v>4.7872000000000003</v>
      </c>
      <c r="F234" s="2">
        <f t="shared" si="18"/>
        <v>1.4073440166493278</v>
      </c>
      <c r="G234" s="2">
        <f t="shared" si="19"/>
        <v>1.9806171811986635</v>
      </c>
    </row>
    <row r="235" spans="1:7" x14ac:dyDescent="0.35">
      <c r="A235" s="2">
        <v>1705</v>
      </c>
      <c r="B235" s="2">
        <f t="shared" si="15"/>
        <v>366.64793617759278</v>
      </c>
      <c r="C235" s="2">
        <f t="shared" si="16"/>
        <v>134430.70910328816</v>
      </c>
      <c r="D235" s="2">
        <v>34749</v>
      </c>
      <c r="E235" s="2">
        <f t="shared" si="17"/>
        <v>3.4748999999999999</v>
      </c>
      <c r="F235" s="2">
        <f t="shared" si="18"/>
        <v>9.5044016649327379E-2</v>
      </c>
      <c r="G235" s="2">
        <f t="shared" si="19"/>
        <v>9.0333651008376193E-3</v>
      </c>
    </row>
    <row r="236" spans="1:7" x14ac:dyDescent="0.35">
      <c r="A236" s="2">
        <v>1705</v>
      </c>
      <c r="B236" s="2">
        <f t="shared" si="15"/>
        <v>366.64793617759278</v>
      </c>
      <c r="C236" s="2">
        <f t="shared" si="16"/>
        <v>134430.70910328816</v>
      </c>
      <c r="D236" s="2">
        <v>45021</v>
      </c>
      <c r="E236" s="2">
        <f t="shared" si="17"/>
        <v>4.5021000000000004</v>
      </c>
      <c r="F236" s="2">
        <f t="shared" si="18"/>
        <v>1.1222440166493279</v>
      </c>
      <c r="G236" s="2">
        <f t="shared" si="19"/>
        <v>1.2594316329052171</v>
      </c>
    </row>
    <row r="237" spans="1:7" x14ac:dyDescent="0.35">
      <c r="A237" s="2">
        <v>1705</v>
      </c>
      <c r="B237" s="2">
        <f t="shared" si="15"/>
        <v>366.64793617759278</v>
      </c>
      <c r="C237" s="2">
        <f t="shared" si="16"/>
        <v>134430.70910328816</v>
      </c>
      <c r="D237" s="2">
        <v>44538</v>
      </c>
      <c r="E237" s="2">
        <f t="shared" si="17"/>
        <v>4.4538000000000002</v>
      </c>
      <c r="F237" s="2">
        <f t="shared" si="18"/>
        <v>1.0739440166493277</v>
      </c>
      <c r="G237" s="2">
        <f t="shared" si="19"/>
        <v>1.1533557508968915</v>
      </c>
    </row>
    <row r="238" spans="1:7" x14ac:dyDescent="0.35">
      <c r="A238" s="2">
        <v>1705</v>
      </c>
      <c r="B238" s="2">
        <f t="shared" si="15"/>
        <v>366.64793617759278</v>
      </c>
      <c r="C238" s="2">
        <f t="shared" si="16"/>
        <v>134430.70910328816</v>
      </c>
      <c r="D238" s="2">
        <v>42831</v>
      </c>
      <c r="E238" s="2">
        <f t="shared" si="17"/>
        <v>4.2831000000000001</v>
      </c>
      <c r="F238" s="2">
        <f t="shared" si="18"/>
        <v>0.90324401664932763</v>
      </c>
      <c r="G238" s="2">
        <f t="shared" si="19"/>
        <v>0.81584975361281087</v>
      </c>
    </row>
    <row r="239" spans="1:7" x14ac:dyDescent="0.35">
      <c r="A239" s="2">
        <v>1705</v>
      </c>
      <c r="B239" s="2">
        <f t="shared" si="15"/>
        <v>366.64793617759278</v>
      </c>
      <c r="C239" s="2">
        <f t="shared" si="16"/>
        <v>134430.70910328816</v>
      </c>
      <c r="D239" s="2">
        <v>45437</v>
      </c>
      <c r="E239" s="2">
        <f t="shared" si="17"/>
        <v>4.5437000000000003</v>
      </c>
      <c r="F239" s="2">
        <f t="shared" si="18"/>
        <v>1.1638440166493278</v>
      </c>
      <c r="G239" s="2">
        <f t="shared" si="19"/>
        <v>1.3545328950904407</v>
      </c>
    </row>
    <row r="240" spans="1:7" x14ac:dyDescent="0.35">
      <c r="A240" s="2">
        <v>1705</v>
      </c>
      <c r="B240" s="2">
        <f t="shared" si="15"/>
        <v>366.64793617759278</v>
      </c>
      <c r="C240" s="2">
        <f t="shared" si="16"/>
        <v>134430.70910328816</v>
      </c>
      <c r="D240" s="2">
        <v>52229</v>
      </c>
      <c r="E240" s="2">
        <f t="shared" si="17"/>
        <v>5.2229000000000001</v>
      </c>
      <c r="F240" s="2">
        <f t="shared" si="18"/>
        <v>1.8430440166493276</v>
      </c>
      <c r="G240" s="2">
        <f t="shared" si="19"/>
        <v>3.396811247306887</v>
      </c>
    </row>
    <row r="241" spans="1:7" x14ac:dyDescent="0.35">
      <c r="A241" s="2">
        <v>1705</v>
      </c>
      <c r="B241" s="2">
        <f t="shared" si="15"/>
        <v>366.64793617759278</v>
      </c>
      <c r="C241" s="2">
        <f t="shared" si="16"/>
        <v>134430.70910328816</v>
      </c>
      <c r="D241" s="2">
        <v>46309</v>
      </c>
      <c r="E241" s="2">
        <f t="shared" si="17"/>
        <v>4.6308999999999996</v>
      </c>
      <c r="F241" s="2">
        <f t="shared" si="18"/>
        <v>1.2510440166493271</v>
      </c>
      <c r="G241" s="2">
        <f t="shared" si="19"/>
        <v>1.5651111315940818</v>
      </c>
    </row>
    <row r="242" spans="1:7" x14ac:dyDescent="0.35">
      <c r="A242" s="2">
        <v>1705</v>
      </c>
      <c r="B242" s="2">
        <f t="shared" si="15"/>
        <v>366.64793617759278</v>
      </c>
      <c r="C242" s="2">
        <f t="shared" si="16"/>
        <v>134430.70910328816</v>
      </c>
      <c r="D242" s="2">
        <v>42422</v>
      </c>
      <c r="E242" s="2">
        <f t="shared" si="17"/>
        <v>4.2422000000000004</v>
      </c>
      <c r="F242" s="2">
        <f t="shared" si="18"/>
        <v>0.86234401664932792</v>
      </c>
      <c r="G242" s="2">
        <f t="shared" si="19"/>
        <v>0.74363720305089631</v>
      </c>
    </row>
    <row r="243" spans="1:7" x14ac:dyDescent="0.35">
      <c r="A243" s="2">
        <v>1705</v>
      </c>
      <c r="B243" s="2">
        <f t="shared" si="15"/>
        <v>366.64793617759278</v>
      </c>
      <c r="C243" s="2">
        <f t="shared" si="16"/>
        <v>134430.70910328816</v>
      </c>
      <c r="D243" s="2">
        <v>47752</v>
      </c>
      <c r="E243" s="2">
        <f t="shared" si="17"/>
        <v>4.7751999999999999</v>
      </c>
      <c r="F243" s="2">
        <f t="shared" si="18"/>
        <v>1.3953440166493274</v>
      </c>
      <c r="G243" s="2">
        <f t="shared" si="19"/>
        <v>1.9469849247990785</v>
      </c>
    </row>
    <row r="244" spans="1:7" x14ac:dyDescent="0.35">
      <c r="A244" s="2">
        <v>1039</v>
      </c>
      <c r="B244" s="2">
        <f t="shared" si="15"/>
        <v>-299.35206382240722</v>
      </c>
      <c r="C244" s="2">
        <f t="shared" si="16"/>
        <v>89611.658114734557</v>
      </c>
      <c r="D244" s="2">
        <v>12783</v>
      </c>
      <c r="E244" s="2">
        <f t="shared" si="17"/>
        <v>1.2783</v>
      </c>
      <c r="F244" s="2">
        <f t="shared" si="18"/>
        <v>-2.1015559833506723</v>
      </c>
      <c r="G244" s="2">
        <f t="shared" si="19"/>
        <v>4.4165375511570115</v>
      </c>
    </row>
    <row r="245" spans="1:7" x14ac:dyDescent="0.35">
      <c r="A245" s="2">
        <v>1039</v>
      </c>
      <c r="B245" s="2">
        <f t="shared" si="15"/>
        <v>-299.35206382240722</v>
      </c>
      <c r="C245" s="2">
        <f t="shared" si="16"/>
        <v>89611.658114734557</v>
      </c>
      <c r="D245" s="2">
        <v>12119</v>
      </c>
      <c r="E245" s="2">
        <f t="shared" si="17"/>
        <v>1.2119</v>
      </c>
      <c r="F245" s="2">
        <f t="shared" si="18"/>
        <v>-2.1679559833506725</v>
      </c>
      <c r="G245" s="2">
        <f t="shared" si="19"/>
        <v>4.7000331457459819</v>
      </c>
    </row>
    <row r="246" spans="1:7" x14ac:dyDescent="0.35">
      <c r="A246" s="2">
        <v>1039</v>
      </c>
      <c r="B246" s="2">
        <f t="shared" si="15"/>
        <v>-299.35206382240722</v>
      </c>
      <c r="C246" s="2">
        <f t="shared" si="16"/>
        <v>89611.658114734557</v>
      </c>
      <c r="D246" s="2">
        <v>11704</v>
      </c>
      <c r="E246" s="2">
        <f t="shared" si="17"/>
        <v>1.1704000000000001</v>
      </c>
      <c r="F246" s="2">
        <f t="shared" si="18"/>
        <v>-2.2094559833506722</v>
      </c>
      <c r="G246" s="2">
        <f t="shared" si="19"/>
        <v>4.8816957423640854</v>
      </c>
    </row>
    <row r="247" spans="1:7" x14ac:dyDescent="0.35">
      <c r="A247" s="2">
        <v>1039</v>
      </c>
      <c r="B247" s="2">
        <f t="shared" si="15"/>
        <v>-299.35206382240722</v>
      </c>
      <c r="C247" s="2">
        <f t="shared" si="16"/>
        <v>89611.658114734557</v>
      </c>
      <c r="D247" s="2">
        <v>13752</v>
      </c>
      <c r="E247" s="2">
        <f t="shared" si="17"/>
        <v>1.3752</v>
      </c>
      <c r="F247" s="2">
        <f t="shared" si="18"/>
        <v>-2.0046559833506725</v>
      </c>
      <c r="G247" s="2">
        <f t="shared" si="19"/>
        <v>4.0186456115836515</v>
      </c>
    </row>
    <row r="248" spans="1:7" x14ac:dyDescent="0.35">
      <c r="A248" s="2">
        <v>1039</v>
      </c>
      <c r="B248" s="2">
        <f t="shared" si="15"/>
        <v>-299.35206382240722</v>
      </c>
      <c r="C248" s="2">
        <f t="shared" si="16"/>
        <v>89611.658114734557</v>
      </c>
      <c r="D248" s="2">
        <v>13961</v>
      </c>
      <c r="E248" s="2">
        <f t="shared" si="17"/>
        <v>1.3960999999999999</v>
      </c>
      <c r="F248" s="2">
        <f t="shared" si="18"/>
        <v>-1.9837559833506726</v>
      </c>
      <c r="G248" s="2">
        <f t="shared" si="19"/>
        <v>3.935287801479594</v>
      </c>
    </row>
    <row r="249" spans="1:7" x14ac:dyDescent="0.35">
      <c r="A249" s="2">
        <v>1039</v>
      </c>
      <c r="B249" s="2">
        <f t="shared" si="15"/>
        <v>-299.35206382240722</v>
      </c>
      <c r="C249" s="2">
        <f t="shared" si="16"/>
        <v>89611.658114734557</v>
      </c>
      <c r="D249" s="2">
        <v>13423</v>
      </c>
      <c r="E249" s="2">
        <f t="shared" si="17"/>
        <v>1.3423</v>
      </c>
      <c r="F249" s="2">
        <f t="shared" si="18"/>
        <v>-2.0375559833506722</v>
      </c>
      <c r="G249" s="2">
        <f t="shared" si="19"/>
        <v>4.1516343852881246</v>
      </c>
    </row>
    <row r="250" spans="1:7" x14ac:dyDescent="0.35">
      <c r="A250" s="2">
        <v>1039</v>
      </c>
      <c r="B250" s="2">
        <f t="shared" si="15"/>
        <v>-299.35206382240722</v>
      </c>
      <c r="C250" s="2">
        <f t="shared" si="16"/>
        <v>89611.658114734557</v>
      </c>
      <c r="D250" s="2">
        <v>13344</v>
      </c>
      <c r="E250" s="2">
        <f t="shared" si="17"/>
        <v>1.3344</v>
      </c>
      <c r="F250" s="2">
        <f t="shared" si="18"/>
        <v>-2.0454559833506725</v>
      </c>
      <c r="G250" s="2">
        <f t="shared" si="19"/>
        <v>4.1838901798250667</v>
      </c>
    </row>
    <row r="251" spans="1:7" x14ac:dyDescent="0.35">
      <c r="A251" s="2">
        <v>1039</v>
      </c>
      <c r="B251" s="2">
        <f t="shared" si="15"/>
        <v>-299.35206382240722</v>
      </c>
      <c r="C251" s="2">
        <f t="shared" si="16"/>
        <v>89611.658114734557</v>
      </c>
      <c r="D251" s="2">
        <v>13177</v>
      </c>
      <c r="E251" s="2">
        <f t="shared" si="17"/>
        <v>1.3177000000000001</v>
      </c>
      <c r="F251" s="2">
        <f t="shared" si="18"/>
        <v>-2.0621559833506726</v>
      </c>
      <c r="G251" s="2">
        <f t="shared" si="19"/>
        <v>4.2524872996689798</v>
      </c>
    </row>
    <row r="252" spans="1:7" x14ac:dyDescent="0.35">
      <c r="A252" s="2">
        <v>1039</v>
      </c>
      <c r="B252" s="2">
        <f t="shared" si="15"/>
        <v>-299.35206382240722</v>
      </c>
      <c r="C252" s="2">
        <f t="shared" si="16"/>
        <v>89611.658114734557</v>
      </c>
      <c r="D252" s="2">
        <v>15666</v>
      </c>
      <c r="E252" s="2">
        <f t="shared" si="17"/>
        <v>1.5666</v>
      </c>
      <c r="F252" s="2">
        <f t="shared" si="18"/>
        <v>-1.8132559833506725</v>
      </c>
      <c r="G252" s="2">
        <f t="shared" si="19"/>
        <v>3.2878972611570143</v>
      </c>
    </row>
    <row r="253" spans="1:7" x14ac:dyDescent="0.35">
      <c r="A253" s="2">
        <v>1039</v>
      </c>
      <c r="B253" s="2">
        <f t="shared" si="15"/>
        <v>-299.35206382240722</v>
      </c>
      <c r="C253" s="2">
        <f t="shared" si="16"/>
        <v>89611.658114734557</v>
      </c>
      <c r="D253" s="2">
        <v>16654</v>
      </c>
      <c r="E253" s="2">
        <f t="shared" si="17"/>
        <v>1.6654</v>
      </c>
      <c r="F253" s="2">
        <f t="shared" si="18"/>
        <v>-1.7144559833506725</v>
      </c>
      <c r="G253" s="2">
        <f t="shared" si="19"/>
        <v>2.9393593188469214</v>
      </c>
    </row>
    <row r="254" spans="1:7" x14ac:dyDescent="0.35">
      <c r="A254" s="2">
        <v>1039</v>
      </c>
      <c r="B254" s="2">
        <f t="shared" si="15"/>
        <v>-299.35206382240722</v>
      </c>
      <c r="C254" s="2">
        <f t="shared" si="16"/>
        <v>89611.658114734557</v>
      </c>
      <c r="D254" s="2">
        <v>18498</v>
      </c>
      <c r="E254" s="2">
        <f t="shared" si="17"/>
        <v>1.8498000000000001</v>
      </c>
      <c r="F254" s="2">
        <f t="shared" si="18"/>
        <v>-1.5300559833506724</v>
      </c>
      <c r="G254" s="2">
        <f t="shared" si="19"/>
        <v>2.3410713121871929</v>
      </c>
    </row>
    <row r="255" spans="1:7" x14ac:dyDescent="0.35">
      <c r="A255" s="2">
        <v>1039</v>
      </c>
      <c r="B255" s="2">
        <f t="shared" si="15"/>
        <v>-299.35206382240722</v>
      </c>
      <c r="C255" s="2">
        <f t="shared" si="16"/>
        <v>89611.658114734557</v>
      </c>
      <c r="D255" s="2">
        <v>18827</v>
      </c>
      <c r="E255" s="2">
        <f t="shared" si="17"/>
        <v>1.8827</v>
      </c>
      <c r="F255" s="2">
        <f t="shared" si="18"/>
        <v>-1.4971559833506725</v>
      </c>
      <c r="G255" s="2">
        <f t="shared" si="19"/>
        <v>2.2414760384827188</v>
      </c>
    </row>
    <row r="256" spans="1:7" x14ac:dyDescent="0.35">
      <c r="A256" s="2">
        <v>1039</v>
      </c>
      <c r="B256" s="2">
        <f t="shared" si="15"/>
        <v>-299.35206382240722</v>
      </c>
      <c r="C256" s="2">
        <f t="shared" si="16"/>
        <v>89611.658114734557</v>
      </c>
      <c r="D256" s="2">
        <v>20822</v>
      </c>
      <c r="E256" s="2">
        <f t="shared" si="17"/>
        <v>2.0821999999999998</v>
      </c>
      <c r="F256" s="2">
        <f t="shared" si="18"/>
        <v>-1.2976559833506727</v>
      </c>
      <c r="G256" s="2">
        <f t="shared" si="19"/>
        <v>1.6839110511258013</v>
      </c>
    </row>
    <row r="257" spans="1:7" x14ac:dyDescent="0.35">
      <c r="A257" s="2">
        <v>1039</v>
      </c>
      <c r="B257" s="2">
        <f t="shared" si="15"/>
        <v>-299.35206382240722</v>
      </c>
      <c r="C257" s="2">
        <f t="shared" si="16"/>
        <v>89611.658114734557</v>
      </c>
      <c r="D257" s="2">
        <v>19384</v>
      </c>
      <c r="E257" s="2">
        <f t="shared" si="17"/>
        <v>1.9383999999999999</v>
      </c>
      <c r="F257" s="2">
        <f t="shared" si="18"/>
        <v>-1.4414559833506726</v>
      </c>
      <c r="G257" s="2">
        <f t="shared" si="19"/>
        <v>2.0777953519374543</v>
      </c>
    </row>
    <row r="258" spans="1:7" x14ac:dyDescent="0.35">
      <c r="A258" s="2">
        <v>1039</v>
      </c>
      <c r="B258" s="2">
        <f t="shared" si="15"/>
        <v>-299.35206382240722</v>
      </c>
      <c r="C258" s="2">
        <f t="shared" si="16"/>
        <v>89611.658114734557</v>
      </c>
      <c r="D258" s="2">
        <v>21114</v>
      </c>
      <c r="E258" s="2">
        <f t="shared" si="17"/>
        <v>2.1114000000000002</v>
      </c>
      <c r="F258" s="2">
        <f t="shared" si="18"/>
        <v>-1.2684559833506723</v>
      </c>
      <c r="G258" s="2">
        <f t="shared" si="19"/>
        <v>1.6089805816981211</v>
      </c>
    </row>
    <row r="259" spans="1:7" x14ac:dyDescent="0.35">
      <c r="A259" s="2">
        <v>1039</v>
      </c>
      <c r="B259" s="2">
        <f t="shared" ref="B259:B322" si="20">A259-$J$1</f>
        <v>-299.35206382240722</v>
      </c>
      <c r="C259" s="2">
        <f t="shared" ref="C259:C322" si="21">B259^2</f>
        <v>89611.658114734557</v>
      </c>
      <c r="D259" s="2">
        <v>20714</v>
      </c>
      <c r="E259" s="2">
        <f t="shared" ref="E259:E322" si="22">D259/10000</f>
        <v>2.0714000000000001</v>
      </c>
      <c r="F259" s="2">
        <f t="shared" ref="F259:F322" si="23">E259-$J$2</f>
        <v>-1.3084559833506724</v>
      </c>
      <c r="G259" s="2">
        <f t="shared" ref="G259:G322" si="24">F259^2</f>
        <v>1.7120570603661751</v>
      </c>
    </row>
    <row r="260" spans="1:7" x14ac:dyDescent="0.35">
      <c r="A260" s="2">
        <v>1039</v>
      </c>
      <c r="B260" s="2">
        <f t="shared" si="20"/>
        <v>-299.35206382240722</v>
      </c>
      <c r="C260" s="2">
        <f t="shared" si="21"/>
        <v>89611.658114734557</v>
      </c>
      <c r="D260" s="2">
        <v>21961</v>
      </c>
      <c r="E260" s="2">
        <f t="shared" si="22"/>
        <v>2.1960999999999999</v>
      </c>
      <c r="F260" s="2">
        <f t="shared" si="23"/>
        <v>-1.1837559833506726</v>
      </c>
      <c r="G260" s="2">
        <f t="shared" si="24"/>
        <v>1.4012782281185179</v>
      </c>
    </row>
    <row r="261" spans="1:7" x14ac:dyDescent="0.35">
      <c r="A261" s="2">
        <v>1039</v>
      </c>
      <c r="B261" s="2">
        <f t="shared" si="20"/>
        <v>-299.35206382240722</v>
      </c>
      <c r="C261" s="2">
        <f t="shared" si="21"/>
        <v>89611.658114734557</v>
      </c>
      <c r="D261" s="2">
        <v>26137</v>
      </c>
      <c r="E261" s="2">
        <f t="shared" si="22"/>
        <v>2.6137000000000001</v>
      </c>
      <c r="F261" s="2">
        <f t="shared" si="23"/>
        <v>-0.76615598335067236</v>
      </c>
      <c r="G261" s="2">
        <f t="shared" si="24"/>
        <v>0.58699499082403572</v>
      </c>
    </row>
    <row r="262" spans="1:7" x14ac:dyDescent="0.35">
      <c r="A262" s="2">
        <v>1039</v>
      </c>
      <c r="B262" s="2">
        <f t="shared" si="20"/>
        <v>-299.35206382240722</v>
      </c>
      <c r="C262" s="2">
        <f t="shared" si="21"/>
        <v>89611.658114734557</v>
      </c>
      <c r="D262" s="2">
        <v>27100</v>
      </c>
      <c r="E262" s="2">
        <f t="shared" si="22"/>
        <v>2.71</v>
      </c>
      <c r="F262" s="2">
        <f t="shared" si="23"/>
        <v>-0.66985598335067253</v>
      </c>
      <c r="G262" s="2">
        <f t="shared" si="24"/>
        <v>0.44870703843069648</v>
      </c>
    </row>
    <row r="263" spans="1:7" x14ac:dyDescent="0.35">
      <c r="A263" s="2">
        <v>1039</v>
      </c>
      <c r="B263" s="2">
        <f t="shared" si="20"/>
        <v>-299.35206382240722</v>
      </c>
      <c r="C263" s="2">
        <f t="shared" si="21"/>
        <v>89611.658114734557</v>
      </c>
      <c r="D263" s="2">
        <v>23678</v>
      </c>
      <c r="E263" s="2">
        <f t="shared" si="22"/>
        <v>2.3677999999999999</v>
      </c>
      <c r="F263" s="2">
        <f t="shared" si="23"/>
        <v>-1.0120559833506726</v>
      </c>
      <c r="G263" s="2">
        <f t="shared" si="24"/>
        <v>1.024257313435897</v>
      </c>
    </row>
    <row r="264" spans="1:7" x14ac:dyDescent="0.35">
      <c r="A264" s="2">
        <v>1039</v>
      </c>
      <c r="B264" s="2">
        <f t="shared" si="20"/>
        <v>-299.35206382240722</v>
      </c>
      <c r="C264" s="2">
        <f t="shared" si="21"/>
        <v>89611.658114734557</v>
      </c>
      <c r="D264" s="2">
        <v>26633</v>
      </c>
      <c r="E264" s="2">
        <f t="shared" si="22"/>
        <v>2.6633</v>
      </c>
      <c r="F264" s="2">
        <f t="shared" si="23"/>
        <v>-0.7165559833506725</v>
      </c>
      <c r="G264" s="2">
        <f t="shared" si="24"/>
        <v>0.51345247727564924</v>
      </c>
    </row>
    <row r="265" spans="1:7" x14ac:dyDescent="0.35">
      <c r="A265" s="2">
        <v>1039</v>
      </c>
      <c r="B265" s="2">
        <f t="shared" si="20"/>
        <v>-299.35206382240722</v>
      </c>
      <c r="C265" s="2">
        <f t="shared" si="21"/>
        <v>89611.658114734557</v>
      </c>
      <c r="D265" s="2">
        <v>32850</v>
      </c>
      <c r="E265" s="2">
        <f t="shared" si="22"/>
        <v>3.2850000000000001</v>
      </c>
      <c r="F265" s="2">
        <f t="shared" si="23"/>
        <v>-9.4855983350672357E-2</v>
      </c>
      <c r="G265" s="2">
        <f t="shared" si="24"/>
        <v>8.9976575774230322E-3</v>
      </c>
    </row>
    <row r="266" spans="1:7" x14ac:dyDescent="0.35">
      <c r="A266" s="2">
        <v>1039</v>
      </c>
      <c r="B266" s="2">
        <f t="shared" si="20"/>
        <v>-299.35206382240722</v>
      </c>
      <c r="C266" s="2">
        <f t="shared" si="21"/>
        <v>89611.658114734557</v>
      </c>
      <c r="D266" s="2">
        <v>37395</v>
      </c>
      <c r="E266" s="2">
        <f t="shared" si="22"/>
        <v>3.7395</v>
      </c>
      <c r="F266" s="2">
        <f t="shared" si="23"/>
        <v>0.35964401664932755</v>
      </c>
      <c r="G266" s="2">
        <f t="shared" si="24"/>
        <v>0.12934381871166178</v>
      </c>
    </row>
    <row r="267" spans="1:7" x14ac:dyDescent="0.35">
      <c r="A267" s="2">
        <v>1039</v>
      </c>
      <c r="B267" s="2">
        <f t="shared" si="20"/>
        <v>-299.35206382240722</v>
      </c>
      <c r="C267" s="2">
        <f t="shared" si="21"/>
        <v>89611.658114734557</v>
      </c>
      <c r="D267" s="2">
        <v>26558</v>
      </c>
      <c r="E267" s="2">
        <f t="shared" si="22"/>
        <v>2.6558000000000002</v>
      </c>
      <c r="F267" s="2">
        <f t="shared" si="23"/>
        <v>-0.72405598335067234</v>
      </c>
      <c r="G267" s="2">
        <f t="shared" si="24"/>
        <v>0.52425706702590913</v>
      </c>
    </row>
    <row r="268" spans="1:7" x14ac:dyDescent="0.35">
      <c r="A268" s="2">
        <v>1039</v>
      </c>
      <c r="B268" s="2">
        <f t="shared" si="20"/>
        <v>-299.35206382240722</v>
      </c>
      <c r="C268" s="2">
        <f t="shared" si="21"/>
        <v>89611.658114734557</v>
      </c>
      <c r="D268" s="2">
        <v>39362</v>
      </c>
      <c r="E268" s="2">
        <f t="shared" si="22"/>
        <v>3.9361999999999999</v>
      </c>
      <c r="F268" s="2">
        <f t="shared" si="23"/>
        <v>0.55634401664932742</v>
      </c>
      <c r="G268" s="2">
        <f t="shared" si="24"/>
        <v>0.30951866486150709</v>
      </c>
    </row>
    <row r="269" spans="1:7" x14ac:dyDescent="0.35">
      <c r="A269" s="2">
        <v>1039</v>
      </c>
      <c r="B269" s="2">
        <f t="shared" si="20"/>
        <v>-299.35206382240722</v>
      </c>
      <c r="C269" s="2">
        <f t="shared" si="21"/>
        <v>89611.658114734557</v>
      </c>
      <c r="D269" s="2">
        <v>32960</v>
      </c>
      <c r="E269" s="2">
        <f t="shared" si="22"/>
        <v>3.2959999999999998</v>
      </c>
      <c r="F269" s="2">
        <f t="shared" si="23"/>
        <v>-8.385598335067268E-2</v>
      </c>
      <c r="G269" s="2">
        <f t="shared" si="24"/>
        <v>7.031825943708294E-3</v>
      </c>
    </row>
    <row r="270" spans="1:7" x14ac:dyDescent="0.35">
      <c r="A270" s="2">
        <v>1039</v>
      </c>
      <c r="B270" s="2">
        <f t="shared" si="20"/>
        <v>-299.35206382240722</v>
      </c>
      <c r="C270" s="2">
        <f t="shared" si="21"/>
        <v>89611.658114734557</v>
      </c>
      <c r="D270" s="2">
        <v>32960</v>
      </c>
      <c r="E270" s="2">
        <f t="shared" si="22"/>
        <v>3.2959999999999998</v>
      </c>
      <c r="F270" s="2">
        <f t="shared" si="23"/>
        <v>-8.385598335067268E-2</v>
      </c>
      <c r="G270" s="2">
        <f t="shared" si="24"/>
        <v>7.031825943708294E-3</v>
      </c>
    </row>
    <row r="271" spans="1:7" x14ac:dyDescent="0.35">
      <c r="A271" s="2">
        <v>1039</v>
      </c>
      <c r="B271" s="2">
        <f t="shared" si="20"/>
        <v>-299.35206382240722</v>
      </c>
      <c r="C271" s="2">
        <f t="shared" si="21"/>
        <v>89611.658114734557</v>
      </c>
      <c r="D271" s="2">
        <v>31393</v>
      </c>
      <c r="E271" s="2">
        <f t="shared" si="22"/>
        <v>3.1393</v>
      </c>
      <c r="F271" s="2">
        <f t="shared" si="23"/>
        <v>-0.24055598335067252</v>
      </c>
      <c r="G271" s="2">
        <f t="shared" si="24"/>
        <v>5.7867181125809034E-2</v>
      </c>
    </row>
    <row r="272" spans="1:7" x14ac:dyDescent="0.35">
      <c r="A272" s="2">
        <v>1039</v>
      </c>
      <c r="B272" s="2">
        <f t="shared" si="20"/>
        <v>-299.35206382240722</v>
      </c>
      <c r="C272" s="2">
        <f t="shared" si="21"/>
        <v>89611.658114734557</v>
      </c>
      <c r="D272" s="2">
        <v>31285</v>
      </c>
      <c r="E272" s="2">
        <f t="shared" si="22"/>
        <v>3.1284999999999998</v>
      </c>
      <c r="F272" s="2">
        <f t="shared" si="23"/>
        <v>-0.25135598335067266</v>
      </c>
      <c r="G272" s="2">
        <f t="shared" si="24"/>
        <v>6.3179830366183631E-2</v>
      </c>
    </row>
    <row r="273" spans="1:7" x14ac:dyDescent="0.35">
      <c r="A273" s="2">
        <v>1039</v>
      </c>
      <c r="B273" s="2">
        <f t="shared" si="20"/>
        <v>-299.35206382240722</v>
      </c>
      <c r="C273" s="2">
        <f t="shared" si="21"/>
        <v>89611.658114734557</v>
      </c>
      <c r="D273" s="2">
        <v>34174</v>
      </c>
      <c r="E273" s="2">
        <f t="shared" si="22"/>
        <v>3.4174000000000002</v>
      </c>
      <c r="F273" s="2">
        <f t="shared" si="23"/>
        <v>3.7544016649327716E-2</v>
      </c>
      <c r="G273" s="2">
        <f t="shared" si="24"/>
        <v>1.4095531861649969E-3</v>
      </c>
    </row>
    <row r="274" spans="1:7" x14ac:dyDescent="0.35">
      <c r="A274" s="2">
        <v>2200</v>
      </c>
      <c r="B274" s="2">
        <f t="shared" si="20"/>
        <v>861.64793617759278</v>
      </c>
      <c r="C274" s="2">
        <f t="shared" si="21"/>
        <v>742437.16591910506</v>
      </c>
      <c r="D274" s="2">
        <v>19375</v>
      </c>
      <c r="E274" s="2">
        <f t="shared" si="22"/>
        <v>1.9375</v>
      </c>
      <c r="F274" s="2">
        <f t="shared" si="23"/>
        <v>-1.4423559833506725</v>
      </c>
      <c r="G274" s="2">
        <f t="shared" si="24"/>
        <v>2.0803907827074855</v>
      </c>
    </row>
    <row r="275" spans="1:7" x14ac:dyDescent="0.35">
      <c r="A275" s="2">
        <v>2200</v>
      </c>
      <c r="B275" s="2">
        <f t="shared" si="20"/>
        <v>861.64793617759278</v>
      </c>
      <c r="C275" s="2">
        <f t="shared" si="21"/>
        <v>742437.16591910506</v>
      </c>
      <c r="D275" s="2">
        <v>18000</v>
      </c>
      <c r="E275" s="2">
        <f t="shared" si="22"/>
        <v>1.8</v>
      </c>
      <c r="F275" s="2">
        <f t="shared" si="23"/>
        <v>-1.5798559833506725</v>
      </c>
      <c r="G275" s="2">
        <f t="shared" si="24"/>
        <v>2.4959449281289201</v>
      </c>
    </row>
    <row r="276" spans="1:7" x14ac:dyDescent="0.35">
      <c r="A276" s="2">
        <v>2200</v>
      </c>
      <c r="B276" s="2">
        <f t="shared" si="20"/>
        <v>861.64793617759278</v>
      </c>
      <c r="C276" s="2">
        <f t="shared" si="21"/>
        <v>742437.16591910506</v>
      </c>
      <c r="D276" s="2">
        <v>17568</v>
      </c>
      <c r="E276" s="2">
        <f t="shared" si="22"/>
        <v>1.7567999999999999</v>
      </c>
      <c r="F276" s="2">
        <f t="shared" si="23"/>
        <v>-1.6230559833506726</v>
      </c>
      <c r="G276" s="2">
        <f t="shared" si="24"/>
        <v>2.634310725090419</v>
      </c>
    </row>
    <row r="277" spans="1:7" x14ac:dyDescent="0.35">
      <c r="A277" s="2">
        <v>2200</v>
      </c>
      <c r="B277" s="2">
        <f t="shared" si="20"/>
        <v>861.64793617759278</v>
      </c>
      <c r="C277" s="2">
        <f t="shared" si="21"/>
        <v>742437.16591910506</v>
      </c>
      <c r="D277" s="2">
        <v>16538</v>
      </c>
      <c r="E277" s="2">
        <f t="shared" si="22"/>
        <v>1.6537999999999999</v>
      </c>
      <c r="F277" s="2">
        <f t="shared" si="23"/>
        <v>-1.7260559833506726</v>
      </c>
      <c r="G277" s="2">
        <f t="shared" si="24"/>
        <v>2.9792692576606572</v>
      </c>
    </row>
    <row r="278" spans="1:7" x14ac:dyDescent="0.35">
      <c r="A278" s="2">
        <v>2200</v>
      </c>
      <c r="B278" s="2">
        <f t="shared" si="20"/>
        <v>861.64793617759278</v>
      </c>
      <c r="C278" s="2">
        <f t="shared" si="21"/>
        <v>742437.16591910506</v>
      </c>
      <c r="D278" s="2">
        <v>20976</v>
      </c>
      <c r="E278" s="2">
        <f t="shared" si="22"/>
        <v>2.0975999999999999</v>
      </c>
      <c r="F278" s="2">
        <f t="shared" si="23"/>
        <v>-1.2822559833506726</v>
      </c>
      <c r="G278" s="2">
        <f t="shared" si="24"/>
        <v>1.6441804068386003</v>
      </c>
    </row>
    <row r="279" spans="1:7" x14ac:dyDescent="0.35">
      <c r="A279" s="2">
        <v>2200</v>
      </c>
      <c r="B279" s="2">
        <f t="shared" si="20"/>
        <v>861.64793617759278</v>
      </c>
      <c r="C279" s="2">
        <f t="shared" si="21"/>
        <v>742437.16591910506</v>
      </c>
      <c r="D279" s="2">
        <v>12702</v>
      </c>
      <c r="E279" s="2">
        <f t="shared" si="22"/>
        <v>1.2702</v>
      </c>
      <c r="F279" s="2">
        <f t="shared" si="23"/>
        <v>-2.1096559833506725</v>
      </c>
      <c r="G279" s="2">
        <f t="shared" si="24"/>
        <v>4.4506483680872932</v>
      </c>
    </row>
    <row r="280" spans="1:7" x14ac:dyDescent="0.35">
      <c r="A280" s="2">
        <v>2200</v>
      </c>
      <c r="B280" s="2">
        <f t="shared" si="20"/>
        <v>861.64793617759278</v>
      </c>
      <c r="C280" s="2">
        <f t="shared" si="21"/>
        <v>742437.16591910506</v>
      </c>
      <c r="D280" s="2">
        <v>13491</v>
      </c>
      <c r="E280" s="2">
        <f t="shared" si="22"/>
        <v>1.3491</v>
      </c>
      <c r="F280" s="2">
        <f t="shared" si="23"/>
        <v>-2.0307559833506725</v>
      </c>
      <c r="G280" s="2">
        <f t="shared" si="24"/>
        <v>4.1239698639145566</v>
      </c>
    </row>
    <row r="281" spans="1:7" x14ac:dyDescent="0.35">
      <c r="A281" s="2">
        <v>2200</v>
      </c>
      <c r="B281" s="2">
        <f t="shared" si="20"/>
        <v>861.64793617759278</v>
      </c>
      <c r="C281" s="2">
        <f t="shared" si="21"/>
        <v>742437.16591910506</v>
      </c>
      <c r="D281" s="2">
        <v>14704</v>
      </c>
      <c r="E281" s="2">
        <f t="shared" si="22"/>
        <v>1.4703999999999999</v>
      </c>
      <c r="F281" s="2">
        <f t="shared" si="23"/>
        <v>-1.9094559833506726</v>
      </c>
      <c r="G281" s="2">
        <f t="shared" si="24"/>
        <v>3.6460221523536838</v>
      </c>
    </row>
    <row r="282" spans="1:7" x14ac:dyDescent="0.35">
      <c r="A282" s="2">
        <v>2200</v>
      </c>
      <c r="B282" s="2">
        <f t="shared" si="20"/>
        <v>861.64793617759278</v>
      </c>
      <c r="C282" s="2">
        <f t="shared" si="21"/>
        <v>742437.16591910506</v>
      </c>
      <c r="D282" s="2">
        <v>16071</v>
      </c>
      <c r="E282" s="2">
        <f t="shared" si="22"/>
        <v>1.6071</v>
      </c>
      <c r="F282" s="2">
        <f t="shared" si="23"/>
        <v>-1.7727559833506725</v>
      </c>
      <c r="G282" s="2">
        <f t="shared" si="24"/>
        <v>3.1426637765056098</v>
      </c>
    </row>
    <row r="283" spans="1:7" x14ac:dyDescent="0.35">
      <c r="A283" s="2">
        <v>2200</v>
      </c>
      <c r="B283" s="2">
        <f t="shared" si="20"/>
        <v>861.64793617759278</v>
      </c>
      <c r="C283" s="2">
        <f t="shared" si="21"/>
        <v>742437.16591910506</v>
      </c>
      <c r="D283" s="2">
        <v>16667</v>
      </c>
      <c r="E283" s="2">
        <f t="shared" si="22"/>
        <v>1.6667000000000001</v>
      </c>
      <c r="F283" s="2">
        <f t="shared" si="23"/>
        <v>-1.7131559833506724</v>
      </c>
      <c r="G283" s="2">
        <f t="shared" si="24"/>
        <v>2.9349034232902094</v>
      </c>
    </row>
    <row r="284" spans="1:7" x14ac:dyDescent="0.35">
      <c r="A284" s="2">
        <v>2200</v>
      </c>
      <c r="B284" s="2">
        <f t="shared" si="20"/>
        <v>861.64793617759278</v>
      </c>
      <c r="C284" s="2">
        <f t="shared" si="21"/>
        <v>742437.16591910506</v>
      </c>
      <c r="D284" s="2">
        <v>16570</v>
      </c>
      <c r="E284" s="2">
        <f t="shared" si="22"/>
        <v>1.657</v>
      </c>
      <c r="F284" s="2">
        <f t="shared" si="23"/>
        <v>-1.7228559833506725</v>
      </c>
      <c r="G284" s="2">
        <f t="shared" si="24"/>
        <v>2.9682327393672128</v>
      </c>
    </row>
    <row r="285" spans="1:7" x14ac:dyDescent="0.35">
      <c r="A285" s="2">
        <v>2200</v>
      </c>
      <c r="B285" s="2">
        <f t="shared" si="20"/>
        <v>861.64793617759278</v>
      </c>
      <c r="C285" s="2">
        <f t="shared" si="21"/>
        <v>742437.16591910506</v>
      </c>
      <c r="D285" s="2">
        <v>17214</v>
      </c>
      <c r="E285" s="2">
        <f t="shared" si="22"/>
        <v>1.7214</v>
      </c>
      <c r="F285" s="2">
        <f t="shared" si="23"/>
        <v>-1.6584559833506725</v>
      </c>
      <c r="G285" s="2">
        <f t="shared" si="24"/>
        <v>2.7504762487116459</v>
      </c>
    </row>
    <row r="286" spans="1:7" x14ac:dyDescent="0.35">
      <c r="A286" s="2">
        <v>2200</v>
      </c>
      <c r="B286" s="2">
        <f t="shared" si="20"/>
        <v>861.64793617759278</v>
      </c>
      <c r="C286" s="2">
        <f t="shared" si="21"/>
        <v>742437.16591910506</v>
      </c>
      <c r="D286" s="2">
        <v>17892</v>
      </c>
      <c r="E286" s="2">
        <f t="shared" si="22"/>
        <v>1.7891999999999999</v>
      </c>
      <c r="F286" s="2">
        <f t="shared" si="23"/>
        <v>-1.5906559833506726</v>
      </c>
      <c r="G286" s="2">
        <f t="shared" si="24"/>
        <v>2.5301864573692954</v>
      </c>
    </row>
    <row r="287" spans="1:7" x14ac:dyDescent="0.35">
      <c r="A287" s="2">
        <v>2200</v>
      </c>
      <c r="B287" s="2">
        <f t="shared" si="20"/>
        <v>861.64793617759278</v>
      </c>
      <c r="C287" s="2">
        <f t="shared" si="21"/>
        <v>742437.16591910506</v>
      </c>
      <c r="D287" s="2">
        <v>18471</v>
      </c>
      <c r="E287" s="2">
        <f t="shared" si="22"/>
        <v>1.8471</v>
      </c>
      <c r="F287" s="2">
        <f t="shared" si="23"/>
        <v>-1.5327559833506725</v>
      </c>
      <c r="G287" s="2">
        <f t="shared" si="24"/>
        <v>2.3493409044972871</v>
      </c>
    </row>
    <row r="288" spans="1:7" x14ac:dyDescent="0.35">
      <c r="A288" s="2">
        <v>2200</v>
      </c>
      <c r="B288" s="2">
        <f t="shared" si="20"/>
        <v>861.64793617759278</v>
      </c>
      <c r="C288" s="2">
        <f t="shared" si="21"/>
        <v>742437.16591910506</v>
      </c>
      <c r="D288" s="2">
        <v>17038</v>
      </c>
      <c r="E288" s="2">
        <f t="shared" si="22"/>
        <v>1.7038</v>
      </c>
      <c r="F288" s="2">
        <f t="shared" si="23"/>
        <v>-1.6760559833506725</v>
      </c>
      <c r="G288" s="2">
        <f t="shared" si="24"/>
        <v>2.80916365932559</v>
      </c>
    </row>
    <row r="289" spans="1:7" x14ac:dyDescent="0.35">
      <c r="A289" s="2">
        <v>2200</v>
      </c>
      <c r="B289" s="2">
        <f t="shared" si="20"/>
        <v>861.64793617759278</v>
      </c>
      <c r="C289" s="2">
        <f t="shared" si="21"/>
        <v>742437.16591910506</v>
      </c>
      <c r="D289" s="2">
        <v>17391</v>
      </c>
      <c r="E289" s="2">
        <f t="shared" si="22"/>
        <v>1.7391000000000001</v>
      </c>
      <c r="F289" s="2">
        <f t="shared" si="23"/>
        <v>-1.6407559833506724</v>
      </c>
      <c r="G289" s="2">
        <f t="shared" si="24"/>
        <v>2.6920801969010322</v>
      </c>
    </row>
    <row r="290" spans="1:7" x14ac:dyDescent="0.35">
      <c r="A290" s="2">
        <v>2200</v>
      </c>
      <c r="B290" s="2">
        <f t="shared" si="20"/>
        <v>861.64793617759278</v>
      </c>
      <c r="C290" s="2">
        <f t="shared" si="21"/>
        <v>742437.16591910506</v>
      </c>
      <c r="D290" s="2">
        <v>19987</v>
      </c>
      <c r="E290" s="2">
        <f t="shared" si="22"/>
        <v>1.9986999999999999</v>
      </c>
      <c r="F290" s="2">
        <f t="shared" si="23"/>
        <v>-1.3811559833506726</v>
      </c>
      <c r="G290" s="2">
        <f t="shared" si="24"/>
        <v>1.9075918503453633</v>
      </c>
    </row>
    <row r="291" spans="1:7" x14ac:dyDescent="0.35">
      <c r="A291" s="2">
        <v>2200</v>
      </c>
      <c r="B291" s="2">
        <f t="shared" si="20"/>
        <v>861.64793617759278</v>
      </c>
      <c r="C291" s="2">
        <f t="shared" si="21"/>
        <v>742437.16591910506</v>
      </c>
      <c r="D291" s="2">
        <v>28816</v>
      </c>
      <c r="E291" s="2">
        <f t="shared" si="22"/>
        <v>2.8816000000000002</v>
      </c>
      <c r="F291" s="2">
        <f t="shared" si="23"/>
        <v>-0.49825598335067234</v>
      </c>
      <c r="G291" s="2">
        <f t="shared" si="24"/>
        <v>0.24825902494474547</v>
      </c>
    </row>
    <row r="292" spans="1:7" x14ac:dyDescent="0.35">
      <c r="A292" s="2">
        <v>2200</v>
      </c>
      <c r="B292" s="2">
        <f t="shared" si="20"/>
        <v>861.64793617759278</v>
      </c>
      <c r="C292" s="2">
        <f t="shared" si="21"/>
        <v>742437.16591910506</v>
      </c>
      <c r="D292" s="2">
        <v>26896</v>
      </c>
      <c r="E292" s="2">
        <f t="shared" si="22"/>
        <v>2.6896</v>
      </c>
      <c r="F292" s="2">
        <f t="shared" si="23"/>
        <v>-0.69025598335067251</v>
      </c>
      <c r="G292" s="2">
        <f t="shared" si="24"/>
        <v>0.47645332255140388</v>
      </c>
    </row>
    <row r="293" spans="1:7" x14ac:dyDescent="0.35">
      <c r="A293" s="2">
        <v>2200</v>
      </c>
      <c r="B293" s="2">
        <f t="shared" si="20"/>
        <v>861.64793617759278</v>
      </c>
      <c r="C293" s="2">
        <f t="shared" si="21"/>
        <v>742437.16591910506</v>
      </c>
      <c r="D293" s="2">
        <v>27461</v>
      </c>
      <c r="E293" s="2">
        <f t="shared" si="22"/>
        <v>2.7461000000000002</v>
      </c>
      <c r="F293" s="2">
        <f t="shared" si="23"/>
        <v>-0.63375598335067229</v>
      </c>
      <c r="G293" s="2">
        <f t="shared" si="24"/>
        <v>0.40164664643277759</v>
      </c>
    </row>
    <row r="294" spans="1:7" x14ac:dyDescent="0.35">
      <c r="A294" s="2">
        <v>2200</v>
      </c>
      <c r="B294" s="2">
        <f t="shared" si="20"/>
        <v>861.64793617759278</v>
      </c>
      <c r="C294" s="2">
        <f t="shared" si="21"/>
        <v>742437.16591910506</v>
      </c>
      <c r="D294" s="2">
        <v>27043</v>
      </c>
      <c r="E294" s="2">
        <f t="shared" si="22"/>
        <v>2.7042999999999999</v>
      </c>
      <c r="F294" s="2">
        <f t="shared" si="23"/>
        <v>-0.67555598335067257</v>
      </c>
      <c r="G294" s="2">
        <f t="shared" si="24"/>
        <v>0.45637588664089418</v>
      </c>
    </row>
    <row r="295" spans="1:7" x14ac:dyDescent="0.35">
      <c r="A295" s="2">
        <v>2200</v>
      </c>
      <c r="B295" s="2">
        <f t="shared" si="20"/>
        <v>861.64793617759278</v>
      </c>
      <c r="C295" s="2">
        <f t="shared" si="21"/>
        <v>742437.16591910506</v>
      </c>
      <c r="D295" s="2">
        <v>39983</v>
      </c>
      <c r="E295" s="2">
        <f t="shared" si="22"/>
        <v>3.9983</v>
      </c>
      <c r="F295" s="2">
        <f t="shared" si="23"/>
        <v>0.61844401664932747</v>
      </c>
      <c r="G295" s="2">
        <f t="shared" si="24"/>
        <v>0.38247300172935361</v>
      </c>
    </row>
    <row r="296" spans="1:7" x14ac:dyDescent="0.35">
      <c r="A296" s="2">
        <v>2200</v>
      </c>
      <c r="B296" s="2">
        <f t="shared" si="20"/>
        <v>861.64793617759278</v>
      </c>
      <c r="C296" s="2">
        <f t="shared" si="21"/>
        <v>742437.16591910506</v>
      </c>
      <c r="D296" s="2">
        <v>27993</v>
      </c>
      <c r="E296" s="2">
        <f t="shared" si="22"/>
        <v>2.7993000000000001</v>
      </c>
      <c r="F296" s="2">
        <f t="shared" si="23"/>
        <v>-0.58055598335067238</v>
      </c>
      <c r="G296" s="2">
        <f t="shared" si="24"/>
        <v>0.3370452498042662</v>
      </c>
    </row>
    <row r="297" spans="1:7" x14ac:dyDescent="0.35">
      <c r="A297" s="2">
        <v>2200</v>
      </c>
      <c r="B297" s="2">
        <f t="shared" si="20"/>
        <v>861.64793617759278</v>
      </c>
      <c r="C297" s="2">
        <f t="shared" si="21"/>
        <v>742437.16591910506</v>
      </c>
      <c r="D297" s="2">
        <v>31400</v>
      </c>
      <c r="E297" s="2">
        <f t="shared" si="22"/>
        <v>3.14</v>
      </c>
      <c r="F297" s="2">
        <f t="shared" si="23"/>
        <v>-0.23985598335067237</v>
      </c>
      <c r="G297" s="2">
        <f t="shared" si="24"/>
        <v>5.7530892749118025E-2</v>
      </c>
    </row>
    <row r="298" spans="1:7" x14ac:dyDescent="0.35">
      <c r="A298" s="2">
        <v>2200</v>
      </c>
      <c r="B298" s="2">
        <f t="shared" si="20"/>
        <v>861.64793617759278</v>
      </c>
      <c r="C298" s="2">
        <f t="shared" si="21"/>
        <v>742437.16591910506</v>
      </c>
      <c r="D298" s="2">
        <v>32382</v>
      </c>
      <c r="E298" s="2">
        <f t="shared" si="22"/>
        <v>3.2382</v>
      </c>
      <c r="F298" s="2">
        <f t="shared" si="23"/>
        <v>-0.14165598335067253</v>
      </c>
      <c r="G298" s="2">
        <f t="shared" si="24"/>
        <v>2.0066417619046012E-2</v>
      </c>
    </row>
    <row r="299" spans="1:7" x14ac:dyDescent="0.35">
      <c r="A299" s="2">
        <v>2200</v>
      </c>
      <c r="B299" s="2">
        <f t="shared" si="20"/>
        <v>861.64793617759278</v>
      </c>
      <c r="C299" s="2">
        <f t="shared" si="21"/>
        <v>742437.16591910506</v>
      </c>
      <c r="D299" s="2">
        <v>36893</v>
      </c>
      <c r="E299" s="2">
        <f t="shared" si="22"/>
        <v>3.6892999999999998</v>
      </c>
      <c r="F299" s="2">
        <f t="shared" si="23"/>
        <v>0.3094440166493273</v>
      </c>
      <c r="G299" s="2">
        <f t="shared" si="24"/>
        <v>9.5755599440069158E-2</v>
      </c>
    </row>
    <row r="300" spans="1:7" x14ac:dyDescent="0.35">
      <c r="A300" s="2">
        <v>2200</v>
      </c>
      <c r="B300" s="2">
        <f t="shared" si="20"/>
        <v>861.64793617759278</v>
      </c>
      <c r="C300" s="2">
        <f t="shared" si="21"/>
        <v>742437.16591910506</v>
      </c>
      <c r="D300" s="2">
        <v>36985</v>
      </c>
      <c r="E300" s="2">
        <f t="shared" si="22"/>
        <v>3.6985000000000001</v>
      </c>
      <c r="F300" s="2">
        <f t="shared" si="23"/>
        <v>0.31864401664932762</v>
      </c>
      <c r="G300" s="2">
        <f t="shared" si="24"/>
        <v>0.10153400934641697</v>
      </c>
    </row>
    <row r="301" spans="1:7" x14ac:dyDescent="0.35">
      <c r="A301" s="2">
        <v>2200</v>
      </c>
      <c r="B301" s="2">
        <f t="shared" si="20"/>
        <v>861.64793617759278</v>
      </c>
      <c r="C301" s="2">
        <f t="shared" si="21"/>
        <v>742437.16591910506</v>
      </c>
      <c r="D301" s="2">
        <v>37635</v>
      </c>
      <c r="E301" s="2">
        <f t="shared" si="22"/>
        <v>3.7635000000000001</v>
      </c>
      <c r="F301" s="2">
        <f t="shared" si="23"/>
        <v>0.38364401664932757</v>
      </c>
      <c r="G301" s="2">
        <f t="shared" si="24"/>
        <v>0.14718273151082953</v>
      </c>
    </row>
    <row r="302" spans="1:7" x14ac:dyDescent="0.35">
      <c r="A302" s="2">
        <v>2200</v>
      </c>
      <c r="B302" s="2">
        <f t="shared" si="20"/>
        <v>861.64793617759278</v>
      </c>
      <c r="C302" s="2">
        <f t="shared" si="21"/>
        <v>742437.16591910506</v>
      </c>
      <c r="D302" s="2">
        <v>38061</v>
      </c>
      <c r="E302" s="2">
        <f t="shared" si="22"/>
        <v>3.8060999999999998</v>
      </c>
      <c r="F302" s="2">
        <f t="shared" si="23"/>
        <v>0.42624401664932732</v>
      </c>
      <c r="G302" s="2">
        <f t="shared" si="24"/>
        <v>0.18168396172935203</v>
      </c>
    </row>
    <row r="303" spans="1:7" x14ac:dyDescent="0.35">
      <c r="A303" s="2">
        <v>2200</v>
      </c>
      <c r="B303" s="2">
        <f t="shared" si="20"/>
        <v>861.64793617759278</v>
      </c>
      <c r="C303" s="2">
        <f t="shared" si="21"/>
        <v>742437.16591910506</v>
      </c>
      <c r="D303" s="2">
        <v>39556</v>
      </c>
      <c r="E303" s="2">
        <f t="shared" si="22"/>
        <v>3.9556</v>
      </c>
      <c r="F303" s="2">
        <f t="shared" si="23"/>
        <v>0.57574401664932751</v>
      </c>
      <c r="G303" s="2">
        <f t="shared" si="24"/>
        <v>0.3314811727075011</v>
      </c>
    </row>
    <row r="304" spans="1:7" x14ac:dyDescent="0.35">
      <c r="A304" s="2">
        <v>1761</v>
      </c>
      <c r="B304" s="2">
        <f t="shared" si="20"/>
        <v>422.64793617759278</v>
      </c>
      <c r="C304" s="2">
        <f t="shared" si="21"/>
        <v>178631.27795517855</v>
      </c>
      <c r="D304" s="2">
        <v>18980</v>
      </c>
      <c r="E304" s="2">
        <f t="shared" si="22"/>
        <v>1.8979999999999999</v>
      </c>
      <c r="F304" s="2">
        <f t="shared" si="23"/>
        <v>-1.4818559833506726</v>
      </c>
      <c r="G304" s="2">
        <f t="shared" si="24"/>
        <v>2.1958971553921889</v>
      </c>
    </row>
    <row r="305" spans="1:7" x14ac:dyDescent="0.35">
      <c r="A305" s="2">
        <v>1761</v>
      </c>
      <c r="B305" s="2">
        <f t="shared" si="20"/>
        <v>422.64793617759278</v>
      </c>
      <c r="C305" s="2">
        <f t="shared" si="21"/>
        <v>178631.27795517855</v>
      </c>
      <c r="D305" s="2">
        <v>18610</v>
      </c>
      <c r="E305" s="2">
        <f t="shared" si="22"/>
        <v>1.861</v>
      </c>
      <c r="F305" s="2">
        <f t="shared" si="23"/>
        <v>-1.5188559833506725</v>
      </c>
      <c r="G305" s="2">
        <f t="shared" si="24"/>
        <v>2.3069234981601383</v>
      </c>
    </row>
    <row r="306" spans="1:7" x14ac:dyDescent="0.35">
      <c r="A306" s="2">
        <v>1761</v>
      </c>
      <c r="B306" s="2">
        <f t="shared" si="20"/>
        <v>422.64793617759278</v>
      </c>
      <c r="C306" s="2">
        <f t="shared" si="21"/>
        <v>178631.27795517855</v>
      </c>
      <c r="D306" s="2">
        <v>17375</v>
      </c>
      <c r="E306" s="2">
        <f t="shared" si="22"/>
        <v>1.7375</v>
      </c>
      <c r="F306" s="2">
        <f t="shared" si="23"/>
        <v>-1.6423559833506725</v>
      </c>
      <c r="G306" s="2">
        <f t="shared" si="24"/>
        <v>2.6973331760477541</v>
      </c>
    </row>
    <row r="307" spans="1:7" x14ac:dyDescent="0.35">
      <c r="A307" s="2">
        <v>1761</v>
      </c>
      <c r="B307" s="2">
        <f t="shared" si="20"/>
        <v>422.64793617759278</v>
      </c>
      <c r="C307" s="2">
        <f t="shared" si="21"/>
        <v>178631.27795517855</v>
      </c>
      <c r="D307" s="2">
        <v>20993</v>
      </c>
      <c r="E307" s="2">
        <f t="shared" si="22"/>
        <v>2.0992999999999999</v>
      </c>
      <c r="F307" s="2">
        <f t="shared" si="23"/>
        <v>-1.2805559833506726</v>
      </c>
      <c r="G307" s="2">
        <f t="shared" si="24"/>
        <v>1.639823626495208</v>
      </c>
    </row>
    <row r="308" spans="1:7" x14ac:dyDescent="0.35">
      <c r="A308" s="2">
        <v>1761</v>
      </c>
      <c r="B308" s="2">
        <f t="shared" si="20"/>
        <v>422.64793617759278</v>
      </c>
      <c r="C308" s="2">
        <f t="shared" si="21"/>
        <v>178631.27795517855</v>
      </c>
      <c r="D308" s="2">
        <v>18803</v>
      </c>
      <c r="E308" s="2">
        <f t="shared" si="22"/>
        <v>1.8803000000000001</v>
      </c>
      <c r="F308" s="2">
        <f t="shared" si="23"/>
        <v>-1.4995559833506724</v>
      </c>
      <c r="G308" s="2">
        <f t="shared" si="24"/>
        <v>2.2486681472028023</v>
      </c>
    </row>
    <row r="309" spans="1:7" x14ac:dyDescent="0.35">
      <c r="A309" s="2">
        <v>1761</v>
      </c>
      <c r="B309" s="2">
        <f t="shared" si="20"/>
        <v>422.64793617759278</v>
      </c>
      <c r="C309" s="2">
        <f t="shared" si="21"/>
        <v>178631.27795517855</v>
      </c>
      <c r="D309" s="2">
        <v>23020</v>
      </c>
      <c r="E309" s="2">
        <f t="shared" si="22"/>
        <v>2.302</v>
      </c>
      <c r="F309" s="2">
        <f t="shared" si="23"/>
        <v>-1.0778559833506725</v>
      </c>
      <c r="G309" s="2">
        <f t="shared" si="24"/>
        <v>1.1617735208448452</v>
      </c>
    </row>
    <row r="310" spans="1:7" x14ac:dyDescent="0.35">
      <c r="A310" s="2">
        <v>1761</v>
      </c>
      <c r="B310" s="2">
        <f t="shared" si="20"/>
        <v>422.64793617759278</v>
      </c>
      <c r="C310" s="2">
        <f t="shared" si="21"/>
        <v>178631.27795517855</v>
      </c>
      <c r="D310" s="2">
        <v>21349</v>
      </c>
      <c r="E310" s="2">
        <f t="shared" si="22"/>
        <v>2.1349</v>
      </c>
      <c r="F310" s="2">
        <f t="shared" si="23"/>
        <v>-1.2449559833506725</v>
      </c>
      <c r="G310" s="2">
        <f t="shared" si="24"/>
        <v>1.5499154004806399</v>
      </c>
    </row>
    <row r="311" spans="1:7" x14ac:dyDescent="0.35">
      <c r="A311" s="2">
        <v>1761</v>
      </c>
      <c r="B311" s="2">
        <f t="shared" si="20"/>
        <v>422.64793617759278</v>
      </c>
      <c r="C311" s="2">
        <f t="shared" si="21"/>
        <v>178631.27795517855</v>
      </c>
      <c r="D311" s="2">
        <v>22912</v>
      </c>
      <c r="E311" s="2">
        <f t="shared" si="22"/>
        <v>2.2911999999999999</v>
      </c>
      <c r="F311" s="2">
        <f t="shared" si="23"/>
        <v>-1.0886559833506726</v>
      </c>
      <c r="G311" s="2">
        <f t="shared" si="24"/>
        <v>1.18517185008522</v>
      </c>
    </row>
    <row r="312" spans="1:7" x14ac:dyDescent="0.35">
      <c r="A312" s="2">
        <v>1761</v>
      </c>
      <c r="B312" s="2">
        <f t="shared" si="20"/>
        <v>422.64793617759278</v>
      </c>
      <c r="C312" s="2">
        <f t="shared" si="21"/>
        <v>178631.27795517855</v>
      </c>
      <c r="D312" s="2">
        <v>23876</v>
      </c>
      <c r="E312" s="2">
        <f t="shared" si="22"/>
        <v>2.3875999999999999</v>
      </c>
      <c r="F312" s="2">
        <f t="shared" si="23"/>
        <v>-0.99225598335067255</v>
      </c>
      <c r="G312" s="2">
        <f t="shared" si="24"/>
        <v>0.98457193649521013</v>
      </c>
    </row>
    <row r="313" spans="1:7" x14ac:dyDescent="0.35">
      <c r="A313" s="2">
        <v>1761</v>
      </c>
      <c r="B313" s="2">
        <f t="shared" si="20"/>
        <v>422.64793617759278</v>
      </c>
      <c r="C313" s="2">
        <f t="shared" si="21"/>
        <v>178631.27795517855</v>
      </c>
      <c r="D313" s="2">
        <v>25668</v>
      </c>
      <c r="E313" s="2">
        <f t="shared" si="22"/>
        <v>2.5668000000000002</v>
      </c>
      <c r="F313" s="2">
        <f t="shared" si="23"/>
        <v>-0.81305598335067231</v>
      </c>
      <c r="G313" s="2">
        <f t="shared" si="24"/>
        <v>0.66106003206232877</v>
      </c>
    </row>
    <row r="314" spans="1:7" x14ac:dyDescent="0.35">
      <c r="A314" s="2">
        <v>1761</v>
      </c>
      <c r="B314" s="2">
        <f t="shared" si="20"/>
        <v>422.64793617759278</v>
      </c>
      <c r="C314" s="2">
        <f t="shared" si="21"/>
        <v>178631.27795517855</v>
      </c>
      <c r="D314" s="2">
        <v>26578</v>
      </c>
      <c r="E314" s="2">
        <f t="shared" si="22"/>
        <v>2.6577999999999999</v>
      </c>
      <c r="F314" s="2">
        <f t="shared" si="23"/>
        <v>-0.72205598335067256</v>
      </c>
      <c r="G314" s="2">
        <f t="shared" si="24"/>
        <v>0.52136484309250675</v>
      </c>
    </row>
    <row r="315" spans="1:7" x14ac:dyDescent="0.35">
      <c r="A315" s="2">
        <v>1761</v>
      </c>
      <c r="B315" s="2">
        <f t="shared" si="20"/>
        <v>422.64793617759278</v>
      </c>
      <c r="C315" s="2">
        <f t="shared" si="21"/>
        <v>178631.27795517855</v>
      </c>
      <c r="D315" s="2">
        <v>27310</v>
      </c>
      <c r="E315" s="2">
        <f t="shared" si="22"/>
        <v>2.7309999999999999</v>
      </c>
      <c r="F315" s="2">
        <f t="shared" si="23"/>
        <v>-0.64885598335067263</v>
      </c>
      <c r="G315" s="2">
        <f t="shared" si="24"/>
        <v>0.42101408712996835</v>
      </c>
    </row>
    <row r="316" spans="1:7" x14ac:dyDescent="0.35">
      <c r="A316" s="2">
        <v>1761</v>
      </c>
      <c r="B316" s="2">
        <f t="shared" si="20"/>
        <v>422.64793617759278</v>
      </c>
      <c r="C316" s="2">
        <f t="shared" si="21"/>
        <v>178631.27795517855</v>
      </c>
      <c r="D316" s="2">
        <v>25198</v>
      </c>
      <c r="E316" s="2">
        <f t="shared" si="22"/>
        <v>2.5198</v>
      </c>
      <c r="F316" s="2">
        <f t="shared" si="23"/>
        <v>-0.86005598335067246</v>
      </c>
      <c r="G316" s="2">
        <f t="shared" si="24"/>
        <v>0.73969629449729213</v>
      </c>
    </row>
    <row r="317" spans="1:7" x14ac:dyDescent="0.35">
      <c r="A317" s="2">
        <v>1761</v>
      </c>
      <c r="B317" s="2">
        <f t="shared" si="20"/>
        <v>422.64793617759278</v>
      </c>
      <c r="C317" s="2">
        <f t="shared" si="21"/>
        <v>178631.27795517855</v>
      </c>
      <c r="D317" s="2">
        <v>30708</v>
      </c>
      <c r="E317" s="2">
        <f t="shared" si="22"/>
        <v>3.0708000000000002</v>
      </c>
      <c r="F317" s="2">
        <f t="shared" si="23"/>
        <v>-0.3090559833506723</v>
      </c>
      <c r="G317" s="2">
        <f t="shared" si="24"/>
        <v>9.5515600844851042E-2</v>
      </c>
    </row>
    <row r="318" spans="1:7" x14ac:dyDescent="0.35">
      <c r="A318" s="2">
        <v>1761</v>
      </c>
      <c r="B318" s="2">
        <f t="shared" si="20"/>
        <v>422.64793617759278</v>
      </c>
      <c r="C318" s="2">
        <f t="shared" si="21"/>
        <v>178631.27795517855</v>
      </c>
      <c r="D318" s="2">
        <v>30382</v>
      </c>
      <c r="E318" s="2">
        <f t="shared" si="22"/>
        <v>3.0381999999999998</v>
      </c>
      <c r="F318" s="2">
        <f t="shared" si="23"/>
        <v>-0.34165598335067271</v>
      </c>
      <c r="G318" s="2">
        <f t="shared" si="24"/>
        <v>0.11672881095931514</v>
      </c>
    </row>
    <row r="319" spans="1:7" x14ac:dyDescent="0.35">
      <c r="A319" s="2">
        <v>1761</v>
      </c>
      <c r="B319" s="2">
        <f t="shared" si="20"/>
        <v>422.64793617759278</v>
      </c>
      <c r="C319" s="2">
        <f t="shared" si="21"/>
        <v>178631.27795517855</v>
      </c>
      <c r="D319" s="2">
        <v>32405</v>
      </c>
      <c r="E319" s="2">
        <f t="shared" si="22"/>
        <v>3.2404999999999999</v>
      </c>
      <c r="F319" s="2">
        <f t="shared" si="23"/>
        <v>-0.13935598335067256</v>
      </c>
      <c r="G319" s="2">
        <f t="shared" si="24"/>
        <v>1.942009009563293E-2</v>
      </c>
    </row>
    <row r="320" spans="1:7" x14ac:dyDescent="0.35">
      <c r="A320" s="2">
        <v>1761</v>
      </c>
      <c r="B320" s="2">
        <f t="shared" si="20"/>
        <v>422.64793617759278</v>
      </c>
      <c r="C320" s="2">
        <f t="shared" si="21"/>
        <v>178631.27795517855</v>
      </c>
      <c r="D320" s="2">
        <v>33246</v>
      </c>
      <c r="E320" s="2">
        <f t="shared" si="22"/>
        <v>3.3246000000000002</v>
      </c>
      <c r="F320" s="2">
        <f t="shared" si="23"/>
        <v>-5.5255983350672278E-2</v>
      </c>
      <c r="G320" s="2">
        <f t="shared" si="24"/>
        <v>3.0532236960497719E-3</v>
      </c>
    </row>
    <row r="321" spans="1:7" x14ac:dyDescent="0.35">
      <c r="A321" s="2">
        <v>1761</v>
      </c>
      <c r="B321" s="2">
        <f t="shared" si="20"/>
        <v>422.64793617759278</v>
      </c>
      <c r="C321" s="2">
        <f t="shared" si="21"/>
        <v>178631.27795517855</v>
      </c>
      <c r="D321" s="2">
        <v>35565</v>
      </c>
      <c r="E321" s="2">
        <f t="shared" si="22"/>
        <v>3.5565000000000002</v>
      </c>
      <c r="F321" s="2">
        <f t="shared" si="23"/>
        <v>0.17664401664932772</v>
      </c>
      <c r="G321" s="2">
        <f t="shared" si="24"/>
        <v>3.1203108618007968E-2</v>
      </c>
    </row>
    <row r="322" spans="1:7" x14ac:dyDescent="0.35">
      <c r="A322" s="2">
        <v>1761</v>
      </c>
      <c r="B322" s="2">
        <f t="shared" si="20"/>
        <v>422.64793617759278</v>
      </c>
      <c r="C322" s="2">
        <f t="shared" si="21"/>
        <v>178631.27795517855</v>
      </c>
      <c r="D322" s="2">
        <v>33691</v>
      </c>
      <c r="E322" s="2">
        <f t="shared" si="22"/>
        <v>3.3691</v>
      </c>
      <c r="F322" s="2">
        <f t="shared" si="23"/>
        <v>-1.0755983350672516E-2</v>
      </c>
      <c r="G322" s="2">
        <f t="shared" si="24"/>
        <v>1.1569117783994435E-4</v>
      </c>
    </row>
    <row r="323" spans="1:7" x14ac:dyDescent="0.35">
      <c r="A323" s="2">
        <v>1761</v>
      </c>
      <c r="B323" s="2">
        <f t="shared" ref="B323:B386" si="25">A323-$J$1</f>
        <v>422.64793617759278</v>
      </c>
      <c r="C323" s="2">
        <f t="shared" ref="C323:C386" si="26">B323^2</f>
        <v>178631.27795517855</v>
      </c>
      <c r="D323" s="2">
        <v>38798</v>
      </c>
      <c r="E323" s="2">
        <f t="shared" ref="E323:E386" si="27">D323/10000</f>
        <v>3.8797999999999999</v>
      </c>
      <c r="F323" s="2">
        <f t="shared" ref="F323:F386" si="28">E323-$J$2</f>
        <v>0.49994401664932742</v>
      </c>
      <c r="G323" s="2">
        <f t="shared" ref="G323:G386" si="29">F323^2</f>
        <v>0.24994401978346298</v>
      </c>
    </row>
    <row r="324" spans="1:7" x14ac:dyDescent="0.35">
      <c r="A324" s="2">
        <v>1761</v>
      </c>
      <c r="B324" s="2">
        <f t="shared" si="25"/>
        <v>422.64793617759278</v>
      </c>
      <c r="C324" s="2">
        <f t="shared" si="26"/>
        <v>178631.27795517855</v>
      </c>
      <c r="D324" s="2">
        <v>38260</v>
      </c>
      <c r="E324" s="2">
        <f t="shared" si="27"/>
        <v>3.8260000000000001</v>
      </c>
      <c r="F324" s="2">
        <f t="shared" si="28"/>
        <v>0.44614401664932757</v>
      </c>
      <c r="G324" s="2">
        <f t="shared" si="29"/>
        <v>0.19904448359199547</v>
      </c>
    </row>
    <row r="325" spans="1:7" x14ac:dyDescent="0.35">
      <c r="A325" s="2">
        <v>1761</v>
      </c>
      <c r="B325" s="2">
        <f t="shared" si="25"/>
        <v>422.64793617759278</v>
      </c>
      <c r="C325" s="2">
        <f t="shared" si="26"/>
        <v>178631.27795517855</v>
      </c>
      <c r="D325" s="2">
        <v>42311</v>
      </c>
      <c r="E325" s="2">
        <f t="shared" si="27"/>
        <v>4.2310999999999996</v>
      </c>
      <c r="F325" s="2">
        <f t="shared" si="28"/>
        <v>0.85124401664932714</v>
      </c>
      <c r="G325" s="2">
        <f t="shared" si="29"/>
        <v>0.72461637588127992</v>
      </c>
    </row>
    <row r="326" spans="1:7" x14ac:dyDescent="0.35">
      <c r="A326" s="2">
        <v>1761</v>
      </c>
      <c r="B326" s="2">
        <f t="shared" si="25"/>
        <v>422.64793617759278</v>
      </c>
      <c r="C326" s="2">
        <f t="shared" si="26"/>
        <v>178631.27795517855</v>
      </c>
      <c r="D326" s="2">
        <v>44049</v>
      </c>
      <c r="E326" s="2">
        <f t="shared" si="27"/>
        <v>4.4048999999999996</v>
      </c>
      <c r="F326" s="2">
        <f t="shared" si="28"/>
        <v>1.0250440166493271</v>
      </c>
      <c r="G326" s="2">
        <f t="shared" si="29"/>
        <v>1.0507152360685859</v>
      </c>
    </row>
    <row r="327" spans="1:7" x14ac:dyDescent="0.35">
      <c r="A327" s="2">
        <v>1761</v>
      </c>
      <c r="B327" s="2">
        <f t="shared" si="25"/>
        <v>422.64793617759278</v>
      </c>
      <c r="C327" s="2">
        <f t="shared" si="26"/>
        <v>178631.27795517855</v>
      </c>
      <c r="D327" s="2">
        <v>41271</v>
      </c>
      <c r="E327" s="2">
        <f t="shared" si="27"/>
        <v>4.1271000000000004</v>
      </c>
      <c r="F327" s="2">
        <f t="shared" si="28"/>
        <v>0.74724401664932794</v>
      </c>
      <c r="G327" s="2">
        <f t="shared" si="29"/>
        <v>0.55837362041822114</v>
      </c>
    </row>
    <row r="328" spans="1:7" x14ac:dyDescent="0.35">
      <c r="A328" s="2">
        <v>1761</v>
      </c>
      <c r="B328" s="2">
        <f t="shared" si="25"/>
        <v>422.64793617759278</v>
      </c>
      <c r="C328" s="2">
        <f t="shared" si="26"/>
        <v>178631.27795517855</v>
      </c>
      <c r="D328" s="2">
        <v>48956</v>
      </c>
      <c r="E328" s="2">
        <f t="shared" si="27"/>
        <v>4.8956</v>
      </c>
      <c r="F328" s="2">
        <f t="shared" si="28"/>
        <v>1.5157440166493275</v>
      </c>
      <c r="G328" s="2">
        <f t="shared" si="29"/>
        <v>2.2974799240082366</v>
      </c>
    </row>
    <row r="329" spans="1:7" x14ac:dyDescent="0.35">
      <c r="A329" s="2">
        <v>1761</v>
      </c>
      <c r="B329" s="2">
        <f t="shared" si="25"/>
        <v>422.64793617759278</v>
      </c>
      <c r="C329" s="2">
        <f t="shared" si="26"/>
        <v>178631.27795517855</v>
      </c>
      <c r="D329" s="2">
        <v>47860</v>
      </c>
      <c r="E329" s="2">
        <f t="shared" si="27"/>
        <v>4.7859999999999996</v>
      </c>
      <c r="F329" s="2">
        <f t="shared" si="28"/>
        <v>1.4061440166493271</v>
      </c>
      <c r="G329" s="2">
        <f t="shared" si="29"/>
        <v>1.9772409955587031</v>
      </c>
    </row>
    <row r="330" spans="1:7" x14ac:dyDescent="0.35">
      <c r="A330" s="2">
        <v>1761</v>
      </c>
      <c r="B330" s="2">
        <f t="shared" si="25"/>
        <v>422.64793617759278</v>
      </c>
      <c r="C330" s="2">
        <f t="shared" si="26"/>
        <v>178631.27795517855</v>
      </c>
      <c r="D330" s="2">
        <v>50071</v>
      </c>
      <c r="E330" s="2">
        <f t="shared" si="27"/>
        <v>5.0071000000000003</v>
      </c>
      <c r="F330" s="2">
        <f t="shared" si="28"/>
        <v>1.6272440166493278</v>
      </c>
      <c r="G330" s="2">
        <f t="shared" si="29"/>
        <v>2.6479230897210377</v>
      </c>
    </row>
    <row r="331" spans="1:7" x14ac:dyDescent="0.35">
      <c r="A331" s="2">
        <v>1761</v>
      </c>
      <c r="B331" s="2">
        <f t="shared" si="25"/>
        <v>422.64793617759278</v>
      </c>
      <c r="C331" s="2">
        <f t="shared" si="26"/>
        <v>178631.27795517855</v>
      </c>
      <c r="D331" s="2">
        <v>52013</v>
      </c>
      <c r="E331" s="2">
        <f t="shared" si="27"/>
        <v>5.2012999999999998</v>
      </c>
      <c r="F331" s="2">
        <f t="shared" si="28"/>
        <v>1.8214440166493273</v>
      </c>
      <c r="G331" s="2">
        <f t="shared" si="29"/>
        <v>3.317658305787635</v>
      </c>
    </row>
    <row r="332" spans="1:7" x14ac:dyDescent="0.35">
      <c r="A332" s="2">
        <v>1761</v>
      </c>
      <c r="B332" s="2">
        <f t="shared" si="25"/>
        <v>422.64793617759278</v>
      </c>
      <c r="C332" s="2">
        <f t="shared" si="26"/>
        <v>178631.27795517855</v>
      </c>
      <c r="D332" s="2">
        <v>57525</v>
      </c>
      <c r="E332" s="2">
        <f t="shared" si="27"/>
        <v>5.7525000000000004</v>
      </c>
      <c r="F332" s="2">
        <f t="shared" si="28"/>
        <v>2.3726440166493279</v>
      </c>
      <c r="G332" s="2">
        <f t="shared" si="29"/>
        <v>5.6294396297418565</v>
      </c>
    </row>
    <row r="333" spans="1:7" x14ac:dyDescent="0.35">
      <c r="A333" s="2">
        <v>1761</v>
      </c>
      <c r="B333" s="2">
        <f t="shared" si="25"/>
        <v>422.64793617759278</v>
      </c>
      <c r="C333" s="2">
        <f t="shared" si="26"/>
        <v>178631.27795517855</v>
      </c>
      <c r="D333" s="2">
        <v>54643</v>
      </c>
      <c r="E333" s="2">
        <f t="shared" si="27"/>
        <v>5.4642999999999997</v>
      </c>
      <c r="F333" s="2">
        <f t="shared" si="28"/>
        <v>2.0844440166493272</v>
      </c>
      <c r="G333" s="2">
        <f t="shared" si="29"/>
        <v>4.3449068585451807</v>
      </c>
    </row>
    <row r="334" spans="1:7" x14ac:dyDescent="0.35">
      <c r="A334" s="2">
        <v>2722</v>
      </c>
      <c r="B334" s="2">
        <f t="shared" si="25"/>
        <v>1383.6479361775928</v>
      </c>
      <c r="C334" s="2">
        <f t="shared" si="26"/>
        <v>1914481.6112885119</v>
      </c>
      <c r="D334" s="2">
        <v>12394</v>
      </c>
      <c r="E334" s="2">
        <f t="shared" si="27"/>
        <v>1.2394000000000001</v>
      </c>
      <c r="F334" s="2">
        <f t="shared" si="28"/>
        <v>-2.1404559833506722</v>
      </c>
      <c r="G334" s="2">
        <f t="shared" si="29"/>
        <v>4.5815518166616931</v>
      </c>
    </row>
    <row r="335" spans="1:7" x14ac:dyDescent="0.35">
      <c r="A335" s="2">
        <v>2722</v>
      </c>
      <c r="B335" s="2">
        <f t="shared" si="25"/>
        <v>1383.6479361775928</v>
      </c>
      <c r="C335" s="2">
        <f t="shared" si="26"/>
        <v>1914481.6112885119</v>
      </c>
      <c r="D335" s="2">
        <v>21359</v>
      </c>
      <c r="E335" s="2">
        <f t="shared" si="27"/>
        <v>2.1358999999999999</v>
      </c>
      <c r="F335" s="2">
        <f t="shared" si="28"/>
        <v>-1.2439559833506726</v>
      </c>
      <c r="G335" s="2">
        <f t="shared" si="29"/>
        <v>1.5474264885139388</v>
      </c>
    </row>
    <row r="336" spans="1:7" x14ac:dyDescent="0.35">
      <c r="A336" s="2">
        <v>2722</v>
      </c>
      <c r="B336" s="2">
        <f t="shared" si="25"/>
        <v>1383.6479361775928</v>
      </c>
      <c r="C336" s="2">
        <f t="shared" si="26"/>
        <v>1914481.6112885119</v>
      </c>
      <c r="D336" s="2">
        <v>10630</v>
      </c>
      <c r="E336" s="2">
        <f t="shared" si="27"/>
        <v>1.0629999999999999</v>
      </c>
      <c r="F336" s="2">
        <f t="shared" si="28"/>
        <v>-2.3168559833506723</v>
      </c>
      <c r="G336" s="2">
        <f t="shared" si="29"/>
        <v>5.3678216475878111</v>
      </c>
    </row>
    <row r="337" spans="1:7" x14ac:dyDescent="0.35">
      <c r="A337" s="2">
        <v>2722</v>
      </c>
      <c r="B337" s="2">
        <f t="shared" si="25"/>
        <v>1383.6479361775928</v>
      </c>
      <c r="C337" s="2">
        <f t="shared" si="26"/>
        <v>1914481.6112885119</v>
      </c>
      <c r="D337" s="2">
        <v>22286</v>
      </c>
      <c r="E337" s="2">
        <f t="shared" si="27"/>
        <v>2.2286000000000001</v>
      </c>
      <c r="F337" s="2">
        <f t="shared" si="28"/>
        <v>-1.1512559833506724</v>
      </c>
      <c r="G337" s="2">
        <f t="shared" si="29"/>
        <v>1.3253903392007236</v>
      </c>
    </row>
    <row r="338" spans="1:7" x14ac:dyDescent="0.35">
      <c r="A338" s="2">
        <v>2722</v>
      </c>
      <c r="B338" s="2">
        <f t="shared" si="25"/>
        <v>1383.6479361775928</v>
      </c>
      <c r="C338" s="2">
        <f t="shared" si="26"/>
        <v>1914481.6112885119</v>
      </c>
      <c r="D338" s="2">
        <v>15500</v>
      </c>
      <c r="E338" s="2">
        <f t="shared" si="27"/>
        <v>1.55</v>
      </c>
      <c r="F338" s="2">
        <f t="shared" si="28"/>
        <v>-1.8298559833506725</v>
      </c>
      <c r="G338" s="2">
        <f t="shared" si="29"/>
        <v>3.3483729198042567</v>
      </c>
    </row>
    <row r="339" spans="1:7" x14ac:dyDescent="0.35">
      <c r="A339" s="2">
        <v>2722</v>
      </c>
      <c r="B339" s="2">
        <f t="shared" si="25"/>
        <v>1383.6479361775928</v>
      </c>
      <c r="C339" s="2">
        <f t="shared" si="26"/>
        <v>1914481.6112885119</v>
      </c>
      <c r="D339" s="2">
        <v>16000</v>
      </c>
      <c r="E339" s="2">
        <f t="shared" si="27"/>
        <v>1.6</v>
      </c>
      <c r="F339" s="2">
        <f t="shared" si="28"/>
        <v>-1.7798559833506724</v>
      </c>
      <c r="G339" s="2">
        <f t="shared" si="29"/>
        <v>3.1678873214691889</v>
      </c>
    </row>
    <row r="340" spans="1:7" x14ac:dyDescent="0.35">
      <c r="A340" s="2">
        <v>2722</v>
      </c>
      <c r="B340" s="2">
        <f t="shared" si="25"/>
        <v>1383.6479361775928</v>
      </c>
      <c r="C340" s="2">
        <f t="shared" si="26"/>
        <v>1914481.6112885119</v>
      </c>
      <c r="D340" s="2">
        <v>12333</v>
      </c>
      <c r="E340" s="2">
        <f t="shared" si="27"/>
        <v>1.2333000000000001</v>
      </c>
      <c r="F340" s="2">
        <f t="shared" si="28"/>
        <v>-2.1465559833506722</v>
      </c>
      <c r="G340" s="2">
        <f t="shared" si="29"/>
        <v>4.6077025896585715</v>
      </c>
    </row>
    <row r="341" spans="1:7" x14ac:dyDescent="0.35">
      <c r="A341" s="2">
        <v>2722</v>
      </c>
      <c r="B341" s="2">
        <f t="shared" si="25"/>
        <v>1383.6479361775928</v>
      </c>
      <c r="C341" s="2">
        <f t="shared" si="26"/>
        <v>1914481.6112885119</v>
      </c>
      <c r="D341" s="2">
        <v>22571</v>
      </c>
      <c r="E341" s="2">
        <f t="shared" si="27"/>
        <v>2.2570999999999999</v>
      </c>
      <c r="F341" s="2">
        <f t="shared" si="28"/>
        <v>-1.1227559833506726</v>
      </c>
      <c r="G341" s="2">
        <f t="shared" si="29"/>
        <v>1.2605809981497358</v>
      </c>
    </row>
    <row r="342" spans="1:7" x14ac:dyDescent="0.35">
      <c r="A342" s="2">
        <v>2722</v>
      </c>
      <c r="B342" s="2">
        <f t="shared" si="25"/>
        <v>1383.6479361775928</v>
      </c>
      <c r="C342" s="2">
        <f t="shared" si="26"/>
        <v>1914481.6112885119</v>
      </c>
      <c r="D342" s="2">
        <v>16702</v>
      </c>
      <c r="E342" s="2">
        <f t="shared" si="27"/>
        <v>1.6701999999999999</v>
      </c>
      <c r="F342" s="2">
        <f t="shared" si="28"/>
        <v>-1.7096559833506726</v>
      </c>
      <c r="G342" s="2">
        <f t="shared" si="29"/>
        <v>2.9229235814067551</v>
      </c>
    </row>
    <row r="343" spans="1:7" x14ac:dyDescent="0.35">
      <c r="A343" s="2">
        <v>2722</v>
      </c>
      <c r="B343" s="2">
        <f t="shared" si="25"/>
        <v>1383.6479361775928</v>
      </c>
      <c r="C343" s="2">
        <f t="shared" si="26"/>
        <v>1914481.6112885119</v>
      </c>
      <c r="D343" s="2">
        <v>16387</v>
      </c>
      <c r="E343" s="2">
        <f t="shared" si="27"/>
        <v>1.6387</v>
      </c>
      <c r="F343" s="2">
        <f t="shared" si="28"/>
        <v>-1.7411559833506725</v>
      </c>
      <c r="G343" s="2">
        <f t="shared" si="29"/>
        <v>3.0316241583578472</v>
      </c>
    </row>
    <row r="344" spans="1:7" x14ac:dyDescent="0.35">
      <c r="A344" s="2">
        <v>2722</v>
      </c>
      <c r="B344" s="2">
        <f t="shared" si="25"/>
        <v>1383.6479361775928</v>
      </c>
      <c r="C344" s="2">
        <f t="shared" si="26"/>
        <v>1914481.6112885119</v>
      </c>
      <c r="D344" s="2">
        <v>16519</v>
      </c>
      <c r="E344" s="2">
        <f t="shared" si="27"/>
        <v>1.6518999999999999</v>
      </c>
      <c r="F344" s="2">
        <f t="shared" si="28"/>
        <v>-1.7279559833506726</v>
      </c>
      <c r="G344" s="2">
        <f t="shared" si="29"/>
        <v>2.9858318803973898</v>
      </c>
    </row>
    <row r="345" spans="1:7" x14ac:dyDescent="0.35">
      <c r="A345" s="2">
        <v>2722</v>
      </c>
      <c r="B345" s="2">
        <f t="shared" si="25"/>
        <v>1383.6479361775928</v>
      </c>
      <c r="C345" s="2">
        <f t="shared" si="26"/>
        <v>1914481.6112885119</v>
      </c>
      <c r="D345" s="2">
        <v>13097</v>
      </c>
      <c r="E345" s="2">
        <f t="shared" si="27"/>
        <v>1.3097000000000001</v>
      </c>
      <c r="F345" s="2">
        <f t="shared" si="28"/>
        <v>-2.0701559833506726</v>
      </c>
      <c r="G345" s="2">
        <f t="shared" si="29"/>
        <v>4.28554579540259</v>
      </c>
    </row>
    <row r="346" spans="1:7" x14ac:dyDescent="0.35">
      <c r="A346" s="2">
        <v>2722</v>
      </c>
      <c r="B346" s="2">
        <f t="shared" si="25"/>
        <v>1383.6479361775928</v>
      </c>
      <c r="C346" s="2">
        <f t="shared" si="26"/>
        <v>1914481.6112885119</v>
      </c>
      <c r="D346" s="2">
        <v>10944</v>
      </c>
      <c r="E346" s="2">
        <f t="shared" si="27"/>
        <v>1.0944</v>
      </c>
      <c r="F346" s="2">
        <f t="shared" si="28"/>
        <v>-2.2854559833506727</v>
      </c>
      <c r="G346" s="2">
        <f t="shared" si="29"/>
        <v>5.2233090518333904</v>
      </c>
    </row>
    <row r="347" spans="1:7" x14ac:dyDescent="0.35">
      <c r="A347" s="2">
        <v>2722</v>
      </c>
      <c r="B347" s="2">
        <f t="shared" si="25"/>
        <v>1383.6479361775928</v>
      </c>
      <c r="C347" s="2">
        <f t="shared" si="26"/>
        <v>1914481.6112885119</v>
      </c>
      <c r="D347" s="2">
        <v>5263</v>
      </c>
      <c r="E347" s="2">
        <f t="shared" si="27"/>
        <v>0.52629999999999999</v>
      </c>
      <c r="F347" s="2">
        <f t="shared" si="28"/>
        <v>-2.8535559833506725</v>
      </c>
      <c r="G347" s="2">
        <f t="shared" si="29"/>
        <v>8.1427817501164235</v>
      </c>
    </row>
    <row r="348" spans="1:7" x14ac:dyDescent="0.35">
      <c r="A348" s="2">
        <v>2722</v>
      </c>
      <c r="B348" s="2">
        <f t="shared" si="25"/>
        <v>1383.6479361775928</v>
      </c>
      <c r="C348" s="2">
        <f t="shared" si="26"/>
        <v>1914481.6112885119</v>
      </c>
      <c r="D348" s="2">
        <v>6500</v>
      </c>
      <c r="E348" s="2">
        <f t="shared" si="27"/>
        <v>0.65</v>
      </c>
      <c r="F348" s="2">
        <f t="shared" si="28"/>
        <v>-2.7298559833506726</v>
      </c>
      <c r="G348" s="2">
        <f t="shared" si="29"/>
        <v>7.4521136898354676</v>
      </c>
    </row>
    <row r="349" spans="1:7" x14ac:dyDescent="0.35">
      <c r="A349" s="2">
        <v>2722</v>
      </c>
      <c r="B349" s="2">
        <f t="shared" si="25"/>
        <v>1383.6479361775928</v>
      </c>
      <c r="C349" s="2">
        <f t="shared" si="26"/>
        <v>1914481.6112885119</v>
      </c>
      <c r="D349" s="2">
        <v>7292</v>
      </c>
      <c r="E349" s="2">
        <f t="shared" si="27"/>
        <v>0.72919999999999996</v>
      </c>
      <c r="F349" s="2">
        <f t="shared" si="28"/>
        <v>-2.6506559833506724</v>
      </c>
      <c r="G349" s="2">
        <f t="shared" si="29"/>
        <v>7.0259771420727199</v>
      </c>
    </row>
    <row r="350" spans="1:7" x14ac:dyDescent="0.35">
      <c r="A350" s="2">
        <v>2722</v>
      </c>
      <c r="B350" s="2">
        <f t="shared" si="25"/>
        <v>1383.6479361775928</v>
      </c>
      <c r="C350" s="2">
        <f t="shared" si="26"/>
        <v>1914481.6112885119</v>
      </c>
      <c r="D350" s="2">
        <v>7294</v>
      </c>
      <c r="E350" s="2">
        <f t="shared" si="27"/>
        <v>0.72940000000000005</v>
      </c>
      <c r="F350" s="2">
        <f t="shared" si="28"/>
        <v>-2.6504559833506725</v>
      </c>
      <c r="G350" s="2">
        <f t="shared" si="29"/>
        <v>7.0249169196793799</v>
      </c>
    </row>
    <row r="351" spans="1:7" x14ac:dyDescent="0.35">
      <c r="A351" s="2">
        <v>2722</v>
      </c>
      <c r="B351" s="2">
        <f t="shared" si="25"/>
        <v>1383.6479361775928</v>
      </c>
      <c r="C351" s="2">
        <f t="shared" si="26"/>
        <v>1914481.6112885119</v>
      </c>
      <c r="D351" s="2">
        <v>8190</v>
      </c>
      <c r="E351" s="2">
        <f t="shared" si="27"/>
        <v>0.81899999999999995</v>
      </c>
      <c r="F351" s="2">
        <f t="shared" si="28"/>
        <v>-2.5608559833506725</v>
      </c>
      <c r="G351" s="2">
        <f t="shared" si="29"/>
        <v>6.5579833674629402</v>
      </c>
    </row>
    <row r="352" spans="1:7" x14ac:dyDescent="0.35">
      <c r="A352" s="2">
        <v>2722</v>
      </c>
      <c r="B352" s="2">
        <f t="shared" si="25"/>
        <v>1383.6479361775928</v>
      </c>
      <c r="C352" s="2">
        <f t="shared" si="26"/>
        <v>1914481.6112885119</v>
      </c>
      <c r="D352" s="2">
        <v>8728</v>
      </c>
      <c r="E352" s="2">
        <f t="shared" si="27"/>
        <v>0.87280000000000002</v>
      </c>
      <c r="F352" s="2">
        <f t="shared" si="28"/>
        <v>-2.5070559833506723</v>
      </c>
      <c r="G352" s="2">
        <f t="shared" si="29"/>
        <v>6.2853297036544067</v>
      </c>
    </row>
    <row r="353" spans="1:7" x14ac:dyDescent="0.35">
      <c r="A353" s="2">
        <v>2722</v>
      </c>
      <c r="B353" s="2">
        <f t="shared" si="25"/>
        <v>1383.6479361775928</v>
      </c>
      <c r="C353" s="2">
        <f t="shared" si="26"/>
        <v>1914481.6112885119</v>
      </c>
      <c r="D353" s="2">
        <v>8091</v>
      </c>
      <c r="E353" s="2">
        <f t="shared" si="27"/>
        <v>0.80910000000000004</v>
      </c>
      <c r="F353" s="2">
        <f t="shared" si="28"/>
        <v>-2.5707559833506726</v>
      </c>
      <c r="G353" s="2">
        <f t="shared" si="29"/>
        <v>6.6087863259332833</v>
      </c>
    </row>
    <row r="354" spans="1:7" x14ac:dyDescent="0.35">
      <c r="A354" s="2">
        <v>2722</v>
      </c>
      <c r="B354" s="2">
        <f t="shared" si="25"/>
        <v>1383.6479361775928</v>
      </c>
      <c r="C354" s="2">
        <f t="shared" si="26"/>
        <v>1914481.6112885119</v>
      </c>
      <c r="D354" s="2">
        <v>7255</v>
      </c>
      <c r="E354" s="2">
        <f t="shared" si="27"/>
        <v>0.72550000000000003</v>
      </c>
      <c r="F354" s="2">
        <f t="shared" si="28"/>
        <v>-2.6543559833506727</v>
      </c>
      <c r="G354" s="2">
        <f t="shared" si="29"/>
        <v>7.0456056863495169</v>
      </c>
    </row>
    <row r="355" spans="1:7" x14ac:dyDescent="0.35">
      <c r="A355" s="2">
        <v>2722</v>
      </c>
      <c r="B355" s="2">
        <f t="shared" si="25"/>
        <v>1383.6479361775928</v>
      </c>
      <c r="C355" s="2">
        <f t="shared" si="26"/>
        <v>1914481.6112885119</v>
      </c>
      <c r="D355" s="2">
        <v>7008</v>
      </c>
      <c r="E355" s="2">
        <f t="shared" si="27"/>
        <v>0.70079999999999998</v>
      </c>
      <c r="F355" s="2">
        <f t="shared" si="28"/>
        <v>-2.6790559833506724</v>
      </c>
      <c r="G355" s="2">
        <f t="shared" si="29"/>
        <v>7.1773409619270385</v>
      </c>
    </row>
    <row r="356" spans="1:7" x14ac:dyDescent="0.35">
      <c r="A356" s="2">
        <v>2722</v>
      </c>
      <c r="B356" s="2">
        <f t="shared" si="25"/>
        <v>1383.6479361775928</v>
      </c>
      <c r="C356" s="2">
        <f t="shared" si="26"/>
        <v>1914481.6112885119</v>
      </c>
      <c r="D356" s="2">
        <v>5147</v>
      </c>
      <c r="E356" s="2">
        <f t="shared" si="27"/>
        <v>0.51470000000000005</v>
      </c>
      <c r="F356" s="2">
        <f t="shared" si="28"/>
        <v>-2.8651559833506726</v>
      </c>
      <c r="G356" s="2">
        <f t="shared" si="29"/>
        <v>8.2091188089301603</v>
      </c>
    </row>
    <row r="357" spans="1:7" x14ac:dyDescent="0.35">
      <c r="A357" s="2">
        <v>2722</v>
      </c>
      <c r="B357" s="2">
        <f t="shared" si="25"/>
        <v>1383.6479361775928</v>
      </c>
      <c r="C357" s="2">
        <f t="shared" si="26"/>
        <v>1914481.6112885119</v>
      </c>
      <c r="D357" s="2">
        <v>5801</v>
      </c>
      <c r="E357" s="2">
        <f t="shared" si="27"/>
        <v>0.58009999999999995</v>
      </c>
      <c r="F357" s="2">
        <f t="shared" si="28"/>
        <v>-2.7997559833506727</v>
      </c>
      <c r="G357" s="2">
        <f t="shared" si="29"/>
        <v>7.8386335663078919</v>
      </c>
    </row>
    <row r="358" spans="1:7" x14ac:dyDescent="0.35">
      <c r="A358" s="2">
        <v>2722</v>
      </c>
      <c r="B358" s="2">
        <f t="shared" si="25"/>
        <v>1383.6479361775928</v>
      </c>
      <c r="C358" s="2">
        <f t="shared" si="26"/>
        <v>1914481.6112885119</v>
      </c>
      <c r="D358" s="2">
        <v>9227</v>
      </c>
      <c r="E358" s="2">
        <f t="shared" si="27"/>
        <v>0.92269999999999996</v>
      </c>
      <c r="F358" s="2">
        <f t="shared" si="28"/>
        <v>-2.4571559833506726</v>
      </c>
      <c r="G358" s="2">
        <f t="shared" si="29"/>
        <v>6.037615526516011</v>
      </c>
    </row>
    <row r="359" spans="1:7" x14ac:dyDescent="0.35">
      <c r="A359" s="2">
        <v>2722</v>
      </c>
      <c r="B359" s="2">
        <f t="shared" si="25"/>
        <v>1383.6479361775928</v>
      </c>
      <c r="C359" s="2">
        <f t="shared" si="26"/>
        <v>1914481.6112885119</v>
      </c>
      <c r="D359" s="2">
        <v>9772</v>
      </c>
      <c r="E359" s="2">
        <f t="shared" si="27"/>
        <v>0.97719999999999996</v>
      </c>
      <c r="F359" s="2">
        <f t="shared" si="28"/>
        <v>-2.4026559833506727</v>
      </c>
      <c r="G359" s="2">
        <f t="shared" si="29"/>
        <v>5.772755774330788</v>
      </c>
    </row>
    <row r="360" spans="1:7" x14ac:dyDescent="0.35">
      <c r="A360" s="2">
        <v>2722</v>
      </c>
      <c r="B360" s="2">
        <f t="shared" si="25"/>
        <v>1383.6479361775928</v>
      </c>
      <c r="C360" s="2">
        <f t="shared" si="26"/>
        <v>1914481.6112885119</v>
      </c>
      <c r="D360" s="2">
        <v>9664</v>
      </c>
      <c r="E360" s="2">
        <f t="shared" si="27"/>
        <v>0.96640000000000004</v>
      </c>
      <c r="F360" s="2">
        <f t="shared" si="28"/>
        <v>-2.4134559833506724</v>
      </c>
      <c r="G360" s="2">
        <f t="shared" si="29"/>
        <v>5.8247697835711607</v>
      </c>
    </row>
    <row r="361" spans="1:7" x14ac:dyDescent="0.35">
      <c r="A361" s="2">
        <v>2722</v>
      </c>
      <c r="B361" s="2">
        <f t="shared" si="25"/>
        <v>1383.6479361775928</v>
      </c>
      <c r="C361" s="2">
        <f t="shared" si="26"/>
        <v>1914481.6112885119</v>
      </c>
      <c r="D361" s="2">
        <v>8411</v>
      </c>
      <c r="E361" s="2">
        <f t="shared" si="27"/>
        <v>0.84109999999999996</v>
      </c>
      <c r="F361" s="2">
        <f t="shared" si="28"/>
        <v>-2.5387559833506725</v>
      </c>
      <c r="G361" s="2">
        <f t="shared" si="29"/>
        <v>6.4452819429988404</v>
      </c>
    </row>
    <row r="362" spans="1:7" x14ac:dyDescent="0.35">
      <c r="A362" s="2">
        <v>2722</v>
      </c>
      <c r="B362" s="2">
        <f t="shared" si="25"/>
        <v>1383.6479361775928</v>
      </c>
      <c r="C362" s="2">
        <f t="shared" si="26"/>
        <v>1914481.6112885119</v>
      </c>
      <c r="D362" s="2">
        <v>8086</v>
      </c>
      <c r="E362" s="2">
        <f t="shared" si="27"/>
        <v>0.80859999999999999</v>
      </c>
      <c r="F362" s="2">
        <f t="shared" si="28"/>
        <v>-2.5712559833506727</v>
      </c>
      <c r="G362" s="2">
        <f t="shared" si="29"/>
        <v>6.6113573319166354</v>
      </c>
    </row>
    <row r="363" spans="1:7" x14ac:dyDescent="0.35">
      <c r="A363" s="2">
        <v>2722</v>
      </c>
      <c r="B363" s="2">
        <f t="shared" si="25"/>
        <v>1383.6479361775928</v>
      </c>
      <c r="C363" s="2">
        <f t="shared" si="26"/>
        <v>1914481.6112885119</v>
      </c>
      <c r="D363" s="2">
        <v>8442</v>
      </c>
      <c r="E363" s="2">
        <f t="shared" si="27"/>
        <v>0.84419999999999995</v>
      </c>
      <c r="F363" s="2">
        <f t="shared" si="28"/>
        <v>-2.5356559833506727</v>
      </c>
      <c r="G363" s="2">
        <f t="shared" si="29"/>
        <v>6.4295512659020666</v>
      </c>
    </row>
    <row r="364" spans="1:7" x14ac:dyDescent="0.35">
      <c r="A364" s="2">
        <v>608</v>
      </c>
      <c r="B364" s="2">
        <f t="shared" si="25"/>
        <v>-730.35206382240722</v>
      </c>
      <c r="C364" s="2">
        <f t="shared" si="26"/>
        <v>533414.13712964964</v>
      </c>
      <c r="D364" s="2">
        <v>42464</v>
      </c>
      <c r="E364" s="2">
        <f t="shared" si="27"/>
        <v>4.2464000000000004</v>
      </c>
      <c r="F364" s="2">
        <f t="shared" si="28"/>
        <v>0.8665440166493279</v>
      </c>
      <c r="G364" s="2">
        <f t="shared" si="29"/>
        <v>0.75089853279075069</v>
      </c>
    </row>
    <row r="365" spans="1:7" x14ac:dyDescent="0.35">
      <c r="A365" s="2">
        <v>608</v>
      </c>
      <c r="B365" s="2">
        <f t="shared" si="25"/>
        <v>-730.35206382240722</v>
      </c>
      <c r="C365" s="2">
        <f t="shared" si="26"/>
        <v>533414.13712964964</v>
      </c>
      <c r="D365" s="2">
        <v>47064</v>
      </c>
      <c r="E365" s="2">
        <f t="shared" si="27"/>
        <v>4.7064000000000004</v>
      </c>
      <c r="F365" s="2">
        <f t="shared" si="28"/>
        <v>1.3265440166493279</v>
      </c>
      <c r="G365" s="2">
        <f t="shared" si="29"/>
        <v>1.7597190281081323</v>
      </c>
    </row>
    <row r="366" spans="1:7" x14ac:dyDescent="0.35">
      <c r="A366" s="2">
        <v>608</v>
      </c>
      <c r="B366" s="2">
        <f t="shared" si="25"/>
        <v>-730.35206382240722</v>
      </c>
      <c r="C366" s="2">
        <f t="shared" si="26"/>
        <v>533414.13712964964</v>
      </c>
      <c r="D366" s="2">
        <v>37475</v>
      </c>
      <c r="E366" s="2">
        <f t="shared" si="27"/>
        <v>3.7475000000000001</v>
      </c>
      <c r="F366" s="2">
        <f t="shared" si="28"/>
        <v>0.36764401664932755</v>
      </c>
      <c r="G366" s="2">
        <f t="shared" si="29"/>
        <v>0.13516212297805102</v>
      </c>
    </row>
    <row r="367" spans="1:7" x14ac:dyDescent="0.35">
      <c r="A367" s="2">
        <v>608</v>
      </c>
      <c r="B367" s="2">
        <f t="shared" si="25"/>
        <v>-730.35206382240722</v>
      </c>
      <c r="C367" s="2">
        <f t="shared" si="26"/>
        <v>533414.13712964964</v>
      </c>
      <c r="D367" s="2">
        <v>31315</v>
      </c>
      <c r="E367" s="2">
        <f t="shared" si="27"/>
        <v>3.1315</v>
      </c>
      <c r="F367" s="2">
        <f t="shared" si="28"/>
        <v>-0.24835598335067255</v>
      </c>
      <c r="G367" s="2">
        <f t="shared" si="29"/>
        <v>6.1680694466079537E-2</v>
      </c>
    </row>
    <row r="368" spans="1:7" x14ac:dyDescent="0.35">
      <c r="A368" s="2">
        <v>608</v>
      </c>
      <c r="B368" s="2">
        <f t="shared" si="25"/>
        <v>-730.35206382240722</v>
      </c>
      <c r="C368" s="2">
        <f t="shared" si="26"/>
        <v>533414.13712964964</v>
      </c>
      <c r="D368" s="2">
        <v>23785</v>
      </c>
      <c r="E368" s="2">
        <f t="shared" si="27"/>
        <v>2.3784999999999998</v>
      </c>
      <c r="F368" s="2">
        <f t="shared" si="28"/>
        <v>-1.0013559833506727</v>
      </c>
      <c r="G368" s="2">
        <f t="shared" si="29"/>
        <v>1.0027138053921927</v>
      </c>
    </row>
    <row r="369" spans="1:7" x14ac:dyDescent="0.35">
      <c r="A369" s="2">
        <v>608</v>
      </c>
      <c r="B369" s="2">
        <f t="shared" si="25"/>
        <v>-730.35206382240722</v>
      </c>
      <c r="C369" s="2">
        <f t="shared" si="26"/>
        <v>533414.13712964964</v>
      </c>
      <c r="D369" s="2">
        <v>25397</v>
      </c>
      <c r="E369" s="2">
        <f t="shared" si="27"/>
        <v>2.5396999999999998</v>
      </c>
      <c r="F369" s="2">
        <f t="shared" si="28"/>
        <v>-0.84015598335067265</v>
      </c>
      <c r="G369" s="2">
        <f t="shared" si="29"/>
        <v>0.7058620763599357</v>
      </c>
    </row>
    <row r="370" spans="1:7" x14ac:dyDescent="0.35">
      <c r="A370" s="2">
        <v>608</v>
      </c>
      <c r="B370" s="2">
        <f t="shared" si="25"/>
        <v>-730.35206382240722</v>
      </c>
      <c r="C370" s="2">
        <f t="shared" si="26"/>
        <v>533414.13712964964</v>
      </c>
      <c r="D370" s="2">
        <v>32042</v>
      </c>
      <c r="E370" s="2">
        <f t="shared" si="27"/>
        <v>3.2042000000000002</v>
      </c>
      <c r="F370" s="2">
        <f t="shared" si="28"/>
        <v>-0.17565598335067234</v>
      </c>
      <c r="G370" s="2">
        <f t="shared" si="29"/>
        <v>3.0855024486891678E-2</v>
      </c>
    </row>
    <row r="371" spans="1:7" x14ac:dyDescent="0.35">
      <c r="A371" s="2">
        <v>608</v>
      </c>
      <c r="B371" s="2">
        <f t="shared" si="25"/>
        <v>-730.35206382240722</v>
      </c>
      <c r="C371" s="2">
        <f t="shared" si="26"/>
        <v>533414.13712964964</v>
      </c>
      <c r="D371" s="2">
        <v>34761</v>
      </c>
      <c r="E371" s="2">
        <f t="shared" si="27"/>
        <v>3.4761000000000002</v>
      </c>
      <c r="F371" s="2">
        <f t="shared" si="28"/>
        <v>9.6244016649327691E-2</v>
      </c>
      <c r="G371" s="2">
        <f t="shared" si="29"/>
        <v>9.2629107407960661E-3</v>
      </c>
    </row>
    <row r="372" spans="1:7" x14ac:dyDescent="0.35">
      <c r="A372" s="2">
        <v>608</v>
      </c>
      <c r="B372" s="2">
        <f t="shared" si="25"/>
        <v>-730.35206382240722</v>
      </c>
      <c r="C372" s="2">
        <f t="shared" si="26"/>
        <v>533414.13712964964</v>
      </c>
      <c r="D372" s="2">
        <v>37195</v>
      </c>
      <c r="E372" s="2">
        <f t="shared" si="27"/>
        <v>3.7195</v>
      </c>
      <c r="F372" s="2">
        <f t="shared" si="28"/>
        <v>0.33964401664932753</v>
      </c>
      <c r="G372" s="2">
        <f t="shared" si="29"/>
        <v>0.11535805804568867</v>
      </c>
    </row>
    <row r="373" spans="1:7" x14ac:dyDescent="0.35">
      <c r="A373" s="2">
        <v>608</v>
      </c>
      <c r="B373" s="2">
        <f t="shared" si="25"/>
        <v>-730.35206382240722</v>
      </c>
      <c r="C373" s="2">
        <f t="shared" si="26"/>
        <v>533414.13712964964</v>
      </c>
      <c r="D373" s="2">
        <v>36116</v>
      </c>
      <c r="E373" s="2">
        <f t="shared" si="27"/>
        <v>3.6116000000000001</v>
      </c>
      <c r="F373" s="2">
        <f t="shared" si="28"/>
        <v>0.23174401664932764</v>
      </c>
      <c r="G373" s="2">
        <f t="shared" si="29"/>
        <v>5.3705289252763848E-2</v>
      </c>
    </row>
    <row r="374" spans="1:7" x14ac:dyDescent="0.35">
      <c r="A374" s="2">
        <v>608</v>
      </c>
      <c r="B374" s="2">
        <f t="shared" si="25"/>
        <v>-730.35206382240722</v>
      </c>
      <c r="C374" s="2">
        <f t="shared" si="26"/>
        <v>533414.13712964964</v>
      </c>
      <c r="D374" s="2">
        <v>33891</v>
      </c>
      <c r="E374" s="2">
        <f t="shared" si="27"/>
        <v>3.3891</v>
      </c>
      <c r="F374" s="2">
        <f t="shared" si="28"/>
        <v>9.2440166493275022E-3</v>
      </c>
      <c r="G374" s="2">
        <f t="shared" si="29"/>
        <v>8.5451843813044061E-5</v>
      </c>
    </row>
    <row r="375" spans="1:7" x14ac:dyDescent="0.35">
      <c r="A375" s="2">
        <v>608</v>
      </c>
      <c r="B375" s="2">
        <f t="shared" si="25"/>
        <v>-730.35206382240722</v>
      </c>
      <c r="C375" s="2">
        <f t="shared" si="26"/>
        <v>533414.13712964964</v>
      </c>
      <c r="D375" s="2">
        <v>29871</v>
      </c>
      <c r="E375" s="2">
        <f t="shared" si="27"/>
        <v>2.9870999999999999</v>
      </c>
      <c r="F375" s="2">
        <f t="shared" si="28"/>
        <v>-0.39275598335067263</v>
      </c>
      <c r="G375" s="2">
        <f t="shared" si="29"/>
        <v>0.15425726245775384</v>
      </c>
    </row>
    <row r="376" spans="1:7" x14ac:dyDescent="0.35">
      <c r="A376" s="2">
        <v>608</v>
      </c>
      <c r="B376" s="2">
        <f t="shared" si="25"/>
        <v>-730.35206382240722</v>
      </c>
      <c r="C376" s="2">
        <f t="shared" si="26"/>
        <v>533414.13712964964</v>
      </c>
      <c r="D376" s="2">
        <v>31467</v>
      </c>
      <c r="E376" s="2">
        <f t="shared" si="27"/>
        <v>3.1467000000000001</v>
      </c>
      <c r="F376" s="2">
        <f t="shared" si="28"/>
        <v>-0.23315598335067245</v>
      </c>
      <c r="G376" s="2">
        <f t="shared" si="29"/>
        <v>5.4361712572219049E-2</v>
      </c>
    </row>
    <row r="377" spans="1:7" x14ac:dyDescent="0.35">
      <c r="A377" s="2">
        <v>608</v>
      </c>
      <c r="B377" s="2">
        <f t="shared" si="25"/>
        <v>-730.35206382240722</v>
      </c>
      <c r="C377" s="2">
        <f t="shared" si="26"/>
        <v>533414.13712964964</v>
      </c>
      <c r="D377" s="2">
        <v>49400</v>
      </c>
      <c r="E377" s="2">
        <f t="shared" si="27"/>
        <v>4.9400000000000004</v>
      </c>
      <c r="F377" s="2">
        <f t="shared" si="28"/>
        <v>1.5601440166493279</v>
      </c>
      <c r="G377" s="2">
        <f t="shared" si="29"/>
        <v>2.4340493526866984</v>
      </c>
    </row>
    <row r="378" spans="1:7" x14ac:dyDescent="0.35">
      <c r="A378" s="2">
        <v>608</v>
      </c>
      <c r="B378" s="2">
        <f t="shared" si="25"/>
        <v>-730.35206382240722</v>
      </c>
      <c r="C378" s="2">
        <f t="shared" si="26"/>
        <v>533414.13712964964</v>
      </c>
      <c r="D378" s="2">
        <v>47001</v>
      </c>
      <c r="E378" s="2">
        <f t="shared" si="27"/>
        <v>4.7000999999999999</v>
      </c>
      <c r="F378" s="2">
        <f t="shared" si="28"/>
        <v>1.3202440166493274</v>
      </c>
      <c r="G378" s="2">
        <f t="shared" si="29"/>
        <v>1.7430442634983496</v>
      </c>
    </row>
    <row r="379" spans="1:7" x14ac:dyDescent="0.35">
      <c r="A379" s="2">
        <v>608</v>
      </c>
      <c r="B379" s="2">
        <f t="shared" si="25"/>
        <v>-730.35206382240722</v>
      </c>
      <c r="C379" s="2">
        <f t="shared" si="26"/>
        <v>533414.13712964964</v>
      </c>
      <c r="D379" s="2">
        <v>48001</v>
      </c>
      <c r="E379" s="2">
        <f t="shared" si="27"/>
        <v>4.8000999999999996</v>
      </c>
      <c r="F379" s="2">
        <f t="shared" si="28"/>
        <v>1.4202440166493271</v>
      </c>
      <c r="G379" s="2">
        <f t="shared" si="29"/>
        <v>2.0170930668282141</v>
      </c>
    </row>
    <row r="380" spans="1:7" x14ac:dyDescent="0.35">
      <c r="A380" s="2">
        <v>608</v>
      </c>
      <c r="B380" s="2">
        <f t="shared" si="25"/>
        <v>-730.35206382240722</v>
      </c>
      <c r="C380" s="2">
        <f t="shared" si="26"/>
        <v>533414.13712964964</v>
      </c>
      <c r="D380" s="2">
        <v>43099</v>
      </c>
      <c r="E380" s="2">
        <f t="shared" si="27"/>
        <v>4.3098999999999998</v>
      </c>
      <c r="F380" s="2">
        <f t="shared" si="28"/>
        <v>0.93004401664932734</v>
      </c>
      <c r="G380" s="2">
        <f t="shared" si="29"/>
        <v>0.86498187290521422</v>
      </c>
    </row>
    <row r="381" spans="1:7" x14ac:dyDescent="0.35">
      <c r="A381" s="2">
        <v>608</v>
      </c>
      <c r="B381" s="2">
        <f t="shared" si="25"/>
        <v>-730.35206382240722</v>
      </c>
      <c r="C381" s="2">
        <f t="shared" si="26"/>
        <v>533414.13712964964</v>
      </c>
      <c r="D381" s="2">
        <v>49596</v>
      </c>
      <c r="E381" s="2">
        <f t="shared" si="27"/>
        <v>4.9596</v>
      </c>
      <c r="F381" s="2">
        <f t="shared" si="28"/>
        <v>1.5797440166493275</v>
      </c>
      <c r="G381" s="2">
        <f t="shared" si="29"/>
        <v>2.4955911581393506</v>
      </c>
    </row>
    <row r="382" spans="1:7" x14ac:dyDescent="0.35">
      <c r="A382" s="2">
        <v>608</v>
      </c>
      <c r="B382" s="2">
        <f t="shared" si="25"/>
        <v>-730.35206382240722</v>
      </c>
      <c r="C382" s="2">
        <f t="shared" si="26"/>
        <v>533414.13712964964</v>
      </c>
      <c r="D382" s="2">
        <v>44801</v>
      </c>
      <c r="E382" s="2">
        <f t="shared" si="27"/>
        <v>4.4801000000000002</v>
      </c>
      <c r="F382" s="2">
        <f t="shared" si="28"/>
        <v>1.1002440166493277</v>
      </c>
      <c r="G382" s="2">
        <f t="shared" si="29"/>
        <v>1.2105368961726461</v>
      </c>
    </row>
    <row r="383" spans="1:7" x14ac:dyDescent="0.35">
      <c r="A383" s="2">
        <v>608</v>
      </c>
      <c r="B383" s="2">
        <f t="shared" si="25"/>
        <v>-730.35206382240722</v>
      </c>
      <c r="C383" s="2">
        <f t="shared" si="26"/>
        <v>533414.13712964964</v>
      </c>
      <c r="D383" s="2">
        <v>44080</v>
      </c>
      <c r="E383" s="2">
        <f t="shared" si="27"/>
        <v>4.4080000000000004</v>
      </c>
      <c r="F383" s="2">
        <f t="shared" si="28"/>
        <v>1.0281440166493279</v>
      </c>
      <c r="G383" s="2">
        <f t="shared" si="29"/>
        <v>1.0570801189718133</v>
      </c>
    </row>
    <row r="384" spans="1:7" x14ac:dyDescent="0.35">
      <c r="A384" s="2">
        <v>608</v>
      </c>
      <c r="B384" s="2">
        <f t="shared" si="25"/>
        <v>-730.35206382240722</v>
      </c>
      <c r="C384" s="2">
        <f t="shared" si="26"/>
        <v>533414.13712964964</v>
      </c>
      <c r="D384" s="2">
        <v>46447</v>
      </c>
      <c r="E384" s="2">
        <f t="shared" si="27"/>
        <v>4.6447000000000003</v>
      </c>
      <c r="F384" s="2">
        <f t="shared" si="28"/>
        <v>1.2648440166493278</v>
      </c>
      <c r="G384" s="2">
        <f t="shared" si="29"/>
        <v>1.599830386453605</v>
      </c>
    </row>
    <row r="385" spans="1:7" x14ac:dyDescent="0.35">
      <c r="A385" s="2">
        <v>608</v>
      </c>
      <c r="B385" s="2">
        <f t="shared" si="25"/>
        <v>-730.35206382240722</v>
      </c>
      <c r="C385" s="2">
        <f t="shared" si="26"/>
        <v>533414.13712964964</v>
      </c>
      <c r="D385" s="2">
        <v>49621</v>
      </c>
      <c r="E385" s="2">
        <f t="shared" si="27"/>
        <v>4.9621000000000004</v>
      </c>
      <c r="F385" s="2">
        <f t="shared" si="28"/>
        <v>1.5822440166493279</v>
      </c>
      <c r="G385" s="2">
        <f t="shared" si="29"/>
        <v>2.5034961282225985</v>
      </c>
    </row>
    <row r="386" spans="1:7" x14ac:dyDescent="0.35">
      <c r="A386" s="2">
        <v>608</v>
      </c>
      <c r="B386" s="2">
        <f t="shared" si="25"/>
        <v>-730.35206382240722</v>
      </c>
      <c r="C386" s="2">
        <f t="shared" si="26"/>
        <v>533414.13712964964</v>
      </c>
      <c r="D386" s="2">
        <v>52263</v>
      </c>
      <c r="E386" s="2">
        <f t="shared" si="27"/>
        <v>5.2263000000000002</v>
      </c>
      <c r="F386" s="2">
        <f t="shared" si="28"/>
        <v>1.8464440166493277</v>
      </c>
      <c r="G386" s="2">
        <f t="shared" si="29"/>
        <v>3.4093555066201024</v>
      </c>
    </row>
    <row r="387" spans="1:7" x14ac:dyDescent="0.35">
      <c r="A387" s="2">
        <v>608</v>
      </c>
      <c r="B387" s="2">
        <f t="shared" ref="B387:B450" si="30">A387-$J$1</f>
        <v>-730.35206382240722</v>
      </c>
      <c r="C387" s="2">
        <f t="shared" ref="C387:C450" si="31">B387^2</f>
        <v>533414.13712964964</v>
      </c>
      <c r="D387" s="2">
        <v>47952</v>
      </c>
      <c r="E387" s="2">
        <f t="shared" ref="E387:E450" si="32">D387/10000</f>
        <v>4.7952000000000004</v>
      </c>
      <c r="F387" s="2">
        <f t="shared" ref="F387:F450" si="33">E387-$J$2</f>
        <v>1.4153440166493279</v>
      </c>
      <c r="G387" s="2">
        <f t="shared" ref="G387:G450" si="34">F387^2</f>
        <v>2.003198685465053</v>
      </c>
    </row>
    <row r="388" spans="1:7" x14ac:dyDescent="0.35">
      <c r="A388" s="2">
        <v>608</v>
      </c>
      <c r="B388" s="2">
        <f t="shared" si="30"/>
        <v>-730.35206382240722</v>
      </c>
      <c r="C388" s="2">
        <f t="shared" si="31"/>
        <v>533414.13712964964</v>
      </c>
      <c r="D388" s="2">
        <v>50563</v>
      </c>
      <c r="E388" s="2">
        <f t="shared" si="32"/>
        <v>5.0563000000000002</v>
      </c>
      <c r="F388" s="2">
        <f t="shared" si="33"/>
        <v>1.6764440166493277</v>
      </c>
      <c r="G388" s="2">
        <f t="shared" si="34"/>
        <v>2.8104645409593316</v>
      </c>
    </row>
    <row r="389" spans="1:7" x14ac:dyDescent="0.35">
      <c r="A389" s="2">
        <v>608</v>
      </c>
      <c r="B389" s="2">
        <f t="shared" si="30"/>
        <v>-730.35206382240722</v>
      </c>
      <c r="C389" s="2">
        <f t="shared" si="31"/>
        <v>533414.13712964964</v>
      </c>
      <c r="D389" s="2">
        <v>55605</v>
      </c>
      <c r="E389" s="2">
        <f t="shared" si="32"/>
        <v>5.5605000000000002</v>
      </c>
      <c r="F389" s="2">
        <f t="shared" si="33"/>
        <v>2.1806440166493277</v>
      </c>
      <c r="G389" s="2">
        <f t="shared" si="34"/>
        <v>4.7552083273485133</v>
      </c>
    </row>
    <row r="390" spans="1:7" x14ac:dyDescent="0.35">
      <c r="A390" s="2">
        <v>608</v>
      </c>
      <c r="B390" s="2">
        <f t="shared" si="30"/>
        <v>-730.35206382240722</v>
      </c>
      <c r="C390" s="2">
        <f t="shared" si="31"/>
        <v>533414.13712964964</v>
      </c>
      <c r="D390" s="2">
        <v>54945</v>
      </c>
      <c r="E390" s="2">
        <f t="shared" si="32"/>
        <v>5.4945000000000004</v>
      </c>
      <c r="F390" s="2">
        <f t="shared" si="33"/>
        <v>2.1146440166493279</v>
      </c>
      <c r="G390" s="2">
        <f t="shared" si="34"/>
        <v>4.4717193171508027</v>
      </c>
    </row>
    <row r="391" spans="1:7" x14ac:dyDescent="0.35">
      <c r="A391" s="2">
        <v>608</v>
      </c>
      <c r="B391" s="2">
        <f t="shared" si="30"/>
        <v>-730.35206382240722</v>
      </c>
      <c r="C391" s="2">
        <f t="shared" si="31"/>
        <v>533414.13712964964</v>
      </c>
      <c r="D391" s="2">
        <v>49040</v>
      </c>
      <c r="E391" s="2">
        <f t="shared" si="32"/>
        <v>4.9039999999999999</v>
      </c>
      <c r="F391" s="2">
        <f t="shared" si="33"/>
        <v>1.5241440166493274</v>
      </c>
      <c r="G391" s="2">
        <f t="shared" si="34"/>
        <v>2.3230149834879454</v>
      </c>
    </row>
    <row r="392" spans="1:7" x14ac:dyDescent="0.35">
      <c r="A392" s="2">
        <v>608</v>
      </c>
      <c r="B392" s="2">
        <f t="shared" si="30"/>
        <v>-730.35206382240722</v>
      </c>
      <c r="C392" s="2">
        <f t="shared" si="31"/>
        <v>533414.13712964964</v>
      </c>
      <c r="D392" s="2">
        <v>54540</v>
      </c>
      <c r="E392" s="2">
        <f t="shared" si="32"/>
        <v>5.4539999999999997</v>
      </c>
      <c r="F392" s="2">
        <f t="shared" si="33"/>
        <v>2.0741440166493272</v>
      </c>
      <c r="G392" s="2">
        <f t="shared" si="34"/>
        <v>4.3020734018022049</v>
      </c>
    </row>
    <row r="393" spans="1:7" x14ac:dyDescent="0.35">
      <c r="A393" s="2">
        <v>608</v>
      </c>
      <c r="B393" s="2">
        <f t="shared" si="30"/>
        <v>-730.35206382240722</v>
      </c>
      <c r="C393" s="2">
        <f t="shared" si="31"/>
        <v>533414.13712964964</v>
      </c>
      <c r="D393" s="2">
        <v>54032</v>
      </c>
      <c r="E393" s="2">
        <f t="shared" si="32"/>
        <v>5.4032</v>
      </c>
      <c r="F393" s="2">
        <f t="shared" si="33"/>
        <v>2.0233440166493275</v>
      </c>
      <c r="G393" s="2">
        <f t="shared" si="34"/>
        <v>4.093921009710634</v>
      </c>
    </row>
    <row r="394" spans="1:7" x14ac:dyDescent="0.35">
      <c r="A394" s="2">
        <v>748</v>
      </c>
      <c r="B394" s="2">
        <f t="shared" si="30"/>
        <v>-590.35206382240722</v>
      </c>
      <c r="C394" s="2">
        <f t="shared" si="31"/>
        <v>348515.55925937556</v>
      </c>
      <c r="D394" s="2">
        <v>18144</v>
      </c>
      <c r="E394" s="2">
        <f t="shared" si="32"/>
        <v>1.8144</v>
      </c>
      <c r="F394" s="2">
        <f t="shared" si="33"/>
        <v>-1.5654559833506725</v>
      </c>
      <c r="G394" s="2">
        <f t="shared" si="34"/>
        <v>2.4506524358084212</v>
      </c>
    </row>
    <row r="395" spans="1:7" x14ac:dyDescent="0.35">
      <c r="A395" s="2">
        <v>748</v>
      </c>
      <c r="B395" s="2">
        <f t="shared" si="30"/>
        <v>-590.35206382240722</v>
      </c>
      <c r="C395" s="2">
        <f t="shared" si="31"/>
        <v>348515.55925937556</v>
      </c>
      <c r="D395" s="2">
        <v>16802</v>
      </c>
      <c r="E395" s="2">
        <f t="shared" si="32"/>
        <v>1.6801999999999999</v>
      </c>
      <c r="F395" s="2">
        <f t="shared" si="33"/>
        <v>-1.6996559833506726</v>
      </c>
      <c r="G395" s="2">
        <f t="shared" si="34"/>
        <v>2.888830461739742</v>
      </c>
    </row>
    <row r="396" spans="1:7" x14ac:dyDescent="0.35">
      <c r="A396" s="2">
        <v>748</v>
      </c>
      <c r="B396" s="2">
        <f t="shared" si="30"/>
        <v>-590.35206382240722</v>
      </c>
      <c r="C396" s="2">
        <f t="shared" si="31"/>
        <v>348515.55925937556</v>
      </c>
      <c r="D396" s="2">
        <v>11516</v>
      </c>
      <c r="E396" s="2">
        <f t="shared" si="32"/>
        <v>1.1516</v>
      </c>
      <c r="F396" s="2">
        <f t="shared" si="33"/>
        <v>-2.2282559833506728</v>
      </c>
      <c r="G396" s="2">
        <f t="shared" si="34"/>
        <v>4.9651247273380736</v>
      </c>
    </row>
    <row r="397" spans="1:7" x14ac:dyDescent="0.35">
      <c r="A397" s="2">
        <v>748</v>
      </c>
      <c r="B397" s="2">
        <f t="shared" si="30"/>
        <v>-590.35206382240722</v>
      </c>
      <c r="C397" s="2">
        <f t="shared" si="31"/>
        <v>348515.55925937556</v>
      </c>
      <c r="D397" s="2">
        <v>20541</v>
      </c>
      <c r="E397" s="2">
        <f t="shared" si="32"/>
        <v>2.0541</v>
      </c>
      <c r="F397" s="2">
        <f t="shared" si="33"/>
        <v>-1.3257559833506725</v>
      </c>
      <c r="G397" s="2">
        <f t="shared" si="34"/>
        <v>1.7576289273901085</v>
      </c>
    </row>
    <row r="398" spans="1:7" x14ac:dyDescent="0.35">
      <c r="A398" s="2">
        <v>748</v>
      </c>
      <c r="B398" s="2">
        <f t="shared" si="30"/>
        <v>-590.35206382240722</v>
      </c>
      <c r="C398" s="2">
        <f t="shared" si="31"/>
        <v>348515.55925937556</v>
      </c>
      <c r="D398" s="2">
        <v>20783</v>
      </c>
      <c r="E398" s="2">
        <f t="shared" si="32"/>
        <v>2.0783</v>
      </c>
      <c r="F398" s="2">
        <f t="shared" si="33"/>
        <v>-1.3015559833506725</v>
      </c>
      <c r="G398" s="2">
        <f t="shared" si="34"/>
        <v>1.6940479777959361</v>
      </c>
    </row>
    <row r="399" spans="1:7" x14ac:dyDescent="0.35">
      <c r="A399" s="2">
        <v>748</v>
      </c>
      <c r="B399" s="2">
        <f t="shared" si="30"/>
        <v>-590.35206382240722</v>
      </c>
      <c r="C399" s="2">
        <f t="shared" si="31"/>
        <v>348515.55925937556</v>
      </c>
      <c r="D399" s="2">
        <v>21444</v>
      </c>
      <c r="E399" s="2">
        <f t="shared" si="32"/>
        <v>2.1444000000000001</v>
      </c>
      <c r="F399" s="2">
        <f t="shared" si="33"/>
        <v>-1.2354559833506724</v>
      </c>
      <c r="G399" s="2">
        <f t="shared" si="34"/>
        <v>1.526351486796977</v>
      </c>
    </row>
    <row r="400" spans="1:7" x14ac:dyDescent="0.35">
      <c r="A400" s="2">
        <v>748</v>
      </c>
      <c r="B400" s="2">
        <f t="shared" si="30"/>
        <v>-590.35206382240722</v>
      </c>
      <c r="C400" s="2">
        <f t="shared" si="31"/>
        <v>348515.55925937556</v>
      </c>
      <c r="D400" s="2">
        <v>18831</v>
      </c>
      <c r="E400" s="2">
        <f t="shared" si="32"/>
        <v>1.8831</v>
      </c>
      <c r="F400" s="2">
        <f t="shared" si="33"/>
        <v>-1.4967559833506725</v>
      </c>
      <c r="G400" s="2">
        <f t="shared" si="34"/>
        <v>2.2402784736960388</v>
      </c>
    </row>
    <row r="401" spans="1:7" x14ac:dyDescent="0.35">
      <c r="A401" s="2">
        <v>748</v>
      </c>
      <c r="B401" s="2">
        <f t="shared" si="30"/>
        <v>-590.35206382240722</v>
      </c>
      <c r="C401" s="2">
        <f t="shared" si="31"/>
        <v>348515.55925937556</v>
      </c>
      <c r="D401" s="2">
        <v>21630</v>
      </c>
      <c r="E401" s="2">
        <f t="shared" si="32"/>
        <v>2.1629999999999998</v>
      </c>
      <c r="F401" s="2">
        <f t="shared" si="33"/>
        <v>-1.2168559833506727</v>
      </c>
      <c r="G401" s="2">
        <f t="shared" si="34"/>
        <v>1.4807384842163327</v>
      </c>
    </row>
    <row r="402" spans="1:7" x14ac:dyDescent="0.35">
      <c r="A402" s="2">
        <v>748</v>
      </c>
      <c r="B402" s="2">
        <f t="shared" si="30"/>
        <v>-590.35206382240722</v>
      </c>
      <c r="C402" s="2">
        <f t="shared" si="31"/>
        <v>348515.55925937556</v>
      </c>
      <c r="D402" s="2">
        <v>19582</v>
      </c>
      <c r="E402" s="2">
        <f t="shared" si="32"/>
        <v>1.9581999999999999</v>
      </c>
      <c r="F402" s="2">
        <f t="shared" si="33"/>
        <v>-1.4216559833506726</v>
      </c>
      <c r="G402" s="2">
        <f t="shared" si="34"/>
        <v>2.0211057349967678</v>
      </c>
    </row>
    <row r="403" spans="1:7" x14ac:dyDescent="0.35">
      <c r="A403" s="2">
        <v>748</v>
      </c>
      <c r="B403" s="2">
        <f t="shared" si="30"/>
        <v>-590.35206382240722</v>
      </c>
      <c r="C403" s="2">
        <f t="shared" si="31"/>
        <v>348515.55925937556</v>
      </c>
      <c r="D403" s="2">
        <v>19249</v>
      </c>
      <c r="E403" s="2">
        <f t="shared" si="32"/>
        <v>1.9249000000000001</v>
      </c>
      <c r="F403" s="2">
        <f t="shared" si="33"/>
        <v>-1.4549559833506724</v>
      </c>
      <c r="G403" s="2">
        <f t="shared" si="34"/>
        <v>2.1168969134879223</v>
      </c>
    </row>
    <row r="404" spans="1:7" x14ac:dyDescent="0.35">
      <c r="A404" s="2">
        <v>748</v>
      </c>
      <c r="B404" s="2">
        <f t="shared" si="30"/>
        <v>-590.35206382240722</v>
      </c>
      <c r="C404" s="2">
        <f t="shared" si="31"/>
        <v>348515.55925937556</v>
      </c>
      <c r="D404" s="2">
        <v>23883</v>
      </c>
      <c r="E404" s="2">
        <f t="shared" si="32"/>
        <v>2.3883000000000001</v>
      </c>
      <c r="F404" s="2">
        <f t="shared" si="33"/>
        <v>-0.99155598335067241</v>
      </c>
      <c r="G404" s="2">
        <f t="shared" si="34"/>
        <v>0.98318326811851897</v>
      </c>
    </row>
    <row r="405" spans="1:7" x14ac:dyDescent="0.35">
      <c r="A405" s="2">
        <v>748</v>
      </c>
      <c r="B405" s="2">
        <f t="shared" si="30"/>
        <v>-590.35206382240722</v>
      </c>
      <c r="C405" s="2">
        <f t="shared" si="31"/>
        <v>348515.55925937556</v>
      </c>
      <c r="D405" s="2">
        <v>15750</v>
      </c>
      <c r="E405" s="2">
        <f t="shared" si="32"/>
        <v>1.575</v>
      </c>
      <c r="F405" s="2">
        <f t="shared" si="33"/>
        <v>-1.8048559833506725</v>
      </c>
      <c r="G405" s="2">
        <f t="shared" si="34"/>
        <v>3.2575051206367234</v>
      </c>
    </row>
    <row r="406" spans="1:7" x14ac:dyDescent="0.35">
      <c r="A406" s="2">
        <v>748</v>
      </c>
      <c r="B406" s="2">
        <f t="shared" si="30"/>
        <v>-590.35206382240722</v>
      </c>
      <c r="C406" s="2">
        <f t="shared" si="31"/>
        <v>348515.55925937556</v>
      </c>
      <c r="D406" s="2">
        <v>19388</v>
      </c>
      <c r="E406" s="2">
        <f t="shared" si="32"/>
        <v>1.9388000000000001</v>
      </c>
      <c r="F406" s="2">
        <f t="shared" si="33"/>
        <v>-1.4410559833506724</v>
      </c>
      <c r="G406" s="2">
        <f t="shared" si="34"/>
        <v>2.0766423471507736</v>
      </c>
    </row>
    <row r="407" spans="1:7" x14ac:dyDescent="0.35">
      <c r="A407" s="2">
        <v>748</v>
      </c>
      <c r="B407" s="2">
        <f t="shared" si="30"/>
        <v>-590.35206382240722</v>
      </c>
      <c r="C407" s="2">
        <f t="shared" si="31"/>
        <v>348515.55925937556</v>
      </c>
      <c r="D407" s="2">
        <v>24824</v>
      </c>
      <c r="E407" s="2">
        <f t="shared" si="32"/>
        <v>2.4824000000000002</v>
      </c>
      <c r="F407" s="2">
        <f t="shared" si="33"/>
        <v>-0.89745598335067234</v>
      </c>
      <c r="G407" s="2">
        <f t="shared" si="34"/>
        <v>0.80542724205192229</v>
      </c>
    </row>
    <row r="408" spans="1:7" x14ac:dyDescent="0.35">
      <c r="A408" s="2">
        <v>748</v>
      </c>
      <c r="B408" s="2">
        <f t="shared" si="30"/>
        <v>-590.35206382240722</v>
      </c>
      <c r="C408" s="2">
        <f t="shared" si="31"/>
        <v>348515.55925937556</v>
      </c>
      <c r="D408" s="2">
        <v>25675</v>
      </c>
      <c r="E408" s="2">
        <f t="shared" si="32"/>
        <v>2.5674999999999999</v>
      </c>
      <c r="F408" s="2">
        <f t="shared" si="33"/>
        <v>-0.81235598335067261</v>
      </c>
      <c r="G408" s="2">
        <f t="shared" si="34"/>
        <v>0.65992224368563823</v>
      </c>
    </row>
    <row r="409" spans="1:7" x14ac:dyDescent="0.35">
      <c r="A409" s="2">
        <v>748</v>
      </c>
      <c r="B409" s="2">
        <f t="shared" si="30"/>
        <v>-590.35206382240722</v>
      </c>
      <c r="C409" s="2">
        <f t="shared" si="31"/>
        <v>348515.55925937556</v>
      </c>
      <c r="D409" s="2">
        <v>18795</v>
      </c>
      <c r="E409" s="2">
        <f t="shared" si="32"/>
        <v>1.8794999999999999</v>
      </c>
      <c r="F409" s="2">
        <f t="shared" si="33"/>
        <v>-1.5003559833506726</v>
      </c>
      <c r="G409" s="2">
        <f t="shared" si="34"/>
        <v>2.2510680767761637</v>
      </c>
    </row>
    <row r="410" spans="1:7" x14ac:dyDescent="0.35">
      <c r="A410" s="2">
        <v>748</v>
      </c>
      <c r="B410" s="2">
        <f t="shared" si="30"/>
        <v>-590.35206382240722</v>
      </c>
      <c r="C410" s="2">
        <f t="shared" si="31"/>
        <v>348515.55925937556</v>
      </c>
      <c r="D410" s="2">
        <v>19010</v>
      </c>
      <c r="E410" s="2">
        <f t="shared" si="32"/>
        <v>1.901</v>
      </c>
      <c r="F410" s="2">
        <f t="shared" si="33"/>
        <v>-1.4788559833506725</v>
      </c>
      <c r="G410" s="2">
        <f t="shared" si="34"/>
        <v>2.1870150194920845</v>
      </c>
    </row>
    <row r="411" spans="1:7" x14ac:dyDescent="0.35">
      <c r="A411" s="2">
        <v>748</v>
      </c>
      <c r="B411" s="2">
        <f t="shared" si="30"/>
        <v>-590.35206382240722</v>
      </c>
      <c r="C411" s="2">
        <f t="shared" si="31"/>
        <v>348515.55925937556</v>
      </c>
      <c r="D411" s="2">
        <v>15047</v>
      </c>
      <c r="E411" s="2">
        <f t="shared" si="32"/>
        <v>1.5046999999999999</v>
      </c>
      <c r="F411" s="2">
        <f t="shared" si="33"/>
        <v>-1.8751559833506726</v>
      </c>
      <c r="G411" s="2">
        <f t="shared" si="34"/>
        <v>3.5162099618958278</v>
      </c>
    </row>
    <row r="412" spans="1:7" x14ac:dyDescent="0.35">
      <c r="A412" s="2">
        <v>748</v>
      </c>
      <c r="B412" s="2">
        <f t="shared" si="30"/>
        <v>-590.35206382240722</v>
      </c>
      <c r="C412" s="2">
        <f t="shared" si="31"/>
        <v>348515.55925937556</v>
      </c>
      <c r="D412" s="2">
        <v>17791</v>
      </c>
      <c r="E412" s="2">
        <f t="shared" si="32"/>
        <v>1.7790999999999999</v>
      </c>
      <c r="F412" s="2">
        <f t="shared" si="33"/>
        <v>-1.6007559833506726</v>
      </c>
      <c r="G412" s="2">
        <f t="shared" si="34"/>
        <v>2.5624197182329786</v>
      </c>
    </row>
    <row r="413" spans="1:7" x14ac:dyDescent="0.35">
      <c r="A413" s="2">
        <v>748</v>
      </c>
      <c r="B413" s="2">
        <f t="shared" si="30"/>
        <v>-590.35206382240722</v>
      </c>
      <c r="C413" s="2">
        <f t="shared" si="31"/>
        <v>348515.55925937556</v>
      </c>
      <c r="D413" s="2">
        <v>25724</v>
      </c>
      <c r="E413" s="2">
        <f t="shared" si="32"/>
        <v>2.5724</v>
      </c>
      <c r="F413" s="2">
        <f t="shared" si="33"/>
        <v>-0.80745598335067248</v>
      </c>
      <c r="G413" s="2">
        <f t="shared" si="34"/>
        <v>0.65198516504880144</v>
      </c>
    </row>
    <row r="414" spans="1:7" x14ac:dyDescent="0.35">
      <c r="A414" s="2">
        <v>748</v>
      </c>
      <c r="B414" s="2">
        <f t="shared" si="30"/>
        <v>-590.35206382240722</v>
      </c>
      <c r="C414" s="2">
        <f t="shared" si="31"/>
        <v>348515.55925937556</v>
      </c>
      <c r="D414" s="2">
        <v>17002</v>
      </c>
      <c r="E414" s="2">
        <f t="shared" si="32"/>
        <v>1.7001999999999999</v>
      </c>
      <c r="F414" s="2">
        <f t="shared" si="33"/>
        <v>-1.6796559833506726</v>
      </c>
      <c r="G414" s="2">
        <f t="shared" si="34"/>
        <v>2.8212442224057148</v>
      </c>
    </row>
    <row r="415" spans="1:7" x14ac:dyDescent="0.35">
      <c r="A415" s="2">
        <v>748</v>
      </c>
      <c r="B415" s="2">
        <f t="shared" si="30"/>
        <v>-590.35206382240722</v>
      </c>
      <c r="C415" s="2">
        <f t="shared" si="31"/>
        <v>348515.55925937556</v>
      </c>
      <c r="D415" s="2">
        <v>24355</v>
      </c>
      <c r="E415" s="2">
        <f t="shared" si="32"/>
        <v>2.4355000000000002</v>
      </c>
      <c r="F415" s="2">
        <f t="shared" si="33"/>
        <v>-0.94435598335067228</v>
      </c>
      <c r="G415" s="2">
        <f t="shared" si="34"/>
        <v>0.89180822329021525</v>
      </c>
    </row>
    <row r="416" spans="1:7" x14ac:dyDescent="0.35">
      <c r="A416" s="2">
        <v>748</v>
      </c>
      <c r="B416" s="2">
        <f t="shared" si="30"/>
        <v>-590.35206382240722</v>
      </c>
      <c r="C416" s="2">
        <f t="shared" si="31"/>
        <v>348515.55925937556</v>
      </c>
      <c r="D416" s="2">
        <v>23154</v>
      </c>
      <c r="E416" s="2">
        <f t="shared" si="32"/>
        <v>2.3153999999999999</v>
      </c>
      <c r="F416" s="2">
        <f t="shared" si="33"/>
        <v>-1.0644559833506726</v>
      </c>
      <c r="G416" s="2">
        <f t="shared" si="34"/>
        <v>1.1330665404910474</v>
      </c>
    </row>
    <row r="417" spans="1:7" x14ac:dyDescent="0.35">
      <c r="A417" s="2">
        <v>748</v>
      </c>
      <c r="B417" s="2">
        <f t="shared" si="30"/>
        <v>-590.35206382240722</v>
      </c>
      <c r="C417" s="2">
        <f t="shared" si="31"/>
        <v>348515.55925937556</v>
      </c>
      <c r="D417" s="2">
        <v>20238</v>
      </c>
      <c r="E417" s="2">
        <f t="shared" si="32"/>
        <v>2.0238</v>
      </c>
      <c r="F417" s="2">
        <f t="shared" si="33"/>
        <v>-1.3560559833506725</v>
      </c>
      <c r="G417" s="2">
        <f t="shared" si="34"/>
        <v>1.8388878299811593</v>
      </c>
    </row>
    <row r="418" spans="1:7" x14ac:dyDescent="0.35">
      <c r="A418" s="2">
        <v>748</v>
      </c>
      <c r="B418" s="2">
        <f t="shared" si="30"/>
        <v>-590.35206382240722</v>
      </c>
      <c r="C418" s="2">
        <f t="shared" si="31"/>
        <v>348515.55925937556</v>
      </c>
      <c r="D418" s="2">
        <v>17676</v>
      </c>
      <c r="E418" s="2">
        <f t="shared" si="32"/>
        <v>1.7676000000000001</v>
      </c>
      <c r="F418" s="2">
        <f t="shared" si="33"/>
        <v>-1.6122559833506724</v>
      </c>
      <c r="G418" s="2">
        <f t="shared" si="34"/>
        <v>2.5993693558500439</v>
      </c>
    </row>
    <row r="419" spans="1:7" x14ac:dyDescent="0.35">
      <c r="A419" s="2">
        <v>748</v>
      </c>
      <c r="B419" s="2">
        <f t="shared" si="30"/>
        <v>-590.35206382240722</v>
      </c>
      <c r="C419" s="2">
        <f t="shared" si="31"/>
        <v>348515.55925937556</v>
      </c>
      <c r="D419" s="2">
        <v>23336</v>
      </c>
      <c r="E419" s="2">
        <f t="shared" si="32"/>
        <v>2.3336000000000001</v>
      </c>
      <c r="F419" s="2">
        <f t="shared" si="33"/>
        <v>-1.0462559833506724</v>
      </c>
      <c r="G419" s="2">
        <f t="shared" si="34"/>
        <v>1.0946515826970824</v>
      </c>
    </row>
    <row r="420" spans="1:7" x14ac:dyDescent="0.35">
      <c r="A420" s="2">
        <v>748</v>
      </c>
      <c r="B420" s="2">
        <f t="shared" si="30"/>
        <v>-590.35206382240722</v>
      </c>
      <c r="C420" s="2">
        <f t="shared" si="31"/>
        <v>348515.55925937556</v>
      </c>
      <c r="D420" s="2">
        <v>21993</v>
      </c>
      <c r="E420" s="2">
        <f t="shared" si="32"/>
        <v>2.1993</v>
      </c>
      <c r="F420" s="2">
        <f t="shared" si="33"/>
        <v>-1.1805559833506725</v>
      </c>
      <c r="G420" s="2">
        <f t="shared" si="34"/>
        <v>1.3937124298250732</v>
      </c>
    </row>
    <row r="421" spans="1:7" x14ac:dyDescent="0.35">
      <c r="A421" s="2">
        <v>748</v>
      </c>
      <c r="B421" s="2">
        <f t="shared" si="30"/>
        <v>-590.35206382240722</v>
      </c>
      <c r="C421" s="2">
        <f t="shared" si="31"/>
        <v>348515.55925937556</v>
      </c>
      <c r="D421" s="2">
        <v>24088</v>
      </c>
      <c r="E421" s="2">
        <f t="shared" si="32"/>
        <v>2.4087999999999998</v>
      </c>
      <c r="F421" s="2">
        <f t="shared" si="33"/>
        <v>-0.97105598335067267</v>
      </c>
      <c r="G421" s="2">
        <f t="shared" si="34"/>
        <v>0.94294972280114187</v>
      </c>
    </row>
    <row r="422" spans="1:7" x14ac:dyDescent="0.35">
      <c r="A422" s="2">
        <v>748</v>
      </c>
      <c r="B422" s="2">
        <f t="shared" si="30"/>
        <v>-590.35206382240722</v>
      </c>
      <c r="C422" s="2">
        <f t="shared" si="31"/>
        <v>348515.55925937556</v>
      </c>
      <c r="D422" s="2">
        <v>22032</v>
      </c>
      <c r="E422" s="2">
        <f t="shared" si="32"/>
        <v>2.2031999999999998</v>
      </c>
      <c r="F422" s="2">
        <f t="shared" si="33"/>
        <v>-1.1766559833506727</v>
      </c>
      <c r="G422" s="2">
        <f t="shared" si="34"/>
        <v>1.3845193031549385</v>
      </c>
    </row>
    <row r="423" spans="1:7" x14ac:dyDescent="0.35">
      <c r="A423" s="2">
        <v>748</v>
      </c>
      <c r="B423" s="2">
        <f t="shared" si="30"/>
        <v>-590.35206382240722</v>
      </c>
      <c r="C423" s="2">
        <f t="shared" si="31"/>
        <v>348515.55925937556</v>
      </c>
      <c r="D423" s="2">
        <v>21718</v>
      </c>
      <c r="E423" s="2">
        <f t="shared" si="32"/>
        <v>2.1718000000000002</v>
      </c>
      <c r="F423" s="2">
        <f t="shared" si="33"/>
        <v>-1.2080559833506723</v>
      </c>
      <c r="G423" s="2">
        <f t="shared" si="34"/>
        <v>1.4593992589093598</v>
      </c>
    </row>
    <row r="424" spans="1:7" x14ac:dyDescent="0.35">
      <c r="A424" s="2">
        <v>1274</v>
      </c>
      <c r="B424" s="2">
        <f t="shared" si="30"/>
        <v>-64.352063822407217</v>
      </c>
      <c r="C424" s="2">
        <f t="shared" si="31"/>
        <v>4141.1881182031721</v>
      </c>
      <c r="D424" s="2">
        <v>44150</v>
      </c>
      <c r="E424" s="2">
        <f t="shared" si="32"/>
        <v>4.415</v>
      </c>
      <c r="F424" s="2">
        <f t="shared" si="33"/>
        <v>1.0351440166493275</v>
      </c>
      <c r="G424" s="2">
        <f t="shared" si="34"/>
        <v>1.0715231352049033</v>
      </c>
    </row>
    <row r="425" spans="1:7" x14ac:dyDescent="0.35">
      <c r="A425" s="2">
        <v>1274</v>
      </c>
      <c r="B425" s="2">
        <f t="shared" si="30"/>
        <v>-64.352063822407217</v>
      </c>
      <c r="C425" s="2">
        <f t="shared" si="31"/>
        <v>4141.1881182031721</v>
      </c>
      <c r="D425" s="2">
        <v>30837</v>
      </c>
      <c r="E425" s="2">
        <f t="shared" si="32"/>
        <v>3.0836999999999999</v>
      </c>
      <c r="F425" s="2">
        <f t="shared" si="33"/>
        <v>-0.29615598335067261</v>
      </c>
      <c r="G425" s="2">
        <f t="shared" si="34"/>
        <v>8.7708366474403873E-2</v>
      </c>
    </row>
    <row r="426" spans="1:7" x14ac:dyDescent="0.35">
      <c r="A426" s="2">
        <v>1274</v>
      </c>
      <c r="B426" s="2">
        <f t="shared" si="30"/>
        <v>-64.352063822407217</v>
      </c>
      <c r="C426" s="2">
        <f t="shared" si="31"/>
        <v>4141.1881182031721</v>
      </c>
      <c r="D426" s="2">
        <v>23333</v>
      </c>
      <c r="E426" s="2">
        <f t="shared" si="32"/>
        <v>2.3332999999999999</v>
      </c>
      <c r="F426" s="2">
        <f t="shared" si="33"/>
        <v>-1.0465559833506726</v>
      </c>
      <c r="G426" s="2">
        <f t="shared" si="34"/>
        <v>1.0952794262870933</v>
      </c>
    </row>
    <row r="427" spans="1:7" x14ac:dyDescent="0.35">
      <c r="A427" s="2">
        <v>1274</v>
      </c>
      <c r="B427" s="2">
        <f t="shared" si="30"/>
        <v>-64.352063822407217</v>
      </c>
      <c r="C427" s="2">
        <f t="shared" si="31"/>
        <v>4141.1881182031721</v>
      </c>
      <c r="D427" s="2">
        <v>33333</v>
      </c>
      <c r="E427" s="2">
        <f t="shared" si="32"/>
        <v>3.3332999999999999</v>
      </c>
      <c r="F427" s="2">
        <f t="shared" si="33"/>
        <v>-4.655598335067257E-2</v>
      </c>
      <c r="G427" s="2">
        <f t="shared" si="34"/>
        <v>2.1674595857481016E-3</v>
      </c>
    </row>
    <row r="428" spans="1:7" x14ac:dyDescent="0.35">
      <c r="A428" s="2">
        <v>1274</v>
      </c>
      <c r="B428" s="2">
        <f t="shared" si="30"/>
        <v>-64.352063822407217</v>
      </c>
      <c r="C428" s="2">
        <f t="shared" si="31"/>
        <v>4141.1881182031721</v>
      </c>
      <c r="D428" s="2">
        <v>33333</v>
      </c>
      <c r="E428" s="2">
        <f t="shared" si="32"/>
        <v>3.3332999999999999</v>
      </c>
      <c r="F428" s="2">
        <f t="shared" si="33"/>
        <v>-4.655598335067257E-2</v>
      </c>
      <c r="G428" s="2">
        <f t="shared" si="34"/>
        <v>2.1674595857481016E-3</v>
      </c>
    </row>
    <row r="429" spans="1:7" x14ac:dyDescent="0.35">
      <c r="A429" s="2">
        <v>1274</v>
      </c>
      <c r="B429" s="2">
        <f t="shared" si="30"/>
        <v>-64.352063822407217</v>
      </c>
      <c r="C429" s="2">
        <f t="shared" si="31"/>
        <v>4141.1881182031721</v>
      </c>
      <c r="D429" s="2">
        <v>30923</v>
      </c>
      <c r="E429" s="2">
        <f t="shared" si="32"/>
        <v>3.0922999999999998</v>
      </c>
      <c r="F429" s="2">
        <f t="shared" si="33"/>
        <v>-0.28755598335067267</v>
      </c>
      <c r="G429" s="2">
        <f t="shared" si="34"/>
        <v>8.2688443560772346E-2</v>
      </c>
    </row>
    <row r="430" spans="1:7" x14ac:dyDescent="0.35">
      <c r="A430" s="2">
        <v>1274</v>
      </c>
      <c r="B430" s="2">
        <f t="shared" si="30"/>
        <v>-64.352063822407217</v>
      </c>
      <c r="C430" s="2">
        <f t="shared" si="31"/>
        <v>4141.1881182031721</v>
      </c>
      <c r="D430" s="2">
        <v>31077</v>
      </c>
      <c r="E430" s="2">
        <f t="shared" si="32"/>
        <v>3.1076999999999999</v>
      </c>
      <c r="F430" s="2">
        <f t="shared" si="33"/>
        <v>-0.27215598335067259</v>
      </c>
      <c r="G430" s="2">
        <f t="shared" si="34"/>
        <v>7.4068879273571572E-2</v>
      </c>
    </row>
    <row r="431" spans="1:7" x14ac:dyDescent="0.35">
      <c r="A431" s="2">
        <v>1274</v>
      </c>
      <c r="B431" s="2">
        <f t="shared" si="30"/>
        <v>-64.352063822407217</v>
      </c>
      <c r="C431" s="2">
        <f t="shared" si="31"/>
        <v>4141.1881182031721</v>
      </c>
      <c r="D431" s="2">
        <v>31398</v>
      </c>
      <c r="E431" s="2">
        <f t="shared" si="32"/>
        <v>3.1398000000000001</v>
      </c>
      <c r="F431" s="2">
        <f t="shared" si="33"/>
        <v>-0.24005598335067235</v>
      </c>
      <c r="G431" s="2">
        <f t="shared" si="34"/>
        <v>5.7626875142458282E-2</v>
      </c>
    </row>
    <row r="432" spans="1:7" x14ac:dyDescent="0.35">
      <c r="A432" s="2">
        <v>1274</v>
      </c>
      <c r="B432" s="2">
        <f t="shared" si="30"/>
        <v>-64.352063822407217</v>
      </c>
      <c r="C432" s="2">
        <f t="shared" si="31"/>
        <v>4141.1881182031721</v>
      </c>
      <c r="D432" s="2">
        <v>31099</v>
      </c>
      <c r="E432" s="2">
        <f t="shared" si="32"/>
        <v>3.1099000000000001</v>
      </c>
      <c r="F432" s="2">
        <f t="shared" si="33"/>
        <v>-0.26995598335067239</v>
      </c>
      <c r="G432" s="2">
        <f t="shared" si="34"/>
        <v>7.2876232946828504E-2</v>
      </c>
    </row>
    <row r="433" spans="1:7" x14ac:dyDescent="0.35">
      <c r="A433" s="2">
        <v>1274</v>
      </c>
      <c r="B433" s="2">
        <f t="shared" si="30"/>
        <v>-64.352063822407217</v>
      </c>
      <c r="C433" s="2">
        <f t="shared" si="31"/>
        <v>4141.1881182031721</v>
      </c>
      <c r="D433" s="2">
        <v>26819</v>
      </c>
      <c r="E433" s="2">
        <f t="shared" si="32"/>
        <v>2.6819000000000002</v>
      </c>
      <c r="F433" s="2">
        <f t="shared" si="33"/>
        <v>-0.69795598335067233</v>
      </c>
      <c r="G433" s="2">
        <f t="shared" si="34"/>
        <v>0.487142554695004</v>
      </c>
    </row>
    <row r="434" spans="1:7" x14ac:dyDescent="0.35">
      <c r="A434" s="2">
        <v>1274</v>
      </c>
      <c r="B434" s="2">
        <f t="shared" si="30"/>
        <v>-64.352063822407217</v>
      </c>
      <c r="C434" s="2">
        <f t="shared" si="31"/>
        <v>4141.1881182031721</v>
      </c>
      <c r="D434" s="2">
        <v>27873</v>
      </c>
      <c r="E434" s="2">
        <f t="shared" si="32"/>
        <v>2.7873000000000001</v>
      </c>
      <c r="F434" s="2">
        <f t="shared" si="33"/>
        <v>-0.59255598335067239</v>
      </c>
      <c r="G434" s="2">
        <f t="shared" si="34"/>
        <v>0.35112259340468233</v>
      </c>
    </row>
    <row r="435" spans="1:7" x14ac:dyDescent="0.35">
      <c r="A435" s="2">
        <v>1274</v>
      </c>
      <c r="B435" s="2">
        <f t="shared" si="30"/>
        <v>-64.352063822407217</v>
      </c>
      <c r="C435" s="2">
        <f t="shared" si="31"/>
        <v>4141.1881182031721</v>
      </c>
      <c r="D435" s="2">
        <v>32551</v>
      </c>
      <c r="E435" s="2">
        <f t="shared" si="32"/>
        <v>3.2551000000000001</v>
      </c>
      <c r="F435" s="2">
        <f t="shared" si="33"/>
        <v>-0.12475598335067239</v>
      </c>
      <c r="G435" s="2">
        <f t="shared" si="34"/>
        <v>1.5564055381793248E-2</v>
      </c>
    </row>
    <row r="436" spans="1:7" x14ac:dyDescent="0.35">
      <c r="A436" s="2">
        <v>1274</v>
      </c>
      <c r="B436" s="2">
        <f t="shared" si="30"/>
        <v>-64.352063822407217</v>
      </c>
      <c r="C436" s="2">
        <f t="shared" si="31"/>
        <v>4141.1881182031721</v>
      </c>
      <c r="D436" s="2">
        <v>29927</v>
      </c>
      <c r="E436" s="2">
        <f t="shared" si="32"/>
        <v>2.9927000000000001</v>
      </c>
      <c r="F436" s="2">
        <f t="shared" si="33"/>
        <v>-0.38715598335067236</v>
      </c>
      <c r="G436" s="2">
        <f t="shared" si="34"/>
        <v>0.14988975544422609</v>
      </c>
    </row>
    <row r="437" spans="1:7" x14ac:dyDescent="0.35">
      <c r="A437" s="2">
        <v>1274</v>
      </c>
      <c r="B437" s="2">
        <f t="shared" si="30"/>
        <v>-64.352063822407217</v>
      </c>
      <c r="C437" s="2">
        <f t="shared" si="31"/>
        <v>4141.1881182031721</v>
      </c>
      <c r="D437" s="2">
        <v>32572</v>
      </c>
      <c r="E437" s="2">
        <f t="shared" si="32"/>
        <v>3.2572000000000001</v>
      </c>
      <c r="F437" s="2">
        <f t="shared" si="33"/>
        <v>-0.1226559833506724</v>
      </c>
      <c r="G437" s="2">
        <f t="shared" si="34"/>
        <v>1.5044490251720426E-2</v>
      </c>
    </row>
    <row r="438" spans="1:7" x14ac:dyDescent="0.35">
      <c r="A438" s="2">
        <v>1274</v>
      </c>
      <c r="B438" s="2">
        <f t="shared" si="30"/>
        <v>-64.352063822407217</v>
      </c>
      <c r="C438" s="2">
        <f t="shared" si="31"/>
        <v>4141.1881182031721</v>
      </c>
      <c r="D438" s="2">
        <v>30399</v>
      </c>
      <c r="E438" s="2">
        <f t="shared" si="32"/>
        <v>3.0398999999999998</v>
      </c>
      <c r="F438" s="2">
        <f t="shared" si="33"/>
        <v>-0.33995598335067267</v>
      </c>
      <c r="G438" s="2">
        <f t="shared" si="34"/>
        <v>0.11557007061592284</v>
      </c>
    </row>
    <row r="439" spans="1:7" x14ac:dyDescent="0.35">
      <c r="A439" s="2">
        <v>1274</v>
      </c>
      <c r="B439" s="2">
        <f t="shared" si="30"/>
        <v>-64.352063822407217</v>
      </c>
      <c r="C439" s="2">
        <f t="shared" si="31"/>
        <v>4141.1881182031721</v>
      </c>
      <c r="D439" s="2">
        <v>32063</v>
      </c>
      <c r="E439" s="2">
        <f t="shared" si="32"/>
        <v>3.2063000000000001</v>
      </c>
      <c r="F439" s="2">
        <f t="shared" si="33"/>
        <v>-0.17355598335067235</v>
      </c>
      <c r="G439" s="2">
        <f t="shared" si="34"/>
        <v>3.0121679356818858E-2</v>
      </c>
    </row>
    <row r="440" spans="1:7" x14ac:dyDescent="0.35">
      <c r="A440" s="2">
        <v>1274</v>
      </c>
      <c r="B440" s="2">
        <f t="shared" si="30"/>
        <v>-64.352063822407217</v>
      </c>
      <c r="C440" s="2">
        <f t="shared" si="31"/>
        <v>4141.1881182031721</v>
      </c>
      <c r="D440" s="2">
        <v>32629</v>
      </c>
      <c r="E440" s="2">
        <f t="shared" si="32"/>
        <v>3.2629000000000001</v>
      </c>
      <c r="F440" s="2">
        <f t="shared" si="33"/>
        <v>-0.11695598335067237</v>
      </c>
      <c r="G440" s="2">
        <f t="shared" si="34"/>
        <v>1.3678702041522751E-2</v>
      </c>
    </row>
    <row r="441" spans="1:7" x14ac:dyDescent="0.35">
      <c r="A441" s="2">
        <v>1274</v>
      </c>
      <c r="B441" s="2">
        <f t="shared" si="30"/>
        <v>-64.352063822407217</v>
      </c>
      <c r="C441" s="2">
        <f t="shared" si="31"/>
        <v>4141.1881182031721</v>
      </c>
      <c r="D441" s="2">
        <v>32924</v>
      </c>
      <c r="E441" s="2">
        <f t="shared" si="32"/>
        <v>3.2924000000000002</v>
      </c>
      <c r="F441" s="2">
        <f t="shared" si="33"/>
        <v>-8.7455983350672284E-2</v>
      </c>
      <c r="G441" s="2">
        <f t="shared" si="34"/>
        <v>7.6485490238330676E-3</v>
      </c>
    </row>
    <row r="442" spans="1:7" x14ac:dyDescent="0.35">
      <c r="A442" s="2">
        <v>1274</v>
      </c>
      <c r="B442" s="2">
        <f t="shared" si="30"/>
        <v>-64.352063822407217</v>
      </c>
      <c r="C442" s="2">
        <f t="shared" si="31"/>
        <v>4141.1881182031721</v>
      </c>
      <c r="D442" s="2">
        <v>34144</v>
      </c>
      <c r="E442" s="2">
        <f t="shared" si="32"/>
        <v>3.4144000000000001</v>
      </c>
      <c r="F442" s="2">
        <f t="shared" si="33"/>
        <v>3.4544016649327602E-2</v>
      </c>
      <c r="G442" s="2">
        <f t="shared" si="34"/>
        <v>1.1932890862690227E-3</v>
      </c>
    </row>
    <row r="443" spans="1:7" x14ac:dyDescent="0.35">
      <c r="A443" s="2">
        <v>1274</v>
      </c>
      <c r="B443" s="2">
        <f t="shared" si="30"/>
        <v>-64.352063822407217</v>
      </c>
      <c r="C443" s="2">
        <f t="shared" si="31"/>
        <v>4141.1881182031721</v>
      </c>
      <c r="D443" s="2">
        <v>33322</v>
      </c>
      <c r="E443" s="2">
        <f t="shared" si="32"/>
        <v>3.3321999999999998</v>
      </c>
      <c r="F443" s="2">
        <f t="shared" si="33"/>
        <v>-4.765598335067267E-2</v>
      </c>
      <c r="G443" s="2">
        <f t="shared" si="34"/>
        <v>2.2710927491195907E-3</v>
      </c>
    </row>
    <row r="444" spans="1:7" x14ac:dyDescent="0.35">
      <c r="A444" s="2">
        <v>1274</v>
      </c>
      <c r="B444" s="2">
        <f t="shared" si="30"/>
        <v>-64.352063822407217</v>
      </c>
      <c r="C444" s="2">
        <f t="shared" si="31"/>
        <v>4141.1881182031721</v>
      </c>
      <c r="D444" s="2">
        <v>33767</v>
      </c>
      <c r="E444" s="2">
        <f t="shared" si="32"/>
        <v>3.3767</v>
      </c>
      <c r="F444" s="2">
        <f t="shared" si="33"/>
        <v>-3.1559833506724644E-3</v>
      </c>
      <c r="G444" s="2">
        <f t="shared" si="34"/>
        <v>9.960230909721795E-6</v>
      </c>
    </row>
    <row r="445" spans="1:7" x14ac:dyDescent="0.35">
      <c r="A445" s="2">
        <v>1274</v>
      </c>
      <c r="B445" s="2">
        <f t="shared" si="30"/>
        <v>-64.352063822407217</v>
      </c>
      <c r="C445" s="2">
        <f t="shared" si="31"/>
        <v>4141.1881182031721</v>
      </c>
      <c r="D445" s="2">
        <v>32203</v>
      </c>
      <c r="E445" s="2">
        <f t="shared" si="32"/>
        <v>3.2202999999999999</v>
      </c>
      <c r="F445" s="2">
        <f t="shared" si="33"/>
        <v>-0.15955598335067256</v>
      </c>
      <c r="G445" s="2">
        <f t="shared" si="34"/>
        <v>2.5458111823000097E-2</v>
      </c>
    </row>
    <row r="446" spans="1:7" x14ac:dyDescent="0.35">
      <c r="A446" s="2">
        <v>1274</v>
      </c>
      <c r="B446" s="2">
        <f t="shared" si="30"/>
        <v>-64.352063822407217</v>
      </c>
      <c r="C446" s="2">
        <f t="shared" si="31"/>
        <v>4141.1881182031721</v>
      </c>
      <c r="D446" s="2">
        <v>32680</v>
      </c>
      <c r="E446" s="2">
        <f t="shared" si="32"/>
        <v>3.2679999999999998</v>
      </c>
      <c r="F446" s="2">
        <f t="shared" si="33"/>
        <v>-0.11185598335067271</v>
      </c>
      <c r="G446" s="2">
        <f t="shared" si="34"/>
        <v>1.2511761011345969E-2</v>
      </c>
    </row>
    <row r="447" spans="1:7" x14ac:dyDescent="0.35">
      <c r="A447" s="2">
        <v>1274</v>
      </c>
      <c r="B447" s="2">
        <f t="shared" si="30"/>
        <v>-64.352063822407217</v>
      </c>
      <c r="C447" s="2">
        <f t="shared" si="31"/>
        <v>4141.1881182031721</v>
      </c>
      <c r="D447" s="2">
        <v>28268</v>
      </c>
      <c r="E447" s="2">
        <f t="shared" si="32"/>
        <v>2.8268</v>
      </c>
      <c r="F447" s="2">
        <f t="shared" si="33"/>
        <v>-0.55305598335067252</v>
      </c>
      <c r="G447" s="2">
        <f t="shared" si="34"/>
        <v>0.30587092071997934</v>
      </c>
    </row>
    <row r="448" spans="1:7" x14ac:dyDescent="0.35">
      <c r="A448" s="2">
        <v>1274</v>
      </c>
      <c r="B448" s="2">
        <f t="shared" si="30"/>
        <v>-64.352063822407217</v>
      </c>
      <c r="C448" s="2">
        <f t="shared" si="31"/>
        <v>4141.1881182031721</v>
      </c>
      <c r="D448" s="2">
        <v>26876</v>
      </c>
      <c r="E448" s="2">
        <f t="shared" si="32"/>
        <v>2.6876000000000002</v>
      </c>
      <c r="F448" s="2">
        <f t="shared" si="33"/>
        <v>-0.69225598335067229</v>
      </c>
      <c r="G448" s="2">
        <f t="shared" si="34"/>
        <v>0.47921834648480627</v>
      </c>
    </row>
    <row r="449" spans="1:7" x14ac:dyDescent="0.35">
      <c r="A449" s="2">
        <v>1274</v>
      </c>
      <c r="B449" s="2">
        <f t="shared" si="30"/>
        <v>-64.352063822407217</v>
      </c>
      <c r="C449" s="2">
        <f t="shared" si="31"/>
        <v>4141.1881182031721</v>
      </c>
      <c r="D449" s="2">
        <v>21041</v>
      </c>
      <c r="E449" s="2">
        <f t="shared" si="32"/>
        <v>2.1040999999999999</v>
      </c>
      <c r="F449" s="2">
        <f t="shared" si="33"/>
        <v>-1.2757559833506726</v>
      </c>
      <c r="G449" s="2">
        <f t="shared" si="34"/>
        <v>1.6275533290550417</v>
      </c>
    </row>
    <row r="450" spans="1:7" x14ac:dyDescent="0.35">
      <c r="A450" s="2">
        <v>1274</v>
      </c>
      <c r="B450" s="2">
        <f t="shared" si="30"/>
        <v>-64.352063822407217</v>
      </c>
      <c r="C450" s="2">
        <f t="shared" si="31"/>
        <v>4141.1881182031721</v>
      </c>
      <c r="D450" s="2">
        <v>19130</v>
      </c>
      <c r="E450" s="2">
        <f t="shared" si="32"/>
        <v>1.913</v>
      </c>
      <c r="F450" s="2">
        <f t="shared" si="33"/>
        <v>-1.4668559833506725</v>
      </c>
      <c r="G450" s="2">
        <f t="shared" si="34"/>
        <v>2.1516664758916684</v>
      </c>
    </row>
    <row r="451" spans="1:7" x14ac:dyDescent="0.35">
      <c r="A451" s="2">
        <v>1274</v>
      </c>
      <c r="B451" s="2">
        <f t="shared" ref="B451:B514" si="35">A451-$J$1</f>
        <v>-64.352063822407217</v>
      </c>
      <c r="C451" s="2">
        <f t="shared" ref="C451:C514" si="36">B451^2</f>
        <v>4141.1881182031721</v>
      </c>
      <c r="D451" s="2">
        <v>28393</v>
      </c>
      <c r="E451" s="2">
        <f t="shared" ref="E451:E514" si="37">D451/10000</f>
        <v>2.8393000000000002</v>
      </c>
      <c r="F451" s="2">
        <f t="shared" ref="F451:F514" si="38">E451-$J$2</f>
        <v>-0.54055598335067234</v>
      </c>
      <c r="G451" s="2">
        <f t="shared" ref="G451:G514" si="39">F451^2</f>
        <v>0.29220077113621234</v>
      </c>
    </row>
    <row r="452" spans="1:7" x14ac:dyDescent="0.35">
      <c r="A452" s="2">
        <v>1274</v>
      </c>
      <c r="B452" s="2">
        <f t="shared" si="35"/>
        <v>-64.352063822407217</v>
      </c>
      <c r="C452" s="2">
        <f t="shared" si="36"/>
        <v>4141.1881182031721</v>
      </c>
      <c r="D452" s="2">
        <v>11293</v>
      </c>
      <c r="E452" s="2">
        <f t="shared" si="37"/>
        <v>1.1293</v>
      </c>
      <c r="F452" s="2">
        <f t="shared" si="38"/>
        <v>-2.2505559833506723</v>
      </c>
      <c r="G452" s="2">
        <f t="shared" si="39"/>
        <v>5.0650022341955117</v>
      </c>
    </row>
    <row r="453" spans="1:7" x14ac:dyDescent="0.35">
      <c r="A453" s="2">
        <v>1274</v>
      </c>
      <c r="B453" s="2">
        <f t="shared" si="35"/>
        <v>-64.352063822407217</v>
      </c>
      <c r="C453" s="2">
        <f t="shared" si="36"/>
        <v>4141.1881182031721</v>
      </c>
      <c r="D453" s="2">
        <v>23001</v>
      </c>
      <c r="E453" s="2">
        <f t="shared" si="37"/>
        <v>2.3001</v>
      </c>
      <c r="F453" s="2">
        <f t="shared" si="38"/>
        <v>-1.0797559833506725</v>
      </c>
      <c r="G453" s="2">
        <f t="shared" si="39"/>
        <v>1.1658729835815778</v>
      </c>
    </row>
    <row r="454" spans="1:7" x14ac:dyDescent="0.35">
      <c r="A454" s="2">
        <v>1904</v>
      </c>
      <c r="B454" s="2">
        <f t="shared" si="35"/>
        <v>565.64793617759278</v>
      </c>
      <c r="C454" s="2">
        <f t="shared" si="36"/>
        <v>319957.58770197007</v>
      </c>
      <c r="D454" s="2">
        <v>12497</v>
      </c>
      <c r="E454" s="2">
        <f t="shared" si="37"/>
        <v>1.2497</v>
      </c>
      <c r="F454" s="2">
        <f t="shared" si="38"/>
        <v>-2.1301559833506722</v>
      </c>
      <c r="G454" s="2">
        <f t="shared" si="39"/>
        <v>4.5375645134046696</v>
      </c>
    </row>
    <row r="455" spans="1:7" x14ac:dyDescent="0.35">
      <c r="A455" s="2">
        <v>1904</v>
      </c>
      <c r="B455" s="2">
        <f t="shared" si="35"/>
        <v>565.64793617759278</v>
      </c>
      <c r="C455" s="2">
        <f t="shared" si="36"/>
        <v>319957.58770197007</v>
      </c>
      <c r="D455" s="2">
        <v>13770</v>
      </c>
      <c r="E455" s="2">
        <f t="shared" si="37"/>
        <v>1.377</v>
      </c>
      <c r="F455" s="2">
        <f t="shared" si="38"/>
        <v>-2.0028559833506723</v>
      </c>
      <c r="G455" s="2">
        <f t="shared" si="39"/>
        <v>4.0114320900435887</v>
      </c>
    </row>
    <row r="456" spans="1:7" x14ac:dyDescent="0.35">
      <c r="A456" s="2">
        <v>1904</v>
      </c>
      <c r="B456" s="2">
        <f t="shared" si="35"/>
        <v>565.64793617759278</v>
      </c>
      <c r="C456" s="2">
        <f t="shared" si="36"/>
        <v>319957.58770197007</v>
      </c>
      <c r="D456" s="2">
        <v>13248</v>
      </c>
      <c r="E456" s="2">
        <f t="shared" si="37"/>
        <v>1.3248</v>
      </c>
      <c r="F456" s="2">
        <f t="shared" si="38"/>
        <v>-2.0550559833506723</v>
      </c>
      <c r="G456" s="2">
        <f t="shared" si="39"/>
        <v>4.2232550947053991</v>
      </c>
    </row>
    <row r="457" spans="1:7" x14ac:dyDescent="0.35">
      <c r="A457" s="2">
        <v>1904</v>
      </c>
      <c r="B457" s="2">
        <f t="shared" si="35"/>
        <v>565.64793617759278</v>
      </c>
      <c r="C457" s="2">
        <f t="shared" si="36"/>
        <v>319957.58770197007</v>
      </c>
      <c r="D457" s="2">
        <v>14358</v>
      </c>
      <c r="E457" s="2">
        <f t="shared" si="37"/>
        <v>1.4358</v>
      </c>
      <c r="F457" s="2">
        <f t="shared" si="38"/>
        <v>-1.9440559833506725</v>
      </c>
      <c r="G457" s="2">
        <f t="shared" si="39"/>
        <v>3.7793536664015503</v>
      </c>
    </row>
    <row r="458" spans="1:7" x14ac:dyDescent="0.35">
      <c r="A458" s="2">
        <v>1904</v>
      </c>
      <c r="B458" s="2">
        <f t="shared" si="35"/>
        <v>565.64793617759278</v>
      </c>
      <c r="C458" s="2">
        <f t="shared" si="36"/>
        <v>319957.58770197007</v>
      </c>
      <c r="D458" s="2">
        <v>13477</v>
      </c>
      <c r="E458" s="2">
        <f t="shared" si="37"/>
        <v>1.3476999999999999</v>
      </c>
      <c r="F458" s="2">
        <f t="shared" si="38"/>
        <v>-2.0321559833506724</v>
      </c>
      <c r="G458" s="2">
        <f t="shared" si="39"/>
        <v>4.1296579406679381</v>
      </c>
    </row>
    <row r="459" spans="1:7" x14ac:dyDescent="0.35">
      <c r="A459" s="2">
        <v>1904</v>
      </c>
      <c r="B459" s="2">
        <f t="shared" si="35"/>
        <v>565.64793617759278</v>
      </c>
      <c r="C459" s="2">
        <f t="shared" si="36"/>
        <v>319957.58770197007</v>
      </c>
      <c r="D459" s="2">
        <v>13962</v>
      </c>
      <c r="E459" s="2">
        <f t="shared" si="37"/>
        <v>1.3962000000000001</v>
      </c>
      <c r="F459" s="2">
        <f t="shared" si="38"/>
        <v>-1.9836559833506724</v>
      </c>
      <c r="G459" s="2">
        <f t="shared" si="39"/>
        <v>3.934891060282923</v>
      </c>
    </row>
    <row r="460" spans="1:7" x14ac:dyDescent="0.35">
      <c r="A460" s="2">
        <v>1904</v>
      </c>
      <c r="B460" s="2">
        <f t="shared" si="35"/>
        <v>565.64793617759278</v>
      </c>
      <c r="C460" s="2">
        <f t="shared" si="36"/>
        <v>319957.58770197007</v>
      </c>
      <c r="D460" s="2">
        <v>13178</v>
      </c>
      <c r="E460" s="2">
        <f t="shared" si="37"/>
        <v>1.3178000000000001</v>
      </c>
      <c r="F460" s="2">
        <f t="shared" si="38"/>
        <v>-2.0620559833506724</v>
      </c>
      <c r="G460" s="2">
        <f t="shared" si="39"/>
        <v>4.2520748784723086</v>
      </c>
    </row>
    <row r="461" spans="1:7" x14ac:dyDescent="0.35">
      <c r="A461" s="2">
        <v>1904</v>
      </c>
      <c r="B461" s="2">
        <f t="shared" si="35"/>
        <v>565.64793617759278</v>
      </c>
      <c r="C461" s="2">
        <f t="shared" si="36"/>
        <v>319957.58770197007</v>
      </c>
      <c r="D461" s="2">
        <v>13069</v>
      </c>
      <c r="E461" s="2">
        <f t="shared" si="37"/>
        <v>1.3069</v>
      </c>
      <c r="F461" s="2">
        <f t="shared" si="38"/>
        <v>-2.0729559833506723</v>
      </c>
      <c r="G461" s="2">
        <f t="shared" si="39"/>
        <v>4.2971465089093526</v>
      </c>
    </row>
    <row r="462" spans="1:7" x14ac:dyDescent="0.35">
      <c r="A462" s="2">
        <v>1904</v>
      </c>
      <c r="B462" s="2">
        <f t="shared" si="35"/>
        <v>565.64793617759278</v>
      </c>
      <c r="C462" s="2">
        <f t="shared" si="36"/>
        <v>319957.58770197007</v>
      </c>
      <c r="D462" s="2">
        <v>14877</v>
      </c>
      <c r="E462" s="2">
        <f t="shared" si="37"/>
        <v>1.4877</v>
      </c>
      <c r="F462" s="2">
        <f t="shared" si="38"/>
        <v>-1.8921559833506725</v>
      </c>
      <c r="G462" s="2">
        <f t="shared" si="39"/>
        <v>3.5802542653297502</v>
      </c>
    </row>
    <row r="463" spans="1:7" x14ac:dyDescent="0.35">
      <c r="A463" s="2">
        <v>1904</v>
      </c>
      <c r="B463" s="2">
        <f t="shared" si="35"/>
        <v>565.64793617759278</v>
      </c>
      <c r="C463" s="2">
        <f t="shared" si="36"/>
        <v>319957.58770197007</v>
      </c>
      <c r="D463" s="2">
        <v>17920</v>
      </c>
      <c r="E463" s="2">
        <f t="shared" si="37"/>
        <v>1.792</v>
      </c>
      <c r="F463" s="2">
        <f t="shared" si="38"/>
        <v>-1.5878559833506725</v>
      </c>
      <c r="G463" s="2">
        <f t="shared" si="39"/>
        <v>2.5212866238625309</v>
      </c>
    </row>
    <row r="464" spans="1:7" x14ac:dyDescent="0.35">
      <c r="A464" s="2">
        <v>1904</v>
      </c>
      <c r="B464" s="2">
        <f t="shared" si="35"/>
        <v>565.64793617759278</v>
      </c>
      <c r="C464" s="2">
        <f t="shared" si="36"/>
        <v>319957.58770197007</v>
      </c>
      <c r="D464" s="2">
        <v>18116</v>
      </c>
      <c r="E464" s="2">
        <f t="shared" si="37"/>
        <v>1.8116000000000001</v>
      </c>
      <c r="F464" s="2">
        <f t="shared" si="38"/>
        <v>-1.5682559833506724</v>
      </c>
      <c r="G464" s="2">
        <f t="shared" si="39"/>
        <v>2.4594268293151846</v>
      </c>
    </row>
    <row r="465" spans="1:7" x14ac:dyDescent="0.35">
      <c r="A465" s="2">
        <v>1904</v>
      </c>
      <c r="B465" s="2">
        <f t="shared" si="35"/>
        <v>565.64793617759278</v>
      </c>
      <c r="C465" s="2">
        <f t="shared" si="36"/>
        <v>319957.58770197007</v>
      </c>
      <c r="D465" s="2">
        <v>17706</v>
      </c>
      <c r="E465" s="2">
        <f t="shared" si="37"/>
        <v>1.7706</v>
      </c>
      <c r="F465" s="2">
        <f t="shared" si="38"/>
        <v>-1.6092559833506725</v>
      </c>
      <c r="G465" s="2">
        <f t="shared" si="39"/>
        <v>2.5897048199499402</v>
      </c>
    </row>
    <row r="466" spans="1:7" x14ac:dyDescent="0.35">
      <c r="A466" s="2">
        <v>1904</v>
      </c>
      <c r="B466" s="2">
        <f t="shared" si="35"/>
        <v>565.64793617759278</v>
      </c>
      <c r="C466" s="2">
        <f t="shared" si="36"/>
        <v>319957.58770197007</v>
      </c>
      <c r="D466" s="2">
        <v>17884</v>
      </c>
      <c r="E466" s="2">
        <f t="shared" si="37"/>
        <v>1.7884</v>
      </c>
      <c r="F466" s="2">
        <f t="shared" si="38"/>
        <v>-1.5914559833506725</v>
      </c>
      <c r="G466" s="2">
        <f t="shared" si="39"/>
        <v>2.532732146942656</v>
      </c>
    </row>
    <row r="467" spans="1:7" x14ac:dyDescent="0.35">
      <c r="A467" s="2">
        <v>1904</v>
      </c>
      <c r="B467" s="2">
        <f t="shared" si="35"/>
        <v>565.64793617759278</v>
      </c>
      <c r="C467" s="2">
        <f t="shared" si="36"/>
        <v>319957.58770197007</v>
      </c>
      <c r="D467" s="2">
        <v>19433</v>
      </c>
      <c r="E467" s="2">
        <f t="shared" si="37"/>
        <v>1.9433</v>
      </c>
      <c r="F467" s="2">
        <f t="shared" si="38"/>
        <v>-1.4365559833506725</v>
      </c>
      <c r="G467" s="2">
        <f t="shared" si="39"/>
        <v>2.0636930933006177</v>
      </c>
    </row>
    <row r="468" spans="1:7" x14ac:dyDescent="0.35">
      <c r="A468" s="2">
        <v>1904</v>
      </c>
      <c r="B468" s="2">
        <f t="shared" si="35"/>
        <v>565.64793617759278</v>
      </c>
      <c r="C468" s="2">
        <f t="shared" si="36"/>
        <v>319957.58770197007</v>
      </c>
      <c r="D468" s="2">
        <v>21155</v>
      </c>
      <c r="E468" s="2">
        <f t="shared" si="37"/>
        <v>2.1154999999999999</v>
      </c>
      <c r="F468" s="2">
        <f t="shared" si="38"/>
        <v>-1.2643559833506726</v>
      </c>
      <c r="G468" s="2">
        <f t="shared" si="39"/>
        <v>1.5985960526346461</v>
      </c>
    </row>
    <row r="469" spans="1:7" x14ac:dyDescent="0.35">
      <c r="A469" s="2">
        <v>1904</v>
      </c>
      <c r="B469" s="2">
        <f t="shared" si="35"/>
        <v>565.64793617759278</v>
      </c>
      <c r="C469" s="2">
        <f t="shared" si="36"/>
        <v>319957.58770197007</v>
      </c>
      <c r="D469" s="2">
        <v>20699</v>
      </c>
      <c r="E469" s="2">
        <f t="shared" si="37"/>
        <v>2.0699000000000001</v>
      </c>
      <c r="F469" s="2">
        <f t="shared" si="38"/>
        <v>-1.3099559833506724</v>
      </c>
      <c r="G469" s="2">
        <f t="shared" si="39"/>
        <v>1.7159846783162271</v>
      </c>
    </row>
    <row r="470" spans="1:7" x14ac:dyDescent="0.35">
      <c r="A470" s="2">
        <v>1904</v>
      </c>
      <c r="B470" s="2">
        <f t="shared" si="35"/>
        <v>565.64793617759278</v>
      </c>
      <c r="C470" s="2">
        <f t="shared" si="36"/>
        <v>319957.58770197007</v>
      </c>
      <c r="D470" s="2">
        <v>19164</v>
      </c>
      <c r="E470" s="2">
        <f t="shared" si="37"/>
        <v>1.9164000000000001</v>
      </c>
      <c r="F470" s="2">
        <f t="shared" si="38"/>
        <v>-1.4634559833506724</v>
      </c>
      <c r="G470" s="2">
        <f t="shared" si="39"/>
        <v>2.1417034152048835</v>
      </c>
    </row>
    <row r="471" spans="1:7" x14ac:dyDescent="0.35">
      <c r="A471" s="2">
        <v>1904</v>
      </c>
      <c r="B471" s="2">
        <f t="shared" si="35"/>
        <v>565.64793617759278</v>
      </c>
      <c r="C471" s="2">
        <f t="shared" si="36"/>
        <v>319957.58770197007</v>
      </c>
      <c r="D471" s="2">
        <v>19773</v>
      </c>
      <c r="E471" s="2">
        <f t="shared" si="37"/>
        <v>1.9773000000000001</v>
      </c>
      <c r="F471" s="2">
        <f t="shared" si="38"/>
        <v>-1.4025559833506724</v>
      </c>
      <c r="G471" s="2">
        <f t="shared" si="39"/>
        <v>1.9671632864327717</v>
      </c>
    </row>
    <row r="472" spans="1:7" x14ac:dyDescent="0.35">
      <c r="A472" s="2">
        <v>1904</v>
      </c>
      <c r="B472" s="2">
        <f t="shared" si="35"/>
        <v>565.64793617759278</v>
      </c>
      <c r="C472" s="2">
        <f t="shared" si="36"/>
        <v>319957.58770197007</v>
      </c>
      <c r="D472" s="2">
        <v>24793</v>
      </c>
      <c r="E472" s="2">
        <f t="shared" si="37"/>
        <v>2.4792999999999998</v>
      </c>
      <c r="F472" s="2">
        <f t="shared" si="38"/>
        <v>-0.90055598335067266</v>
      </c>
      <c r="G472" s="2">
        <f t="shared" si="39"/>
        <v>0.81100107914869701</v>
      </c>
    </row>
    <row r="473" spans="1:7" x14ac:dyDescent="0.35">
      <c r="A473" s="2">
        <v>1904</v>
      </c>
      <c r="B473" s="2">
        <f t="shared" si="35"/>
        <v>565.64793617759278</v>
      </c>
      <c r="C473" s="2">
        <f t="shared" si="36"/>
        <v>319957.58770197007</v>
      </c>
      <c r="D473" s="2">
        <v>24893</v>
      </c>
      <c r="E473" s="2">
        <f t="shared" si="37"/>
        <v>2.4893000000000001</v>
      </c>
      <c r="F473" s="2">
        <f t="shared" si="38"/>
        <v>-0.89055598335067243</v>
      </c>
      <c r="G473" s="2">
        <f t="shared" si="39"/>
        <v>0.79308995948168315</v>
      </c>
    </row>
    <row r="474" spans="1:7" x14ac:dyDescent="0.35">
      <c r="A474" s="2">
        <v>1904</v>
      </c>
      <c r="B474" s="2">
        <f t="shared" si="35"/>
        <v>565.64793617759278</v>
      </c>
      <c r="C474" s="2">
        <f t="shared" si="36"/>
        <v>319957.58770197007</v>
      </c>
      <c r="D474" s="2">
        <v>26216</v>
      </c>
      <c r="E474" s="2">
        <f t="shared" si="37"/>
        <v>2.6215999999999999</v>
      </c>
      <c r="F474" s="2">
        <f t="shared" si="38"/>
        <v>-0.75825598335067257</v>
      </c>
      <c r="G474" s="2">
        <f t="shared" si="39"/>
        <v>0.57495213628709541</v>
      </c>
    </row>
    <row r="475" spans="1:7" x14ac:dyDescent="0.35">
      <c r="A475" s="2">
        <v>1904</v>
      </c>
      <c r="B475" s="2">
        <f t="shared" si="35"/>
        <v>565.64793617759278</v>
      </c>
      <c r="C475" s="2">
        <f t="shared" si="36"/>
        <v>319957.58770197007</v>
      </c>
      <c r="D475" s="2">
        <v>27457</v>
      </c>
      <c r="E475" s="2">
        <f t="shared" si="37"/>
        <v>2.7456999999999998</v>
      </c>
      <c r="F475" s="2">
        <f t="shared" si="38"/>
        <v>-0.63415598335067269</v>
      </c>
      <c r="G475" s="2">
        <f t="shared" si="39"/>
        <v>0.40215381121945865</v>
      </c>
    </row>
    <row r="476" spans="1:7" x14ac:dyDescent="0.35">
      <c r="A476" s="2">
        <v>1904</v>
      </c>
      <c r="B476" s="2">
        <f t="shared" si="35"/>
        <v>565.64793617759278</v>
      </c>
      <c r="C476" s="2">
        <f t="shared" si="36"/>
        <v>319957.58770197007</v>
      </c>
      <c r="D476" s="2">
        <v>28363</v>
      </c>
      <c r="E476" s="2">
        <f t="shared" si="37"/>
        <v>2.8363</v>
      </c>
      <c r="F476" s="2">
        <f t="shared" si="38"/>
        <v>-0.54355598335067246</v>
      </c>
      <c r="G476" s="2">
        <f t="shared" si="39"/>
        <v>0.2954531070363165</v>
      </c>
    </row>
    <row r="477" spans="1:7" x14ac:dyDescent="0.35">
      <c r="A477" s="2">
        <v>1904</v>
      </c>
      <c r="B477" s="2">
        <f t="shared" si="35"/>
        <v>565.64793617759278</v>
      </c>
      <c r="C477" s="2">
        <f t="shared" si="36"/>
        <v>319957.58770197007</v>
      </c>
      <c r="D477" s="2">
        <v>29697</v>
      </c>
      <c r="E477" s="2">
        <f t="shared" si="37"/>
        <v>2.9697</v>
      </c>
      <c r="F477" s="2">
        <f t="shared" si="38"/>
        <v>-0.41015598335067249</v>
      </c>
      <c r="G477" s="2">
        <f t="shared" si="39"/>
        <v>0.16822793067835712</v>
      </c>
    </row>
    <row r="478" spans="1:7" x14ac:dyDescent="0.35">
      <c r="A478" s="2">
        <v>1904</v>
      </c>
      <c r="B478" s="2">
        <f t="shared" si="35"/>
        <v>565.64793617759278</v>
      </c>
      <c r="C478" s="2">
        <f t="shared" si="36"/>
        <v>319957.58770197007</v>
      </c>
      <c r="D478" s="2">
        <v>29574</v>
      </c>
      <c r="E478" s="2">
        <f t="shared" si="37"/>
        <v>2.9573999999999998</v>
      </c>
      <c r="F478" s="2">
        <f t="shared" si="38"/>
        <v>-0.42245598335067269</v>
      </c>
      <c r="G478" s="2">
        <f t="shared" si="39"/>
        <v>0.17846905786878384</v>
      </c>
    </row>
    <row r="479" spans="1:7" x14ac:dyDescent="0.35">
      <c r="A479" s="2">
        <v>1904</v>
      </c>
      <c r="B479" s="2">
        <f t="shared" si="35"/>
        <v>565.64793617759278</v>
      </c>
      <c r="C479" s="2">
        <f t="shared" si="36"/>
        <v>319957.58770197007</v>
      </c>
      <c r="D479" s="2">
        <v>30892</v>
      </c>
      <c r="E479" s="2">
        <f t="shared" si="37"/>
        <v>3.0891999999999999</v>
      </c>
      <c r="F479" s="2">
        <f t="shared" si="38"/>
        <v>-0.29065598335067255</v>
      </c>
      <c r="G479" s="2">
        <f t="shared" si="39"/>
        <v>8.4480900657546446E-2</v>
      </c>
    </row>
    <row r="480" spans="1:7" x14ac:dyDescent="0.35">
      <c r="A480" s="2">
        <v>1904</v>
      </c>
      <c r="B480" s="2">
        <f t="shared" si="35"/>
        <v>565.64793617759278</v>
      </c>
      <c r="C480" s="2">
        <f t="shared" si="36"/>
        <v>319957.58770197007</v>
      </c>
      <c r="D480" s="2">
        <v>31675</v>
      </c>
      <c r="E480" s="2">
        <f t="shared" si="37"/>
        <v>3.1675</v>
      </c>
      <c r="F480" s="2">
        <f t="shared" si="38"/>
        <v>-0.21235598335067252</v>
      </c>
      <c r="G480" s="2">
        <f t="shared" si="39"/>
        <v>4.5095063664831105E-2</v>
      </c>
    </row>
    <row r="481" spans="1:7" x14ac:dyDescent="0.35">
      <c r="A481" s="2">
        <v>1904</v>
      </c>
      <c r="B481" s="2">
        <f t="shared" si="35"/>
        <v>565.64793617759278</v>
      </c>
      <c r="C481" s="2">
        <f t="shared" si="36"/>
        <v>319957.58770197007</v>
      </c>
      <c r="D481" s="2">
        <v>32639</v>
      </c>
      <c r="E481" s="2">
        <f t="shared" si="37"/>
        <v>3.2639</v>
      </c>
      <c r="F481" s="2">
        <f t="shared" si="38"/>
        <v>-0.11595598335067248</v>
      </c>
      <c r="G481" s="2">
        <f t="shared" si="39"/>
        <v>1.3445790074821433E-2</v>
      </c>
    </row>
    <row r="482" spans="1:7" x14ac:dyDescent="0.35">
      <c r="A482" s="2">
        <v>1904</v>
      </c>
      <c r="B482" s="2">
        <f t="shared" si="35"/>
        <v>565.64793617759278</v>
      </c>
      <c r="C482" s="2">
        <f t="shared" si="36"/>
        <v>319957.58770197007</v>
      </c>
      <c r="D482" s="2">
        <v>33398</v>
      </c>
      <c r="E482" s="2">
        <f t="shared" si="37"/>
        <v>3.3397999999999999</v>
      </c>
      <c r="F482" s="2">
        <f t="shared" si="38"/>
        <v>-4.0055983350672619E-2</v>
      </c>
      <c r="G482" s="2">
        <f t="shared" si="39"/>
        <v>1.6044818021893621E-3</v>
      </c>
    </row>
    <row r="483" spans="1:7" x14ac:dyDescent="0.35">
      <c r="A483" s="2">
        <v>1904</v>
      </c>
      <c r="B483" s="2">
        <f t="shared" si="35"/>
        <v>565.64793617759278</v>
      </c>
      <c r="C483" s="2">
        <f t="shared" si="36"/>
        <v>319957.58770197007</v>
      </c>
      <c r="D483" s="2">
        <v>34277</v>
      </c>
      <c r="E483" s="2">
        <f t="shared" si="37"/>
        <v>3.4277000000000002</v>
      </c>
      <c r="F483" s="2">
        <f t="shared" si="38"/>
        <v>4.7844016649327692E-2</v>
      </c>
      <c r="G483" s="2">
        <f t="shared" si="39"/>
        <v>2.2890499291411456E-3</v>
      </c>
    </row>
    <row r="484" spans="1:7" x14ac:dyDescent="0.35">
      <c r="A484" s="2">
        <v>1604</v>
      </c>
      <c r="B484" s="2">
        <f t="shared" si="35"/>
        <v>265.64793617759278</v>
      </c>
      <c r="C484" s="2">
        <f t="shared" si="36"/>
        <v>70568.825995414401</v>
      </c>
      <c r="D484" s="2">
        <v>47375</v>
      </c>
      <c r="E484" s="2">
        <f t="shared" si="37"/>
        <v>4.7374999999999998</v>
      </c>
      <c r="F484" s="2">
        <f t="shared" si="38"/>
        <v>1.3576440166493273</v>
      </c>
      <c r="G484" s="2">
        <f t="shared" si="39"/>
        <v>1.843197275943719</v>
      </c>
    </row>
    <row r="485" spans="1:7" x14ac:dyDescent="0.35">
      <c r="A485" s="2">
        <v>1604</v>
      </c>
      <c r="B485" s="2">
        <f t="shared" si="35"/>
        <v>265.64793617759278</v>
      </c>
      <c r="C485" s="2">
        <f t="shared" si="36"/>
        <v>70568.825995414401</v>
      </c>
      <c r="D485" s="2">
        <v>45000</v>
      </c>
      <c r="E485" s="2">
        <f t="shared" si="37"/>
        <v>4.5</v>
      </c>
      <c r="F485" s="2">
        <f t="shared" si="38"/>
        <v>1.1201440166493275</v>
      </c>
      <c r="G485" s="2">
        <f t="shared" si="39"/>
        <v>1.2547226180352888</v>
      </c>
    </row>
    <row r="486" spans="1:7" x14ac:dyDescent="0.35">
      <c r="A486" s="2">
        <v>1604</v>
      </c>
      <c r="B486" s="2">
        <f t="shared" si="35"/>
        <v>265.64793617759278</v>
      </c>
      <c r="C486" s="2">
        <f t="shared" si="36"/>
        <v>70568.825995414401</v>
      </c>
      <c r="D486" s="2">
        <v>43400</v>
      </c>
      <c r="E486" s="2">
        <f t="shared" si="37"/>
        <v>4.34</v>
      </c>
      <c r="F486" s="2">
        <f t="shared" si="38"/>
        <v>0.96014401664932736</v>
      </c>
      <c r="G486" s="2">
        <f t="shared" si="39"/>
        <v>0.9218765327075038</v>
      </c>
    </row>
    <row r="487" spans="1:7" x14ac:dyDescent="0.35">
      <c r="A487" s="2">
        <v>1604</v>
      </c>
      <c r="B487" s="2">
        <f t="shared" si="35"/>
        <v>265.64793617759278</v>
      </c>
      <c r="C487" s="2">
        <f t="shared" si="36"/>
        <v>70568.825995414401</v>
      </c>
      <c r="D487" s="2">
        <v>54668</v>
      </c>
      <c r="E487" s="2">
        <f t="shared" si="37"/>
        <v>5.4668000000000001</v>
      </c>
      <c r="F487" s="2">
        <f t="shared" si="38"/>
        <v>2.0869440166493276</v>
      </c>
      <c r="G487" s="2">
        <f t="shared" si="39"/>
        <v>4.3553353286284286</v>
      </c>
    </row>
    <row r="488" spans="1:7" x14ac:dyDescent="0.35">
      <c r="A488" s="2">
        <v>1604</v>
      </c>
      <c r="B488" s="2">
        <f t="shared" si="35"/>
        <v>265.64793617759278</v>
      </c>
      <c r="C488" s="2">
        <f t="shared" si="36"/>
        <v>70568.825995414401</v>
      </c>
      <c r="D488" s="2">
        <v>49999</v>
      </c>
      <c r="E488" s="2">
        <f t="shared" si="37"/>
        <v>4.9999000000000002</v>
      </c>
      <c r="F488" s="2">
        <f t="shared" si="38"/>
        <v>1.6200440166493277</v>
      </c>
      <c r="G488" s="2">
        <f t="shared" si="39"/>
        <v>2.6245426158812872</v>
      </c>
    </row>
    <row r="489" spans="1:7" x14ac:dyDescent="0.35">
      <c r="A489" s="2">
        <v>1604</v>
      </c>
      <c r="B489" s="2">
        <f t="shared" si="35"/>
        <v>265.64793617759278</v>
      </c>
      <c r="C489" s="2">
        <f t="shared" si="36"/>
        <v>70568.825995414401</v>
      </c>
      <c r="D489" s="2">
        <v>36400</v>
      </c>
      <c r="E489" s="2">
        <f t="shared" si="37"/>
        <v>3.64</v>
      </c>
      <c r="F489" s="2">
        <f t="shared" si="38"/>
        <v>0.26014401664932763</v>
      </c>
      <c r="G489" s="2">
        <f t="shared" si="39"/>
        <v>6.7674909398445643E-2</v>
      </c>
    </row>
    <row r="490" spans="1:7" x14ac:dyDescent="0.35">
      <c r="A490" s="2">
        <v>1604</v>
      </c>
      <c r="B490" s="2">
        <f t="shared" si="35"/>
        <v>265.64793617759278</v>
      </c>
      <c r="C490" s="2">
        <f t="shared" si="36"/>
        <v>70568.825995414401</v>
      </c>
      <c r="D490" s="2">
        <v>35000</v>
      </c>
      <c r="E490" s="2">
        <f t="shared" si="37"/>
        <v>3.5</v>
      </c>
      <c r="F490" s="2">
        <f t="shared" si="38"/>
        <v>0.1201440166493275</v>
      </c>
      <c r="G490" s="2">
        <f t="shared" si="39"/>
        <v>1.4434584736633884E-2</v>
      </c>
    </row>
    <row r="491" spans="1:7" x14ac:dyDescent="0.35">
      <c r="A491" s="2">
        <v>1604</v>
      </c>
      <c r="B491" s="2">
        <f t="shared" si="35"/>
        <v>265.64793617759278</v>
      </c>
      <c r="C491" s="2">
        <f t="shared" si="36"/>
        <v>70568.825995414401</v>
      </c>
      <c r="D491" s="2">
        <v>29000</v>
      </c>
      <c r="E491" s="2">
        <f t="shared" si="37"/>
        <v>2.9</v>
      </c>
      <c r="F491" s="2">
        <f t="shared" si="38"/>
        <v>-0.47985598335067259</v>
      </c>
      <c r="G491" s="2">
        <f t="shared" si="39"/>
        <v>0.23026176475744098</v>
      </c>
    </row>
    <row r="492" spans="1:7" x14ac:dyDescent="0.35">
      <c r="A492" s="2">
        <v>1604</v>
      </c>
      <c r="B492" s="2">
        <f t="shared" si="35"/>
        <v>265.64793617759278</v>
      </c>
      <c r="C492" s="2">
        <f t="shared" si="36"/>
        <v>70568.825995414401</v>
      </c>
      <c r="D492" s="2">
        <v>31423</v>
      </c>
      <c r="E492" s="2">
        <f t="shared" si="37"/>
        <v>3.1423000000000001</v>
      </c>
      <c r="F492" s="2">
        <f t="shared" si="38"/>
        <v>-0.23755598335067241</v>
      </c>
      <c r="G492" s="2">
        <f t="shared" si="39"/>
        <v>5.6432845225704943E-2</v>
      </c>
    </row>
    <row r="493" spans="1:7" x14ac:dyDescent="0.35">
      <c r="A493" s="2">
        <v>1604</v>
      </c>
      <c r="B493" s="2">
        <f t="shared" si="35"/>
        <v>265.64793617759278</v>
      </c>
      <c r="C493" s="2">
        <f t="shared" si="36"/>
        <v>70568.825995414401</v>
      </c>
      <c r="D493" s="2">
        <v>31307</v>
      </c>
      <c r="E493" s="2">
        <f t="shared" si="37"/>
        <v>3.1307</v>
      </c>
      <c r="F493" s="2">
        <f t="shared" si="38"/>
        <v>-0.24915598335067246</v>
      </c>
      <c r="G493" s="2">
        <f t="shared" si="39"/>
        <v>6.2078704039440574E-2</v>
      </c>
    </row>
    <row r="494" spans="1:7" x14ac:dyDescent="0.35">
      <c r="A494" s="2">
        <v>1604</v>
      </c>
      <c r="B494" s="2">
        <f t="shared" si="35"/>
        <v>265.64793617759278</v>
      </c>
      <c r="C494" s="2">
        <f t="shared" si="36"/>
        <v>70568.825995414401</v>
      </c>
      <c r="D494" s="2">
        <v>31391</v>
      </c>
      <c r="E494" s="2">
        <f t="shared" si="37"/>
        <v>3.1391</v>
      </c>
      <c r="F494" s="2">
        <f t="shared" si="38"/>
        <v>-0.2407559833506725</v>
      </c>
      <c r="G494" s="2">
        <f t="shared" si="39"/>
        <v>5.7963443519149296E-2</v>
      </c>
    </row>
    <row r="495" spans="1:7" x14ac:dyDescent="0.35">
      <c r="A495" s="2">
        <v>1604</v>
      </c>
      <c r="B495" s="2">
        <f t="shared" si="35"/>
        <v>265.64793617759278</v>
      </c>
      <c r="C495" s="2">
        <f t="shared" si="36"/>
        <v>70568.825995414401</v>
      </c>
      <c r="D495" s="2">
        <v>33636</v>
      </c>
      <c r="E495" s="2">
        <f t="shared" si="37"/>
        <v>3.3635999999999999</v>
      </c>
      <c r="F495" s="2">
        <f t="shared" si="38"/>
        <v>-1.6255983350672576E-2</v>
      </c>
      <c r="G495" s="2">
        <f t="shared" si="39"/>
        <v>2.6425699469734401E-4</v>
      </c>
    </row>
    <row r="496" spans="1:7" x14ac:dyDescent="0.35">
      <c r="A496" s="2">
        <v>1604</v>
      </c>
      <c r="B496" s="2">
        <f t="shared" si="35"/>
        <v>265.64793617759278</v>
      </c>
      <c r="C496" s="2">
        <f t="shared" si="36"/>
        <v>70568.825995414401</v>
      </c>
      <c r="D496" s="2">
        <v>35467</v>
      </c>
      <c r="E496" s="2">
        <f t="shared" si="37"/>
        <v>3.5467</v>
      </c>
      <c r="F496" s="2">
        <f t="shared" si="38"/>
        <v>0.16684401664932746</v>
      </c>
      <c r="G496" s="2">
        <f t="shared" si="39"/>
        <v>2.7836925891681061E-2</v>
      </c>
    </row>
    <row r="497" spans="1:7" x14ac:dyDescent="0.35">
      <c r="A497" s="2">
        <v>1604</v>
      </c>
      <c r="B497" s="2">
        <f t="shared" si="35"/>
        <v>265.64793617759278</v>
      </c>
      <c r="C497" s="2">
        <f t="shared" si="36"/>
        <v>70568.825995414401</v>
      </c>
      <c r="D497" s="2">
        <v>33095</v>
      </c>
      <c r="E497" s="2">
        <f t="shared" si="37"/>
        <v>3.3094999999999999</v>
      </c>
      <c r="F497" s="2">
        <f t="shared" si="38"/>
        <v>-7.0355983350672613E-2</v>
      </c>
      <c r="G497" s="2">
        <f t="shared" si="39"/>
        <v>4.9499643932401222E-3</v>
      </c>
    </row>
    <row r="498" spans="1:7" x14ac:dyDescent="0.35">
      <c r="A498" s="2">
        <v>1604</v>
      </c>
      <c r="B498" s="2">
        <f t="shared" si="35"/>
        <v>265.64793617759278</v>
      </c>
      <c r="C498" s="2">
        <f t="shared" si="36"/>
        <v>70568.825995414401</v>
      </c>
      <c r="D498" s="2">
        <v>30103</v>
      </c>
      <c r="E498" s="2">
        <f t="shared" si="37"/>
        <v>3.0103</v>
      </c>
      <c r="F498" s="2">
        <f t="shared" si="38"/>
        <v>-0.36955598335067252</v>
      </c>
      <c r="G498" s="2">
        <f t="shared" si="39"/>
        <v>0.13657162483028254</v>
      </c>
    </row>
    <row r="499" spans="1:7" x14ac:dyDescent="0.35">
      <c r="A499" s="2">
        <v>1604</v>
      </c>
      <c r="B499" s="2">
        <f t="shared" si="35"/>
        <v>265.64793617759278</v>
      </c>
      <c r="C499" s="2">
        <f t="shared" si="36"/>
        <v>70568.825995414401</v>
      </c>
      <c r="D499" s="2">
        <v>30242</v>
      </c>
      <c r="E499" s="2">
        <f t="shared" si="37"/>
        <v>3.0242</v>
      </c>
      <c r="F499" s="2">
        <f t="shared" si="38"/>
        <v>-0.3556559833506725</v>
      </c>
      <c r="G499" s="2">
        <f t="shared" si="39"/>
        <v>0.12649117849313382</v>
      </c>
    </row>
    <row r="500" spans="1:7" x14ac:dyDescent="0.35">
      <c r="A500" s="2">
        <v>1604</v>
      </c>
      <c r="B500" s="2">
        <f t="shared" si="35"/>
        <v>265.64793617759278</v>
      </c>
      <c r="C500" s="2">
        <f t="shared" si="36"/>
        <v>70568.825995414401</v>
      </c>
      <c r="D500" s="2">
        <v>11137</v>
      </c>
      <c r="E500" s="2">
        <f t="shared" si="37"/>
        <v>1.1136999999999999</v>
      </c>
      <c r="F500" s="2">
        <f t="shared" si="38"/>
        <v>-2.2661559833506724</v>
      </c>
      <c r="G500" s="2">
        <f t="shared" si="39"/>
        <v>5.135462940876053</v>
      </c>
    </row>
    <row r="501" spans="1:7" x14ac:dyDescent="0.35">
      <c r="A501" s="2">
        <v>1604</v>
      </c>
      <c r="B501" s="2">
        <f t="shared" si="35"/>
        <v>265.64793617759278</v>
      </c>
      <c r="C501" s="2">
        <f t="shared" si="36"/>
        <v>70568.825995414401</v>
      </c>
      <c r="D501" s="2">
        <v>12416</v>
      </c>
      <c r="E501" s="2">
        <f t="shared" si="37"/>
        <v>1.2416</v>
      </c>
      <c r="F501" s="2">
        <f t="shared" si="38"/>
        <v>-2.1382559833506725</v>
      </c>
      <c r="G501" s="2">
        <f t="shared" si="39"/>
        <v>4.572138650334951</v>
      </c>
    </row>
    <row r="502" spans="1:7" x14ac:dyDescent="0.35">
      <c r="A502" s="2">
        <v>1604</v>
      </c>
      <c r="B502" s="2">
        <f t="shared" si="35"/>
        <v>265.64793617759278</v>
      </c>
      <c r="C502" s="2">
        <f t="shared" si="36"/>
        <v>70568.825995414401</v>
      </c>
      <c r="D502" s="2">
        <v>12971</v>
      </c>
      <c r="E502" s="2">
        <f t="shared" si="37"/>
        <v>1.2970999999999999</v>
      </c>
      <c r="F502" s="2">
        <f t="shared" si="38"/>
        <v>-2.0827559833506726</v>
      </c>
      <c r="G502" s="2">
        <f t="shared" si="39"/>
        <v>4.3378724861830271</v>
      </c>
    </row>
    <row r="503" spans="1:7" x14ac:dyDescent="0.35">
      <c r="A503" s="2">
        <v>1604</v>
      </c>
      <c r="B503" s="2">
        <f t="shared" si="35"/>
        <v>265.64793617759278</v>
      </c>
      <c r="C503" s="2">
        <f t="shared" si="36"/>
        <v>70568.825995414401</v>
      </c>
      <c r="D503" s="2">
        <v>12905</v>
      </c>
      <c r="E503" s="2">
        <f t="shared" si="37"/>
        <v>1.2905</v>
      </c>
      <c r="F503" s="2">
        <f t="shared" si="38"/>
        <v>-2.0893559833506723</v>
      </c>
      <c r="G503" s="2">
        <f t="shared" si="39"/>
        <v>4.3654084251632552</v>
      </c>
    </row>
    <row r="504" spans="1:7" x14ac:dyDescent="0.35">
      <c r="A504" s="2">
        <v>1604</v>
      </c>
      <c r="B504" s="2">
        <f t="shared" si="35"/>
        <v>265.64793617759278</v>
      </c>
      <c r="C504" s="2">
        <f t="shared" si="36"/>
        <v>70568.825995414401</v>
      </c>
      <c r="D504" s="2">
        <v>10000</v>
      </c>
      <c r="E504" s="2">
        <f t="shared" si="37"/>
        <v>1</v>
      </c>
      <c r="F504" s="2">
        <f t="shared" si="38"/>
        <v>-2.3798559833506725</v>
      </c>
      <c r="G504" s="2">
        <f t="shared" si="39"/>
        <v>5.6637145014899968</v>
      </c>
    </row>
    <row r="505" spans="1:7" x14ac:dyDescent="0.35">
      <c r="A505" s="2">
        <v>1604</v>
      </c>
      <c r="B505" s="2">
        <f t="shared" si="35"/>
        <v>265.64793617759278</v>
      </c>
      <c r="C505" s="2">
        <f t="shared" si="36"/>
        <v>70568.825995414401</v>
      </c>
      <c r="D505" s="2">
        <v>10000</v>
      </c>
      <c r="E505" s="2">
        <f t="shared" si="37"/>
        <v>1</v>
      </c>
      <c r="F505" s="2">
        <f t="shared" si="38"/>
        <v>-2.3798559833506725</v>
      </c>
      <c r="G505" s="2">
        <f t="shared" si="39"/>
        <v>5.6637145014899968</v>
      </c>
    </row>
    <row r="506" spans="1:7" x14ac:dyDescent="0.35">
      <c r="A506" s="2">
        <v>1604</v>
      </c>
      <c r="B506" s="2">
        <f t="shared" si="35"/>
        <v>265.64793617759278</v>
      </c>
      <c r="C506" s="2">
        <f t="shared" si="36"/>
        <v>70568.825995414401</v>
      </c>
      <c r="D506" s="2">
        <v>27475</v>
      </c>
      <c r="E506" s="2">
        <f t="shared" si="37"/>
        <v>2.7475000000000001</v>
      </c>
      <c r="F506" s="2">
        <f t="shared" si="38"/>
        <v>-0.63235598335067245</v>
      </c>
      <c r="G506" s="2">
        <f t="shared" si="39"/>
        <v>0.39987408967939592</v>
      </c>
    </row>
    <row r="507" spans="1:7" x14ac:dyDescent="0.35">
      <c r="A507" s="2">
        <v>1604</v>
      </c>
      <c r="B507" s="2">
        <f t="shared" si="35"/>
        <v>265.64793617759278</v>
      </c>
      <c r="C507" s="2">
        <f t="shared" si="36"/>
        <v>70568.825995414401</v>
      </c>
      <c r="D507" s="2">
        <v>10936</v>
      </c>
      <c r="E507" s="2">
        <f t="shared" si="37"/>
        <v>1.0935999999999999</v>
      </c>
      <c r="F507" s="2">
        <f t="shared" si="38"/>
        <v>-2.2862559833506726</v>
      </c>
      <c r="G507" s="2">
        <f t="shared" si="39"/>
        <v>5.2269664214067513</v>
      </c>
    </row>
    <row r="508" spans="1:7" x14ac:dyDescent="0.35">
      <c r="A508" s="2">
        <v>1604</v>
      </c>
      <c r="B508" s="2">
        <f t="shared" si="35"/>
        <v>265.64793617759278</v>
      </c>
      <c r="C508" s="2">
        <f t="shared" si="36"/>
        <v>70568.825995414401</v>
      </c>
      <c r="D508" s="2">
        <v>13464</v>
      </c>
      <c r="E508" s="2">
        <f t="shared" si="37"/>
        <v>1.3464</v>
      </c>
      <c r="F508" s="2">
        <f t="shared" si="38"/>
        <v>-2.0334559833506725</v>
      </c>
      <c r="G508" s="2">
        <f t="shared" si="39"/>
        <v>4.1349432362246503</v>
      </c>
    </row>
    <row r="509" spans="1:7" x14ac:dyDescent="0.35">
      <c r="A509" s="2">
        <v>1604</v>
      </c>
      <c r="B509" s="2">
        <f t="shared" si="35"/>
        <v>265.64793617759278</v>
      </c>
      <c r="C509" s="2">
        <f t="shared" si="36"/>
        <v>70568.825995414401</v>
      </c>
      <c r="D509" s="2">
        <v>14217</v>
      </c>
      <c r="E509" s="2">
        <f t="shared" si="37"/>
        <v>1.4217</v>
      </c>
      <c r="F509" s="2">
        <f t="shared" si="38"/>
        <v>-1.9581559833506725</v>
      </c>
      <c r="G509" s="2">
        <f t="shared" si="39"/>
        <v>3.8343748551320394</v>
      </c>
    </row>
    <row r="510" spans="1:7" x14ac:dyDescent="0.35">
      <c r="A510" s="2">
        <v>1604</v>
      </c>
      <c r="B510" s="2">
        <f t="shared" si="35"/>
        <v>265.64793617759278</v>
      </c>
      <c r="C510" s="2">
        <f t="shared" si="36"/>
        <v>70568.825995414401</v>
      </c>
      <c r="D510" s="2">
        <v>11641</v>
      </c>
      <c r="E510" s="2">
        <f t="shared" si="37"/>
        <v>1.1640999999999999</v>
      </c>
      <c r="F510" s="2">
        <f t="shared" si="38"/>
        <v>-2.2157559833506726</v>
      </c>
      <c r="G510" s="2">
        <f t="shared" si="39"/>
        <v>4.9095745777543058</v>
      </c>
    </row>
    <row r="511" spans="1:7" x14ac:dyDescent="0.35">
      <c r="A511" s="2">
        <v>1604</v>
      </c>
      <c r="B511" s="2">
        <f t="shared" si="35"/>
        <v>265.64793617759278</v>
      </c>
      <c r="C511" s="2">
        <f t="shared" si="36"/>
        <v>70568.825995414401</v>
      </c>
      <c r="D511" s="2">
        <v>12076</v>
      </c>
      <c r="E511" s="2">
        <f t="shared" si="37"/>
        <v>1.2076</v>
      </c>
      <c r="F511" s="2">
        <f t="shared" si="38"/>
        <v>-2.1722559833506727</v>
      </c>
      <c r="G511" s="2">
        <f t="shared" si="39"/>
        <v>4.7186960572027985</v>
      </c>
    </row>
    <row r="512" spans="1:7" x14ac:dyDescent="0.35">
      <c r="A512" s="2">
        <v>1604</v>
      </c>
      <c r="B512" s="2">
        <f t="shared" si="35"/>
        <v>265.64793617759278</v>
      </c>
      <c r="C512" s="2">
        <f t="shared" si="36"/>
        <v>70568.825995414401</v>
      </c>
      <c r="D512" s="2">
        <v>12271</v>
      </c>
      <c r="E512" s="2">
        <f t="shared" si="37"/>
        <v>1.2271000000000001</v>
      </c>
      <c r="F512" s="2">
        <f t="shared" si="38"/>
        <v>-2.1527559833506724</v>
      </c>
      <c r="G512" s="2">
        <f t="shared" si="39"/>
        <v>4.6343583238521209</v>
      </c>
    </row>
    <row r="513" spans="1:7" x14ac:dyDescent="0.35">
      <c r="A513" s="2">
        <v>1604</v>
      </c>
      <c r="B513" s="2">
        <f t="shared" si="35"/>
        <v>265.64793617759278</v>
      </c>
      <c r="C513" s="2">
        <f t="shared" si="36"/>
        <v>70568.825995414401</v>
      </c>
      <c r="D513" s="2">
        <v>13011</v>
      </c>
      <c r="E513" s="2">
        <f t="shared" si="37"/>
        <v>1.3010999999999999</v>
      </c>
      <c r="F513" s="2">
        <f t="shared" si="38"/>
        <v>-2.0787559833506726</v>
      </c>
      <c r="G513" s="2">
        <f t="shared" si="39"/>
        <v>4.3212264383162218</v>
      </c>
    </row>
    <row r="514" spans="1:7" x14ac:dyDescent="0.35">
      <c r="A514" s="2">
        <v>1342</v>
      </c>
      <c r="B514" s="2">
        <f t="shared" si="35"/>
        <v>3.6479361775927828</v>
      </c>
      <c r="C514" s="2">
        <f t="shared" si="36"/>
        <v>13.307438355790243</v>
      </c>
      <c r="D514" s="2">
        <v>16839</v>
      </c>
      <c r="E514" s="2">
        <f t="shared" si="37"/>
        <v>1.6839</v>
      </c>
      <c r="F514" s="2">
        <f t="shared" si="38"/>
        <v>-1.6959559833506725</v>
      </c>
      <c r="G514" s="2">
        <f t="shared" si="39"/>
        <v>2.8762666974629467</v>
      </c>
    </row>
    <row r="515" spans="1:7" x14ac:dyDescent="0.35">
      <c r="A515" s="2">
        <v>1342</v>
      </c>
      <c r="B515" s="2">
        <f t="shared" ref="B515:B578" si="40">A515-$J$1</f>
        <v>3.6479361775927828</v>
      </c>
      <c r="C515" s="2">
        <f t="shared" ref="C515:C578" si="41">B515^2</f>
        <v>13.307438355790243</v>
      </c>
      <c r="D515" s="2">
        <v>10693</v>
      </c>
      <c r="E515" s="2">
        <f t="shared" ref="E515:E578" si="42">D515/10000</f>
        <v>1.0692999999999999</v>
      </c>
      <c r="F515" s="2">
        <f t="shared" ref="F515:F578" si="43">E515-$J$2</f>
        <v>-2.3105559833506728</v>
      </c>
      <c r="G515" s="2">
        <f t="shared" ref="G515:G578" si="44">F515^2</f>
        <v>5.3386689521975947</v>
      </c>
    </row>
    <row r="516" spans="1:7" x14ac:dyDescent="0.35">
      <c r="A516" s="2">
        <v>1342</v>
      </c>
      <c r="B516" s="2">
        <f t="shared" si="40"/>
        <v>3.6479361775927828</v>
      </c>
      <c r="C516" s="2">
        <f t="shared" si="41"/>
        <v>13.307438355790243</v>
      </c>
      <c r="D516" s="2">
        <v>11583</v>
      </c>
      <c r="E516" s="2">
        <f t="shared" si="42"/>
        <v>1.1583000000000001</v>
      </c>
      <c r="F516" s="2">
        <f t="shared" si="43"/>
        <v>-2.2215559833506724</v>
      </c>
      <c r="G516" s="2">
        <f t="shared" si="44"/>
        <v>4.9353109871611727</v>
      </c>
    </row>
    <row r="517" spans="1:7" x14ac:dyDescent="0.35">
      <c r="A517" s="2">
        <v>1342</v>
      </c>
      <c r="B517" s="2">
        <f t="shared" si="40"/>
        <v>3.6479361775927828</v>
      </c>
      <c r="C517" s="2">
        <f t="shared" si="41"/>
        <v>13.307438355790243</v>
      </c>
      <c r="D517" s="2">
        <v>15485</v>
      </c>
      <c r="E517" s="2">
        <f t="shared" si="42"/>
        <v>1.5485</v>
      </c>
      <c r="F517" s="2">
        <f t="shared" si="43"/>
        <v>-1.8313559833506725</v>
      </c>
      <c r="G517" s="2">
        <f t="shared" si="44"/>
        <v>3.3538647377543085</v>
      </c>
    </row>
    <row r="518" spans="1:7" x14ac:dyDescent="0.35">
      <c r="A518" s="2">
        <v>1342</v>
      </c>
      <c r="B518" s="2">
        <f t="shared" si="40"/>
        <v>3.6479361775927828</v>
      </c>
      <c r="C518" s="2">
        <f t="shared" si="41"/>
        <v>13.307438355790243</v>
      </c>
      <c r="D518" s="2">
        <v>16729</v>
      </c>
      <c r="E518" s="2">
        <f t="shared" si="42"/>
        <v>1.6729000000000001</v>
      </c>
      <c r="F518" s="2">
        <f t="shared" si="43"/>
        <v>-1.7069559833506724</v>
      </c>
      <c r="G518" s="2">
        <f t="shared" si="44"/>
        <v>2.9136987290966609</v>
      </c>
    </row>
    <row r="519" spans="1:7" x14ac:dyDescent="0.35">
      <c r="A519" s="2">
        <v>1342</v>
      </c>
      <c r="B519" s="2">
        <f t="shared" si="40"/>
        <v>3.6479361775927828</v>
      </c>
      <c r="C519" s="2">
        <f t="shared" si="41"/>
        <v>13.307438355790243</v>
      </c>
      <c r="D519" s="2">
        <v>13375</v>
      </c>
      <c r="E519" s="2">
        <f t="shared" si="42"/>
        <v>1.3374999999999999</v>
      </c>
      <c r="F519" s="2">
        <f t="shared" si="43"/>
        <v>-2.0423559833506726</v>
      </c>
      <c r="G519" s="2">
        <f t="shared" si="44"/>
        <v>4.171217962728293</v>
      </c>
    </row>
    <row r="520" spans="1:7" x14ac:dyDescent="0.35">
      <c r="A520" s="2">
        <v>1342</v>
      </c>
      <c r="B520" s="2">
        <f t="shared" si="40"/>
        <v>3.6479361775927828</v>
      </c>
      <c r="C520" s="2">
        <f t="shared" si="41"/>
        <v>13.307438355790243</v>
      </c>
      <c r="D520" s="2">
        <v>14516</v>
      </c>
      <c r="E520" s="2">
        <f t="shared" si="42"/>
        <v>1.4516</v>
      </c>
      <c r="F520" s="2">
        <f t="shared" si="43"/>
        <v>-1.9282559833506725</v>
      </c>
      <c r="G520" s="2">
        <f t="shared" si="44"/>
        <v>3.7181711373276691</v>
      </c>
    </row>
    <row r="521" spans="1:7" x14ac:dyDescent="0.35">
      <c r="A521" s="2">
        <v>1342</v>
      </c>
      <c r="B521" s="2">
        <f t="shared" si="40"/>
        <v>3.6479361775927828</v>
      </c>
      <c r="C521" s="2">
        <f t="shared" si="41"/>
        <v>13.307438355790243</v>
      </c>
      <c r="D521" s="2">
        <v>14514</v>
      </c>
      <c r="E521" s="2">
        <f t="shared" si="42"/>
        <v>1.4514</v>
      </c>
      <c r="F521" s="2">
        <f t="shared" si="43"/>
        <v>-1.9284559833506725</v>
      </c>
      <c r="G521" s="2">
        <f t="shared" si="44"/>
        <v>3.7189424797210093</v>
      </c>
    </row>
    <row r="522" spans="1:7" x14ac:dyDescent="0.35">
      <c r="A522" s="2">
        <v>1342</v>
      </c>
      <c r="B522" s="2">
        <f t="shared" si="40"/>
        <v>3.6479361775927828</v>
      </c>
      <c r="C522" s="2">
        <f t="shared" si="41"/>
        <v>13.307438355790243</v>
      </c>
      <c r="D522" s="2">
        <v>13201</v>
      </c>
      <c r="E522" s="2">
        <f t="shared" si="42"/>
        <v>1.3201000000000001</v>
      </c>
      <c r="F522" s="2">
        <f t="shared" si="43"/>
        <v>-2.0597559833506724</v>
      </c>
      <c r="G522" s="2">
        <f t="shared" si="44"/>
        <v>4.2425947109488957</v>
      </c>
    </row>
    <row r="523" spans="1:7" x14ac:dyDescent="0.35">
      <c r="A523" s="2">
        <v>1342</v>
      </c>
      <c r="B523" s="2">
        <f t="shared" si="40"/>
        <v>3.6479361775927828</v>
      </c>
      <c r="C523" s="2">
        <f t="shared" si="41"/>
        <v>13.307438355790243</v>
      </c>
      <c r="D523" s="2">
        <v>15214</v>
      </c>
      <c r="E523" s="2">
        <f t="shared" si="42"/>
        <v>1.5214000000000001</v>
      </c>
      <c r="F523" s="2">
        <f t="shared" si="43"/>
        <v>-1.8584559833506724</v>
      </c>
      <c r="G523" s="2">
        <f t="shared" si="44"/>
        <v>3.4538586420519146</v>
      </c>
    </row>
    <row r="524" spans="1:7" x14ac:dyDescent="0.35">
      <c r="A524" s="2">
        <v>1342</v>
      </c>
      <c r="B524" s="2">
        <f t="shared" si="40"/>
        <v>3.6479361775927828</v>
      </c>
      <c r="C524" s="2">
        <f t="shared" si="41"/>
        <v>13.307438355790243</v>
      </c>
      <c r="D524" s="2">
        <v>13200</v>
      </c>
      <c r="E524" s="2">
        <f t="shared" si="42"/>
        <v>1.32</v>
      </c>
      <c r="F524" s="2">
        <f t="shared" si="43"/>
        <v>-2.0598559833506727</v>
      </c>
      <c r="G524" s="2">
        <f t="shared" si="44"/>
        <v>4.243006672145567</v>
      </c>
    </row>
    <row r="525" spans="1:7" x14ac:dyDescent="0.35">
      <c r="A525" s="2">
        <v>1342</v>
      </c>
      <c r="B525" s="2">
        <f t="shared" si="40"/>
        <v>3.6479361775927828</v>
      </c>
      <c r="C525" s="2">
        <f t="shared" si="41"/>
        <v>13.307438355790243</v>
      </c>
      <c r="D525" s="2">
        <v>14167</v>
      </c>
      <c r="E525" s="2">
        <f t="shared" si="42"/>
        <v>1.4167000000000001</v>
      </c>
      <c r="F525" s="2">
        <f t="shared" si="43"/>
        <v>-1.9631559833506724</v>
      </c>
      <c r="G525" s="2">
        <f t="shared" si="44"/>
        <v>3.8539814149655456</v>
      </c>
    </row>
    <row r="526" spans="1:7" x14ac:dyDescent="0.35">
      <c r="A526" s="2">
        <v>1342</v>
      </c>
      <c r="B526" s="2">
        <f t="shared" si="40"/>
        <v>3.6479361775927828</v>
      </c>
      <c r="C526" s="2">
        <f t="shared" si="41"/>
        <v>13.307438355790243</v>
      </c>
      <c r="D526" s="2">
        <v>14231</v>
      </c>
      <c r="E526" s="2">
        <f t="shared" si="42"/>
        <v>1.4231</v>
      </c>
      <c r="F526" s="2">
        <f t="shared" si="43"/>
        <v>-1.9567559833506725</v>
      </c>
      <c r="G526" s="2">
        <f t="shared" si="44"/>
        <v>3.8288939783786571</v>
      </c>
    </row>
    <row r="527" spans="1:7" x14ac:dyDescent="0.35">
      <c r="A527" s="2">
        <v>1342</v>
      </c>
      <c r="B527" s="2">
        <f t="shared" si="40"/>
        <v>3.6479361775927828</v>
      </c>
      <c r="C527" s="2">
        <f t="shared" si="41"/>
        <v>13.307438355790243</v>
      </c>
      <c r="D527" s="2">
        <v>15000</v>
      </c>
      <c r="E527" s="2">
        <f t="shared" si="42"/>
        <v>1.5</v>
      </c>
      <c r="F527" s="2">
        <f t="shared" si="43"/>
        <v>-1.8798559833506725</v>
      </c>
      <c r="G527" s="2">
        <f t="shared" si="44"/>
        <v>3.5338585181393238</v>
      </c>
    </row>
    <row r="528" spans="1:7" x14ac:dyDescent="0.35">
      <c r="A528" s="2">
        <v>1342</v>
      </c>
      <c r="B528" s="2">
        <f t="shared" si="40"/>
        <v>3.6479361775927828</v>
      </c>
      <c r="C528" s="2">
        <f t="shared" si="41"/>
        <v>13.307438355790243</v>
      </c>
      <c r="D528" s="2">
        <v>14903</v>
      </c>
      <c r="E528" s="2">
        <f t="shared" si="42"/>
        <v>1.4903</v>
      </c>
      <c r="F528" s="2">
        <f t="shared" si="43"/>
        <v>-1.8895559833506725</v>
      </c>
      <c r="G528" s="2">
        <f t="shared" si="44"/>
        <v>3.5704218142163269</v>
      </c>
    </row>
    <row r="529" spans="1:7" x14ac:dyDescent="0.35">
      <c r="A529" s="2">
        <v>1342</v>
      </c>
      <c r="B529" s="2">
        <f t="shared" si="40"/>
        <v>3.6479361775927828</v>
      </c>
      <c r="C529" s="2">
        <f t="shared" si="41"/>
        <v>13.307438355790243</v>
      </c>
      <c r="D529" s="2">
        <v>14882</v>
      </c>
      <c r="E529" s="2">
        <f t="shared" si="42"/>
        <v>1.4882</v>
      </c>
      <c r="F529" s="2">
        <f t="shared" si="43"/>
        <v>-1.8916559833506725</v>
      </c>
      <c r="G529" s="2">
        <f t="shared" si="44"/>
        <v>3.5783623593464</v>
      </c>
    </row>
    <row r="530" spans="1:7" x14ac:dyDescent="0.35">
      <c r="A530" s="2">
        <v>1342</v>
      </c>
      <c r="B530" s="2">
        <f t="shared" si="40"/>
        <v>3.6479361775927828</v>
      </c>
      <c r="C530" s="2">
        <f t="shared" si="41"/>
        <v>13.307438355790243</v>
      </c>
      <c r="D530" s="2">
        <v>14891</v>
      </c>
      <c r="E530" s="2">
        <f t="shared" si="42"/>
        <v>1.4891000000000001</v>
      </c>
      <c r="F530" s="2">
        <f t="shared" si="43"/>
        <v>-1.8907559833506724</v>
      </c>
      <c r="G530" s="2">
        <f t="shared" si="44"/>
        <v>3.5749581885763684</v>
      </c>
    </row>
    <row r="531" spans="1:7" x14ac:dyDescent="0.35">
      <c r="A531" s="2">
        <v>1342</v>
      </c>
      <c r="B531" s="2">
        <f t="shared" si="40"/>
        <v>3.6479361775927828</v>
      </c>
      <c r="C531" s="2">
        <f t="shared" si="41"/>
        <v>13.307438355790243</v>
      </c>
      <c r="D531" s="2">
        <v>19938</v>
      </c>
      <c r="E531" s="2">
        <f t="shared" si="42"/>
        <v>1.9938</v>
      </c>
      <c r="F531" s="2">
        <f t="shared" si="43"/>
        <v>-1.3860559833506725</v>
      </c>
      <c r="G531" s="2">
        <f t="shared" si="44"/>
        <v>1.9211511889821997</v>
      </c>
    </row>
    <row r="532" spans="1:7" x14ac:dyDescent="0.35">
      <c r="A532" s="2">
        <v>1342</v>
      </c>
      <c r="B532" s="2">
        <f t="shared" si="40"/>
        <v>3.6479361775927828</v>
      </c>
      <c r="C532" s="2">
        <f t="shared" si="41"/>
        <v>13.307438355790243</v>
      </c>
      <c r="D532" s="2">
        <v>20087</v>
      </c>
      <c r="E532" s="2">
        <f t="shared" si="42"/>
        <v>2.0087000000000002</v>
      </c>
      <c r="F532" s="2">
        <f t="shared" si="43"/>
        <v>-1.3711559833506723</v>
      </c>
      <c r="G532" s="2">
        <f t="shared" si="44"/>
        <v>1.8800687306783492</v>
      </c>
    </row>
    <row r="533" spans="1:7" x14ac:dyDescent="0.35">
      <c r="A533" s="2">
        <v>1342</v>
      </c>
      <c r="B533" s="2">
        <f t="shared" si="40"/>
        <v>3.6479361775927828</v>
      </c>
      <c r="C533" s="2">
        <f t="shared" si="41"/>
        <v>13.307438355790243</v>
      </c>
      <c r="D533" s="2">
        <v>16000</v>
      </c>
      <c r="E533" s="2">
        <f t="shared" si="42"/>
        <v>1.6</v>
      </c>
      <c r="F533" s="2">
        <f t="shared" si="43"/>
        <v>-1.7798559833506724</v>
      </c>
      <c r="G533" s="2">
        <f t="shared" si="44"/>
        <v>3.1678873214691889</v>
      </c>
    </row>
    <row r="534" spans="1:7" x14ac:dyDescent="0.35">
      <c r="A534" s="2">
        <v>1342</v>
      </c>
      <c r="B534" s="2">
        <f t="shared" si="40"/>
        <v>3.6479361775927828</v>
      </c>
      <c r="C534" s="2">
        <f t="shared" si="41"/>
        <v>13.307438355790243</v>
      </c>
      <c r="D534" s="2">
        <v>15000</v>
      </c>
      <c r="E534" s="2">
        <f t="shared" si="42"/>
        <v>1.5</v>
      </c>
      <c r="F534" s="2">
        <f t="shared" si="43"/>
        <v>-1.8798559833506725</v>
      </c>
      <c r="G534" s="2">
        <f t="shared" si="44"/>
        <v>3.5338585181393238</v>
      </c>
    </row>
    <row r="535" spans="1:7" x14ac:dyDescent="0.35">
      <c r="A535" s="2">
        <v>1342</v>
      </c>
      <c r="B535" s="2">
        <f t="shared" si="40"/>
        <v>3.6479361775927828</v>
      </c>
      <c r="C535" s="2">
        <f t="shared" si="41"/>
        <v>13.307438355790243</v>
      </c>
      <c r="D535" s="2">
        <v>15000</v>
      </c>
      <c r="E535" s="2">
        <f t="shared" si="42"/>
        <v>1.5</v>
      </c>
      <c r="F535" s="2">
        <f t="shared" si="43"/>
        <v>-1.8798559833506725</v>
      </c>
      <c r="G535" s="2">
        <f t="shared" si="44"/>
        <v>3.5338585181393238</v>
      </c>
    </row>
    <row r="536" spans="1:7" x14ac:dyDescent="0.35">
      <c r="A536" s="2">
        <v>1342</v>
      </c>
      <c r="B536" s="2">
        <f t="shared" si="40"/>
        <v>3.6479361775927828</v>
      </c>
      <c r="C536" s="2">
        <f t="shared" si="41"/>
        <v>13.307438355790243</v>
      </c>
      <c r="D536" s="2">
        <v>15000</v>
      </c>
      <c r="E536" s="2">
        <f t="shared" si="42"/>
        <v>1.5</v>
      </c>
      <c r="F536" s="2">
        <f t="shared" si="43"/>
        <v>-1.8798559833506725</v>
      </c>
      <c r="G536" s="2">
        <f t="shared" si="44"/>
        <v>3.5338585181393238</v>
      </c>
    </row>
    <row r="537" spans="1:7" x14ac:dyDescent="0.35">
      <c r="A537" s="2">
        <v>1342</v>
      </c>
      <c r="B537" s="2">
        <f t="shared" si="40"/>
        <v>3.6479361775927828</v>
      </c>
      <c r="C537" s="2">
        <f t="shared" si="41"/>
        <v>13.307438355790243</v>
      </c>
      <c r="D537" s="2">
        <v>23353</v>
      </c>
      <c r="E537" s="2">
        <f t="shared" si="42"/>
        <v>2.3353000000000002</v>
      </c>
      <c r="F537" s="2">
        <f t="shared" si="43"/>
        <v>-1.0445559833506723</v>
      </c>
      <c r="G537" s="2">
        <f t="shared" si="44"/>
        <v>1.09109720235369</v>
      </c>
    </row>
    <row r="538" spans="1:7" x14ac:dyDescent="0.35">
      <c r="A538" s="2">
        <v>1342</v>
      </c>
      <c r="B538" s="2">
        <f t="shared" si="40"/>
        <v>3.6479361775927828</v>
      </c>
      <c r="C538" s="2">
        <f t="shared" si="41"/>
        <v>13.307438355790243</v>
      </c>
      <c r="D538" s="2">
        <v>16000</v>
      </c>
      <c r="E538" s="2">
        <f t="shared" si="42"/>
        <v>1.6</v>
      </c>
      <c r="F538" s="2">
        <f t="shared" si="43"/>
        <v>-1.7798559833506724</v>
      </c>
      <c r="G538" s="2">
        <f t="shared" si="44"/>
        <v>3.1678873214691889</v>
      </c>
    </row>
    <row r="539" spans="1:7" x14ac:dyDescent="0.35">
      <c r="A539" s="2">
        <v>1342</v>
      </c>
      <c r="B539" s="2">
        <f t="shared" si="40"/>
        <v>3.6479361775927828</v>
      </c>
      <c r="C539" s="2">
        <f t="shared" si="41"/>
        <v>13.307438355790243</v>
      </c>
      <c r="D539" s="2">
        <v>30000</v>
      </c>
      <c r="E539" s="2">
        <f t="shared" si="42"/>
        <v>3</v>
      </c>
      <c r="F539" s="2">
        <f t="shared" si="43"/>
        <v>-0.3798559833506725</v>
      </c>
      <c r="G539" s="2">
        <f t="shared" si="44"/>
        <v>0.14429056808730639</v>
      </c>
    </row>
    <row r="540" spans="1:7" x14ac:dyDescent="0.35">
      <c r="A540" s="2">
        <v>1342</v>
      </c>
      <c r="B540" s="2">
        <f t="shared" si="40"/>
        <v>3.6479361775927828</v>
      </c>
      <c r="C540" s="2">
        <f t="shared" si="41"/>
        <v>13.307438355790243</v>
      </c>
      <c r="D540" s="2">
        <v>18665</v>
      </c>
      <c r="E540" s="2">
        <f t="shared" si="42"/>
        <v>1.8665</v>
      </c>
      <c r="F540" s="2">
        <f t="shared" si="43"/>
        <v>-1.5133559833506725</v>
      </c>
      <c r="G540" s="2">
        <f t="shared" si="44"/>
        <v>2.2902463323432807</v>
      </c>
    </row>
    <row r="541" spans="1:7" x14ac:dyDescent="0.35">
      <c r="A541" s="2">
        <v>1342</v>
      </c>
      <c r="B541" s="2">
        <f t="shared" si="40"/>
        <v>3.6479361775927828</v>
      </c>
      <c r="C541" s="2">
        <f t="shared" si="41"/>
        <v>13.307438355790243</v>
      </c>
      <c r="D541" s="2">
        <v>14000</v>
      </c>
      <c r="E541" s="2">
        <f t="shared" si="42"/>
        <v>1.4</v>
      </c>
      <c r="F541" s="2">
        <f t="shared" si="43"/>
        <v>-1.9798559833506726</v>
      </c>
      <c r="G541" s="2">
        <f t="shared" si="44"/>
        <v>3.9198297148094587</v>
      </c>
    </row>
    <row r="542" spans="1:7" x14ac:dyDescent="0.35">
      <c r="A542" s="2">
        <v>1342</v>
      </c>
      <c r="B542" s="2">
        <f t="shared" si="40"/>
        <v>3.6479361775927828</v>
      </c>
      <c r="C542" s="2">
        <f t="shared" si="41"/>
        <v>13.307438355790243</v>
      </c>
      <c r="D542" s="2">
        <v>14000</v>
      </c>
      <c r="E542" s="2">
        <f t="shared" si="42"/>
        <v>1.4</v>
      </c>
      <c r="F542" s="2">
        <f t="shared" si="43"/>
        <v>-1.9798559833506726</v>
      </c>
      <c r="G542" s="2">
        <f t="shared" si="44"/>
        <v>3.9198297148094587</v>
      </c>
    </row>
    <row r="543" spans="1:7" x14ac:dyDescent="0.35">
      <c r="A543" s="2">
        <v>1342</v>
      </c>
      <c r="B543" s="2">
        <f t="shared" si="40"/>
        <v>3.6479361775927828</v>
      </c>
      <c r="C543" s="2">
        <f t="shared" si="41"/>
        <v>13.307438355790243</v>
      </c>
      <c r="D543" s="2">
        <v>14792</v>
      </c>
      <c r="E543" s="2">
        <f t="shared" si="42"/>
        <v>1.4792000000000001</v>
      </c>
      <c r="F543" s="2">
        <f t="shared" si="43"/>
        <v>-1.9006559833506724</v>
      </c>
      <c r="G543" s="2">
        <f t="shared" si="44"/>
        <v>3.6124931670467118</v>
      </c>
    </row>
    <row r="544" spans="1:7" x14ac:dyDescent="0.35">
      <c r="A544" s="2">
        <v>322</v>
      </c>
      <c r="B544" s="2">
        <f t="shared" si="40"/>
        <v>-1016.3520638224072</v>
      </c>
      <c r="C544" s="2">
        <f t="shared" si="41"/>
        <v>1032971.5176360665</v>
      </c>
      <c r="D544" s="2">
        <v>5287</v>
      </c>
      <c r="E544" s="2">
        <f t="shared" si="42"/>
        <v>0.52869999999999995</v>
      </c>
      <c r="F544" s="2">
        <f t="shared" si="43"/>
        <v>-2.8511559833506723</v>
      </c>
      <c r="G544" s="2">
        <f t="shared" si="44"/>
        <v>8.1290904413963396</v>
      </c>
    </row>
    <row r="545" spans="1:7" x14ac:dyDescent="0.35">
      <c r="A545" s="2">
        <v>322</v>
      </c>
      <c r="B545" s="2">
        <f t="shared" si="40"/>
        <v>-1016.3520638224072</v>
      </c>
      <c r="C545" s="2">
        <f t="shared" si="41"/>
        <v>1032971.5176360665</v>
      </c>
      <c r="D545" s="2">
        <v>8083</v>
      </c>
      <c r="E545" s="2">
        <f t="shared" si="42"/>
        <v>0.80830000000000002</v>
      </c>
      <c r="F545" s="2">
        <f t="shared" si="43"/>
        <v>-2.5715559833506725</v>
      </c>
      <c r="G545" s="2">
        <f t="shared" si="44"/>
        <v>6.6129001755066446</v>
      </c>
    </row>
    <row r="546" spans="1:7" x14ac:dyDescent="0.35">
      <c r="A546" s="2">
        <v>322</v>
      </c>
      <c r="B546" s="2">
        <f t="shared" si="40"/>
        <v>-1016.3520638224072</v>
      </c>
      <c r="C546" s="2">
        <f t="shared" si="41"/>
        <v>1032971.5176360665</v>
      </c>
      <c r="D546" s="2">
        <v>9131</v>
      </c>
      <c r="E546" s="2">
        <f t="shared" si="42"/>
        <v>0.91310000000000002</v>
      </c>
      <c r="F546" s="2">
        <f t="shared" si="43"/>
        <v>-2.4667559833506725</v>
      </c>
      <c r="G546" s="2">
        <f t="shared" si="44"/>
        <v>6.0848850813963429</v>
      </c>
    </row>
    <row r="547" spans="1:7" x14ac:dyDescent="0.35">
      <c r="A547" s="2">
        <v>322</v>
      </c>
      <c r="B547" s="2">
        <f t="shared" si="40"/>
        <v>-1016.3520638224072</v>
      </c>
      <c r="C547" s="2">
        <f t="shared" si="41"/>
        <v>1032971.5176360665</v>
      </c>
      <c r="D547" s="2">
        <v>27888</v>
      </c>
      <c r="E547" s="2">
        <f t="shared" si="42"/>
        <v>2.7888000000000002</v>
      </c>
      <c r="F547" s="2">
        <f t="shared" si="43"/>
        <v>-0.59105598335067233</v>
      </c>
      <c r="G547" s="2">
        <f t="shared" si="44"/>
        <v>0.34934717545463023</v>
      </c>
    </row>
    <row r="548" spans="1:7" x14ac:dyDescent="0.35">
      <c r="A548" s="2">
        <v>322</v>
      </c>
      <c r="B548" s="2">
        <f t="shared" si="40"/>
        <v>-1016.3520638224072</v>
      </c>
      <c r="C548" s="2">
        <f t="shared" si="41"/>
        <v>1032971.5176360665</v>
      </c>
      <c r="D548" s="2">
        <v>17916</v>
      </c>
      <c r="E548" s="2">
        <f t="shared" si="42"/>
        <v>1.7916000000000001</v>
      </c>
      <c r="F548" s="2">
        <f t="shared" si="43"/>
        <v>-1.5882559833506724</v>
      </c>
      <c r="G548" s="2">
        <f t="shared" si="44"/>
        <v>2.5225570686492116</v>
      </c>
    </row>
    <row r="549" spans="1:7" x14ac:dyDescent="0.35">
      <c r="A549" s="2">
        <v>322</v>
      </c>
      <c r="B549" s="2">
        <f t="shared" si="40"/>
        <v>-1016.3520638224072</v>
      </c>
      <c r="C549" s="2">
        <f t="shared" si="41"/>
        <v>1032971.5176360665</v>
      </c>
      <c r="D549" s="2">
        <v>24287</v>
      </c>
      <c r="E549" s="2">
        <f t="shared" si="42"/>
        <v>2.4287000000000001</v>
      </c>
      <c r="F549" s="2">
        <f t="shared" si="43"/>
        <v>-0.95115598335067242</v>
      </c>
      <c r="G549" s="2">
        <f t="shared" si="44"/>
        <v>0.90469770466378463</v>
      </c>
    </row>
    <row r="550" spans="1:7" x14ac:dyDescent="0.35">
      <c r="A550" s="2">
        <v>322</v>
      </c>
      <c r="B550" s="2">
        <f t="shared" si="40"/>
        <v>-1016.3520638224072</v>
      </c>
      <c r="C550" s="2">
        <f t="shared" si="41"/>
        <v>1032971.5176360665</v>
      </c>
      <c r="D550" s="2">
        <v>20265</v>
      </c>
      <c r="E550" s="2">
        <f t="shared" si="42"/>
        <v>2.0265</v>
      </c>
      <c r="F550" s="2">
        <f t="shared" si="43"/>
        <v>-1.3533559833506725</v>
      </c>
      <c r="G550" s="2">
        <f t="shared" si="44"/>
        <v>1.8315724176710659</v>
      </c>
    </row>
    <row r="551" spans="1:7" x14ac:dyDescent="0.35">
      <c r="A551" s="2">
        <v>322</v>
      </c>
      <c r="B551" s="2">
        <f t="shared" si="40"/>
        <v>-1016.3520638224072</v>
      </c>
      <c r="C551" s="2">
        <f t="shared" si="41"/>
        <v>1032971.5176360665</v>
      </c>
      <c r="D551" s="2">
        <v>5586</v>
      </c>
      <c r="E551" s="2">
        <f t="shared" si="42"/>
        <v>0.55859999999999999</v>
      </c>
      <c r="F551" s="2">
        <f t="shared" si="43"/>
        <v>-2.8212559833506727</v>
      </c>
      <c r="G551" s="2">
        <f t="shared" si="44"/>
        <v>7.9594853235919718</v>
      </c>
    </row>
    <row r="552" spans="1:7" x14ac:dyDescent="0.35">
      <c r="A552" s="2">
        <v>322</v>
      </c>
      <c r="B552" s="2">
        <f t="shared" si="40"/>
        <v>-1016.3520638224072</v>
      </c>
      <c r="C552" s="2">
        <f t="shared" si="41"/>
        <v>1032971.5176360665</v>
      </c>
      <c r="D552" s="2">
        <v>17414</v>
      </c>
      <c r="E552" s="2">
        <f t="shared" si="42"/>
        <v>1.7414000000000001</v>
      </c>
      <c r="F552" s="2">
        <f t="shared" si="43"/>
        <v>-1.6384559833506724</v>
      </c>
      <c r="G552" s="2">
        <f t="shared" si="44"/>
        <v>2.684538009377619</v>
      </c>
    </row>
    <row r="553" spans="1:7" x14ac:dyDescent="0.35">
      <c r="A553" s="2">
        <v>322</v>
      </c>
      <c r="B553" s="2">
        <f t="shared" si="40"/>
        <v>-1016.3520638224072</v>
      </c>
      <c r="C553" s="2">
        <f t="shared" si="41"/>
        <v>1032971.5176360665</v>
      </c>
      <c r="D553" s="2">
        <v>11342</v>
      </c>
      <c r="E553" s="2">
        <f t="shared" si="42"/>
        <v>1.1342000000000001</v>
      </c>
      <c r="F553" s="2">
        <f t="shared" si="43"/>
        <v>-2.2456559833506722</v>
      </c>
      <c r="G553" s="2">
        <f t="shared" si="44"/>
        <v>5.0429707955586744</v>
      </c>
    </row>
    <row r="554" spans="1:7" x14ac:dyDescent="0.35">
      <c r="A554" s="2">
        <v>322</v>
      </c>
      <c r="B554" s="2">
        <f t="shared" si="40"/>
        <v>-1016.3520638224072</v>
      </c>
      <c r="C554" s="2">
        <f t="shared" si="41"/>
        <v>1032971.5176360665</v>
      </c>
      <c r="D554" s="2">
        <v>15685</v>
      </c>
      <c r="E554" s="2">
        <f t="shared" si="42"/>
        <v>1.5685</v>
      </c>
      <c r="F554" s="2">
        <f t="shared" si="43"/>
        <v>-1.8113559833506725</v>
      </c>
      <c r="G554" s="2">
        <f t="shared" si="44"/>
        <v>3.2810104984202817</v>
      </c>
    </row>
    <row r="555" spans="1:7" x14ac:dyDescent="0.35">
      <c r="A555" s="2">
        <v>322</v>
      </c>
      <c r="B555" s="2">
        <f t="shared" si="40"/>
        <v>-1016.3520638224072</v>
      </c>
      <c r="C555" s="2">
        <f t="shared" si="41"/>
        <v>1032971.5176360665</v>
      </c>
      <c r="D555" s="2">
        <v>12903</v>
      </c>
      <c r="E555" s="2">
        <f t="shared" si="42"/>
        <v>1.2903</v>
      </c>
      <c r="F555" s="2">
        <f t="shared" si="43"/>
        <v>-2.0895559833506727</v>
      </c>
      <c r="G555" s="2">
        <f t="shared" si="44"/>
        <v>4.3662442075565968</v>
      </c>
    </row>
    <row r="556" spans="1:7" x14ac:dyDescent="0.35">
      <c r="A556" s="2">
        <v>322</v>
      </c>
      <c r="B556" s="2">
        <f t="shared" si="40"/>
        <v>-1016.3520638224072</v>
      </c>
      <c r="C556" s="2">
        <f t="shared" si="41"/>
        <v>1032971.5176360665</v>
      </c>
      <c r="D556" s="2">
        <v>13125</v>
      </c>
      <c r="E556" s="2">
        <f t="shared" si="42"/>
        <v>1.3125</v>
      </c>
      <c r="F556" s="2">
        <f t="shared" si="43"/>
        <v>-2.0673559833506725</v>
      </c>
      <c r="G556" s="2">
        <f t="shared" si="44"/>
        <v>4.2739607618958262</v>
      </c>
    </row>
    <row r="557" spans="1:7" x14ac:dyDescent="0.35">
      <c r="A557" s="2">
        <v>322</v>
      </c>
      <c r="B557" s="2">
        <f t="shared" si="40"/>
        <v>-1016.3520638224072</v>
      </c>
      <c r="C557" s="2">
        <f t="shared" si="41"/>
        <v>1032971.5176360665</v>
      </c>
      <c r="D557" s="2">
        <v>17421</v>
      </c>
      <c r="E557" s="2">
        <f t="shared" si="42"/>
        <v>1.7421</v>
      </c>
      <c r="F557" s="2">
        <f t="shared" si="43"/>
        <v>-1.6377559833506725</v>
      </c>
      <c r="G557" s="2">
        <f t="shared" si="44"/>
        <v>2.6822446610009285</v>
      </c>
    </row>
    <row r="558" spans="1:7" x14ac:dyDescent="0.35">
      <c r="A558" s="2">
        <v>322</v>
      </c>
      <c r="B558" s="2">
        <f t="shared" si="40"/>
        <v>-1016.3520638224072</v>
      </c>
      <c r="C558" s="2">
        <f t="shared" si="41"/>
        <v>1032971.5176360665</v>
      </c>
      <c r="D558" s="2">
        <v>10341</v>
      </c>
      <c r="E558" s="2">
        <f t="shared" si="42"/>
        <v>1.0341</v>
      </c>
      <c r="F558" s="2">
        <f t="shared" si="43"/>
        <v>-2.3457559833506725</v>
      </c>
      <c r="G558" s="2">
        <f t="shared" si="44"/>
        <v>5.5025711334254801</v>
      </c>
    </row>
    <row r="559" spans="1:7" x14ac:dyDescent="0.35">
      <c r="A559" s="2">
        <v>322</v>
      </c>
      <c r="B559" s="2">
        <f t="shared" si="40"/>
        <v>-1016.3520638224072</v>
      </c>
      <c r="C559" s="2">
        <f t="shared" si="41"/>
        <v>1032971.5176360665</v>
      </c>
      <c r="D559" s="2">
        <v>12868</v>
      </c>
      <c r="E559" s="2">
        <f t="shared" si="42"/>
        <v>1.2867999999999999</v>
      </c>
      <c r="F559" s="2">
        <f t="shared" si="43"/>
        <v>-2.0930559833506726</v>
      </c>
      <c r="G559" s="2">
        <f t="shared" si="44"/>
        <v>4.380883349440051</v>
      </c>
    </row>
    <row r="560" spans="1:7" x14ac:dyDescent="0.35">
      <c r="A560" s="2">
        <v>322</v>
      </c>
      <c r="B560" s="2">
        <f t="shared" si="40"/>
        <v>-1016.3520638224072</v>
      </c>
      <c r="C560" s="2">
        <f t="shared" si="41"/>
        <v>1032971.5176360665</v>
      </c>
      <c r="D560" s="2">
        <v>12994</v>
      </c>
      <c r="E560" s="2">
        <f t="shared" si="42"/>
        <v>1.2994000000000001</v>
      </c>
      <c r="F560" s="2">
        <f t="shared" si="43"/>
        <v>-2.0804559833506726</v>
      </c>
      <c r="G560" s="2">
        <f t="shared" si="44"/>
        <v>4.3282970986596139</v>
      </c>
    </row>
    <row r="561" spans="1:7" x14ac:dyDescent="0.35">
      <c r="A561" s="2">
        <v>322</v>
      </c>
      <c r="B561" s="2">
        <f t="shared" si="40"/>
        <v>-1016.3520638224072</v>
      </c>
      <c r="C561" s="2">
        <f t="shared" si="41"/>
        <v>1032971.5176360665</v>
      </c>
      <c r="D561" s="2">
        <v>9705</v>
      </c>
      <c r="E561" s="2">
        <f t="shared" si="42"/>
        <v>0.97050000000000003</v>
      </c>
      <c r="F561" s="2">
        <f t="shared" si="43"/>
        <v>-2.4093559833506726</v>
      </c>
      <c r="G561" s="2">
        <f t="shared" si="44"/>
        <v>5.8049962545076861</v>
      </c>
    </row>
    <row r="562" spans="1:7" x14ac:dyDescent="0.35">
      <c r="A562" s="2">
        <v>322</v>
      </c>
      <c r="B562" s="2">
        <f t="shared" si="40"/>
        <v>-1016.3520638224072</v>
      </c>
      <c r="C562" s="2">
        <f t="shared" si="41"/>
        <v>1032971.5176360665</v>
      </c>
      <c r="D562" s="2">
        <v>13264</v>
      </c>
      <c r="E562" s="2">
        <f t="shared" si="42"/>
        <v>1.3264</v>
      </c>
      <c r="F562" s="2">
        <f t="shared" si="43"/>
        <v>-2.0534559833506725</v>
      </c>
      <c r="G562" s="2">
        <f t="shared" si="44"/>
        <v>4.2166814755586772</v>
      </c>
    </row>
    <row r="563" spans="1:7" x14ac:dyDescent="0.35">
      <c r="A563" s="2">
        <v>322</v>
      </c>
      <c r="B563" s="2">
        <f t="shared" si="40"/>
        <v>-1016.3520638224072</v>
      </c>
      <c r="C563" s="2">
        <f t="shared" si="41"/>
        <v>1032971.5176360665</v>
      </c>
      <c r="D563" s="2">
        <v>10263</v>
      </c>
      <c r="E563" s="2">
        <f t="shared" si="42"/>
        <v>1.0263</v>
      </c>
      <c r="F563" s="2">
        <f t="shared" si="43"/>
        <v>-2.3535559833506725</v>
      </c>
      <c r="G563" s="2">
        <f t="shared" si="44"/>
        <v>5.5392257667657514</v>
      </c>
    </row>
    <row r="564" spans="1:7" x14ac:dyDescent="0.35">
      <c r="A564" s="2">
        <v>322</v>
      </c>
      <c r="B564" s="2">
        <f t="shared" si="40"/>
        <v>-1016.3520638224072</v>
      </c>
      <c r="C564" s="2">
        <f t="shared" si="41"/>
        <v>1032971.5176360665</v>
      </c>
      <c r="D564" s="2">
        <v>12486</v>
      </c>
      <c r="E564" s="2">
        <f t="shared" si="42"/>
        <v>1.2485999999999999</v>
      </c>
      <c r="F564" s="2">
        <f t="shared" si="43"/>
        <v>-2.1312559833506723</v>
      </c>
      <c r="G564" s="2">
        <f t="shared" si="44"/>
        <v>4.5422520665680413</v>
      </c>
    </row>
    <row r="565" spans="1:7" x14ac:dyDescent="0.35">
      <c r="A565" s="2">
        <v>322</v>
      </c>
      <c r="B565" s="2">
        <f t="shared" si="40"/>
        <v>-1016.3520638224072</v>
      </c>
      <c r="C565" s="2">
        <f t="shared" si="41"/>
        <v>1032971.5176360665</v>
      </c>
      <c r="D565" s="2">
        <v>15696</v>
      </c>
      <c r="E565" s="2">
        <f t="shared" si="42"/>
        <v>1.5696000000000001</v>
      </c>
      <c r="F565" s="2">
        <f t="shared" si="43"/>
        <v>-1.8102559833506724</v>
      </c>
      <c r="G565" s="2">
        <f t="shared" si="44"/>
        <v>3.2770267252569099</v>
      </c>
    </row>
    <row r="566" spans="1:7" x14ac:dyDescent="0.35">
      <c r="A566" s="2">
        <v>322</v>
      </c>
      <c r="B566" s="2">
        <f t="shared" si="40"/>
        <v>-1016.3520638224072</v>
      </c>
      <c r="C566" s="2">
        <f t="shared" si="41"/>
        <v>1032971.5176360665</v>
      </c>
      <c r="D566" s="2">
        <v>10481</v>
      </c>
      <c r="E566" s="2">
        <f t="shared" si="42"/>
        <v>1.0481</v>
      </c>
      <c r="F566" s="2">
        <f t="shared" si="43"/>
        <v>-2.3317559833506722</v>
      </c>
      <c r="G566" s="2">
        <f t="shared" si="44"/>
        <v>5.4370859658916606</v>
      </c>
    </row>
    <row r="567" spans="1:7" x14ac:dyDescent="0.35">
      <c r="A567" s="2">
        <v>322</v>
      </c>
      <c r="B567" s="2">
        <f t="shared" si="40"/>
        <v>-1016.3520638224072</v>
      </c>
      <c r="C567" s="2">
        <f t="shared" si="41"/>
        <v>1032971.5176360665</v>
      </c>
      <c r="D567" s="2">
        <v>13415</v>
      </c>
      <c r="E567" s="2">
        <f t="shared" si="42"/>
        <v>1.3414999999999999</v>
      </c>
      <c r="F567" s="2">
        <f t="shared" si="43"/>
        <v>-2.0383559833506726</v>
      </c>
      <c r="G567" s="2">
        <f t="shared" si="44"/>
        <v>4.1548951148614872</v>
      </c>
    </row>
    <row r="568" spans="1:7" x14ac:dyDescent="0.35">
      <c r="A568" s="2">
        <v>322</v>
      </c>
      <c r="B568" s="2">
        <f t="shared" si="40"/>
        <v>-1016.3520638224072</v>
      </c>
      <c r="C568" s="2">
        <f t="shared" si="41"/>
        <v>1032971.5176360665</v>
      </c>
      <c r="D568" s="2">
        <v>14296</v>
      </c>
      <c r="E568" s="2">
        <f t="shared" si="42"/>
        <v>1.4296</v>
      </c>
      <c r="F568" s="2">
        <f t="shared" si="43"/>
        <v>-1.9502559833506725</v>
      </c>
      <c r="G568" s="2">
        <f t="shared" si="44"/>
        <v>3.8034984005950987</v>
      </c>
    </row>
    <row r="569" spans="1:7" x14ac:dyDescent="0.35">
      <c r="A569" s="2">
        <v>322</v>
      </c>
      <c r="B569" s="2">
        <f t="shared" si="40"/>
        <v>-1016.3520638224072</v>
      </c>
      <c r="C569" s="2">
        <f t="shared" si="41"/>
        <v>1032971.5176360665</v>
      </c>
      <c r="D569" s="2">
        <v>12978</v>
      </c>
      <c r="E569" s="2">
        <f t="shared" si="42"/>
        <v>1.2978000000000001</v>
      </c>
      <c r="F569" s="2">
        <f t="shared" si="43"/>
        <v>-2.0820559833506724</v>
      </c>
      <c r="G569" s="2">
        <f t="shared" si="44"/>
        <v>4.3349571178063355</v>
      </c>
    </row>
    <row r="570" spans="1:7" x14ac:dyDescent="0.35">
      <c r="A570" s="2">
        <v>322</v>
      </c>
      <c r="B570" s="2">
        <f t="shared" si="40"/>
        <v>-1016.3520638224072</v>
      </c>
      <c r="C570" s="2">
        <f t="shared" si="41"/>
        <v>1032971.5176360665</v>
      </c>
      <c r="D570" s="2">
        <v>17377</v>
      </c>
      <c r="E570" s="2">
        <f t="shared" si="42"/>
        <v>1.7377</v>
      </c>
      <c r="F570" s="2">
        <f t="shared" si="43"/>
        <v>-1.6421559833506725</v>
      </c>
      <c r="G570" s="2">
        <f t="shared" si="44"/>
        <v>2.6966762736544143</v>
      </c>
    </row>
    <row r="571" spans="1:7" x14ac:dyDescent="0.35">
      <c r="A571" s="2">
        <v>322</v>
      </c>
      <c r="B571" s="2">
        <f t="shared" si="40"/>
        <v>-1016.3520638224072</v>
      </c>
      <c r="C571" s="2">
        <f t="shared" si="41"/>
        <v>1032971.5176360665</v>
      </c>
      <c r="D571" s="2">
        <v>15699</v>
      </c>
      <c r="E571" s="2">
        <f t="shared" si="42"/>
        <v>1.5699000000000001</v>
      </c>
      <c r="F571" s="2">
        <f t="shared" si="43"/>
        <v>-1.8099559833506724</v>
      </c>
      <c r="G571" s="2">
        <f t="shared" si="44"/>
        <v>3.2759406616668998</v>
      </c>
    </row>
    <row r="572" spans="1:7" x14ac:dyDescent="0.35">
      <c r="A572" s="2">
        <v>322</v>
      </c>
      <c r="B572" s="2">
        <f t="shared" si="40"/>
        <v>-1016.3520638224072</v>
      </c>
      <c r="C572" s="2">
        <f t="shared" si="41"/>
        <v>1032971.5176360665</v>
      </c>
      <c r="D572" s="2">
        <v>14155</v>
      </c>
      <c r="E572" s="2">
        <f t="shared" si="42"/>
        <v>1.4155</v>
      </c>
      <c r="F572" s="2">
        <f t="shared" si="43"/>
        <v>-1.9643559833506725</v>
      </c>
      <c r="G572" s="2">
        <f t="shared" si="44"/>
        <v>3.8586944293255878</v>
      </c>
    </row>
    <row r="573" spans="1:7" x14ac:dyDescent="0.35">
      <c r="A573" s="2">
        <v>322</v>
      </c>
      <c r="B573" s="2">
        <f t="shared" si="40"/>
        <v>-1016.3520638224072</v>
      </c>
      <c r="C573" s="2">
        <f t="shared" si="41"/>
        <v>1032971.5176360665</v>
      </c>
      <c r="D573" s="2">
        <v>14128</v>
      </c>
      <c r="E573" s="2">
        <f t="shared" si="42"/>
        <v>1.4128000000000001</v>
      </c>
      <c r="F573" s="2">
        <f t="shared" si="43"/>
        <v>-1.9670559833506724</v>
      </c>
      <c r="G573" s="2">
        <f t="shared" si="44"/>
        <v>3.8693092416356811</v>
      </c>
    </row>
    <row r="574" spans="1:7" x14ac:dyDescent="0.35">
      <c r="A574" s="2">
        <v>1522</v>
      </c>
      <c r="B574" s="2">
        <f t="shared" si="40"/>
        <v>183.64793617759278</v>
      </c>
      <c r="C574" s="2">
        <f t="shared" si="41"/>
        <v>33726.564462289192</v>
      </c>
      <c r="D574" s="2">
        <v>40667</v>
      </c>
      <c r="E574" s="2">
        <f t="shared" si="42"/>
        <v>4.0667</v>
      </c>
      <c r="F574" s="2">
        <f t="shared" si="43"/>
        <v>0.68684401664932748</v>
      </c>
      <c r="G574" s="2">
        <f t="shared" si="44"/>
        <v>0.47175470320698165</v>
      </c>
    </row>
    <row r="575" spans="1:7" x14ac:dyDescent="0.35">
      <c r="A575" s="2">
        <v>1522</v>
      </c>
      <c r="B575" s="2">
        <f t="shared" si="40"/>
        <v>183.64793617759278</v>
      </c>
      <c r="C575" s="2">
        <f t="shared" si="41"/>
        <v>33726.564462289192</v>
      </c>
      <c r="D575" s="2">
        <v>39559</v>
      </c>
      <c r="E575" s="2">
        <f t="shared" si="42"/>
        <v>3.9559000000000002</v>
      </c>
      <c r="F575" s="2">
        <f t="shared" si="43"/>
        <v>0.57604401664932769</v>
      </c>
      <c r="G575" s="2">
        <f t="shared" si="44"/>
        <v>0.3318267091174909</v>
      </c>
    </row>
    <row r="576" spans="1:7" x14ac:dyDescent="0.35">
      <c r="A576" s="2">
        <v>1522</v>
      </c>
      <c r="B576" s="2">
        <f t="shared" si="40"/>
        <v>183.64793617759278</v>
      </c>
      <c r="C576" s="2">
        <f t="shared" si="41"/>
        <v>33726.564462289192</v>
      </c>
      <c r="D576" s="2">
        <v>39451</v>
      </c>
      <c r="E576" s="2">
        <f t="shared" si="42"/>
        <v>3.9451000000000001</v>
      </c>
      <c r="F576" s="2">
        <f t="shared" si="43"/>
        <v>0.56524401664932755</v>
      </c>
      <c r="G576" s="2">
        <f t="shared" si="44"/>
        <v>0.31950079835786527</v>
      </c>
    </row>
    <row r="577" spans="1:7" x14ac:dyDescent="0.35">
      <c r="A577" s="2">
        <v>1522</v>
      </c>
      <c r="B577" s="2">
        <f t="shared" si="40"/>
        <v>183.64793617759278</v>
      </c>
      <c r="C577" s="2">
        <f t="shared" si="41"/>
        <v>33726.564462289192</v>
      </c>
      <c r="D577" s="2">
        <v>43077</v>
      </c>
      <c r="E577" s="2">
        <f t="shared" si="42"/>
        <v>4.3076999999999996</v>
      </c>
      <c r="F577" s="2">
        <f t="shared" si="43"/>
        <v>0.92784401664932714</v>
      </c>
      <c r="G577" s="2">
        <f t="shared" si="44"/>
        <v>0.86089451923195681</v>
      </c>
    </row>
    <row r="578" spans="1:7" x14ac:dyDescent="0.35">
      <c r="A578" s="2">
        <v>1522</v>
      </c>
      <c r="B578" s="2">
        <f t="shared" si="40"/>
        <v>183.64793617759278</v>
      </c>
      <c r="C578" s="2">
        <f t="shared" si="41"/>
        <v>33726.564462289192</v>
      </c>
      <c r="D578" s="2">
        <v>41734</v>
      </c>
      <c r="E578" s="2">
        <f t="shared" si="42"/>
        <v>4.1734</v>
      </c>
      <c r="F578" s="2">
        <f t="shared" si="43"/>
        <v>0.7935440166493275</v>
      </c>
      <c r="G578" s="2">
        <f t="shared" si="44"/>
        <v>0.62971210635994812</v>
      </c>
    </row>
    <row r="579" spans="1:7" x14ac:dyDescent="0.35">
      <c r="A579" s="2">
        <v>1522</v>
      </c>
      <c r="B579" s="2">
        <f t="shared" ref="B579:B642" si="45">A579-$J$1</f>
        <v>183.64793617759278</v>
      </c>
      <c r="C579" s="2">
        <f t="shared" ref="C579:C642" si="46">B579^2</f>
        <v>33726.564462289192</v>
      </c>
      <c r="D579" s="2">
        <v>39366</v>
      </c>
      <c r="E579" s="2">
        <f t="shared" ref="E579:E642" si="47">D579/10000</f>
        <v>3.9365999999999999</v>
      </c>
      <c r="F579" s="2">
        <f t="shared" ref="F579:F642" si="48">E579-$J$2</f>
        <v>0.55674401664932738</v>
      </c>
      <c r="G579" s="2">
        <f t="shared" ref="G579:G642" si="49">F579^2</f>
        <v>0.30996390007482655</v>
      </c>
    </row>
    <row r="580" spans="1:7" x14ac:dyDescent="0.35">
      <c r="A580" s="2">
        <v>1522</v>
      </c>
      <c r="B580" s="2">
        <f t="shared" si="45"/>
        <v>183.64793617759278</v>
      </c>
      <c r="C580" s="2">
        <f t="shared" si="46"/>
        <v>33726.564462289192</v>
      </c>
      <c r="D580" s="2">
        <v>42044</v>
      </c>
      <c r="E580" s="2">
        <f t="shared" si="47"/>
        <v>4.2043999999999997</v>
      </c>
      <c r="F580" s="2">
        <f t="shared" si="48"/>
        <v>0.82454401664932719</v>
      </c>
      <c r="G580" s="2">
        <f t="shared" si="49"/>
        <v>0.679872835392206</v>
      </c>
    </row>
    <row r="581" spans="1:7" x14ac:dyDescent="0.35">
      <c r="A581" s="2">
        <v>1522</v>
      </c>
      <c r="B581" s="2">
        <f t="shared" si="45"/>
        <v>183.64793617759278</v>
      </c>
      <c r="C581" s="2">
        <f t="shared" si="46"/>
        <v>33726.564462289192</v>
      </c>
      <c r="D581" s="2">
        <v>44921</v>
      </c>
      <c r="E581" s="2">
        <f t="shared" si="47"/>
        <v>4.4920999999999998</v>
      </c>
      <c r="F581" s="2">
        <f t="shared" si="48"/>
        <v>1.1122440166493273</v>
      </c>
      <c r="G581" s="2">
        <f t="shared" si="49"/>
        <v>1.2370867525722289</v>
      </c>
    </row>
    <row r="582" spans="1:7" x14ac:dyDescent="0.35">
      <c r="A582" s="2">
        <v>1522</v>
      </c>
      <c r="B582" s="2">
        <f t="shared" si="45"/>
        <v>183.64793617759278</v>
      </c>
      <c r="C582" s="2">
        <f t="shared" si="46"/>
        <v>33726.564462289192</v>
      </c>
      <c r="D582" s="2">
        <v>43834</v>
      </c>
      <c r="E582" s="2">
        <f t="shared" si="47"/>
        <v>4.3834</v>
      </c>
      <c r="F582" s="2">
        <f t="shared" si="48"/>
        <v>1.0035440166493275</v>
      </c>
      <c r="G582" s="2">
        <f t="shared" si="49"/>
        <v>1.0071005933526656</v>
      </c>
    </row>
    <row r="583" spans="1:7" x14ac:dyDescent="0.35">
      <c r="A583" s="2">
        <v>1522</v>
      </c>
      <c r="B583" s="2">
        <f t="shared" si="45"/>
        <v>183.64793617759278</v>
      </c>
      <c r="C583" s="2">
        <f t="shared" si="46"/>
        <v>33726.564462289192</v>
      </c>
      <c r="D583" s="2">
        <v>43000</v>
      </c>
      <c r="E583" s="2">
        <f t="shared" si="47"/>
        <v>4.3</v>
      </c>
      <c r="F583" s="2">
        <f t="shared" si="48"/>
        <v>0.92014401664932732</v>
      </c>
      <c r="G583" s="2">
        <f t="shared" si="49"/>
        <v>0.84666501137555761</v>
      </c>
    </row>
    <row r="584" spans="1:7" x14ac:dyDescent="0.35">
      <c r="A584" s="2">
        <v>1522</v>
      </c>
      <c r="B584" s="2">
        <f t="shared" si="45"/>
        <v>183.64793617759278</v>
      </c>
      <c r="C584" s="2">
        <f t="shared" si="46"/>
        <v>33726.564462289192</v>
      </c>
      <c r="D584" s="2">
        <v>47704</v>
      </c>
      <c r="E584" s="2">
        <f t="shared" si="47"/>
        <v>4.7704000000000004</v>
      </c>
      <c r="F584" s="2">
        <f t="shared" si="48"/>
        <v>1.3905440166493279</v>
      </c>
      <c r="G584" s="2">
        <f t="shared" si="49"/>
        <v>1.9336126622392464</v>
      </c>
    </row>
    <row r="585" spans="1:7" x14ac:dyDescent="0.35">
      <c r="A585" s="2">
        <v>1522</v>
      </c>
      <c r="B585" s="2">
        <f t="shared" si="45"/>
        <v>183.64793617759278</v>
      </c>
      <c r="C585" s="2">
        <f t="shared" si="46"/>
        <v>33726.564462289192</v>
      </c>
      <c r="D585" s="2">
        <v>36336</v>
      </c>
      <c r="E585" s="2">
        <f t="shared" si="47"/>
        <v>3.6335999999999999</v>
      </c>
      <c r="F585" s="2">
        <f t="shared" si="48"/>
        <v>0.25374401664932744</v>
      </c>
      <c r="G585" s="2">
        <f t="shared" si="49"/>
        <v>6.4386025985334161E-2</v>
      </c>
    </row>
    <row r="586" spans="1:7" x14ac:dyDescent="0.35">
      <c r="A586" s="2">
        <v>1522</v>
      </c>
      <c r="B586" s="2">
        <f t="shared" si="45"/>
        <v>183.64793617759278</v>
      </c>
      <c r="C586" s="2">
        <f t="shared" si="46"/>
        <v>33726.564462289192</v>
      </c>
      <c r="D586" s="2">
        <v>39089</v>
      </c>
      <c r="E586" s="2">
        <f t="shared" si="47"/>
        <v>3.9089</v>
      </c>
      <c r="F586" s="2">
        <f t="shared" si="48"/>
        <v>0.52904401664932754</v>
      </c>
      <c r="G586" s="2">
        <f t="shared" si="49"/>
        <v>0.27988757155245397</v>
      </c>
    </row>
    <row r="587" spans="1:7" x14ac:dyDescent="0.35">
      <c r="A587" s="2">
        <v>1522</v>
      </c>
      <c r="B587" s="2">
        <f t="shared" si="45"/>
        <v>183.64793617759278</v>
      </c>
      <c r="C587" s="2">
        <f t="shared" si="46"/>
        <v>33726.564462289192</v>
      </c>
      <c r="D587" s="2">
        <v>41508</v>
      </c>
      <c r="E587" s="2">
        <f t="shared" si="47"/>
        <v>4.1508000000000003</v>
      </c>
      <c r="F587" s="2">
        <f t="shared" si="48"/>
        <v>0.77094401664932777</v>
      </c>
      <c r="G587" s="2">
        <f t="shared" si="49"/>
        <v>0.59435467680739895</v>
      </c>
    </row>
    <row r="588" spans="1:7" x14ac:dyDescent="0.35">
      <c r="A588" s="2">
        <v>1522</v>
      </c>
      <c r="B588" s="2">
        <f t="shared" si="45"/>
        <v>183.64793617759278</v>
      </c>
      <c r="C588" s="2">
        <f t="shared" si="46"/>
        <v>33726.564462289192</v>
      </c>
      <c r="D588" s="2">
        <v>52414</v>
      </c>
      <c r="E588" s="2">
        <f t="shared" si="47"/>
        <v>5.2413999999999996</v>
      </c>
      <c r="F588" s="2">
        <f t="shared" si="48"/>
        <v>1.8615440166493271</v>
      </c>
      <c r="G588" s="2">
        <f t="shared" si="49"/>
        <v>3.4653461259229101</v>
      </c>
    </row>
    <row r="589" spans="1:7" x14ac:dyDescent="0.35">
      <c r="A589" s="2">
        <v>1522</v>
      </c>
      <c r="B589" s="2">
        <f t="shared" si="45"/>
        <v>183.64793617759278</v>
      </c>
      <c r="C589" s="2">
        <f t="shared" si="46"/>
        <v>33726.564462289192</v>
      </c>
      <c r="D589" s="2">
        <v>50179</v>
      </c>
      <c r="E589" s="2">
        <f t="shared" si="47"/>
        <v>5.0179</v>
      </c>
      <c r="F589" s="2">
        <f t="shared" si="48"/>
        <v>1.6380440166493275</v>
      </c>
      <c r="G589" s="2">
        <f t="shared" si="49"/>
        <v>2.6831882004806622</v>
      </c>
    </row>
    <row r="590" spans="1:7" x14ac:dyDescent="0.35">
      <c r="A590" s="2">
        <v>1522</v>
      </c>
      <c r="B590" s="2">
        <f t="shared" si="45"/>
        <v>183.64793617759278</v>
      </c>
      <c r="C590" s="2">
        <f t="shared" si="46"/>
        <v>33726.564462289192</v>
      </c>
      <c r="D590" s="2">
        <v>50724</v>
      </c>
      <c r="E590" s="2">
        <f t="shared" si="47"/>
        <v>5.0724</v>
      </c>
      <c r="F590" s="2">
        <f t="shared" si="48"/>
        <v>1.6925440166493275</v>
      </c>
      <c r="G590" s="2">
        <f t="shared" si="49"/>
        <v>2.8647052482954392</v>
      </c>
    </row>
    <row r="591" spans="1:7" x14ac:dyDescent="0.35">
      <c r="A591" s="2">
        <v>1522</v>
      </c>
      <c r="B591" s="2">
        <f t="shared" si="45"/>
        <v>183.64793617759278</v>
      </c>
      <c r="C591" s="2">
        <f t="shared" si="46"/>
        <v>33726.564462289192</v>
      </c>
      <c r="D591" s="2">
        <v>47898</v>
      </c>
      <c r="E591" s="2">
        <f t="shared" si="47"/>
        <v>4.7897999999999996</v>
      </c>
      <c r="F591" s="2">
        <f t="shared" si="48"/>
        <v>1.4099440166493271</v>
      </c>
      <c r="G591" s="2">
        <f t="shared" si="49"/>
        <v>1.987942130085238</v>
      </c>
    </row>
    <row r="592" spans="1:7" x14ac:dyDescent="0.35">
      <c r="A592" s="2">
        <v>1522</v>
      </c>
      <c r="B592" s="2">
        <f t="shared" si="45"/>
        <v>183.64793617759278</v>
      </c>
      <c r="C592" s="2">
        <f t="shared" si="46"/>
        <v>33726.564462289192</v>
      </c>
      <c r="D592" s="2">
        <v>46677</v>
      </c>
      <c r="E592" s="2">
        <f t="shared" si="47"/>
        <v>4.6677</v>
      </c>
      <c r="F592" s="2">
        <f t="shared" si="48"/>
        <v>1.2878440166493275</v>
      </c>
      <c r="G592" s="2">
        <f t="shared" si="49"/>
        <v>1.6585422112194732</v>
      </c>
    </row>
    <row r="593" spans="1:7" x14ac:dyDescent="0.35">
      <c r="A593" s="2">
        <v>1522</v>
      </c>
      <c r="B593" s="2">
        <f t="shared" si="45"/>
        <v>183.64793617759278</v>
      </c>
      <c r="C593" s="2">
        <f t="shared" si="46"/>
        <v>33726.564462289192</v>
      </c>
      <c r="D593" s="2">
        <v>57296</v>
      </c>
      <c r="E593" s="2">
        <f t="shared" si="47"/>
        <v>5.7295999999999996</v>
      </c>
      <c r="F593" s="2">
        <f t="shared" si="48"/>
        <v>2.3497440166493271</v>
      </c>
      <c r="G593" s="2">
        <f t="shared" si="49"/>
        <v>5.5212969437793129</v>
      </c>
    </row>
    <row r="594" spans="1:7" x14ac:dyDescent="0.35">
      <c r="A594" s="2">
        <v>1522</v>
      </c>
      <c r="B594" s="2">
        <f t="shared" si="45"/>
        <v>183.64793617759278</v>
      </c>
      <c r="C594" s="2">
        <f t="shared" si="46"/>
        <v>33726.564462289192</v>
      </c>
      <c r="D594" s="2">
        <v>50663</v>
      </c>
      <c r="E594" s="2">
        <f t="shared" si="47"/>
        <v>5.0663</v>
      </c>
      <c r="F594" s="2">
        <f t="shared" si="48"/>
        <v>1.6864440166493275</v>
      </c>
      <c r="G594" s="2">
        <f t="shared" si="49"/>
        <v>2.8440934212923175</v>
      </c>
    </row>
    <row r="595" spans="1:7" x14ac:dyDescent="0.35">
      <c r="A595" s="2">
        <v>1522</v>
      </c>
      <c r="B595" s="2">
        <f t="shared" si="45"/>
        <v>183.64793617759278</v>
      </c>
      <c r="C595" s="2">
        <f t="shared" si="46"/>
        <v>33726.564462289192</v>
      </c>
      <c r="D595" s="2">
        <v>57920</v>
      </c>
      <c r="E595" s="2">
        <f t="shared" si="47"/>
        <v>5.7919999999999998</v>
      </c>
      <c r="F595" s="2">
        <f t="shared" si="48"/>
        <v>2.4121440166493273</v>
      </c>
      <c r="G595" s="2">
        <f t="shared" si="49"/>
        <v>5.8184387570571499</v>
      </c>
    </row>
    <row r="596" spans="1:7" x14ac:dyDescent="0.35">
      <c r="A596" s="2">
        <v>1522</v>
      </c>
      <c r="B596" s="2">
        <f t="shared" si="45"/>
        <v>183.64793617759278</v>
      </c>
      <c r="C596" s="2">
        <f t="shared" si="46"/>
        <v>33726.564462289192</v>
      </c>
      <c r="D596" s="2">
        <v>53763</v>
      </c>
      <c r="E596" s="2">
        <f t="shared" si="47"/>
        <v>5.3762999999999996</v>
      </c>
      <c r="F596" s="2">
        <f t="shared" si="48"/>
        <v>1.9964440166493271</v>
      </c>
      <c r="G596" s="2">
        <f t="shared" si="49"/>
        <v>3.9857887116148989</v>
      </c>
    </row>
    <row r="597" spans="1:7" x14ac:dyDescent="0.35">
      <c r="A597" s="2">
        <v>1522</v>
      </c>
      <c r="B597" s="2">
        <f t="shared" si="45"/>
        <v>183.64793617759278</v>
      </c>
      <c r="C597" s="2">
        <f t="shared" si="46"/>
        <v>33726.564462289192</v>
      </c>
      <c r="D597" s="2">
        <v>38599</v>
      </c>
      <c r="E597" s="2">
        <f t="shared" si="47"/>
        <v>3.8599000000000001</v>
      </c>
      <c r="F597" s="2">
        <f t="shared" si="48"/>
        <v>0.48004401664932761</v>
      </c>
      <c r="G597" s="2">
        <f t="shared" si="49"/>
        <v>0.23044225792081993</v>
      </c>
    </row>
    <row r="598" spans="1:7" x14ac:dyDescent="0.35">
      <c r="A598" s="2">
        <v>1522</v>
      </c>
      <c r="B598" s="2">
        <f t="shared" si="45"/>
        <v>183.64793617759278</v>
      </c>
      <c r="C598" s="2">
        <f t="shared" si="46"/>
        <v>33726.564462289192</v>
      </c>
      <c r="D598" s="2">
        <v>51899</v>
      </c>
      <c r="E598" s="2">
        <f t="shared" si="47"/>
        <v>5.1898999999999997</v>
      </c>
      <c r="F598" s="2">
        <f t="shared" si="48"/>
        <v>1.8100440166493272</v>
      </c>
      <c r="G598" s="2">
        <f t="shared" si="49"/>
        <v>3.2762593422080299</v>
      </c>
    </row>
    <row r="599" spans="1:7" x14ac:dyDescent="0.35">
      <c r="A599" s="2">
        <v>1522</v>
      </c>
      <c r="B599" s="2">
        <f t="shared" si="45"/>
        <v>183.64793617759278</v>
      </c>
      <c r="C599" s="2">
        <f t="shared" si="46"/>
        <v>33726.564462289192</v>
      </c>
      <c r="D599" s="2">
        <v>62435</v>
      </c>
      <c r="E599" s="2">
        <f t="shared" si="47"/>
        <v>6.2435</v>
      </c>
      <c r="F599" s="2">
        <f t="shared" si="48"/>
        <v>2.8636440166493276</v>
      </c>
      <c r="G599" s="2">
        <f t="shared" si="49"/>
        <v>8.2004570540914941</v>
      </c>
    </row>
    <row r="600" spans="1:7" x14ac:dyDescent="0.35">
      <c r="A600" s="2">
        <v>1522</v>
      </c>
      <c r="B600" s="2">
        <f t="shared" si="45"/>
        <v>183.64793617759278</v>
      </c>
      <c r="C600" s="2">
        <f t="shared" si="46"/>
        <v>33726.564462289192</v>
      </c>
      <c r="D600" s="2">
        <v>62051</v>
      </c>
      <c r="E600" s="2">
        <f t="shared" si="47"/>
        <v>6.2050999999999998</v>
      </c>
      <c r="F600" s="2">
        <f t="shared" si="48"/>
        <v>2.8252440166493273</v>
      </c>
      <c r="G600" s="2">
        <f t="shared" si="49"/>
        <v>7.9820037536128243</v>
      </c>
    </row>
    <row r="601" spans="1:7" x14ac:dyDescent="0.35">
      <c r="A601" s="2">
        <v>1522</v>
      </c>
      <c r="B601" s="2">
        <f t="shared" si="45"/>
        <v>183.64793617759278</v>
      </c>
      <c r="C601" s="2">
        <f t="shared" si="46"/>
        <v>33726.564462289192</v>
      </c>
      <c r="D601" s="2">
        <v>60221</v>
      </c>
      <c r="E601" s="2">
        <f t="shared" si="47"/>
        <v>6.0221</v>
      </c>
      <c r="F601" s="2">
        <f t="shared" si="48"/>
        <v>2.6422440166493275</v>
      </c>
      <c r="G601" s="2">
        <f t="shared" si="49"/>
        <v>6.9814534435191717</v>
      </c>
    </row>
    <row r="602" spans="1:7" x14ac:dyDescent="0.35">
      <c r="A602" s="2">
        <v>1522</v>
      </c>
      <c r="B602" s="2">
        <f t="shared" si="45"/>
        <v>183.64793617759278</v>
      </c>
      <c r="C602" s="2">
        <f t="shared" si="46"/>
        <v>33726.564462289192</v>
      </c>
      <c r="D602" s="2">
        <v>68972</v>
      </c>
      <c r="E602" s="2">
        <f t="shared" si="47"/>
        <v>6.8971999999999998</v>
      </c>
      <c r="F602" s="2">
        <f t="shared" si="48"/>
        <v>3.5173440166493273</v>
      </c>
      <c r="G602" s="2">
        <f t="shared" si="49"/>
        <v>12.371708931458823</v>
      </c>
    </row>
    <row r="603" spans="1:7" x14ac:dyDescent="0.35">
      <c r="A603" s="2">
        <v>1522</v>
      </c>
      <c r="B603" s="2">
        <f t="shared" si="45"/>
        <v>183.64793617759278</v>
      </c>
      <c r="C603" s="2">
        <f t="shared" si="46"/>
        <v>33726.564462289192</v>
      </c>
      <c r="D603" s="2">
        <v>65564</v>
      </c>
      <c r="E603" s="2">
        <f t="shared" si="47"/>
        <v>6.5564</v>
      </c>
      <c r="F603" s="2">
        <f t="shared" si="48"/>
        <v>3.1765440166493275</v>
      </c>
      <c r="G603" s="2">
        <f t="shared" si="49"/>
        <v>10.090431889710644</v>
      </c>
    </row>
    <row r="604" spans="1:7" x14ac:dyDescent="0.35">
      <c r="A604" s="2">
        <v>645</v>
      </c>
      <c r="B604" s="2">
        <f t="shared" si="45"/>
        <v>-693.35206382240722</v>
      </c>
      <c r="C604" s="2">
        <f t="shared" si="46"/>
        <v>480737.08440679143</v>
      </c>
      <c r="D604" s="2">
        <v>52498</v>
      </c>
      <c r="E604" s="2">
        <f t="shared" si="47"/>
        <v>5.2497999999999996</v>
      </c>
      <c r="F604" s="2">
        <f t="shared" si="48"/>
        <v>1.8699440166493271</v>
      </c>
      <c r="G604" s="2">
        <f t="shared" si="49"/>
        <v>3.4966906254026187</v>
      </c>
    </row>
    <row r="605" spans="1:7" x14ac:dyDescent="0.35">
      <c r="A605" s="2">
        <v>645</v>
      </c>
      <c r="B605" s="2">
        <f t="shared" si="45"/>
        <v>-693.35206382240722</v>
      </c>
      <c r="C605" s="2">
        <f t="shared" si="46"/>
        <v>480737.08440679143</v>
      </c>
      <c r="D605" s="2">
        <v>53272</v>
      </c>
      <c r="E605" s="2">
        <f t="shared" si="47"/>
        <v>5.3272000000000004</v>
      </c>
      <c r="F605" s="2">
        <f t="shared" si="48"/>
        <v>1.9473440166493279</v>
      </c>
      <c r="G605" s="2">
        <f t="shared" si="49"/>
        <v>3.7921487191799379</v>
      </c>
    </row>
    <row r="606" spans="1:7" x14ac:dyDescent="0.35">
      <c r="A606" s="2">
        <v>645</v>
      </c>
      <c r="B606" s="2">
        <f t="shared" si="45"/>
        <v>-693.35206382240722</v>
      </c>
      <c r="C606" s="2">
        <f t="shared" si="46"/>
        <v>480737.08440679143</v>
      </c>
      <c r="D606" s="2">
        <v>54035</v>
      </c>
      <c r="E606" s="2">
        <f t="shared" si="47"/>
        <v>5.4035000000000002</v>
      </c>
      <c r="F606" s="2">
        <f t="shared" si="48"/>
        <v>2.0236440166493277</v>
      </c>
      <c r="G606" s="2">
        <f t="shared" si="49"/>
        <v>4.0951351061206243</v>
      </c>
    </row>
    <row r="607" spans="1:7" x14ac:dyDescent="0.35">
      <c r="A607" s="2">
        <v>645</v>
      </c>
      <c r="B607" s="2">
        <f t="shared" si="45"/>
        <v>-693.35206382240722</v>
      </c>
      <c r="C607" s="2">
        <f t="shared" si="46"/>
        <v>480737.08440679143</v>
      </c>
      <c r="D607" s="2">
        <v>55005</v>
      </c>
      <c r="E607" s="2">
        <f t="shared" si="47"/>
        <v>5.5004999999999997</v>
      </c>
      <c r="F607" s="2">
        <f t="shared" si="48"/>
        <v>2.1206440166493272</v>
      </c>
      <c r="G607" s="2">
        <f t="shared" si="49"/>
        <v>4.4971310453505922</v>
      </c>
    </row>
    <row r="608" spans="1:7" x14ac:dyDescent="0.35">
      <c r="A608" s="2">
        <v>645</v>
      </c>
      <c r="B608" s="2">
        <f t="shared" si="45"/>
        <v>-693.35206382240722</v>
      </c>
      <c r="C608" s="2">
        <f t="shared" si="46"/>
        <v>480737.08440679143</v>
      </c>
      <c r="D608" s="2">
        <v>57166</v>
      </c>
      <c r="E608" s="2">
        <f t="shared" si="47"/>
        <v>5.7165999999999997</v>
      </c>
      <c r="F608" s="2">
        <f t="shared" si="48"/>
        <v>2.3367440166493272</v>
      </c>
      <c r="G608" s="2">
        <f t="shared" si="49"/>
        <v>5.4603725993464307</v>
      </c>
    </row>
    <row r="609" spans="1:7" x14ac:dyDescent="0.35">
      <c r="A609" s="2">
        <v>645</v>
      </c>
      <c r="B609" s="2">
        <f t="shared" si="45"/>
        <v>-693.35206382240722</v>
      </c>
      <c r="C609" s="2">
        <f t="shared" si="46"/>
        <v>480737.08440679143</v>
      </c>
      <c r="D609" s="2">
        <v>56369</v>
      </c>
      <c r="E609" s="2">
        <f t="shared" si="47"/>
        <v>5.6368999999999998</v>
      </c>
      <c r="F609" s="2">
        <f t="shared" si="48"/>
        <v>2.2570440166493273</v>
      </c>
      <c r="G609" s="2">
        <f t="shared" si="49"/>
        <v>5.0942476930925285</v>
      </c>
    </row>
    <row r="610" spans="1:7" x14ac:dyDescent="0.35">
      <c r="A610" s="2">
        <v>645</v>
      </c>
      <c r="B610" s="2">
        <f t="shared" si="45"/>
        <v>-693.35206382240722</v>
      </c>
      <c r="C610" s="2">
        <f t="shared" si="46"/>
        <v>480737.08440679143</v>
      </c>
      <c r="D610" s="2">
        <v>57959</v>
      </c>
      <c r="E610" s="2">
        <f t="shared" si="47"/>
        <v>5.7958999999999996</v>
      </c>
      <c r="F610" s="2">
        <f t="shared" si="48"/>
        <v>2.4160440166493271</v>
      </c>
      <c r="G610" s="2">
        <f t="shared" si="49"/>
        <v>5.8372686903870141</v>
      </c>
    </row>
    <row r="611" spans="1:7" x14ac:dyDescent="0.35">
      <c r="A611" s="2">
        <v>645</v>
      </c>
      <c r="B611" s="2">
        <f t="shared" si="45"/>
        <v>-693.35206382240722</v>
      </c>
      <c r="C611" s="2">
        <f t="shared" si="46"/>
        <v>480737.08440679143</v>
      </c>
      <c r="D611" s="2">
        <v>58462</v>
      </c>
      <c r="E611" s="2">
        <f t="shared" si="47"/>
        <v>5.8461999999999996</v>
      </c>
      <c r="F611" s="2">
        <f t="shared" si="48"/>
        <v>2.4663440166493271</v>
      </c>
      <c r="G611" s="2">
        <f t="shared" si="49"/>
        <v>6.0828528084619364</v>
      </c>
    </row>
    <row r="612" spans="1:7" x14ac:dyDescent="0.35">
      <c r="A612" s="2">
        <v>645</v>
      </c>
      <c r="B612" s="2">
        <f t="shared" si="45"/>
        <v>-693.35206382240722</v>
      </c>
      <c r="C612" s="2">
        <f t="shared" si="46"/>
        <v>480737.08440679143</v>
      </c>
      <c r="D612" s="2">
        <v>58288</v>
      </c>
      <c r="E612" s="2">
        <f t="shared" si="47"/>
        <v>5.8288000000000002</v>
      </c>
      <c r="F612" s="2">
        <f t="shared" si="48"/>
        <v>2.4489440166493277</v>
      </c>
      <c r="G612" s="2">
        <f t="shared" si="49"/>
        <v>5.9973267966825423</v>
      </c>
    </row>
    <row r="613" spans="1:7" x14ac:dyDescent="0.35">
      <c r="A613" s="2">
        <v>645</v>
      </c>
      <c r="B613" s="2">
        <f t="shared" si="45"/>
        <v>-693.35206382240722</v>
      </c>
      <c r="C613" s="2">
        <f t="shared" si="46"/>
        <v>480737.08440679143</v>
      </c>
      <c r="D613" s="2">
        <v>60210</v>
      </c>
      <c r="E613" s="2">
        <f t="shared" si="47"/>
        <v>6.0209999999999999</v>
      </c>
      <c r="F613" s="2">
        <f t="shared" si="48"/>
        <v>2.6411440166493274</v>
      </c>
      <c r="G613" s="2">
        <f t="shared" si="49"/>
        <v>6.9756417166825431</v>
      </c>
    </row>
    <row r="614" spans="1:7" x14ac:dyDescent="0.35">
      <c r="A614" s="2">
        <v>645</v>
      </c>
      <c r="B614" s="2">
        <f t="shared" si="45"/>
        <v>-693.35206382240722</v>
      </c>
      <c r="C614" s="2">
        <f t="shared" si="46"/>
        <v>480737.08440679143</v>
      </c>
      <c r="D614" s="2">
        <v>62050</v>
      </c>
      <c r="E614" s="2">
        <f t="shared" si="47"/>
        <v>6.2050000000000001</v>
      </c>
      <c r="F614" s="2">
        <f t="shared" si="48"/>
        <v>2.8251440166493276</v>
      </c>
      <c r="G614" s="2">
        <f t="shared" si="49"/>
        <v>7.9814387148094958</v>
      </c>
    </row>
    <row r="615" spans="1:7" x14ac:dyDescent="0.35">
      <c r="A615" s="2">
        <v>645</v>
      </c>
      <c r="B615" s="2">
        <f t="shared" si="45"/>
        <v>-693.35206382240722</v>
      </c>
      <c r="C615" s="2">
        <f t="shared" si="46"/>
        <v>480737.08440679143</v>
      </c>
      <c r="D615" s="2">
        <v>63111</v>
      </c>
      <c r="E615" s="2">
        <f t="shared" si="47"/>
        <v>6.3110999999999997</v>
      </c>
      <c r="F615" s="2">
        <f t="shared" si="48"/>
        <v>2.9312440166493272</v>
      </c>
      <c r="G615" s="2">
        <f t="shared" si="49"/>
        <v>8.5921914851424805</v>
      </c>
    </row>
    <row r="616" spans="1:7" x14ac:dyDescent="0.35">
      <c r="A616" s="2">
        <v>645</v>
      </c>
      <c r="B616" s="2">
        <f t="shared" si="45"/>
        <v>-693.35206382240722</v>
      </c>
      <c r="C616" s="2">
        <f t="shared" si="46"/>
        <v>480737.08440679143</v>
      </c>
      <c r="D616" s="2">
        <v>63529</v>
      </c>
      <c r="E616" s="2">
        <f t="shared" si="47"/>
        <v>6.3529</v>
      </c>
      <c r="F616" s="2">
        <f t="shared" si="48"/>
        <v>2.9730440166493275</v>
      </c>
      <c r="G616" s="2">
        <f t="shared" si="49"/>
        <v>8.8389907249343675</v>
      </c>
    </row>
    <row r="617" spans="1:7" x14ac:dyDescent="0.35">
      <c r="A617" s="2">
        <v>645</v>
      </c>
      <c r="B617" s="2">
        <f t="shared" si="45"/>
        <v>-693.35206382240722</v>
      </c>
      <c r="C617" s="2">
        <f t="shared" si="46"/>
        <v>480737.08440679143</v>
      </c>
      <c r="D617" s="2">
        <v>63344</v>
      </c>
      <c r="E617" s="2">
        <f t="shared" si="47"/>
        <v>6.3343999999999996</v>
      </c>
      <c r="F617" s="2">
        <f t="shared" si="48"/>
        <v>2.9545440166493271</v>
      </c>
      <c r="G617" s="2">
        <f t="shared" si="49"/>
        <v>8.7293303463183385</v>
      </c>
    </row>
    <row r="618" spans="1:7" x14ac:dyDescent="0.35">
      <c r="A618" s="2">
        <v>645</v>
      </c>
      <c r="B618" s="2">
        <f t="shared" si="45"/>
        <v>-693.35206382240722</v>
      </c>
      <c r="C618" s="2">
        <f t="shared" si="46"/>
        <v>480737.08440679143</v>
      </c>
      <c r="D618" s="2">
        <v>62642</v>
      </c>
      <c r="E618" s="2">
        <f t="shared" si="47"/>
        <v>6.2641999999999998</v>
      </c>
      <c r="F618" s="2">
        <f t="shared" si="48"/>
        <v>2.8843440166493273</v>
      </c>
      <c r="G618" s="2">
        <f t="shared" si="49"/>
        <v>8.3194404063807745</v>
      </c>
    </row>
    <row r="619" spans="1:7" x14ac:dyDescent="0.35">
      <c r="A619" s="2">
        <v>645</v>
      </c>
      <c r="B619" s="2">
        <f t="shared" si="45"/>
        <v>-693.35206382240722</v>
      </c>
      <c r="C619" s="2">
        <f t="shared" si="46"/>
        <v>480737.08440679143</v>
      </c>
      <c r="D619" s="2">
        <v>61524</v>
      </c>
      <c r="E619" s="2">
        <f t="shared" si="47"/>
        <v>6.1524000000000001</v>
      </c>
      <c r="F619" s="2">
        <f t="shared" si="48"/>
        <v>2.7725440166493276</v>
      </c>
      <c r="G619" s="2">
        <f t="shared" si="49"/>
        <v>7.687000324257987</v>
      </c>
    </row>
    <row r="620" spans="1:7" x14ac:dyDescent="0.35">
      <c r="A620" s="2">
        <v>645</v>
      </c>
      <c r="B620" s="2">
        <f t="shared" si="45"/>
        <v>-693.35206382240722</v>
      </c>
      <c r="C620" s="2">
        <f t="shared" si="46"/>
        <v>480737.08440679143</v>
      </c>
      <c r="D620" s="2">
        <v>61855</v>
      </c>
      <c r="E620" s="2">
        <f t="shared" si="47"/>
        <v>6.1855000000000002</v>
      </c>
      <c r="F620" s="2">
        <f t="shared" si="48"/>
        <v>2.8056440166493277</v>
      </c>
      <c r="G620" s="2">
        <f t="shared" si="49"/>
        <v>7.8716383481601735</v>
      </c>
    </row>
    <row r="621" spans="1:7" x14ac:dyDescent="0.35">
      <c r="A621" s="2">
        <v>645</v>
      </c>
      <c r="B621" s="2">
        <f t="shared" si="45"/>
        <v>-693.35206382240722</v>
      </c>
      <c r="C621" s="2">
        <f t="shared" si="46"/>
        <v>480737.08440679143</v>
      </c>
      <c r="D621" s="2">
        <v>63085</v>
      </c>
      <c r="E621" s="2">
        <f t="shared" si="47"/>
        <v>6.3085000000000004</v>
      </c>
      <c r="F621" s="2">
        <f t="shared" si="48"/>
        <v>2.9286440166493279</v>
      </c>
      <c r="G621" s="2">
        <f t="shared" si="49"/>
        <v>8.5769557762559092</v>
      </c>
    </row>
    <row r="622" spans="1:7" x14ac:dyDescent="0.35">
      <c r="A622" s="2">
        <v>645</v>
      </c>
      <c r="B622" s="2">
        <f t="shared" si="45"/>
        <v>-693.35206382240722</v>
      </c>
      <c r="C622" s="2">
        <f t="shared" si="46"/>
        <v>480737.08440679143</v>
      </c>
      <c r="D622" s="2">
        <v>62527</v>
      </c>
      <c r="E622" s="2">
        <f t="shared" si="47"/>
        <v>6.2526999999999999</v>
      </c>
      <c r="F622" s="2">
        <f t="shared" si="48"/>
        <v>2.8728440166493274</v>
      </c>
      <c r="G622" s="2">
        <f t="shared" si="49"/>
        <v>8.2532327439978417</v>
      </c>
    </row>
    <row r="623" spans="1:7" x14ac:dyDescent="0.35">
      <c r="A623" s="2">
        <v>645</v>
      </c>
      <c r="B623" s="2">
        <f t="shared" si="45"/>
        <v>-693.35206382240722</v>
      </c>
      <c r="C623" s="2">
        <f t="shared" si="46"/>
        <v>480737.08440679143</v>
      </c>
      <c r="D623" s="2">
        <v>62763</v>
      </c>
      <c r="E623" s="2">
        <f t="shared" si="47"/>
        <v>6.2763</v>
      </c>
      <c r="F623" s="2">
        <f t="shared" si="48"/>
        <v>2.8964440166493275</v>
      </c>
      <c r="G623" s="2">
        <f t="shared" si="49"/>
        <v>8.3893879415836903</v>
      </c>
    </row>
    <row r="624" spans="1:7" x14ac:dyDescent="0.35">
      <c r="A624" s="2">
        <v>645</v>
      </c>
      <c r="B624" s="2">
        <f t="shared" si="45"/>
        <v>-693.35206382240722</v>
      </c>
      <c r="C624" s="2">
        <f t="shared" si="46"/>
        <v>480737.08440679143</v>
      </c>
      <c r="D624" s="2">
        <v>64223</v>
      </c>
      <c r="E624" s="2">
        <f t="shared" si="47"/>
        <v>6.4222999999999999</v>
      </c>
      <c r="F624" s="2">
        <f t="shared" si="48"/>
        <v>3.0424440166493274</v>
      </c>
      <c r="G624" s="2">
        <f t="shared" si="49"/>
        <v>9.2564655944452934</v>
      </c>
    </row>
    <row r="625" spans="1:7" x14ac:dyDescent="0.35">
      <c r="A625" s="2">
        <v>645</v>
      </c>
      <c r="B625" s="2">
        <f t="shared" si="45"/>
        <v>-693.35206382240722</v>
      </c>
      <c r="C625" s="2">
        <f t="shared" si="46"/>
        <v>480737.08440679143</v>
      </c>
      <c r="D625" s="2">
        <v>65558</v>
      </c>
      <c r="E625" s="2">
        <f t="shared" si="47"/>
        <v>6.5557999999999996</v>
      </c>
      <c r="F625" s="2">
        <f t="shared" si="48"/>
        <v>3.1759440166493271</v>
      </c>
      <c r="G625" s="2">
        <f t="shared" si="49"/>
        <v>10.086620396890661</v>
      </c>
    </row>
    <row r="626" spans="1:7" x14ac:dyDescent="0.35">
      <c r="A626" s="2">
        <v>645</v>
      </c>
      <c r="B626" s="2">
        <f t="shared" si="45"/>
        <v>-693.35206382240722</v>
      </c>
      <c r="C626" s="2">
        <f t="shared" si="46"/>
        <v>480737.08440679143</v>
      </c>
      <c r="D626" s="2">
        <v>65820</v>
      </c>
      <c r="E626" s="2">
        <f t="shared" si="47"/>
        <v>6.5819999999999999</v>
      </c>
      <c r="F626" s="2">
        <f t="shared" si="48"/>
        <v>3.2021440166493274</v>
      </c>
      <c r="G626" s="2">
        <f t="shared" si="49"/>
        <v>10.253726303363088</v>
      </c>
    </row>
    <row r="627" spans="1:7" x14ac:dyDescent="0.35">
      <c r="A627" s="2">
        <v>645</v>
      </c>
      <c r="B627" s="2">
        <f t="shared" si="45"/>
        <v>-693.35206382240722</v>
      </c>
      <c r="C627" s="2">
        <f t="shared" si="46"/>
        <v>480737.08440679143</v>
      </c>
      <c r="D627" s="2">
        <v>65481</v>
      </c>
      <c r="E627" s="2">
        <f t="shared" si="47"/>
        <v>6.5480999999999998</v>
      </c>
      <c r="F627" s="2">
        <f t="shared" si="48"/>
        <v>3.1682440166493273</v>
      </c>
      <c r="G627" s="2">
        <f t="shared" si="49"/>
        <v>10.037770149034262</v>
      </c>
    </row>
    <row r="628" spans="1:7" x14ac:dyDescent="0.35">
      <c r="A628" s="2">
        <v>645</v>
      </c>
      <c r="B628" s="2">
        <f t="shared" si="45"/>
        <v>-693.35206382240722</v>
      </c>
      <c r="C628" s="2">
        <f t="shared" si="46"/>
        <v>480737.08440679143</v>
      </c>
      <c r="D628" s="2">
        <v>66862</v>
      </c>
      <c r="E628" s="2">
        <f t="shared" si="47"/>
        <v>6.6862000000000004</v>
      </c>
      <c r="F628" s="2">
        <f t="shared" si="48"/>
        <v>3.3063440166493279</v>
      </c>
      <c r="G628" s="2">
        <f t="shared" si="49"/>
        <v>10.931910756432812</v>
      </c>
    </row>
    <row r="629" spans="1:7" x14ac:dyDescent="0.35">
      <c r="A629" s="2">
        <v>645</v>
      </c>
      <c r="B629" s="2">
        <f t="shared" si="45"/>
        <v>-693.35206382240722</v>
      </c>
      <c r="C629" s="2">
        <f t="shared" si="46"/>
        <v>480737.08440679143</v>
      </c>
      <c r="D629" s="2">
        <v>67747</v>
      </c>
      <c r="E629" s="2">
        <f t="shared" si="47"/>
        <v>6.7747000000000002</v>
      </c>
      <c r="F629" s="2">
        <f t="shared" si="48"/>
        <v>3.3948440166493277</v>
      </c>
      <c r="G629" s="2">
        <f t="shared" si="49"/>
        <v>11.52496589737974</v>
      </c>
    </row>
    <row r="630" spans="1:7" x14ac:dyDescent="0.35">
      <c r="A630" s="2">
        <v>645</v>
      </c>
      <c r="B630" s="2">
        <f t="shared" si="45"/>
        <v>-693.35206382240722</v>
      </c>
      <c r="C630" s="2">
        <f t="shared" si="46"/>
        <v>480737.08440679143</v>
      </c>
      <c r="D630" s="2">
        <v>67099</v>
      </c>
      <c r="E630" s="2">
        <f t="shared" si="47"/>
        <v>6.7099000000000002</v>
      </c>
      <c r="F630" s="2">
        <f t="shared" si="48"/>
        <v>3.3300440166493277</v>
      </c>
      <c r="G630" s="2">
        <f t="shared" si="49"/>
        <v>11.089193152821988</v>
      </c>
    </row>
    <row r="631" spans="1:7" x14ac:dyDescent="0.35">
      <c r="A631" s="2">
        <v>645</v>
      </c>
      <c r="B631" s="2">
        <f t="shared" si="45"/>
        <v>-693.35206382240722</v>
      </c>
      <c r="C631" s="2">
        <f t="shared" si="46"/>
        <v>480737.08440679143</v>
      </c>
      <c r="D631" s="2">
        <v>68095</v>
      </c>
      <c r="E631" s="2">
        <f t="shared" si="47"/>
        <v>6.8094999999999999</v>
      </c>
      <c r="F631" s="2">
        <f t="shared" si="48"/>
        <v>3.4296440166493274</v>
      </c>
      <c r="G631" s="2">
        <f t="shared" si="49"/>
        <v>11.762458080938531</v>
      </c>
    </row>
    <row r="632" spans="1:7" x14ac:dyDescent="0.35">
      <c r="A632" s="2">
        <v>645</v>
      </c>
      <c r="B632" s="2">
        <f t="shared" si="45"/>
        <v>-693.35206382240722</v>
      </c>
      <c r="C632" s="2">
        <f t="shared" si="46"/>
        <v>480737.08440679143</v>
      </c>
      <c r="D632" s="2">
        <v>68864</v>
      </c>
      <c r="E632" s="2">
        <f t="shared" si="47"/>
        <v>6.8864000000000001</v>
      </c>
      <c r="F632" s="2">
        <f t="shared" si="48"/>
        <v>3.5065440166493276</v>
      </c>
      <c r="G632" s="2">
        <f t="shared" si="49"/>
        <v>12.2958509406992</v>
      </c>
    </row>
    <row r="633" spans="1:7" x14ac:dyDescent="0.35">
      <c r="A633" s="2">
        <v>645</v>
      </c>
      <c r="B633" s="2">
        <f t="shared" si="45"/>
        <v>-693.35206382240722</v>
      </c>
      <c r="C633" s="2">
        <f t="shared" si="46"/>
        <v>480737.08440679143</v>
      </c>
      <c r="D633" s="2">
        <v>69324</v>
      </c>
      <c r="E633" s="2">
        <f t="shared" si="47"/>
        <v>6.9324000000000003</v>
      </c>
      <c r="F633" s="2">
        <f t="shared" si="48"/>
        <v>3.5525440166493278</v>
      </c>
      <c r="G633" s="2">
        <f t="shared" si="49"/>
        <v>12.620568990230939</v>
      </c>
    </row>
    <row r="634" spans="1:7" x14ac:dyDescent="0.35">
      <c r="A634" s="2">
        <v>3240</v>
      </c>
      <c r="B634" s="2">
        <f t="shared" si="45"/>
        <v>1901.6479361775928</v>
      </c>
      <c r="C634" s="2">
        <f t="shared" si="46"/>
        <v>3616264.8731684978</v>
      </c>
      <c r="D634" s="2">
        <v>46994</v>
      </c>
      <c r="E634" s="2">
        <f t="shared" si="47"/>
        <v>4.6993999999999998</v>
      </c>
      <c r="F634" s="2">
        <f t="shared" si="48"/>
        <v>1.3195440166493273</v>
      </c>
      <c r="G634" s="2">
        <f t="shared" si="49"/>
        <v>1.7411964118750403</v>
      </c>
    </row>
    <row r="635" spans="1:7" x14ac:dyDescent="0.35">
      <c r="A635" s="2">
        <v>3240</v>
      </c>
      <c r="B635" s="2">
        <f t="shared" si="45"/>
        <v>1901.6479361775928</v>
      </c>
      <c r="C635" s="2">
        <f t="shared" si="46"/>
        <v>3616264.8731684978</v>
      </c>
      <c r="D635" s="2">
        <v>46774</v>
      </c>
      <c r="E635" s="2">
        <f t="shared" si="47"/>
        <v>4.6773999999999996</v>
      </c>
      <c r="F635" s="2">
        <f t="shared" si="48"/>
        <v>1.2975440166493271</v>
      </c>
      <c r="G635" s="2">
        <f t="shared" si="49"/>
        <v>1.683620475142469</v>
      </c>
    </row>
    <row r="636" spans="1:7" x14ac:dyDescent="0.35">
      <c r="A636" s="2">
        <v>3240</v>
      </c>
      <c r="B636" s="2">
        <f t="shared" si="45"/>
        <v>1901.6479361775928</v>
      </c>
      <c r="C636" s="2">
        <f t="shared" si="46"/>
        <v>3616264.8731684978</v>
      </c>
      <c r="D636" s="2">
        <v>53501</v>
      </c>
      <c r="E636" s="2">
        <f t="shared" si="47"/>
        <v>5.3501000000000003</v>
      </c>
      <c r="F636" s="2">
        <f t="shared" si="48"/>
        <v>1.9702440166493278</v>
      </c>
      <c r="G636" s="2">
        <f t="shared" si="49"/>
        <v>3.8818614851424766</v>
      </c>
    </row>
    <row r="637" spans="1:7" x14ac:dyDescent="0.35">
      <c r="A637" s="2">
        <v>3240</v>
      </c>
      <c r="B637" s="2">
        <f t="shared" si="45"/>
        <v>1901.6479361775928</v>
      </c>
      <c r="C637" s="2">
        <f t="shared" si="46"/>
        <v>3616264.8731684978</v>
      </c>
      <c r="D637" s="2">
        <v>40748</v>
      </c>
      <c r="E637" s="2">
        <f t="shared" si="47"/>
        <v>4.0747999999999998</v>
      </c>
      <c r="F637" s="2">
        <f t="shared" si="48"/>
        <v>0.69494401664932726</v>
      </c>
      <c r="G637" s="2">
        <f t="shared" si="49"/>
        <v>0.48294718627670041</v>
      </c>
    </row>
    <row r="638" spans="1:7" x14ac:dyDescent="0.35">
      <c r="A638" s="2">
        <v>3240</v>
      </c>
      <c r="B638" s="2">
        <f t="shared" si="45"/>
        <v>1901.6479361775928</v>
      </c>
      <c r="C638" s="2">
        <f t="shared" si="46"/>
        <v>3616264.8731684978</v>
      </c>
      <c r="D638" s="2">
        <v>40618</v>
      </c>
      <c r="E638" s="2">
        <f t="shared" si="47"/>
        <v>4.0617999999999999</v>
      </c>
      <c r="F638" s="2">
        <f t="shared" si="48"/>
        <v>0.68194401664932736</v>
      </c>
      <c r="G638" s="2">
        <f t="shared" si="49"/>
        <v>0.46504764184381808</v>
      </c>
    </row>
    <row r="639" spans="1:7" x14ac:dyDescent="0.35">
      <c r="A639" s="2">
        <v>3240</v>
      </c>
      <c r="B639" s="2">
        <f t="shared" si="45"/>
        <v>1901.6479361775928</v>
      </c>
      <c r="C639" s="2">
        <f t="shared" si="46"/>
        <v>3616264.8731684978</v>
      </c>
      <c r="D639" s="2">
        <v>39959</v>
      </c>
      <c r="E639" s="2">
        <f t="shared" si="47"/>
        <v>3.9958999999999998</v>
      </c>
      <c r="F639" s="2">
        <f t="shared" si="48"/>
        <v>0.61604401664932729</v>
      </c>
      <c r="G639" s="2">
        <f t="shared" si="49"/>
        <v>0.37951023044943666</v>
      </c>
    </row>
    <row r="640" spans="1:7" x14ac:dyDescent="0.35">
      <c r="A640" s="2">
        <v>3240</v>
      </c>
      <c r="B640" s="2">
        <f t="shared" si="45"/>
        <v>1901.6479361775928</v>
      </c>
      <c r="C640" s="2">
        <f t="shared" si="46"/>
        <v>3616264.8731684978</v>
      </c>
      <c r="D640" s="2">
        <v>40960</v>
      </c>
      <c r="E640" s="2">
        <f t="shared" si="47"/>
        <v>4.0960000000000001</v>
      </c>
      <c r="F640" s="2">
        <f t="shared" si="48"/>
        <v>0.71614401664932759</v>
      </c>
      <c r="G640" s="2">
        <f t="shared" si="49"/>
        <v>0.51286225258263241</v>
      </c>
    </row>
    <row r="641" spans="1:7" x14ac:dyDescent="0.35">
      <c r="A641" s="2">
        <v>3240</v>
      </c>
      <c r="B641" s="2">
        <f t="shared" si="45"/>
        <v>1901.6479361775928</v>
      </c>
      <c r="C641" s="2">
        <f t="shared" si="46"/>
        <v>3616264.8731684978</v>
      </c>
      <c r="D641" s="2">
        <v>41202</v>
      </c>
      <c r="E641" s="2">
        <f t="shared" si="47"/>
        <v>4.1201999999999996</v>
      </c>
      <c r="F641" s="2">
        <f t="shared" si="48"/>
        <v>0.74034401664932714</v>
      </c>
      <c r="G641" s="2">
        <f t="shared" si="49"/>
        <v>0.54810926298845919</v>
      </c>
    </row>
    <row r="642" spans="1:7" x14ac:dyDescent="0.35">
      <c r="A642" s="2">
        <v>3240</v>
      </c>
      <c r="B642" s="2">
        <f t="shared" si="45"/>
        <v>1901.6479361775928</v>
      </c>
      <c r="C642" s="2">
        <f t="shared" si="46"/>
        <v>3616264.8731684978</v>
      </c>
      <c r="D642" s="2">
        <v>40590</v>
      </c>
      <c r="E642" s="2">
        <f t="shared" si="47"/>
        <v>4.0590000000000002</v>
      </c>
      <c r="F642" s="2">
        <f t="shared" si="48"/>
        <v>0.67914401664932766</v>
      </c>
      <c r="G642" s="2">
        <f t="shared" si="49"/>
        <v>0.46123659535058226</v>
      </c>
    </row>
    <row r="643" spans="1:7" x14ac:dyDescent="0.35">
      <c r="A643" s="2">
        <v>3240</v>
      </c>
      <c r="B643" s="2">
        <f t="shared" ref="B643:B706" si="50">A643-$J$1</f>
        <v>1901.6479361775928</v>
      </c>
      <c r="C643" s="2">
        <f t="shared" ref="C643:C706" si="51">B643^2</f>
        <v>3616264.8731684978</v>
      </c>
      <c r="D643" s="2">
        <v>42840</v>
      </c>
      <c r="E643" s="2">
        <f t="shared" ref="E643:E706" si="52">D643/10000</f>
        <v>4.2839999999999998</v>
      </c>
      <c r="F643" s="2">
        <f t="shared" ref="F643:F706" si="53">E643-$J$2</f>
        <v>0.90414401664932731</v>
      </c>
      <c r="G643" s="2">
        <f t="shared" ref="G643:G706" si="54">F643^2</f>
        <v>0.817476402842779</v>
      </c>
    </row>
    <row r="644" spans="1:7" x14ac:dyDescent="0.35">
      <c r="A644" s="2">
        <v>3240</v>
      </c>
      <c r="B644" s="2">
        <f t="shared" si="50"/>
        <v>1901.6479361775928</v>
      </c>
      <c r="C644" s="2">
        <f t="shared" si="51"/>
        <v>3616264.8731684978</v>
      </c>
      <c r="D644" s="2">
        <v>40794</v>
      </c>
      <c r="E644" s="2">
        <f t="shared" si="52"/>
        <v>4.0793999999999997</v>
      </c>
      <c r="F644" s="2">
        <f t="shared" si="53"/>
        <v>0.69954401664932719</v>
      </c>
      <c r="G644" s="2">
        <f t="shared" si="54"/>
        <v>0.48936183122987414</v>
      </c>
    </row>
    <row r="645" spans="1:7" x14ac:dyDescent="0.35">
      <c r="A645" s="2">
        <v>3240</v>
      </c>
      <c r="B645" s="2">
        <f t="shared" si="50"/>
        <v>1901.6479361775928</v>
      </c>
      <c r="C645" s="2">
        <f t="shared" si="51"/>
        <v>3616264.8731684978</v>
      </c>
      <c r="D645" s="2">
        <v>46445</v>
      </c>
      <c r="E645" s="2">
        <f t="shared" si="52"/>
        <v>4.6444999999999999</v>
      </c>
      <c r="F645" s="2">
        <f t="shared" si="53"/>
        <v>1.2646440166493274</v>
      </c>
      <c r="G645" s="2">
        <f t="shared" si="54"/>
        <v>1.5993244888469442</v>
      </c>
    </row>
    <row r="646" spans="1:7" x14ac:dyDescent="0.35">
      <c r="A646" s="2">
        <v>3240</v>
      </c>
      <c r="B646" s="2">
        <f t="shared" si="50"/>
        <v>1901.6479361775928</v>
      </c>
      <c r="C646" s="2">
        <f t="shared" si="51"/>
        <v>3616264.8731684978</v>
      </c>
      <c r="D646" s="2">
        <v>47116</v>
      </c>
      <c r="E646" s="2">
        <f t="shared" si="52"/>
        <v>4.7115999999999998</v>
      </c>
      <c r="F646" s="2">
        <f t="shared" si="53"/>
        <v>1.3317440166493273</v>
      </c>
      <c r="G646" s="2">
        <f t="shared" si="54"/>
        <v>1.7735421258812838</v>
      </c>
    </row>
    <row r="647" spans="1:7" x14ac:dyDescent="0.35">
      <c r="A647" s="2">
        <v>3240</v>
      </c>
      <c r="B647" s="2">
        <f t="shared" si="50"/>
        <v>1901.6479361775928</v>
      </c>
      <c r="C647" s="2">
        <f t="shared" si="51"/>
        <v>3616264.8731684978</v>
      </c>
      <c r="D647" s="2">
        <v>48009</v>
      </c>
      <c r="E647" s="2">
        <f t="shared" si="52"/>
        <v>4.8009000000000004</v>
      </c>
      <c r="F647" s="2">
        <f t="shared" si="53"/>
        <v>1.4210440166493279</v>
      </c>
      <c r="G647" s="2">
        <f t="shared" si="54"/>
        <v>2.0193660972548555</v>
      </c>
    </row>
    <row r="648" spans="1:7" x14ac:dyDescent="0.35">
      <c r="A648" s="2">
        <v>3240</v>
      </c>
      <c r="B648" s="2">
        <f t="shared" si="50"/>
        <v>1901.6479361775928</v>
      </c>
      <c r="C648" s="2">
        <f t="shared" si="51"/>
        <v>3616264.8731684978</v>
      </c>
      <c r="D648" s="2">
        <v>47324</v>
      </c>
      <c r="E648" s="2">
        <f t="shared" si="52"/>
        <v>4.7324000000000002</v>
      </c>
      <c r="F648" s="2">
        <f t="shared" si="53"/>
        <v>1.3525440166493277</v>
      </c>
      <c r="G648" s="2">
        <f t="shared" si="54"/>
        <v>1.8293753169738967</v>
      </c>
    </row>
    <row r="649" spans="1:7" x14ac:dyDescent="0.35">
      <c r="A649" s="2">
        <v>3240</v>
      </c>
      <c r="B649" s="2">
        <f t="shared" si="50"/>
        <v>1901.6479361775928</v>
      </c>
      <c r="C649" s="2">
        <f t="shared" si="51"/>
        <v>3616264.8731684978</v>
      </c>
      <c r="D649" s="2">
        <v>45472</v>
      </c>
      <c r="E649" s="2">
        <f t="shared" si="52"/>
        <v>4.5472000000000001</v>
      </c>
      <c r="F649" s="2">
        <f t="shared" si="53"/>
        <v>1.1673440166493276</v>
      </c>
      <c r="G649" s="2">
        <f t="shared" si="54"/>
        <v>1.3626920532069857</v>
      </c>
    </row>
    <row r="650" spans="1:7" x14ac:dyDescent="0.35">
      <c r="A650" s="2">
        <v>3240</v>
      </c>
      <c r="B650" s="2">
        <f t="shared" si="50"/>
        <v>1901.6479361775928</v>
      </c>
      <c r="C650" s="2">
        <f t="shared" si="51"/>
        <v>3616264.8731684978</v>
      </c>
      <c r="D650" s="2">
        <v>48001</v>
      </c>
      <c r="E650" s="2">
        <f t="shared" si="52"/>
        <v>4.8000999999999996</v>
      </c>
      <c r="F650" s="2">
        <f t="shared" si="53"/>
        <v>1.4202440166493271</v>
      </c>
      <c r="G650" s="2">
        <f t="shared" si="54"/>
        <v>2.0170930668282141</v>
      </c>
    </row>
    <row r="651" spans="1:7" x14ac:dyDescent="0.35">
      <c r="A651" s="2">
        <v>3240</v>
      </c>
      <c r="B651" s="2">
        <f t="shared" si="50"/>
        <v>1901.6479361775928</v>
      </c>
      <c r="C651" s="2">
        <f t="shared" si="51"/>
        <v>3616264.8731684978</v>
      </c>
      <c r="D651" s="2">
        <v>48038</v>
      </c>
      <c r="E651" s="2">
        <f t="shared" si="52"/>
        <v>4.8037999999999998</v>
      </c>
      <c r="F651" s="2">
        <f t="shared" si="53"/>
        <v>1.4239440166493273</v>
      </c>
      <c r="G651" s="2">
        <f t="shared" si="54"/>
        <v>2.0276165625514198</v>
      </c>
    </row>
    <row r="652" spans="1:7" x14ac:dyDescent="0.35">
      <c r="A652" s="2">
        <v>3240</v>
      </c>
      <c r="B652" s="2">
        <f t="shared" si="50"/>
        <v>1901.6479361775928</v>
      </c>
      <c r="C652" s="2">
        <f t="shared" si="51"/>
        <v>3616264.8731684978</v>
      </c>
      <c r="D652" s="2">
        <v>48388</v>
      </c>
      <c r="E652" s="2">
        <f t="shared" si="52"/>
        <v>4.8388</v>
      </c>
      <c r="F652" s="2">
        <f t="shared" si="53"/>
        <v>1.4589440166493275</v>
      </c>
      <c r="G652" s="2">
        <f t="shared" si="54"/>
        <v>2.1285176437168731</v>
      </c>
    </row>
    <row r="653" spans="1:7" x14ac:dyDescent="0.35">
      <c r="A653" s="2">
        <v>3240</v>
      </c>
      <c r="B653" s="2">
        <f t="shared" si="50"/>
        <v>1901.6479361775928</v>
      </c>
      <c r="C653" s="2">
        <f t="shared" si="51"/>
        <v>3616264.8731684978</v>
      </c>
      <c r="D653" s="2">
        <v>45717</v>
      </c>
      <c r="E653" s="2">
        <f t="shared" si="52"/>
        <v>4.5716999999999999</v>
      </c>
      <c r="F653" s="2">
        <f t="shared" si="53"/>
        <v>1.1918440166493274</v>
      </c>
      <c r="G653" s="2">
        <f t="shared" si="54"/>
        <v>1.4204921600228022</v>
      </c>
    </row>
    <row r="654" spans="1:7" x14ac:dyDescent="0.35">
      <c r="A654" s="2">
        <v>3240</v>
      </c>
      <c r="B654" s="2">
        <f t="shared" si="50"/>
        <v>1901.6479361775928</v>
      </c>
      <c r="C654" s="2">
        <f t="shared" si="51"/>
        <v>3616264.8731684978</v>
      </c>
      <c r="D654" s="2">
        <v>49020</v>
      </c>
      <c r="E654" s="2">
        <f t="shared" si="52"/>
        <v>4.9020000000000001</v>
      </c>
      <c r="F654" s="2">
        <f t="shared" si="53"/>
        <v>1.5221440166493276</v>
      </c>
      <c r="G654" s="2">
        <f t="shared" si="54"/>
        <v>2.3169224074213486</v>
      </c>
    </row>
    <row r="655" spans="1:7" x14ac:dyDescent="0.35">
      <c r="A655" s="2">
        <v>3240</v>
      </c>
      <c r="B655" s="2">
        <f t="shared" si="50"/>
        <v>1901.6479361775928</v>
      </c>
      <c r="C655" s="2">
        <f t="shared" si="51"/>
        <v>3616264.8731684978</v>
      </c>
      <c r="D655" s="2">
        <v>48887</v>
      </c>
      <c r="E655" s="2">
        <f t="shared" si="52"/>
        <v>4.8887</v>
      </c>
      <c r="F655" s="2">
        <f t="shared" si="53"/>
        <v>1.5088440166493275</v>
      </c>
      <c r="G655" s="2">
        <f t="shared" si="54"/>
        <v>2.2766102665784764</v>
      </c>
    </row>
    <row r="656" spans="1:7" x14ac:dyDescent="0.35">
      <c r="A656" s="2">
        <v>3240</v>
      </c>
      <c r="B656" s="2">
        <f t="shared" si="50"/>
        <v>1901.6479361775928</v>
      </c>
      <c r="C656" s="2">
        <f t="shared" si="51"/>
        <v>3616264.8731684978</v>
      </c>
      <c r="D656" s="2">
        <v>46956</v>
      </c>
      <c r="E656" s="2">
        <f t="shared" si="52"/>
        <v>4.6955999999999998</v>
      </c>
      <c r="F656" s="2">
        <f t="shared" si="53"/>
        <v>1.3157440166493273</v>
      </c>
      <c r="G656" s="2">
        <f t="shared" si="54"/>
        <v>1.7311823173485053</v>
      </c>
    </row>
    <row r="657" spans="1:7" x14ac:dyDescent="0.35">
      <c r="A657" s="2">
        <v>3240</v>
      </c>
      <c r="B657" s="2">
        <f t="shared" si="50"/>
        <v>1901.6479361775928</v>
      </c>
      <c r="C657" s="2">
        <f t="shared" si="51"/>
        <v>3616264.8731684978</v>
      </c>
      <c r="D657" s="2">
        <v>41223</v>
      </c>
      <c r="E657" s="2">
        <f t="shared" si="52"/>
        <v>4.1223000000000001</v>
      </c>
      <c r="F657" s="2">
        <f t="shared" si="53"/>
        <v>0.74244401664932758</v>
      </c>
      <c r="G657" s="2">
        <f t="shared" si="54"/>
        <v>0.55122311785838696</v>
      </c>
    </row>
    <row r="658" spans="1:7" x14ac:dyDescent="0.35">
      <c r="A658" s="2">
        <v>3240</v>
      </c>
      <c r="B658" s="2">
        <f t="shared" si="50"/>
        <v>1901.6479361775928</v>
      </c>
      <c r="C658" s="2">
        <f t="shared" si="51"/>
        <v>3616264.8731684978</v>
      </c>
      <c r="D658" s="2">
        <v>39589</v>
      </c>
      <c r="E658" s="2">
        <f t="shared" si="52"/>
        <v>3.9588999999999999</v>
      </c>
      <c r="F658" s="2">
        <f t="shared" si="53"/>
        <v>0.57904401664932736</v>
      </c>
      <c r="G658" s="2">
        <f t="shared" si="54"/>
        <v>0.33529197321738652</v>
      </c>
    </row>
    <row r="659" spans="1:7" x14ac:dyDescent="0.35">
      <c r="A659" s="2">
        <v>3240</v>
      </c>
      <c r="B659" s="2">
        <f t="shared" si="50"/>
        <v>1901.6479361775928</v>
      </c>
      <c r="C659" s="2">
        <f t="shared" si="51"/>
        <v>3616264.8731684978</v>
      </c>
      <c r="D659" s="2">
        <v>48066</v>
      </c>
      <c r="E659" s="2">
        <f t="shared" si="52"/>
        <v>4.8066000000000004</v>
      </c>
      <c r="F659" s="2">
        <f t="shared" si="53"/>
        <v>1.4267440166493279</v>
      </c>
      <c r="G659" s="2">
        <f t="shared" si="54"/>
        <v>2.0355984890446579</v>
      </c>
    </row>
    <row r="660" spans="1:7" x14ac:dyDescent="0.35">
      <c r="A660" s="2">
        <v>3240</v>
      </c>
      <c r="B660" s="2">
        <f t="shared" si="50"/>
        <v>1901.6479361775928</v>
      </c>
      <c r="C660" s="2">
        <f t="shared" si="51"/>
        <v>3616264.8731684978</v>
      </c>
      <c r="D660" s="2">
        <v>38371</v>
      </c>
      <c r="E660" s="2">
        <f t="shared" si="52"/>
        <v>3.8371</v>
      </c>
      <c r="F660" s="2">
        <f t="shared" si="53"/>
        <v>0.45724401664932746</v>
      </c>
      <c r="G660" s="2">
        <f t="shared" si="54"/>
        <v>0.20907209076161046</v>
      </c>
    </row>
    <row r="661" spans="1:7" x14ac:dyDescent="0.35">
      <c r="A661" s="2">
        <v>3240</v>
      </c>
      <c r="B661" s="2">
        <f t="shared" si="50"/>
        <v>1901.6479361775928</v>
      </c>
      <c r="C661" s="2">
        <f t="shared" si="51"/>
        <v>3616264.8731684978</v>
      </c>
      <c r="D661" s="2">
        <v>47836</v>
      </c>
      <c r="E661" s="2">
        <f t="shared" si="52"/>
        <v>4.7835999999999999</v>
      </c>
      <c r="F661" s="2">
        <f t="shared" si="53"/>
        <v>1.4037440166493274</v>
      </c>
      <c r="G661" s="2">
        <f t="shared" si="54"/>
        <v>1.970497264278787</v>
      </c>
    </row>
    <row r="662" spans="1:7" x14ac:dyDescent="0.35">
      <c r="A662" s="2">
        <v>3240</v>
      </c>
      <c r="B662" s="2">
        <f t="shared" si="50"/>
        <v>1901.6479361775928</v>
      </c>
      <c r="C662" s="2">
        <f t="shared" si="51"/>
        <v>3616264.8731684978</v>
      </c>
      <c r="D662" s="2">
        <v>48709</v>
      </c>
      <c r="E662" s="2">
        <f t="shared" si="52"/>
        <v>4.8708999999999998</v>
      </c>
      <c r="F662" s="2">
        <f t="shared" si="53"/>
        <v>1.4910440166493273</v>
      </c>
      <c r="G662" s="2">
        <f t="shared" si="54"/>
        <v>2.2232122595857593</v>
      </c>
    </row>
    <row r="663" spans="1:7" x14ac:dyDescent="0.35">
      <c r="A663" s="2">
        <v>3240</v>
      </c>
      <c r="B663" s="2">
        <f t="shared" si="50"/>
        <v>1901.6479361775928</v>
      </c>
      <c r="C663" s="2">
        <f t="shared" si="51"/>
        <v>3616264.8731684978</v>
      </c>
      <c r="D663" s="2">
        <v>47109</v>
      </c>
      <c r="E663" s="2">
        <f t="shared" si="52"/>
        <v>4.7108999999999996</v>
      </c>
      <c r="F663" s="2">
        <f t="shared" si="53"/>
        <v>1.3310440166493271</v>
      </c>
      <c r="G663" s="2">
        <f t="shared" si="54"/>
        <v>1.7716781742579744</v>
      </c>
    </row>
    <row r="664" spans="1:7" x14ac:dyDescent="0.35">
      <c r="A664" s="2">
        <v>900</v>
      </c>
      <c r="B664" s="2">
        <f t="shared" si="50"/>
        <v>-438.35206382240722</v>
      </c>
      <c r="C664" s="2">
        <f t="shared" si="51"/>
        <v>192152.53185736376</v>
      </c>
      <c r="D664" s="2">
        <v>10156</v>
      </c>
      <c r="E664" s="2">
        <f t="shared" si="52"/>
        <v>1.0156000000000001</v>
      </c>
      <c r="F664" s="2">
        <f t="shared" si="53"/>
        <v>-2.3642559833506724</v>
      </c>
      <c r="G664" s="2">
        <f t="shared" si="54"/>
        <v>5.5897063548094552</v>
      </c>
    </row>
    <row r="665" spans="1:7" x14ac:dyDescent="0.35">
      <c r="A665" s="2">
        <v>900</v>
      </c>
      <c r="B665" s="2">
        <f t="shared" si="50"/>
        <v>-438.35206382240722</v>
      </c>
      <c r="C665" s="2">
        <f t="shared" si="51"/>
        <v>192152.53185736376</v>
      </c>
      <c r="D665" s="2">
        <v>10156</v>
      </c>
      <c r="E665" s="2">
        <f t="shared" si="52"/>
        <v>1.0156000000000001</v>
      </c>
      <c r="F665" s="2">
        <f t="shared" si="53"/>
        <v>-2.3642559833506724</v>
      </c>
      <c r="G665" s="2">
        <f t="shared" si="54"/>
        <v>5.5897063548094552</v>
      </c>
    </row>
    <row r="666" spans="1:7" x14ac:dyDescent="0.35">
      <c r="A666" s="2">
        <v>900</v>
      </c>
      <c r="B666" s="2">
        <f t="shared" si="50"/>
        <v>-438.35206382240722</v>
      </c>
      <c r="C666" s="2">
        <f t="shared" si="51"/>
        <v>192152.53185736376</v>
      </c>
      <c r="D666" s="2">
        <v>10156</v>
      </c>
      <c r="E666" s="2">
        <f t="shared" si="52"/>
        <v>1.0156000000000001</v>
      </c>
      <c r="F666" s="2">
        <f t="shared" si="53"/>
        <v>-2.3642559833506724</v>
      </c>
      <c r="G666" s="2">
        <f t="shared" si="54"/>
        <v>5.5897063548094552</v>
      </c>
    </row>
    <row r="667" spans="1:7" x14ac:dyDescent="0.35">
      <c r="A667" s="2">
        <v>900</v>
      </c>
      <c r="B667" s="2">
        <f t="shared" si="50"/>
        <v>-438.35206382240722</v>
      </c>
      <c r="C667" s="2">
        <f t="shared" si="51"/>
        <v>192152.53185736376</v>
      </c>
      <c r="D667" s="2">
        <v>11538</v>
      </c>
      <c r="E667" s="2">
        <f t="shared" si="52"/>
        <v>1.1537999999999999</v>
      </c>
      <c r="F667" s="2">
        <f t="shared" si="53"/>
        <v>-2.2260559833506726</v>
      </c>
      <c r="G667" s="2">
        <f t="shared" si="54"/>
        <v>4.9553252410113302</v>
      </c>
    </row>
    <row r="668" spans="1:7" x14ac:dyDescent="0.35">
      <c r="A668" s="2">
        <v>900</v>
      </c>
      <c r="B668" s="2">
        <f t="shared" si="50"/>
        <v>-438.35206382240722</v>
      </c>
      <c r="C668" s="2">
        <f t="shared" si="51"/>
        <v>192152.53185736376</v>
      </c>
      <c r="D668" s="2">
        <v>11407</v>
      </c>
      <c r="E668" s="2">
        <f t="shared" si="52"/>
        <v>1.1407</v>
      </c>
      <c r="F668" s="2">
        <f t="shared" si="53"/>
        <v>-2.2391559833506722</v>
      </c>
      <c r="G668" s="2">
        <f t="shared" si="54"/>
        <v>5.0138195177751159</v>
      </c>
    </row>
    <row r="669" spans="1:7" x14ac:dyDescent="0.35">
      <c r="A669" s="2">
        <v>900</v>
      </c>
      <c r="B669" s="2">
        <f t="shared" si="50"/>
        <v>-438.35206382240722</v>
      </c>
      <c r="C669" s="2">
        <f t="shared" si="51"/>
        <v>192152.53185736376</v>
      </c>
      <c r="D669" s="2">
        <v>11852</v>
      </c>
      <c r="E669" s="2">
        <f t="shared" si="52"/>
        <v>1.1852</v>
      </c>
      <c r="F669" s="2">
        <f t="shared" si="53"/>
        <v>-2.1946559833506725</v>
      </c>
      <c r="G669" s="2">
        <f t="shared" si="54"/>
        <v>4.8165148852569075</v>
      </c>
    </row>
    <row r="670" spans="1:7" x14ac:dyDescent="0.35">
      <c r="A670" s="2">
        <v>900</v>
      </c>
      <c r="B670" s="2">
        <f t="shared" si="50"/>
        <v>-438.35206382240722</v>
      </c>
      <c r="C670" s="2">
        <f t="shared" si="51"/>
        <v>192152.53185736376</v>
      </c>
      <c r="D670" s="2">
        <v>11786</v>
      </c>
      <c r="E670" s="2">
        <f t="shared" si="52"/>
        <v>1.1786000000000001</v>
      </c>
      <c r="F670" s="2">
        <f t="shared" si="53"/>
        <v>-2.2012559833506726</v>
      </c>
      <c r="G670" s="2">
        <f t="shared" si="54"/>
        <v>4.8455279042371364</v>
      </c>
    </row>
    <row r="671" spans="1:7" x14ac:dyDescent="0.35">
      <c r="A671" s="2">
        <v>900</v>
      </c>
      <c r="B671" s="2">
        <f t="shared" si="50"/>
        <v>-438.35206382240722</v>
      </c>
      <c r="C671" s="2">
        <f t="shared" si="51"/>
        <v>192152.53185736376</v>
      </c>
      <c r="D671" s="2">
        <v>11807</v>
      </c>
      <c r="E671" s="2">
        <f t="shared" si="52"/>
        <v>1.1807000000000001</v>
      </c>
      <c r="F671" s="2">
        <f t="shared" si="53"/>
        <v>-2.1991559833506722</v>
      </c>
      <c r="G671" s="2">
        <f t="shared" si="54"/>
        <v>4.836287039107062</v>
      </c>
    </row>
    <row r="672" spans="1:7" x14ac:dyDescent="0.35">
      <c r="A672" s="2">
        <v>900</v>
      </c>
      <c r="B672" s="2">
        <f t="shared" si="50"/>
        <v>-438.35206382240722</v>
      </c>
      <c r="C672" s="2">
        <f t="shared" si="51"/>
        <v>192152.53185736376</v>
      </c>
      <c r="D672" s="2">
        <v>11827</v>
      </c>
      <c r="E672" s="2">
        <f t="shared" si="52"/>
        <v>1.1827000000000001</v>
      </c>
      <c r="F672" s="2">
        <f t="shared" si="53"/>
        <v>-2.1971559833506724</v>
      </c>
      <c r="G672" s="2">
        <f t="shared" si="54"/>
        <v>4.8274944151736605</v>
      </c>
    </row>
    <row r="673" spans="1:7" x14ac:dyDescent="0.35">
      <c r="A673" s="2">
        <v>900</v>
      </c>
      <c r="B673" s="2">
        <f t="shared" si="50"/>
        <v>-438.35206382240722</v>
      </c>
      <c r="C673" s="2">
        <f t="shared" si="51"/>
        <v>192152.53185736376</v>
      </c>
      <c r="D673" s="2">
        <v>11850</v>
      </c>
      <c r="E673" s="2">
        <f t="shared" si="52"/>
        <v>1.1850000000000001</v>
      </c>
      <c r="F673" s="2">
        <f t="shared" si="53"/>
        <v>-2.1948559833506724</v>
      </c>
      <c r="G673" s="2">
        <f t="shared" si="54"/>
        <v>4.8173927876502471</v>
      </c>
    </row>
    <row r="674" spans="1:7" x14ac:dyDescent="0.35">
      <c r="A674" s="2">
        <v>900</v>
      </c>
      <c r="B674" s="2">
        <f t="shared" si="50"/>
        <v>-438.35206382240722</v>
      </c>
      <c r="C674" s="2">
        <f t="shared" si="51"/>
        <v>192152.53185736376</v>
      </c>
      <c r="D674" s="2">
        <v>11876</v>
      </c>
      <c r="E674" s="2">
        <f t="shared" si="52"/>
        <v>1.1876</v>
      </c>
      <c r="F674" s="2">
        <f t="shared" si="53"/>
        <v>-2.1922559833506723</v>
      </c>
      <c r="G674" s="2">
        <f t="shared" si="54"/>
        <v>4.8059862965368234</v>
      </c>
    </row>
    <row r="675" spans="1:7" x14ac:dyDescent="0.35">
      <c r="A675" s="2">
        <v>900</v>
      </c>
      <c r="B675" s="2">
        <f t="shared" si="50"/>
        <v>-438.35206382240722</v>
      </c>
      <c r="C675" s="2">
        <f t="shared" si="51"/>
        <v>192152.53185736376</v>
      </c>
      <c r="D675" s="2">
        <v>11904</v>
      </c>
      <c r="E675" s="2">
        <f t="shared" si="52"/>
        <v>1.1903999999999999</v>
      </c>
      <c r="F675" s="2">
        <f t="shared" si="53"/>
        <v>-2.1894559833506726</v>
      </c>
      <c r="G675" s="2">
        <f t="shared" si="54"/>
        <v>4.7937175030300603</v>
      </c>
    </row>
    <row r="676" spans="1:7" x14ac:dyDescent="0.35">
      <c r="A676" s="2">
        <v>900</v>
      </c>
      <c r="B676" s="2">
        <f t="shared" si="50"/>
        <v>-438.35206382240722</v>
      </c>
      <c r="C676" s="2">
        <f t="shared" si="51"/>
        <v>192152.53185736376</v>
      </c>
      <c r="D676" s="2">
        <v>11931</v>
      </c>
      <c r="E676" s="2">
        <f t="shared" si="52"/>
        <v>1.1931</v>
      </c>
      <c r="F676" s="2">
        <f t="shared" si="53"/>
        <v>-2.1867559833506727</v>
      </c>
      <c r="G676" s="2">
        <f t="shared" si="54"/>
        <v>4.7819017307199676</v>
      </c>
    </row>
    <row r="677" spans="1:7" x14ac:dyDescent="0.35">
      <c r="A677" s="2">
        <v>900</v>
      </c>
      <c r="B677" s="2">
        <f t="shared" si="50"/>
        <v>-438.35206382240722</v>
      </c>
      <c r="C677" s="2">
        <f t="shared" si="51"/>
        <v>192152.53185736376</v>
      </c>
      <c r="D677" s="2">
        <v>11955</v>
      </c>
      <c r="E677" s="2">
        <f t="shared" si="52"/>
        <v>1.1955</v>
      </c>
      <c r="F677" s="2">
        <f t="shared" si="53"/>
        <v>-2.1843559833506725</v>
      </c>
      <c r="G677" s="2">
        <f t="shared" si="54"/>
        <v>4.7714110619998831</v>
      </c>
    </row>
    <row r="678" spans="1:7" x14ac:dyDescent="0.35">
      <c r="A678" s="2">
        <v>900</v>
      </c>
      <c r="B678" s="2">
        <f t="shared" si="50"/>
        <v>-438.35206382240722</v>
      </c>
      <c r="C678" s="2">
        <f t="shared" si="51"/>
        <v>192152.53185736376</v>
      </c>
      <c r="D678" s="2">
        <v>12020</v>
      </c>
      <c r="E678" s="2">
        <f t="shared" si="52"/>
        <v>1.202</v>
      </c>
      <c r="F678" s="2">
        <f t="shared" si="53"/>
        <v>-2.1778559833506725</v>
      </c>
      <c r="G678" s="2">
        <f t="shared" si="54"/>
        <v>4.7430566842163246</v>
      </c>
    </row>
    <row r="679" spans="1:7" x14ac:dyDescent="0.35">
      <c r="A679" s="2">
        <v>900</v>
      </c>
      <c r="B679" s="2">
        <f t="shared" si="50"/>
        <v>-438.35206382240722</v>
      </c>
      <c r="C679" s="2">
        <f t="shared" si="51"/>
        <v>192152.53185736376</v>
      </c>
      <c r="D679" s="2">
        <v>12026</v>
      </c>
      <c r="E679" s="2">
        <f t="shared" si="52"/>
        <v>1.2025999999999999</v>
      </c>
      <c r="F679" s="2">
        <f t="shared" si="53"/>
        <v>-2.1772559833506726</v>
      </c>
      <c r="G679" s="2">
        <f t="shared" si="54"/>
        <v>4.7404436170363047</v>
      </c>
    </row>
    <row r="680" spans="1:7" x14ac:dyDescent="0.35">
      <c r="A680" s="2">
        <v>900</v>
      </c>
      <c r="B680" s="2">
        <f t="shared" si="50"/>
        <v>-438.35206382240722</v>
      </c>
      <c r="C680" s="2">
        <f t="shared" si="51"/>
        <v>192152.53185736376</v>
      </c>
      <c r="D680" s="2">
        <v>12027</v>
      </c>
      <c r="E680" s="2">
        <f t="shared" si="52"/>
        <v>1.2027000000000001</v>
      </c>
      <c r="F680" s="2">
        <f t="shared" si="53"/>
        <v>-2.1771559833506724</v>
      </c>
      <c r="G680" s="2">
        <f t="shared" si="54"/>
        <v>4.7400081758396331</v>
      </c>
    </row>
    <row r="681" spans="1:7" x14ac:dyDescent="0.35">
      <c r="A681" s="2">
        <v>900</v>
      </c>
      <c r="B681" s="2">
        <f t="shared" si="50"/>
        <v>-438.35206382240722</v>
      </c>
      <c r="C681" s="2">
        <f t="shared" si="51"/>
        <v>192152.53185736376</v>
      </c>
      <c r="D681" s="2">
        <v>12020</v>
      </c>
      <c r="E681" s="2">
        <f t="shared" si="52"/>
        <v>1.202</v>
      </c>
      <c r="F681" s="2">
        <f t="shared" si="53"/>
        <v>-2.1778559833506725</v>
      </c>
      <c r="G681" s="2">
        <f t="shared" si="54"/>
        <v>4.7430566842163246</v>
      </c>
    </row>
    <row r="682" spans="1:7" x14ac:dyDescent="0.35">
      <c r="A682" s="2">
        <v>900</v>
      </c>
      <c r="B682" s="2">
        <f t="shared" si="50"/>
        <v>-438.35206382240722</v>
      </c>
      <c r="C682" s="2">
        <f t="shared" si="51"/>
        <v>192152.53185736376</v>
      </c>
      <c r="D682" s="2">
        <v>12000</v>
      </c>
      <c r="E682" s="2">
        <f t="shared" si="52"/>
        <v>1.2</v>
      </c>
      <c r="F682" s="2">
        <f t="shared" si="53"/>
        <v>-2.1798559833506728</v>
      </c>
      <c r="G682" s="2">
        <f t="shared" si="54"/>
        <v>4.7517721081497282</v>
      </c>
    </row>
    <row r="683" spans="1:7" x14ac:dyDescent="0.35">
      <c r="A683" s="2">
        <v>900</v>
      </c>
      <c r="B683" s="2">
        <f t="shared" si="50"/>
        <v>-438.35206382240722</v>
      </c>
      <c r="C683" s="2">
        <f t="shared" si="51"/>
        <v>192152.53185736376</v>
      </c>
      <c r="D683" s="2">
        <v>11765</v>
      </c>
      <c r="E683" s="2">
        <f t="shared" si="52"/>
        <v>1.1765000000000001</v>
      </c>
      <c r="F683" s="2">
        <f t="shared" si="53"/>
        <v>-2.2033559833506722</v>
      </c>
      <c r="G683" s="2">
        <f t="shared" si="54"/>
        <v>4.8547775893672078</v>
      </c>
    </row>
    <row r="684" spans="1:7" x14ac:dyDescent="0.35">
      <c r="A684" s="2">
        <v>900</v>
      </c>
      <c r="B684" s="2">
        <f t="shared" si="50"/>
        <v>-438.35206382240722</v>
      </c>
      <c r="C684" s="2">
        <f t="shared" si="51"/>
        <v>192152.53185736376</v>
      </c>
      <c r="D684" s="2">
        <v>12143</v>
      </c>
      <c r="E684" s="2">
        <f t="shared" si="52"/>
        <v>1.2142999999999999</v>
      </c>
      <c r="F684" s="2">
        <f t="shared" si="53"/>
        <v>-2.1655559833506723</v>
      </c>
      <c r="G684" s="2">
        <f t="shared" si="54"/>
        <v>4.6896327170258978</v>
      </c>
    </row>
    <row r="685" spans="1:7" x14ac:dyDescent="0.35">
      <c r="A685" s="2">
        <v>900</v>
      </c>
      <c r="B685" s="2">
        <f t="shared" si="50"/>
        <v>-438.35206382240722</v>
      </c>
      <c r="C685" s="2">
        <f t="shared" si="51"/>
        <v>192152.53185736376</v>
      </c>
      <c r="D685" s="2">
        <v>11765</v>
      </c>
      <c r="E685" s="2">
        <f t="shared" si="52"/>
        <v>1.1765000000000001</v>
      </c>
      <c r="F685" s="2">
        <f t="shared" si="53"/>
        <v>-2.2033559833506722</v>
      </c>
      <c r="G685" s="2">
        <f t="shared" si="54"/>
        <v>4.8547775893672078</v>
      </c>
    </row>
    <row r="686" spans="1:7" x14ac:dyDescent="0.35">
      <c r="A686" s="2">
        <v>900</v>
      </c>
      <c r="B686" s="2">
        <f t="shared" si="50"/>
        <v>-438.35206382240722</v>
      </c>
      <c r="C686" s="2">
        <f t="shared" si="51"/>
        <v>192152.53185736376</v>
      </c>
      <c r="D686" s="2">
        <v>12151</v>
      </c>
      <c r="E686" s="2">
        <f t="shared" si="52"/>
        <v>1.2151000000000001</v>
      </c>
      <c r="F686" s="2">
        <f t="shared" si="53"/>
        <v>-2.1647559833506724</v>
      </c>
      <c r="G686" s="2">
        <f t="shared" si="54"/>
        <v>4.6861684674525366</v>
      </c>
    </row>
    <row r="687" spans="1:7" x14ac:dyDescent="0.35">
      <c r="A687" s="2">
        <v>900</v>
      </c>
      <c r="B687" s="2">
        <f t="shared" si="50"/>
        <v>-438.35206382240722</v>
      </c>
      <c r="C687" s="2">
        <f t="shared" si="51"/>
        <v>192152.53185736376</v>
      </c>
      <c r="D687" s="2">
        <v>12632</v>
      </c>
      <c r="E687" s="2">
        <f t="shared" si="52"/>
        <v>1.2632000000000001</v>
      </c>
      <c r="F687" s="2">
        <f t="shared" si="53"/>
        <v>-2.1166559833506726</v>
      </c>
      <c r="G687" s="2">
        <f t="shared" si="54"/>
        <v>4.4802325518542032</v>
      </c>
    </row>
    <row r="688" spans="1:7" x14ac:dyDescent="0.35">
      <c r="A688" s="2">
        <v>900</v>
      </c>
      <c r="B688" s="2">
        <f t="shared" si="50"/>
        <v>-438.35206382240722</v>
      </c>
      <c r="C688" s="2">
        <f t="shared" si="51"/>
        <v>192152.53185736376</v>
      </c>
      <c r="D688" s="2">
        <v>12619</v>
      </c>
      <c r="E688" s="2">
        <f t="shared" si="52"/>
        <v>1.2619</v>
      </c>
      <c r="F688" s="2">
        <f t="shared" si="53"/>
        <v>-2.1179559833506723</v>
      </c>
      <c r="G688" s="2">
        <f t="shared" si="54"/>
        <v>4.4857375474109134</v>
      </c>
    </row>
    <row r="689" spans="1:7" x14ac:dyDescent="0.35">
      <c r="A689" s="2">
        <v>900</v>
      </c>
      <c r="B689" s="2">
        <f t="shared" si="50"/>
        <v>-438.35206382240722</v>
      </c>
      <c r="C689" s="2">
        <f t="shared" si="51"/>
        <v>192152.53185736376</v>
      </c>
      <c r="D689" s="2">
        <v>12273</v>
      </c>
      <c r="E689" s="2">
        <f t="shared" si="52"/>
        <v>1.2273000000000001</v>
      </c>
      <c r="F689" s="2">
        <f t="shared" si="53"/>
        <v>-2.1525559833506724</v>
      </c>
      <c r="G689" s="2">
        <f t="shared" si="54"/>
        <v>4.6334972614587802</v>
      </c>
    </row>
    <row r="690" spans="1:7" x14ac:dyDescent="0.35">
      <c r="A690" s="2">
        <v>900</v>
      </c>
      <c r="B690" s="2">
        <f t="shared" si="50"/>
        <v>-438.35206382240722</v>
      </c>
      <c r="C690" s="2">
        <f t="shared" si="51"/>
        <v>192152.53185736376</v>
      </c>
      <c r="D690" s="2">
        <v>12889</v>
      </c>
      <c r="E690" s="2">
        <f t="shared" si="52"/>
        <v>1.2888999999999999</v>
      </c>
      <c r="F690" s="2">
        <f t="shared" si="53"/>
        <v>-2.0909559833506726</v>
      </c>
      <c r="G690" s="2">
        <f t="shared" si="54"/>
        <v>4.3720969243099779</v>
      </c>
    </row>
    <row r="691" spans="1:7" x14ac:dyDescent="0.35">
      <c r="A691" s="2">
        <v>900</v>
      </c>
      <c r="B691" s="2">
        <f t="shared" si="50"/>
        <v>-438.35206382240722</v>
      </c>
      <c r="C691" s="2">
        <f t="shared" si="51"/>
        <v>192152.53185736376</v>
      </c>
      <c r="D691" s="2">
        <v>12758</v>
      </c>
      <c r="E691" s="2">
        <f t="shared" si="52"/>
        <v>1.2758</v>
      </c>
      <c r="F691" s="2">
        <f t="shared" si="53"/>
        <v>-2.1040559833506727</v>
      </c>
      <c r="G691" s="2">
        <f t="shared" si="54"/>
        <v>4.4270515810737665</v>
      </c>
    </row>
    <row r="692" spans="1:7" x14ac:dyDescent="0.35">
      <c r="A692" s="2">
        <v>900</v>
      </c>
      <c r="B692" s="2">
        <f t="shared" si="50"/>
        <v>-438.35206382240722</v>
      </c>
      <c r="C692" s="2">
        <f t="shared" si="51"/>
        <v>192152.53185736376</v>
      </c>
      <c r="D692" s="2">
        <v>12689</v>
      </c>
      <c r="E692" s="2">
        <f t="shared" si="52"/>
        <v>1.2688999999999999</v>
      </c>
      <c r="F692" s="2">
        <f t="shared" si="53"/>
        <v>-2.1109559833506726</v>
      </c>
      <c r="G692" s="2">
        <f t="shared" si="54"/>
        <v>4.4561351636440047</v>
      </c>
    </row>
    <row r="693" spans="1:7" x14ac:dyDescent="0.35">
      <c r="A693" s="2">
        <v>900</v>
      </c>
      <c r="B693" s="2">
        <f t="shared" si="50"/>
        <v>-438.35206382240722</v>
      </c>
      <c r="C693" s="2">
        <f t="shared" si="51"/>
        <v>192152.53185736376</v>
      </c>
      <c r="D693" s="2">
        <v>12772</v>
      </c>
      <c r="E693" s="2">
        <f t="shared" si="52"/>
        <v>1.2771999999999999</v>
      </c>
      <c r="F693" s="2">
        <f t="shared" si="53"/>
        <v>-2.1026559833506724</v>
      </c>
      <c r="G693" s="2">
        <f t="shared" si="54"/>
        <v>4.4211621843203828</v>
      </c>
    </row>
    <row r="694" spans="1:7" x14ac:dyDescent="0.35">
      <c r="A694" s="2">
        <v>2926</v>
      </c>
      <c r="B694" s="2">
        <f t="shared" si="50"/>
        <v>1587.6479361775928</v>
      </c>
      <c r="C694" s="2">
        <f t="shared" si="51"/>
        <v>2520625.9692489696</v>
      </c>
      <c r="D694" s="2">
        <v>30352</v>
      </c>
      <c r="E694" s="2">
        <f t="shared" si="52"/>
        <v>3.0352000000000001</v>
      </c>
      <c r="F694" s="2">
        <f t="shared" si="53"/>
        <v>-0.34465598335067238</v>
      </c>
      <c r="G694" s="2">
        <f t="shared" si="54"/>
        <v>0.11878774685941895</v>
      </c>
    </row>
    <row r="695" spans="1:7" x14ac:dyDescent="0.35">
      <c r="A695" s="2">
        <v>2926</v>
      </c>
      <c r="B695" s="2">
        <f t="shared" si="50"/>
        <v>1587.6479361775928</v>
      </c>
      <c r="C695" s="2">
        <f t="shared" si="51"/>
        <v>2520625.9692489696</v>
      </c>
      <c r="D695" s="2">
        <v>30638</v>
      </c>
      <c r="E695" s="2">
        <f t="shared" si="52"/>
        <v>3.0638000000000001</v>
      </c>
      <c r="F695" s="2">
        <f t="shared" si="53"/>
        <v>-0.31605598335067242</v>
      </c>
      <c r="G695" s="2">
        <f t="shared" si="54"/>
        <v>9.9891384611760517E-2</v>
      </c>
    </row>
    <row r="696" spans="1:7" x14ac:dyDescent="0.35">
      <c r="A696" s="2">
        <v>2926</v>
      </c>
      <c r="B696" s="2">
        <f t="shared" si="50"/>
        <v>1587.6479361775928</v>
      </c>
      <c r="C696" s="2">
        <f t="shared" si="51"/>
        <v>2520625.9692489696</v>
      </c>
      <c r="D696" s="2">
        <v>30281</v>
      </c>
      <c r="E696" s="2">
        <f t="shared" si="52"/>
        <v>3.0280999999999998</v>
      </c>
      <c r="F696" s="2">
        <f t="shared" si="53"/>
        <v>-0.35175598335067271</v>
      </c>
      <c r="G696" s="2">
        <f t="shared" si="54"/>
        <v>0.12373227182299873</v>
      </c>
    </row>
    <row r="697" spans="1:7" x14ac:dyDescent="0.35">
      <c r="A697" s="2">
        <v>2926</v>
      </c>
      <c r="B697" s="2">
        <f t="shared" si="50"/>
        <v>1587.6479361775928</v>
      </c>
      <c r="C697" s="2">
        <f t="shared" si="51"/>
        <v>2520625.9692489696</v>
      </c>
      <c r="D697" s="2">
        <v>36313</v>
      </c>
      <c r="E697" s="2">
        <f t="shared" si="52"/>
        <v>3.6313</v>
      </c>
      <c r="F697" s="2">
        <f t="shared" si="53"/>
        <v>0.25144401664932747</v>
      </c>
      <c r="G697" s="2">
        <f t="shared" si="54"/>
        <v>6.3224093508747276E-2</v>
      </c>
    </row>
    <row r="698" spans="1:7" x14ac:dyDescent="0.35">
      <c r="A698" s="2">
        <v>2926</v>
      </c>
      <c r="B698" s="2">
        <f t="shared" si="50"/>
        <v>1587.6479361775928</v>
      </c>
      <c r="C698" s="2">
        <f t="shared" si="51"/>
        <v>2520625.9692489696</v>
      </c>
      <c r="D698" s="2">
        <v>42823</v>
      </c>
      <c r="E698" s="2">
        <f t="shared" si="52"/>
        <v>4.2823000000000002</v>
      </c>
      <c r="F698" s="2">
        <f t="shared" si="53"/>
        <v>0.90244401664932772</v>
      </c>
      <c r="G698" s="2">
        <f t="shared" si="54"/>
        <v>0.81440520318617204</v>
      </c>
    </row>
    <row r="699" spans="1:7" x14ac:dyDescent="0.35">
      <c r="A699" s="2">
        <v>2926</v>
      </c>
      <c r="B699" s="2">
        <f t="shared" si="50"/>
        <v>1587.6479361775928</v>
      </c>
      <c r="C699" s="2">
        <f t="shared" si="51"/>
        <v>2520625.9692489696</v>
      </c>
      <c r="D699" s="2">
        <v>44019</v>
      </c>
      <c r="E699" s="2">
        <f t="shared" si="52"/>
        <v>4.4019000000000004</v>
      </c>
      <c r="F699" s="2">
        <f t="shared" si="53"/>
        <v>1.0220440166493279</v>
      </c>
      <c r="G699" s="2">
        <f t="shared" si="54"/>
        <v>1.0445739719686915</v>
      </c>
    </row>
    <row r="700" spans="1:7" x14ac:dyDescent="0.35">
      <c r="A700" s="2">
        <v>2926</v>
      </c>
      <c r="B700" s="2">
        <f t="shared" si="50"/>
        <v>1587.6479361775928</v>
      </c>
      <c r="C700" s="2">
        <f t="shared" si="51"/>
        <v>2520625.9692489696</v>
      </c>
      <c r="D700" s="2">
        <v>38418</v>
      </c>
      <c r="E700" s="2">
        <f t="shared" si="52"/>
        <v>3.8418000000000001</v>
      </c>
      <c r="F700" s="2">
        <f t="shared" si="53"/>
        <v>0.4619440166493276</v>
      </c>
      <c r="G700" s="2">
        <f t="shared" si="54"/>
        <v>0.21339227451811427</v>
      </c>
    </row>
    <row r="701" spans="1:7" x14ac:dyDescent="0.35">
      <c r="A701" s="2">
        <v>2926</v>
      </c>
      <c r="B701" s="2">
        <f t="shared" si="50"/>
        <v>1587.6479361775928</v>
      </c>
      <c r="C701" s="2">
        <f t="shared" si="51"/>
        <v>2520625.9692489696</v>
      </c>
      <c r="D701" s="2">
        <v>41264</v>
      </c>
      <c r="E701" s="2">
        <f t="shared" si="52"/>
        <v>4.1264000000000003</v>
      </c>
      <c r="F701" s="2">
        <f t="shared" si="53"/>
        <v>0.74654401664932779</v>
      </c>
      <c r="G701" s="2">
        <f t="shared" si="54"/>
        <v>0.55732796879491175</v>
      </c>
    </row>
    <row r="702" spans="1:7" x14ac:dyDescent="0.35">
      <c r="A702" s="2">
        <v>2926</v>
      </c>
      <c r="B702" s="2">
        <f t="shared" si="50"/>
        <v>1587.6479361775928</v>
      </c>
      <c r="C702" s="2">
        <f t="shared" si="51"/>
        <v>2520625.9692489696</v>
      </c>
      <c r="D702" s="2">
        <v>45875</v>
      </c>
      <c r="E702" s="2">
        <f t="shared" si="52"/>
        <v>4.5875000000000004</v>
      </c>
      <c r="F702" s="2">
        <f t="shared" si="53"/>
        <v>1.2076440166493279</v>
      </c>
      <c r="G702" s="2">
        <f t="shared" si="54"/>
        <v>1.4584040709489221</v>
      </c>
    </row>
    <row r="703" spans="1:7" x14ac:dyDescent="0.35">
      <c r="A703" s="2">
        <v>2926</v>
      </c>
      <c r="B703" s="2">
        <f t="shared" si="50"/>
        <v>1587.6479361775928</v>
      </c>
      <c r="C703" s="2">
        <f t="shared" si="51"/>
        <v>2520625.9692489696</v>
      </c>
      <c r="D703" s="2">
        <v>44518</v>
      </c>
      <c r="E703" s="2">
        <f t="shared" si="52"/>
        <v>4.4518000000000004</v>
      </c>
      <c r="F703" s="2">
        <f t="shared" si="53"/>
        <v>1.0719440166493279</v>
      </c>
      <c r="G703" s="2">
        <f t="shared" si="54"/>
        <v>1.1490639748302947</v>
      </c>
    </row>
    <row r="704" spans="1:7" x14ac:dyDescent="0.35">
      <c r="A704" s="2">
        <v>2926</v>
      </c>
      <c r="B704" s="2">
        <f t="shared" si="50"/>
        <v>1587.6479361775928</v>
      </c>
      <c r="C704" s="2">
        <f t="shared" si="51"/>
        <v>2520625.9692489696</v>
      </c>
      <c r="D704" s="2">
        <v>41102</v>
      </c>
      <c r="E704" s="2">
        <f t="shared" si="52"/>
        <v>4.1101999999999999</v>
      </c>
      <c r="F704" s="2">
        <f t="shared" si="53"/>
        <v>0.73034401664932735</v>
      </c>
      <c r="G704" s="2">
        <f t="shared" si="54"/>
        <v>0.53340238265547291</v>
      </c>
    </row>
    <row r="705" spans="1:7" x14ac:dyDescent="0.35">
      <c r="A705" s="2">
        <v>2926</v>
      </c>
      <c r="B705" s="2">
        <f t="shared" si="50"/>
        <v>1587.6479361775928</v>
      </c>
      <c r="C705" s="2">
        <f t="shared" si="51"/>
        <v>2520625.9692489696</v>
      </c>
      <c r="D705" s="2">
        <v>43652</v>
      </c>
      <c r="E705" s="2">
        <f t="shared" si="52"/>
        <v>4.3651999999999997</v>
      </c>
      <c r="F705" s="2">
        <f t="shared" si="53"/>
        <v>0.98534401664932725</v>
      </c>
      <c r="G705" s="2">
        <f t="shared" si="54"/>
        <v>0.97090283114662967</v>
      </c>
    </row>
    <row r="706" spans="1:7" x14ac:dyDescent="0.35">
      <c r="A706" s="2">
        <v>2926</v>
      </c>
      <c r="B706" s="2">
        <f t="shared" si="50"/>
        <v>1587.6479361775928</v>
      </c>
      <c r="C706" s="2">
        <f t="shared" si="51"/>
        <v>2520625.9692489696</v>
      </c>
      <c r="D706" s="2">
        <v>42668</v>
      </c>
      <c r="E706" s="2">
        <f t="shared" si="52"/>
        <v>4.2667999999999999</v>
      </c>
      <c r="F706" s="2">
        <f t="shared" si="53"/>
        <v>0.88694401664932743</v>
      </c>
      <c r="G706" s="2">
        <f t="shared" si="54"/>
        <v>0.78666968867004239</v>
      </c>
    </row>
    <row r="707" spans="1:7" x14ac:dyDescent="0.35">
      <c r="A707" s="2">
        <v>2926</v>
      </c>
      <c r="B707" s="2">
        <f t="shared" ref="B707:B770" si="55">A707-$J$1</f>
        <v>1587.6479361775928</v>
      </c>
      <c r="C707" s="2">
        <f t="shared" ref="C707:C770" si="56">B707^2</f>
        <v>2520625.9692489696</v>
      </c>
      <c r="D707" s="2">
        <v>40875</v>
      </c>
      <c r="E707" s="2">
        <f t="shared" ref="E707:E770" si="57">D707/10000</f>
        <v>4.0875000000000004</v>
      </c>
      <c r="F707" s="2">
        <f t="shared" ref="F707:F770" si="58">E707-$J$2</f>
        <v>0.70764401664932786</v>
      </c>
      <c r="G707" s="2">
        <f t="shared" ref="G707:G770" si="59">F707^2</f>
        <v>0.50076005429959425</v>
      </c>
    </row>
    <row r="708" spans="1:7" x14ac:dyDescent="0.35">
      <c r="A708" s="2">
        <v>2926</v>
      </c>
      <c r="B708" s="2">
        <f t="shared" si="55"/>
        <v>1587.6479361775928</v>
      </c>
      <c r="C708" s="2">
        <f t="shared" si="56"/>
        <v>2520625.9692489696</v>
      </c>
      <c r="D708" s="2">
        <v>38975</v>
      </c>
      <c r="E708" s="2">
        <f t="shared" si="57"/>
        <v>3.8975</v>
      </c>
      <c r="F708" s="2">
        <f t="shared" si="58"/>
        <v>0.51764401664932747</v>
      </c>
      <c r="G708" s="2">
        <f t="shared" si="59"/>
        <v>0.26795532797284921</v>
      </c>
    </row>
    <row r="709" spans="1:7" x14ac:dyDescent="0.35">
      <c r="A709" s="2">
        <v>2926</v>
      </c>
      <c r="B709" s="2">
        <f t="shared" si="55"/>
        <v>1587.6479361775928</v>
      </c>
      <c r="C709" s="2">
        <f t="shared" si="56"/>
        <v>2520625.9692489696</v>
      </c>
      <c r="D709" s="2">
        <v>38039</v>
      </c>
      <c r="E709" s="2">
        <f t="shared" si="57"/>
        <v>3.8039000000000001</v>
      </c>
      <c r="F709" s="2">
        <f t="shared" si="58"/>
        <v>0.42404401664932756</v>
      </c>
      <c r="G709" s="2">
        <f t="shared" si="59"/>
        <v>0.17981332805609518</v>
      </c>
    </row>
    <row r="710" spans="1:7" x14ac:dyDescent="0.35">
      <c r="A710" s="2">
        <v>2926</v>
      </c>
      <c r="B710" s="2">
        <f t="shared" si="55"/>
        <v>1587.6479361775928</v>
      </c>
      <c r="C710" s="2">
        <f t="shared" si="56"/>
        <v>2520625.9692489696</v>
      </c>
      <c r="D710" s="2">
        <v>39623</v>
      </c>
      <c r="E710" s="2">
        <f t="shared" si="57"/>
        <v>3.9622999999999999</v>
      </c>
      <c r="F710" s="2">
        <f t="shared" si="58"/>
        <v>0.58244401664932743</v>
      </c>
      <c r="G710" s="2">
        <f t="shared" si="59"/>
        <v>0.339241032530602</v>
      </c>
    </row>
    <row r="711" spans="1:7" x14ac:dyDescent="0.35">
      <c r="A711" s="2">
        <v>2926</v>
      </c>
      <c r="B711" s="2">
        <f t="shared" si="55"/>
        <v>1587.6479361775928</v>
      </c>
      <c r="C711" s="2">
        <f t="shared" si="56"/>
        <v>2520625.9692489696</v>
      </c>
      <c r="D711" s="2">
        <v>31749</v>
      </c>
      <c r="E711" s="2">
        <f t="shared" si="57"/>
        <v>3.1749000000000001</v>
      </c>
      <c r="F711" s="2">
        <f t="shared" si="58"/>
        <v>-0.20495598335067244</v>
      </c>
      <c r="G711" s="2">
        <f t="shared" si="59"/>
        <v>4.2006955111241119E-2</v>
      </c>
    </row>
    <row r="712" spans="1:7" x14ac:dyDescent="0.35">
      <c r="A712" s="2">
        <v>2926</v>
      </c>
      <c r="B712" s="2">
        <f t="shared" si="55"/>
        <v>1587.6479361775928</v>
      </c>
      <c r="C712" s="2">
        <f t="shared" si="56"/>
        <v>2520625.9692489696</v>
      </c>
      <c r="D712" s="2">
        <v>33169</v>
      </c>
      <c r="E712" s="2">
        <f t="shared" si="57"/>
        <v>3.3169</v>
      </c>
      <c r="F712" s="2">
        <f t="shared" si="58"/>
        <v>-6.295598335067254E-2</v>
      </c>
      <c r="G712" s="2">
        <f t="shared" si="59"/>
        <v>3.9634558396501578E-3</v>
      </c>
    </row>
    <row r="713" spans="1:7" x14ac:dyDescent="0.35">
      <c r="A713" s="2">
        <v>2926</v>
      </c>
      <c r="B713" s="2">
        <f t="shared" si="55"/>
        <v>1587.6479361775928</v>
      </c>
      <c r="C713" s="2">
        <f t="shared" si="56"/>
        <v>2520625.9692489696</v>
      </c>
      <c r="D713" s="2">
        <v>39744</v>
      </c>
      <c r="E713" s="2">
        <f t="shared" si="57"/>
        <v>3.9744000000000002</v>
      </c>
      <c r="F713" s="2">
        <f t="shared" si="58"/>
        <v>0.59454401664932766</v>
      </c>
      <c r="G713" s="2">
        <f t="shared" si="59"/>
        <v>0.35348258773351598</v>
      </c>
    </row>
    <row r="714" spans="1:7" x14ac:dyDescent="0.35">
      <c r="A714" s="2">
        <v>2926</v>
      </c>
      <c r="B714" s="2">
        <f t="shared" si="55"/>
        <v>1587.6479361775928</v>
      </c>
      <c r="C714" s="2">
        <f t="shared" si="56"/>
        <v>2520625.9692489696</v>
      </c>
      <c r="D714" s="2">
        <v>38036</v>
      </c>
      <c r="E714" s="2">
        <f t="shared" si="57"/>
        <v>3.8035999999999999</v>
      </c>
      <c r="F714" s="2">
        <f t="shared" si="58"/>
        <v>0.42374401664932737</v>
      </c>
      <c r="G714" s="2">
        <f t="shared" si="59"/>
        <v>0.17955899164610542</v>
      </c>
    </row>
    <row r="715" spans="1:7" x14ac:dyDescent="0.35">
      <c r="A715" s="2">
        <v>2926</v>
      </c>
      <c r="B715" s="2">
        <f t="shared" si="55"/>
        <v>1587.6479361775928</v>
      </c>
      <c r="C715" s="2">
        <f t="shared" si="56"/>
        <v>2520625.9692489696</v>
      </c>
      <c r="D715" s="2">
        <v>40974</v>
      </c>
      <c r="E715" s="2">
        <f t="shared" si="57"/>
        <v>4.0974000000000004</v>
      </c>
      <c r="F715" s="2">
        <f t="shared" si="58"/>
        <v>0.71754401664932788</v>
      </c>
      <c r="G715" s="2">
        <f t="shared" si="59"/>
        <v>0.51486941582925094</v>
      </c>
    </row>
    <row r="716" spans="1:7" x14ac:dyDescent="0.35">
      <c r="A716" s="2">
        <v>2926</v>
      </c>
      <c r="B716" s="2">
        <f t="shared" si="55"/>
        <v>1587.6479361775928</v>
      </c>
      <c r="C716" s="2">
        <f t="shared" si="56"/>
        <v>2520625.9692489696</v>
      </c>
      <c r="D716" s="2">
        <v>41001</v>
      </c>
      <c r="E716" s="2">
        <f t="shared" si="57"/>
        <v>4.1001000000000003</v>
      </c>
      <c r="F716" s="2">
        <f t="shared" si="58"/>
        <v>0.7202440166493278</v>
      </c>
      <c r="G716" s="2">
        <f t="shared" si="59"/>
        <v>0.51875144351915714</v>
      </c>
    </row>
    <row r="717" spans="1:7" x14ac:dyDescent="0.35">
      <c r="A717" s="2">
        <v>2926</v>
      </c>
      <c r="B717" s="2">
        <f t="shared" si="55"/>
        <v>1587.6479361775928</v>
      </c>
      <c r="C717" s="2">
        <f t="shared" si="56"/>
        <v>2520625.9692489696</v>
      </c>
      <c r="D717" s="2">
        <v>33485</v>
      </c>
      <c r="E717" s="2">
        <f t="shared" si="57"/>
        <v>3.3485</v>
      </c>
      <c r="F717" s="2">
        <f t="shared" si="58"/>
        <v>-3.1355983350672467E-2</v>
      </c>
      <c r="G717" s="2">
        <f t="shared" si="59"/>
        <v>9.8319769188764906E-4</v>
      </c>
    </row>
    <row r="718" spans="1:7" x14ac:dyDescent="0.35">
      <c r="A718" s="2">
        <v>2926</v>
      </c>
      <c r="B718" s="2">
        <f t="shared" si="55"/>
        <v>1587.6479361775928</v>
      </c>
      <c r="C718" s="2">
        <f t="shared" si="56"/>
        <v>2520625.9692489696</v>
      </c>
      <c r="D718" s="2">
        <v>35402</v>
      </c>
      <c r="E718" s="2">
        <f t="shared" si="57"/>
        <v>3.5402</v>
      </c>
      <c r="F718" s="2">
        <f t="shared" si="58"/>
        <v>0.16034401664932751</v>
      </c>
      <c r="G718" s="2">
        <f t="shared" si="59"/>
        <v>2.571020367523982E-2</v>
      </c>
    </row>
    <row r="719" spans="1:7" x14ac:dyDescent="0.35">
      <c r="A719" s="2">
        <v>2926</v>
      </c>
      <c r="B719" s="2">
        <f t="shared" si="55"/>
        <v>1587.6479361775928</v>
      </c>
      <c r="C719" s="2">
        <f t="shared" si="56"/>
        <v>2520625.9692489696</v>
      </c>
      <c r="D719" s="2">
        <v>37933</v>
      </c>
      <c r="E719" s="2">
        <f t="shared" si="57"/>
        <v>3.7932999999999999</v>
      </c>
      <c r="F719" s="2">
        <f t="shared" si="58"/>
        <v>0.41344401664932739</v>
      </c>
      <c r="G719" s="2">
        <f t="shared" si="59"/>
        <v>0.17093595490312929</v>
      </c>
    </row>
    <row r="720" spans="1:7" x14ac:dyDescent="0.35">
      <c r="A720" s="2">
        <v>2926</v>
      </c>
      <c r="B720" s="2">
        <f t="shared" si="55"/>
        <v>1587.6479361775928</v>
      </c>
      <c r="C720" s="2">
        <f t="shared" si="56"/>
        <v>2520625.9692489696</v>
      </c>
      <c r="D720" s="2">
        <v>33822</v>
      </c>
      <c r="E720" s="2">
        <f t="shared" si="57"/>
        <v>3.3822000000000001</v>
      </c>
      <c r="F720" s="2">
        <f t="shared" si="58"/>
        <v>2.344016649327596E-3</v>
      </c>
      <c r="G720" s="2">
        <f t="shared" si="59"/>
        <v>5.4944140523249701E-6</v>
      </c>
    </row>
    <row r="721" spans="1:7" x14ac:dyDescent="0.35">
      <c r="A721" s="2">
        <v>2926</v>
      </c>
      <c r="B721" s="2">
        <f t="shared" si="55"/>
        <v>1587.6479361775928</v>
      </c>
      <c r="C721" s="2">
        <f t="shared" si="56"/>
        <v>2520625.9692489696</v>
      </c>
      <c r="D721" s="2">
        <v>48799</v>
      </c>
      <c r="E721" s="2">
        <f t="shared" si="57"/>
        <v>4.8799000000000001</v>
      </c>
      <c r="F721" s="2">
        <f t="shared" si="58"/>
        <v>1.5000440166493276</v>
      </c>
      <c r="G721" s="2">
        <f t="shared" si="59"/>
        <v>2.2501320518854482</v>
      </c>
    </row>
    <row r="722" spans="1:7" x14ac:dyDescent="0.35">
      <c r="A722" s="2">
        <v>2926</v>
      </c>
      <c r="B722" s="2">
        <f t="shared" si="55"/>
        <v>1587.6479361775928</v>
      </c>
      <c r="C722" s="2">
        <f t="shared" si="56"/>
        <v>2520625.9692489696</v>
      </c>
      <c r="D722" s="2">
        <v>40029</v>
      </c>
      <c r="E722" s="2">
        <f t="shared" si="57"/>
        <v>4.0029000000000003</v>
      </c>
      <c r="F722" s="2">
        <f t="shared" si="58"/>
        <v>0.62304401664932785</v>
      </c>
      <c r="G722" s="2">
        <f t="shared" si="59"/>
        <v>0.38818384668252792</v>
      </c>
    </row>
    <row r="723" spans="1:7" x14ac:dyDescent="0.35">
      <c r="A723" s="2">
        <v>2926</v>
      </c>
      <c r="B723" s="2">
        <f t="shared" si="55"/>
        <v>1587.6479361775928</v>
      </c>
      <c r="C723" s="2">
        <f t="shared" si="56"/>
        <v>2520625.9692489696</v>
      </c>
      <c r="D723" s="2">
        <v>42396</v>
      </c>
      <c r="E723" s="2">
        <f t="shared" si="57"/>
        <v>4.2396000000000003</v>
      </c>
      <c r="F723" s="2">
        <f t="shared" si="58"/>
        <v>0.85974401664932776</v>
      </c>
      <c r="G723" s="2">
        <f t="shared" si="59"/>
        <v>0.73915977416431955</v>
      </c>
    </row>
    <row r="724" spans="1:7" x14ac:dyDescent="0.35">
      <c r="A724" s="2">
        <v>1335</v>
      </c>
      <c r="B724" s="2">
        <f t="shared" si="55"/>
        <v>-3.3520638224072172</v>
      </c>
      <c r="C724" s="2">
        <f t="shared" si="56"/>
        <v>11.236331869491284</v>
      </c>
      <c r="D724" s="2">
        <v>32935</v>
      </c>
      <c r="E724" s="2">
        <f t="shared" si="57"/>
        <v>3.2934999999999999</v>
      </c>
      <c r="F724" s="2">
        <f t="shared" si="58"/>
        <v>-8.6355983350672627E-2</v>
      </c>
      <c r="G724" s="2">
        <f t="shared" si="59"/>
        <v>7.4573558604616478E-3</v>
      </c>
    </row>
    <row r="725" spans="1:7" x14ac:dyDescent="0.35">
      <c r="A725" s="2">
        <v>1335</v>
      </c>
      <c r="B725" s="2">
        <f t="shared" si="55"/>
        <v>-3.3520638224072172</v>
      </c>
      <c r="C725" s="2">
        <f t="shared" si="56"/>
        <v>11.236331869491284</v>
      </c>
      <c r="D725" s="2">
        <v>33442</v>
      </c>
      <c r="E725" s="2">
        <f t="shared" si="57"/>
        <v>3.3441999999999998</v>
      </c>
      <c r="F725" s="2">
        <f t="shared" si="58"/>
        <v>-3.565598335067266E-2</v>
      </c>
      <c r="G725" s="2">
        <f t="shared" si="59"/>
        <v>1.271349148703446E-3</v>
      </c>
    </row>
    <row r="726" spans="1:7" x14ac:dyDescent="0.35">
      <c r="A726" s="2">
        <v>1335</v>
      </c>
      <c r="B726" s="2">
        <f t="shared" si="55"/>
        <v>-3.3520638224072172</v>
      </c>
      <c r="C726" s="2">
        <f t="shared" si="56"/>
        <v>11.236331869491284</v>
      </c>
      <c r="D726" s="2">
        <v>30401</v>
      </c>
      <c r="E726" s="2">
        <f t="shared" si="57"/>
        <v>3.0400999999999998</v>
      </c>
      <c r="F726" s="2">
        <f t="shared" si="58"/>
        <v>-0.3397559833506727</v>
      </c>
      <c r="G726" s="2">
        <f t="shared" si="59"/>
        <v>0.11543412822258259</v>
      </c>
    </row>
    <row r="727" spans="1:7" x14ac:dyDescent="0.35">
      <c r="A727" s="2">
        <v>1335</v>
      </c>
      <c r="B727" s="2">
        <f t="shared" si="55"/>
        <v>-3.3520638224072172</v>
      </c>
      <c r="C727" s="2">
        <f t="shared" si="56"/>
        <v>11.236331869491284</v>
      </c>
      <c r="D727" s="2">
        <v>32038</v>
      </c>
      <c r="E727" s="2">
        <f t="shared" si="57"/>
        <v>3.2038000000000002</v>
      </c>
      <c r="F727" s="2">
        <f t="shared" si="58"/>
        <v>-0.1760559833506723</v>
      </c>
      <c r="G727" s="2">
        <f t="shared" si="59"/>
        <v>3.0995709273572199E-2</v>
      </c>
    </row>
    <row r="728" spans="1:7" x14ac:dyDescent="0.35">
      <c r="A728" s="2">
        <v>1335</v>
      </c>
      <c r="B728" s="2">
        <f t="shared" si="55"/>
        <v>-3.3520638224072172</v>
      </c>
      <c r="C728" s="2">
        <f t="shared" si="56"/>
        <v>11.236331869491284</v>
      </c>
      <c r="D728" s="2">
        <v>30580</v>
      </c>
      <c r="E728" s="2">
        <f t="shared" si="57"/>
        <v>3.0579999999999998</v>
      </c>
      <c r="F728" s="2">
        <f t="shared" si="58"/>
        <v>-0.32185598335067267</v>
      </c>
      <c r="G728" s="2">
        <f t="shared" si="59"/>
        <v>0.10359127401862848</v>
      </c>
    </row>
    <row r="729" spans="1:7" x14ac:dyDescent="0.35">
      <c r="A729" s="2">
        <v>1335</v>
      </c>
      <c r="B729" s="2">
        <f t="shared" si="55"/>
        <v>-3.3520638224072172</v>
      </c>
      <c r="C729" s="2">
        <f t="shared" si="56"/>
        <v>11.236331869491284</v>
      </c>
      <c r="D729" s="2">
        <v>28105</v>
      </c>
      <c r="E729" s="2">
        <f t="shared" si="57"/>
        <v>2.8105000000000002</v>
      </c>
      <c r="F729" s="2">
        <f t="shared" si="58"/>
        <v>-0.56935598335067228</v>
      </c>
      <c r="G729" s="2">
        <f t="shared" si="59"/>
        <v>0.32416623577721099</v>
      </c>
    </row>
    <row r="730" spans="1:7" x14ac:dyDescent="0.35">
      <c r="A730" s="2">
        <v>1335</v>
      </c>
      <c r="B730" s="2">
        <f t="shared" si="55"/>
        <v>-3.3520638224072172</v>
      </c>
      <c r="C730" s="2">
        <f t="shared" si="56"/>
        <v>11.236331869491284</v>
      </c>
      <c r="D730" s="2">
        <v>21902</v>
      </c>
      <c r="E730" s="2">
        <f t="shared" si="57"/>
        <v>2.1901999999999999</v>
      </c>
      <c r="F730" s="2">
        <f t="shared" si="58"/>
        <v>-1.1896559833506726</v>
      </c>
      <c r="G730" s="2">
        <f t="shared" si="59"/>
        <v>1.4152813587220558</v>
      </c>
    </row>
    <row r="731" spans="1:7" x14ac:dyDescent="0.35">
      <c r="A731" s="2">
        <v>1335</v>
      </c>
      <c r="B731" s="2">
        <f t="shared" si="55"/>
        <v>-3.3520638224072172</v>
      </c>
      <c r="C731" s="2">
        <f t="shared" si="56"/>
        <v>11.236331869491284</v>
      </c>
      <c r="D731" s="2">
        <v>19113</v>
      </c>
      <c r="E731" s="2">
        <f t="shared" si="57"/>
        <v>1.9113</v>
      </c>
      <c r="F731" s="2">
        <f t="shared" si="58"/>
        <v>-1.4685559833506725</v>
      </c>
      <c r="G731" s="2">
        <f t="shared" si="59"/>
        <v>2.1566566762350607</v>
      </c>
    </row>
    <row r="732" spans="1:7" x14ac:dyDescent="0.35">
      <c r="A732" s="2">
        <v>1335</v>
      </c>
      <c r="B732" s="2">
        <f t="shared" si="55"/>
        <v>-3.3520638224072172</v>
      </c>
      <c r="C732" s="2">
        <f t="shared" si="56"/>
        <v>11.236331869491284</v>
      </c>
      <c r="D732" s="2">
        <v>23247</v>
      </c>
      <c r="E732" s="2">
        <f t="shared" si="57"/>
        <v>2.3247</v>
      </c>
      <c r="F732" s="2">
        <f t="shared" si="58"/>
        <v>-1.0551559833506725</v>
      </c>
      <c r="G732" s="2">
        <f t="shared" si="59"/>
        <v>1.1133541492007246</v>
      </c>
    </row>
    <row r="733" spans="1:7" x14ac:dyDescent="0.35">
      <c r="A733" s="2">
        <v>1335</v>
      </c>
      <c r="B733" s="2">
        <f t="shared" si="55"/>
        <v>-3.3520638224072172</v>
      </c>
      <c r="C733" s="2">
        <f t="shared" si="56"/>
        <v>11.236331869491284</v>
      </c>
      <c r="D733" s="2">
        <v>25604</v>
      </c>
      <c r="E733" s="2">
        <f t="shared" si="57"/>
        <v>2.5604</v>
      </c>
      <c r="F733" s="2">
        <f t="shared" si="58"/>
        <v>-0.81945598335067249</v>
      </c>
      <c r="G733" s="2">
        <f t="shared" si="59"/>
        <v>0.67150810864921762</v>
      </c>
    </row>
    <row r="734" spans="1:7" x14ac:dyDescent="0.35">
      <c r="A734" s="2">
        <v>1335</v>
      </c>
      <c r="B734" s="2">
        <f t="shared" si="55"/>
        <v>-3.3520638224072172</v>
      </c>
      <c r="C734" s="2">
        <f t="shared" si="56"/>
        <v>11.236331869491284</v>
      </c>
      <c r="D734" s="2">
        <v>24574</v>
      </c>
      <c r="E734" s="2">
        <f t="shared" si="57"/>
        <v>2.4573999999999998</v>
      </c>
      <c r="F734" s="2">
        <f t="shared" si="58"/>
        <v>-0.92245598335067269</v>
      </c>
      <c r="G734" s="2">
        <f t="shared" si="59"/>
        <v>0.85092504121945656</v>
      </c>
    </row>
    <row r="735" spans="1:7" x14ac:dyDescent="0.35">
      <c r="A735" s="2">
        <v>1335</v>
      </c>
      <c r="B735" s="2">
        <f t="shared" si="55"/>
        <v>-3.3520638224072172</v>
      </c>
      <c r="C735" s="2">
        <f t="shared" si="56"/>
        <v>11.236331869491284</v>
      </c>
      <c r="D735" s="2">
        <v>28781</v>
      </c>
      <c r="E735" s="2">
        <f t="shared" si="57"/>
        <v>2.8780999999999999</v>
      </c>
      <c r="F735" s="2">
        <f t="shared" si="58"/>
        <v>-0.50175598335067262</v>
      </c>
      <c r="G735" s="2">
        <f t="shared" si="59"/>
        <v>0.25175906682820048</v>
      </c>
    </row>
    <row r="736" spans="1:7" x14ac:dyDescent="0.35">
      <c r="A736" s="2">
        <v>1335</v>
      </c>
      <c r="B736" s="2">
        <f t="shared" si="55"/>
        <v>-3.3520638224072172</v>
      </c>
      <c r="C736" s="2">
        <f t="shared" si="56"/>
        <v>11.236331869491284</v>
      </c>
      <c r="D736" s="2">
        <v>22772</v>
      </c>
      <c r="E736" s="2">
        <f t="shared" si="57"/>
        <v>2.2772000000000001</v>
      </c>
      <c r="F736" s="2">
        <f t="shared" si="58"/>
        <v>-1.1026559833506724</v>
      </c>
      <c r="G736" s="2">
        <f t="shared" si="59"/>
        <v>1.2158502176190382</v>
      </c>
    </row>
    <row r="737" spans="1:7" x14ac:dyDescent="0.35">
      <c r="A737" s="2">
        <v>1335</v>
      </c>
      <c r="B737" s="2">
        <f t="shared" si="55"/>
        <v>-3.3520638224072172</v>
      </c>
      <c r="C737" s="2">
        <f t="shared" si="56"/>
        <v>11.236331869491284</v>
      </c>
      <c r="D737" s="2">
        <v>32673</v>
      </c>
      <c r="E737" s="2">
        <f t="shared" si="57"/>
        <v>3.2673000000000001</v>
      </c>
      <c r="F737" s="2">
        <f t="shared" si="58"/>
        <v>-0.11255598335067241</v>
      </c>
      <c r="G737" s="2">
        <f t="shared" si="59"/>
        <v>1.2668849388036843E-2</v>
      </c>
    </row>
    <row r="738" spans="1:7" x14ac:dyDescent="0.35">
      <c r="A738" s="2">
        <v>1335</v>
      </c>
      <c r="B738" s="2">
        <f t="shared" si="55"/>
        <v>-3.3520638224072172</v>
      </c>
      <c r="C738" s="2">
        <f t="shared" si="56"/>
        <v>11.236331869491284</v>
      </c>
      <c r="D738" s="2">
        <v>27625</v>
      </c>
      <c r="E738" s="2">
        <f t="shared" si="57"/>
        <v>2.7625000000000002</v>
      </c>
      <c r="F738" s="2">
        <f t="shared" si="58"/>
        <v>-0.61735598335067232</v>
      </c>
      <c r="G738" s="2">
        <f t="shared" si="59"/>
        <v>0.38112841017887561</v>
      </c>
    </row>
    <row r="739" spans="1:7" x14ac:dyDescent="0.35">
      <c r="A739" s="2">
        <v>1335</v>
      </c>
      <c r="B739" s="2">
        <f t="shared" si="55"/>
        <v>-3.3520638224072172</v>
      </c>
      <c r="C739" s="2">
        <f t="shared" si="56"/>
        <v>11.236331869491284</v>
      </c>
      <c r="D739" s="2">
        <v>32689</v>
      </c>
      <c r="E739" s="2">
        <f t="shared" si="57"/>
        <v>3.2688999999999999</v>
      </c>
      <c r="F739" s="2">
        <f t="shared" si="58"/>
        <v>-0.11095598335067258</v>
      </c>
      <c r="G739" s="2">
        <f t="shared" si="59"/>
        <v>1.2311230241314731E-2</v>
      </c>
    </row>
    <row r="740" spans="1:7" x14ac:dyDescent="0.35">
      <c r="A740" s="2">
        <v>1335</v>
      </c>
      <c r="B740" s="2">
        <f t="shared" si="55"/>
        <v>-3.3520638224072172</v>
      </c>
      <c r="C740" s="2">
        <f t="shared" si="56"/>
        <v>11.236331869491284</v>
      </c>
      <c r="D740" s="2">
        <v>34959</v>
      </c>
      <c r="E740" s="2">
        <f t="shared" si="57"/>
        <v>3.4958999999999998</v>
      </c>
      <c r="F740" s="2">
        <f t="shared" si="58"/>
        <v>0.11604401664932729</v>
      </c>
      <c r="G740" s="2">
        <f t="shared" si="59"/>
        <v>1.3466213800109348E-2</v>
      </c>
    </row>
    <row r="741" spans="1:7" x14ac:dyDescent="0.35">
      <c r="A741" s="2">
        <v>1335</v>
      </c>
      <c r="B741" s="2">
        <f t="shared" si="55"/>
        <v>-3.3520638224072172</v>
      </c>
      <c r="C741" s="2">
        <f t="shared" si="56"/>
        <v>11.236331869491284</v>
      </c>
      <c r="D741" s="2">
        <v>30977</v>
      </c>
      <c r="E741" s="2">
        <f t="shared" si="57"/>
        <v>3.0977000000000001</v>
      </c>
      <c r="F741" s="2">
        <f t="shared" si="58"/>
        <v>-0.28215598335067238</v>
      </c>
      <c r="G741" s="2">
        <f t="shared" si="59"/>
        <v>7.9611998940584905E-2</v>
      </c>
    </row>
    <row r="742" spans="1:7" x14ac:dyDescent="0.35">
      <c r="A742" s="2">
        <v>1335</v>
      </c>
      <c r="B742" s="2">
        <f t="shared" si="55"/>
        <v>-3.3520638224072172</v>
      </c>
      <c r="C742" s="2">
        <f t="shared" si="56"/>
        <v>11.236331869491284</v>
      </c>
      <c r="D742" s="2">
        <v>28900</v>
      </c>
      <c r="E742" s="2">
        <f t="shared" si="57"/>
        <v>2.89</v>
      </c>
      <c r="F742" s="2">
        <f t="shared" si="58"/>
        <v>-0.48985598335067237</v>
      </c>
      <c r="G742" s="2">
        <f t="shared" si="59"/>
        <v>0.23995888442445421</v>
      </c>
    </row>
    <row r="743" spans="1:7" x14ac:dyDescent="0.35">
      <c r="A743" s="2">
        <v>1335</v>
      </c>
      <c r="B743" s="2">
        <f t="shared" si="55"/>
        <v>-3.3520638224072172</v>
      </c>
      <c r="C743" s="2">
        <f t="shared" si="56"/>
        <v>11.236331869491284</v>
      </c>
      <c r="D743" s="2">
        <v>30400</v>
      </c>
      <c r="E743" s="2">
        <f t="shared" si="57"/>
        <v>3.04</v>
      </c>
      <c r="F743" s="2">
        <f t="shared" si="58"/>
        <v>-0.33985598335067246</v>
      </c>
      <c r="G743" s="2">
        <f t="shared" si="59"/>
        <v>0.11550208941925257</v>
      </c>
    </row>
    <row r="744" spans="1:7" x14ac:dyDescent="0.35">
      <c r="A744" s="2">
        <v>1335</v>
      </c>
      <c r="B744" s="2">
        <f t="shared" si="55"/>
        <v>-3.3520638224072172</v>
      </c>
      <c r="C744" s="2">
        <f t="shared" si="56"/>
        <v>11.236331869491284</v>
      </c>
      <c r="D744" s="2">
        <v>32300</v>
      </c>
      <c r="E744" s="2">
        <f t="shared" si="57"/>
        <v>3.23</v>
      </c>
      <c r="F744" s="2">
        <f t="shared" si="58"/>
        <v>-0.14985598335067252</v>
      </c>
      <c r="G744" s="2">
        <f t="shared" si="59"/>
        <v>2.245681574599704E-2</v>
      </c>
    </row>
    <row r="745" spans="1:7" x14ac:dyDescent="0.35">
      <c r="A745" s="2">
        <v>1335</v>
      </c>
      <c r="B745" s="2">
        <f t="shared" si="55"/>
        <v>-3.3520638224072172</v>
      </c>
      <c r="C745" s="2">
        <f t="shared" si="56"/>
        <v>11.236331869491284</v>
      </c>
      <c r="D745" s="2">
        <v>28036</v>
      </c>
      <c r="E745" s="2">
        <f t="shared" si="57"/>
        <v>2.8035999999999999</v>
      </c>
      <c r="F745" s="2">
        <f t="shared" si="58"/>
        <v>-0.57625598335067263</v>
      </c>
      <c r="G745" s="2">
        <f t="shared" si="59"/>
        <v>0.33207095834745071</v>
      </c>
    </row>
    <row r="746" spans="1:7" x14ac:dyDescent="0.35">
      <c r="A746" s="2">
        <v>1335</v>
      </c>
      <c r="B746" s="2">
        <f t="shared" si="55"/>
        <v>-3.3520638224072172</v>
      </c>
      <c r="C746" s="2">
        <f t="shared" si="56"/>
        <v>11.236331869491284</v>
      </c>
      <c r="D746" s="2">
        <v>26123</v>
      </c>
      <c r="E746" s="2">
        <f t="shared" si="57"/>
        <v>2.6122999999999998</v>
      </c>
      <c r="F746" s="2">
        <f t="shared" si="58"/>
        <v>-0.76755598335067265</v>
      </c>
      <c r="G746" s="2">
        <f t="shared" si="59"/>
        <v>0.5891421875774181</v>
      </c>
    </row>
    <row r="747" spans="1:7" x14ac:dyDescent="0.35">
      <c r="A747" s="2">
        <v>1335</v>
      </c>
      <c r="B747" s="2">
        <f t="shared" si="55"/>
        <v>-3.3520638224072172</v>
      </c>
      <c r="C747" s="2">
        <f t="shared" si="56"/>
        <v>11.236331869491284</v>
      </c>
      <c r="D747" s="2">
        <v>25755</v>
      </c>
      <c r="E747" s="2">
        <f t="shared" si="57"/>
        <v>2.5754999999999999</v>
      </c>
      <c r="F747" s="2">
        <f t="shared" si="58"/>
        <v>-0.8043559833506726</v>
      </c>
      <c r="G747" s="2">
        <f t="shared" si="59"/>
        <v>0.64698854795202754</v>
      </c>
    </row>
    <row r="748" spans="1:7" x14ac:dyDescent="0.35">
      <c r="A748" s="2">
        <v>1335</v>
      </c>
      <c r="B748" s="2">
        <f t="shared" si="55"/>
        <v>-3.3520638224072172</v>
      </c>
      <c r="C748" s="2">
        <f t="shared" si="56"/>
        <v>11.236331869491284</v>
      </c>
      <c r="D748" s="2">
        <v>27225</v>
      </c>
      <c r="E748" s="2">
        <f t="shared" si="57"/>
        <v>2.7225000000000001</v>
      </c>
      <c r="F748" s="2">
        <f t="shared" si="58"/>
        <v>-0.65735598335067236</v>
      </c>
      <c r="G748" s="2">
        <f t="shared" si="59"/>
        <v>0.43211688884692945</v>
      </c>
    </row>
    <row r="749" spans="1:7" x14ac:dyDescent="0.35">
      <c r="A749" s="2">
        <v>1335</v>
      </c>
      <c r="B749" s="2">
        <f t="shared" si="55"/>
        <v>-3.3520638224072172</v>
      </c>
      <c r="C749" s="2">
        <f t="shared" si="56"/>
        <v>11.236331869491284</v>
      </c>
      <c r="D749" s="2">
        <v>31651</v>
      </c>
      <c r="E749" s="2">
        <f t="shared" si="57"/>
        <v>3.1650999999999998</v>
      </c>
      <c r="F749" s="2">
        <f t="shared" si="58"/>
        <v>-0.2147559833506727</v>
      </c>
      <c r="G749" s="2">
        <f t="shared" si="59"/>
        <v>4.6120132384914407E-2</v>
      </c>
    </row>
    <row r="750" spans="1:7" x14ac:dyDescent="0.35">
      <c r="A750" s="2">
        <v>1335</v>
      </c>
      <c r="B750" s="2">
        <f t="shared" si="55"/>
        <v>-3.3520638224072172</v>
      </c>
      <c r="C750" s="2">
        <f t="shared" si="56"/>
        <v>11.236331869491284</v>
      </c>
      <c r="D750" s="2">
        <v>34000</v>
      </c>
      <c r="E750" s="2">
        <f t="shared" si="57"/>
        <v>3.4</v>
      </c>
      <c r="F750" s="2">
        <f t="shared" si="58"/>
        <v>2.0144016649327412E-2</v>
      </c>
      <c r="G750" s="2">
        <f t="shared" si="59"/>
        <v>4.0578140676837996E-4</v>
      </c>
    </row>
    <row r="751" spans="1:7" x14ac:dyDescent="0.35">
      <c r="A751" s="2">
        <v>1335</v>
      </c>
      <c r="B751" s="2">
        <f t="shared" si="55"/>
        <v>-3.3520638224072172</v>
      </c>
      <c r="C751" s="2">
        <f t="shared" si="56"/>
        <v>11.236331869491284</v>
      </c>
      <c r="D751" s="2">
        <v>34085</v>
      </c>
      <c r="E751" s="2">
        <f t="shared" si="57"/>
        <v>3.4085000000000001</v>
      </c>
      <c r="F751" s="2">
        <f t="shared" si="58"/>
        <v>2.8644016649327586E-2</v>
      </c>
      <c r="G751" s="2">
        <f t="shared" si="59"/>
        <v>8.2047968980695596E-4</v>
      </c>
    </row>
    <row r="752" spans="1:7" x14ac:dyDescent="0.35">
      <c r="A752" s="2">
        <v>1335</v>
      </c>
      <c r="B752" s="2">
        <f t="shared" si="55"/>
        <v>-3.3520638224072172</v>
      </c>
      <c r="C752" s="2">
        <f t="shared" si="56"/>
        <v>11.236331869491284</v>
      </c>
      <c r="D752" s="2">
        <v>37269</v>
      </c>
      <c r="E752" s="2">
        <f t="shared" si="57"/>
        <v>3.7269000000000001</v>
      </c>
      <c r="F752" s="2">
        <f t="shared" si="58"/>
        <v>0.3470440166493276</v>
      </c>
      <c r="G752" s="2">
        <f t="shared" si="59"/>
        <v>0.12043954949209877</v>
      </c>
    </row>
    <row r="753" spans="1:7" x14ac:dyDescent="0.35">
      <c r="A753" s="2">
        <v>1335</v>
      </c>
      <c r="B753" s="2">
        <f t="shared" si="55"/>
        <v>-3.3520638224072172</v>
      </c>
      <c r="C753" s="2">
        <f t="shared" si="56"/>
        <v>11.236331869491284</v>
      </c>
      <c r="D753" s="2">
        <v>36713</v>
      </c>
      <c r="E753" s="2">
        <f t="shared" si="57"/>
        <v>3.6713</v>
      </c>
      <c r="F753" s="2">
        <f t="shared" si="58"/>
        <v>0.29144401664932751</v>
      </c>
      <c r="G753" s="2">
        <f t="shared" si="59"/>
        <v>8.4939614840693484E-2</v>
      </c>
    </row>
    <row r="754" spans="1:7" x14ac:dyDescent="0.35">
      <c r="A754" s="2">
        <v>1410</v>
      </c>
      <c r="B754" s="2">
        <f t="shared" si="55"/>
        <v>71.647936177592783</v>
      </c>
      <c r="C754" s="2">
        <f t="shared" si="56"/>
        <v>5133.426758508409</v>
      </c>
      <c r="D754" s="2">
        <v>44764</v>
      </c>
      <c r="E754" s="2">
        <f t="shared" si="57"/>
        <v>4.4763999999999999</v>
      </c>
      <c r="F754" s="2">
        <f t="shared" si="58"/>
        <v>1.0965440166493274</v>
      </c>
      <c r="G754" s="2">
        <f t="shared" si="59"/>
        <v>1.2024087804494406</v>
      </c>
    </row>
    <row r="755" spans="1:7" x14ac:dyDescent="0.35">
      <c r="A755" s="2">
        <v>1410</v>
      </c>
      <c r="B755" s="2">
        <f t="shared" si="55"/>
        <v>71.647936177592783</v>
      </c>
      <c r="C755" s="2">
        <f t="shared" si="56"/>
        <v>5133.426758508409</v>
      </c>
      <c r="D755" s="2">
        <v>46592</v>
      </c>
      <c r="E755" s="2">
        <f t="shared" si="57"/>
        <v>4.6592000000000002</v>
      </c>
      <c r="F755" s="2">
        <f t="shared" si="58"/>
        <v>1.2793440166493277</v>
      </c>
      <c r="G755" s="2">
        <f t="shared" si="59"/>
        <v>1.6367211129364354</v>
      </c>
    </row>
    <row r="756" spans="1:7" x14ac:dyDescent="0.35">
      <c r="A756" s="2">
        <v>1410</v>
      </c>
      <c r="B756" s="2">
        <f t="shared" si="55"/>
        <v>71.647936177592783</v>
      </c>
      <c r="C756" s="2">
        <f t="shared" si="56"/>
        <v>5133.426758508409</v>
      </c>
      <c r="D756" s="2">
        <v>44775</v>
      </c>
      <c r="E756" s="2">
        <f t="shared" si="57"/>
        <v>4.4775</v>
      </c>
      <c r="F756" s="2">
        <f t="shared" si="58"/>
        <v>1.0976440166493275</v>
      </c>
      <c r="G756" s="2">
        <f t="shared" si="59"/>
        <v>1.2048223872860693</v>
      </c>
    </row>
    <row r="757" spans="1:7" x14ac:dyDescent="0.35">
      <c r="A757" s="2">
        <v>1410</v>
      </c>
      <c r="B757" s="2">
        <f t="shared" si="55"/>
        <v>71.647936177592783</v>
      </c>
      <c r="C757" s="2">
        <f t="shared" si="56"/>
        <v>5133.426758508409</v>
      </c>
      <c r="D757" s="2">
        <v>45350</v>
      </c>
      <c r="E757" s="2">
        <f t="shared" si="57"/>
        <v>4.5350000000000001</v>
      </c>
      <c r="F757" s="2">
        <f t="shared" si="58"/>
        <v>1.1551440166493276</v>
      </c>
      <c r="G757" s="2">
        <f t="shared" si="59"/>
        <v>1.3343576992007422</v>
      </c>
    </row>
    <row r="758" spans="1:7" x14ac:dyDescent="0.35">
      <c r="A758" s="2">
        <v>1410</v>
      </c>
      <c r="B758" s="2">
        <f t="shared" si="55"/>
        <v>71.647936177592783</v>
      </c>
      <c r="C758" s="2">
        <f t="shared" si="56"/>
        <v>5133.426758508409</v>
      </c>
      <c r="D758" s="2">
        <v>47851</v>
      </c>
      <c r="E758" s="2">
        <f t="shared" si="57"/>
        <v>4.7850999999999999</v>
      </c>
      <c r="F758" s="2">
        <f t="shared" si="58"/>
        <v>1.4052440166493274</v>
      </c>
      <c r="G758" s="2">
        <f t="shared" si="59"/>
        <v>1.9747107463287352</v>
      </c>
    </row>
    <row r="759" spans="1:7" x14ac:dyDescent="0.35">
      <c r="A759" s="2">
        <v>1410</v>
      </c>
      <c r="B759" s="2">
        <f t="shared" si="55"/>
        <v>71.647936177592783</v>
      </c>
      <c r="C759" s="2">
        <f t="shared" si="56"/>
        <v>5133.426758508409</v>
      </c>
      <c r="D759" s="2">
        <v>48092</v>
      </c>
      <c r="E759" s="2">
        <f t="shared" si="57"/>
        <v>4.8091999999999997</v>
      </c>
      <c r="F759" s="2">
        <f t="shared" si="58"/>
        <v>1.4293440166493272</v>
      </c>
      <c r="G759" s="2">
        <f t="shared" si="59"/>
        <v>2.043024317931232</v>
      </c>
    </row>
    <row r="760" spans="1:7" x14ac:dyDescent="0.35">
      <c r="A760" s="2">
        <v>1410</v>
      </c>
      <c r="B760" s="2">
        <f t="shared" si="55"/>
        <v>71.647936177592783</v>
      </c>
      <c r="C760" s="2">
        <f t="shared" si="56"/>
        <v>5133.426758508409</v>
      </c>
      <c r="D760" s="2">
        <v>89767</v>
      </c>
      <c r="E760" s="2">
        <f t="shared" si="57"/>
        <v>8.9766999999999992</v>
      </c>
      <c r="F760" s="2">
        <f t="shared" si="58"/>
        <v>5.5968440166493263</v>
      </c>
      <c r="G760" s="2">
        <f t="shared" si="59"/>
        <v>31.324662946703363</v>
      </c>
    </row>
    <row r="761" spans="1:7" x14ac:dyDescent="0.35">
      <c r="A761" s="2">
        <v>1410</v>
      </c>
      <c r="B761" s="2">
        <f t="shared" si="55"/>
        <v>71.647936177592783</v>
      </c>
      <c r="C761" s="2">
        <f t="shared" si="56"/>
        <v>5133.426758508409</v>
      </c>
      <c r="D761" s="2">
        <v>50096</v>
      </c>
      <c r="E761" s="2">
        <f t="shared" si="57"/>
        <v>5.0095999999999998</v>
      </c>
      <c r="F761" s="2">
        <f t="shared" si="58"/>
        <v>1.6297440166493273</v>
      </c>
      <c r="G761" s="2">
        <f t="shared" si="59"/>
        <v>2.6560655598042828</v>
      </c>
    </row>
    <row r="762" spans="1:7" x14ac:dyDescent="0.35">
      <c r="A762" s="2">
        <v>1410</v>
      </c>
      <c r="B762" s="2">
        <f t="shared" si="55"/>
        <v>71.647936177592783</v>
      </c>
      <c r="C762" s="2">
        <f t="shared" si="56"/>
        <v>5133.426758508409</v>
      </c>
      <c r="D762" s="2">
        <v>46589</v>
      </c>
      <c r="E762" s="2">
        <f t="shared" si="57"/>
        <v>4.6589</v>
      </c>
      <c r="F762" s="2">
        <f t="shared" si="58"/>
        <v>1.2790440166493275</v>
      </c>
      <c r="G762" s="2">
        <f t="shared" si="59"/>
        <v>1.6359535965264453</v>
      </c>
    </row>
    <row r="763" spans="1:7" x14ac:dyDescent="0.35">
      <c r="A763" s="2">
        <v>1410</v>
      </c>
      <c r="B763" s="2">
        <f t="shared" si="55"/>
        <v>71.647936177592783</v>
      </c>
      <c r="C763" s="2">
        <f t="shared" si="56"/>
        <v>5133.426758508409</v>
      </c>
      <c r="D763" s="2">
        <v>47722</v>
      </c>
      <c r="E763" s="2">
        <f t="shared" si="57"/>
        <v>4.7721999999999998</v>
      </c>
      <c r="F763" s="2">
        <f t="shared" si="58"/>
        <v>1.3923440166493273</v>
      </c>
      <c r="G763" s="2">
        <f t="shared" si="59"/>
        <v>1.9386218606991821</v>
      </c>
    </row>
    <row r="764" spans="1:7" x14ac:dyDescent="0.35">
      <c r="A764" s="2">
        <v>1410</v>
      </c>
      <c r="B764" s="2">
        <f t="shared" si="55"/>
        <v>71.647936177592783</v>
      </c>
      <c r="C764" s="2">
        <f t="shared" si="56"/>
        <v>5133.426758508409</v>
      </c>
      <c r="D764" s="2">
        <v>46016</v>
      </c>
      <c r="E764" s="2">
        <f t="shared" si="57"/>
        <v>4.6016000000000004</v>
      </c>
      <c r="F764" s="2">
        <f t="shared" si="58"/>
        <v>1.2217440166493279</v>
      </c>
      <c r="G764" s="2">
        <f t="shared" si="59"/>
        <v>1.492658442218433</v>
      </c>
    </row>
    <row r="765" spans="1:7" x14ac:dyDescent="0.35">
      <c r="A765" s="2">
        <v>1410</v>
      </c>
      <c r="B765" s="2">
        <f t="shared" si="55"/>
        <v>71.647936177592783</v>
      </c>
      <c r="C765" s="2">
        <f t="shared" si="56"/>
        <v>5133.426758508409</v>
      </c>
      <c r="D765" s="2">
        <v>48213</v>
      </c>
      <c r="E765" s="2">
        <f t="shared" si="57"/>
        <v>4.8212999999999999</v>
      </c>
      <c r="F765" s="2">
        <f t="shared" si="58"/>
        <v>1.4414440166493274</v>
      </c>
      <c r="G765" s="2">
        <f t="shared" si="59"/>
        <v>2.0777608531341465</v>
      </c>
    </row>
    <row r="766" spans="1:7" x14ac:dyDescent="0.35">
      <c r="A766" s="2">
        <v>1410</v>
      </c>
      <c r="B766" s="2">
        <f t="shared" si="55"/>
        <v>71.647936177592783</v>
      </c>
      <c r="C766" s="2">
        <f t="shared" si="56"/>
        <v>5133.426758508409</v>
      </c>
      <c r="D766" s="2">
        <v>42709</v>
      </c>
      <c r="E766" s="2">
        <f t="shared" si="57"/>
        <v>4.2709000000000001</v>
      </c>
      <c r="F766" s="2">
        <f t="shared" si="58"/>
        <v>0.89104401664932764</v>
      </c>
      <c r="G766" s="2">
        <f t="shared" si="59"/>
        <v>0.79395943960656723</v>
      </c>
    </row>
    <row r="767" spans="1:7" x14ac:dyDescent="0.35">
      <c r="A767" s="2">
        <v>1410</v>
      </c>
      <c r="B767" s="2">
        <f t="shared" si="55"/>
        <v>71.647936177592783</v>
      </c>
      <c r="C767" s="2">
        <f t="shared" si="56"/>
        <v>5133.426758508409</v>
      </c>
      <c r="D767" s="2">
        <v>45422</v>
      </c>
      <c r="E767" s="2">
        <f t="shared" si="57"/>
        <v>4.5422000000000002</v>
      </c>
      <c r="F767" s="2">
        <f t="shared" si="58"/>
        <v>1.1623440166493277</v>
      </c>
      <c r="G767" s="2">
        <f t="shared" si="59"/>
        <v>1.3510436130404926</v>
      </c>
    </row>
    <row r="768" spans="1:7" x14ac:dyDescent="0.35">
      <c r="A768" s="2">
        <v>1410</v>
      </c>
      <c r="B768" s="2">
        <f t="shared" si="55"/>
        <v>71.647936177592783</v>
      </c>
      <c r="C768" s="2">
        <f t="shared" si="56"/>
        <v>5133.426758508409</v>
      </c>
      <c r="D768" s="2">
        <v>46372</v>
      </c>
      <c r="E768" s="2">
        <f t="shared" si="57"/>
        <v>4.6372</v>
      </c>
      <c r="F768" s="2">
        <f t="shared" si="58"/>
        <v>1.2573440166493275</v>
      </c>
      <c r="G768" s="2">
        <f t="shared" si="59"/>
        <v>1.5809139762038644</v>
      </c>
    </row>
    <row r="769" spans="1:7" x14ac:dyDescent="0.35">
      <c r="A769" s="2">
        <v>1410</v>
      </c>
      <c r="B769" s="2">
        <f t="shared" si="55"/>
        <v>71.647936177592783</v>
      </c>
      <c r="C769" s="2">
        <f t="shared" si="56"/>
        <v>5133.426758508409</v>
      </c>
      <c r="D769" s="2">
        <v>48950</v>
      </c>
      <c r="E769" s="2">
        <f t="shared" si="57"/>
        <v>4.8949999999999996</v>
      </c>
      <c r="F769" s="2">
        <f t="shared" si="58"/>
        <v>1.5151440166493271</v>
      </c>
      <c r="G769" s="2">
        <f t="shared" si="59"/>
        <v>2.2956613911882564</v>
      </c>
    </row>
    <row r="770" spans="1:7" x14ac:dyDescent="0.35">
      <c r="A770" s="2">
        <v>1410</v>
      </c>
      <c r="B770" s="2">
        <f t="shared" si="55"/>
        <v>71.647936177592783</v>
      </c>
      <c r="C770" s="2">
        <f t="shared" si="56"/>
        <v>5133.426758508409</v>
      </c>
      <c r="D770" s="2">
        <v>48593</v>
      </c>
      <c r="E770" s="2">
        <f t="shared" si="57"/>
        <v>4.8593000000000002</v>
      </c>
      <c r="F770" s="2">
        <f t="shared" si="58"/>
        <v>1.4794440166493277</v>
      </c>
      <c r="G770" s="2">
        <f t="shared" si="59"/>
        <v>2.188754598399496</v>
      </c>
    </row>
    <row r="771" spans="1:7" x14ac:dyDescent="0.35">
      <c r="A771" s="2">
        <v>1410</v>
      </c>
      <c r="B771" s="2">
        <f t="shared" ref="B771:B834" si="60">A771-$J$1</f>
        <v>71.647936177592783</v>
      </c>
      <c r="C771" s="2">
        <f t="shared" ref="C771:C834" si="61">B771^2</f>
        <v>5133.426758508409</v>
      </c>
      <c r="D771" s="2">
        <v>43044</v>
      </c>
      <c r="E771" s="2">
        <f t="shared" ref="E771:E834" si="62">D771/10000</f>
        <v>4.3044000000000002</v>
      </c>
      <c r="F771" s="2">
        <f t="shared" ref="F771:F834" si="63">E771-$J$2</f>
        <v>0.92454401664932773</v>
      </c>
      <c r="G771" s="2">
        <f t="shared" ref="G771:G834" si="64">F771^2</f>
        <v>0.85478163872207236</v>
      </c>
    </row>
    <row r="772" spans="1:7" x14ac:dyDescent="0.35">
      <c r="A772" s="2">
        <v>1410</v>
      </c>
      <c r="B772" s="2">
        <f t="shared" si="60"/>
        <v>71.647936177592783</v>
      </c>
      <c r="C772" s="2">
        <f t="shared" si="61"/>
        <v>5133.426758508409</v>
      </c>
      <c r="D772" s="2">
        <v>42047</v>
      </c>
      <c r="E772" s="2">
        <f t="shared" si="62"/>
        <v>4.2046999999999999</v>
      </c>
      <c r="F772" s="2">
        <f t="shared" si="63"/>
        <v>0.82484401664932738</v>
      </c>
      <c r="G772" s="2">
        <f t="shared" si="64"/>
        <v>0.68036765180219583</v>
      </c>
    </row>
    <row r="773" spans="1:7" x14ac:dyDescent="0.35">
      <c r="A773" s="2">
        <v>1410</v>
      </c>
      <c r="B773" s="2">
        <f t="shared" si="60"/>
        <v>71.647936177592783</v>
      </c>
      <c r="C773" s="2">
        <f t="shared" si="61"/>
        <v>5133.426758508409</v>
      </c>
      <c r="D773" s="2">
        <v>46865</v>
      </c>
      <c r="E773" s="2">
        <f t="shared" si="62"/>
        <v>4.6864999999999997</v>
      </c>
      <c r="F773" s="2">
        <f t="shared" si="63"/>
        <v>1.3066440166493272</v>
      </c>
      <c r="G773" s="2">
        <f t="shared" si="64"/>
        <v>1.7073185862454872</v>
      </c>
    </row>
    <row r="774" spans="1:7" x14ac:dyDescent="0.35">
      <c r="A774" s="2">
        <v>1410</v>
      </c>
      <c r="B774" s="2">
        <f t="shared" si="60"/>
        <v>71.647936177592783</v>
      </c>
      <c r="C774" s="2">
        <f t="shared" si="61"/>
        <v>5133.426758508409</v>
      </c>
      <c r="D774" s="2">
        <v>48112</v>
      </c>
      <c r="E774" s="2">
        <f t="shared" si="62"/>
        <v>4.8112000000000004</v>
      </c>
      <c r="F774" s="2">
        <f t="shared" si="63"/>
        <v>1.4313440166493279</v>
      </c>
      <c r="G774" s="2">
        <f t="shared" si="64"/>
        <v>2.0487456939978315</v>
      </c>
    </row>
    <row r="775" spans="1:7" x14ac:dyDescent="0.35">
      <c r="A775" s="2">
        <v>1410</v>
      </c>
      <c r="B775" s="2">
        <f t="shared" si="60"/>
        <v>71.647936177592783</v>
      </c>
      <c r="C775" s="2">
        <f t="shared" si="61"/>
        <v>5133.426758508409</v>
      </c>
      <c r="D775" s="2">
        <v>48268</v>
      </c>
      <c r="E775" s="2">
        <f t="shared" si="62"/>
        <v>4.8268000000000004</v>
      </c>
      <c r="F775" s="2">
        <f t="shared" si="63"/>
        <v>1.4469440166493279</v>
      </c>
      <c r="G775" s="2">
        <f t="shared" si="64"/>
        <v>2.0936469873172907</v>
      </c>
    </row>
    <row r="776" spans="1:7" x14ac:dyDescent="0.35">
      <c r="A776" s="2">
        <v>1410</v>
      </c>
      <c r="B776" s="2">
        <f t="shared" si="60"/>
        <v>71.647936177592783</v>
      </c>
      <c r="C776" s="2">
        <f t="shared" si="61"/>
        <v>5133.426758508409</v>
      </c>
      <c r="D776" s="2">
        <v>42862</v>
      </c>
      <c r="E776" s="2">
        <f t="shared" si="62"/>
        <v>4.2862</v>
      </c>
      <c r="F776" s="2">
        <f t="shared" si="63"/>
        <v>0.90634401664932751</v>
      </c>
      <c r="G776" s="2">
        <f t="shared" si="64"/>
        <v>0.82145947651603646</v>
      </c>
    </row>
    <row r="777" spans="1:7" x14ac:dyDescent="0.35">
      <c r="A777" s="2">
        <v>1410</v>
      </c>
      <c r="B777" s="2">
        <f t="shared" si="60"/>
        <v>71.647936177592783</v>
      </c>
      <c r="C777" s="2">
        <f t="shared" si="61"/>
        <v>5133.426758508409</v>
      </c>
      <c r="D777" s="2">
        <v>47651</v>
      </c>
      <c r="E777" s="2">
        <f t="shared" si="62"/>
        <v>4.7651000000000003</v>
      </c>
      <c r="F777" s="2">
        <f t="shared" si="63"/>
        <v>1.3852440166493278</v>
      </c>
      <c r="G777" s="2">
        <f t="shared" si="64"/>
        <v>1.9189009856627632</v>
      </c>
    </row>
    <row r="778" spans="1:7" x14ac:dyDescent="0.35">
      <c r="A778" s="2">
        <v>1410</v>
      </c>
      <c r="B778" s="2">
        <f t="shared" si="60"/>
        <v>71.647936177592783</v>
      </c>
      <c r="C778" s="2">
        <f t="shared" si="61"/>
        <v>5133.426758508409</v>
      </c>
      <c r="D778" s="2">
        <v>50057</v>
      </c>
      <c r="E778" s="2">
        <f t="shared" si="62"/>
        <v>5.0057</v>
      </c>
      <c r="F778" s="2">
        <f t="shared" si="63"/>
        <v>1.6258440166493275</v>
      </c>
      <c r="G778" s="2">
        <f t="shared" si="64"/>
        <v>2.6433687664744188</v>
      </c>
    </row>
    <row r="779" spans="1:7" x14ac:dyDescent="0.35">
      <c r="A779" s="2">
        <v>1410</v>
      </c>
      <c r="B779" s="2">
        <f t="shared" si="60"/>
        <v>71.647936177592783</v>
      </c>
      <c r="C779" s="2">
        <f t="shared" si="61"/>
        <v>5133.426758508409</v>
      </c>
      <c r="D779" s="2">
        <v>41266</v>
      </c>
      <c r="E779" s="2">
        <f t="shared" si="62"/>
        <v>4.1265999999999998</v>
      </c>
      <c r="F779" s="2">
        <f t="shared" si="63"/>
        <v>0.74674401664932732</v>
      </c>
      <c r="G779" s="2">
        <f t="shared" si="64"/>
        <v>0.55762662640157079</v>
      </c>
    </row>
    <row r="780" spans="1:7" x14ac:dyDescent="0.35">
      <c r="A780" s="2">
        <v>1410</v>
      </c>
      <c r="B780" s="2">
        <f t="shared" si="60"/>
        <v>71.647936177592783</v>
      </c>
      <c r="C780" s="2">
        <f t="shared" si="61"/>
        <v>5133.426758508409</v>
      </c>
      <c r="D780" s="2">
        <v>45123</v>
      </c>
      <c r="E780" s="2">
        <f t="shared" si="62"/>
        <v>4.5122999999999998</v>
      </c>
      <c r="F780" s="2">
        <f t="shared" si="63"/>
        <v>1.1324440166493273</v>
      </c>
      <c r="G780" s="2">
        <f t="shared" si="64"/>
        <v>1.2824294508448617</v>
      </c>
    </row>
    <row r="781" spans="1:7" x14ac:dyDescent="0.35">
      <c r="A781" s="2">
        <v>1410</v>
      </c>
      <c r="B781" s="2">
        <f t="shared" si="60"/>
        <v>71.647936177592783</v>
      </c>
      <c r="C781" s="2">
        <f t="shared" si="61"/>
        <v>5133.426758508409</v>
      </c>
      <c r="D781" s="2">
        <v>44021</v>
      </c>
      <c r="E781" s="2">
        <f t="shared" si="62"/>
        <v>4.4020999999999999</v>
      </c>
      <c r="F781" s="2">
        <f t="shared" si="63"/>
        <v>1.0222440166493274</v>
      </c>
      <c r="G781" s="2">
        <f t="shared" si="64"/>
        <v>1.0449828295753503</v>
      </c>
    </row>
    <row r="782" spans="1:7" x14ac:dyDescent="0.35">
      <c r="A782" s="2">
        <v>1410</v>
      </c>
      <c r="B782" s="2">
        <f t="shared" si="60"/>
        <v>71.647936177592783</v>
      </c>
      <c r="C782" s="2">
        <f t="shared" si="61"/>
        <v>5133.426758508409</v>
      </c>
      <c r="D782" s="2">
        <v>51680</v>
      </c>
      <c r="E782" s="2">
        <f t="shared" si="62"/>
        <v>5.1680000000000001</v>
      </c>
      <c r="F782" s="2">
        <f t="shared" si="63"/>
        <v>1.7881440166493277</v>
      </c>
      <c r="G782" s="2">
        <f t="shared" si="64"/>
        <v>3.1974590242787908</v>
      </c>
    </row>
    <row r="783" spans="1:7" x14ac:dyDescent="0.35">
      <c r="A783" s="2">
        <v>1410</v>
      </c>
      <c r="B783" s="2">
        <f t="shared" si="60"/>
        <v>71.647936177592783</v>
      </c>
      <c r="C783" s="2">
        <f t="shared" si="61"/>
        <v>5133.426758508409</v>
      </c>
      <c r="D783" s="2">
        <v>52563</v>
      </c>
      <c r="E783" s="2">
        <f t="shared" si="62"/>
        <v>5.2563000000000004</v>
      </c>
      <c r="F783" s="2">
        <f t="shared" si="63"/>
        <v>1.8764440166493279</v>
      </c>
      <c r="G783" s="2">
        <f t="shared" si="64"/>
        <v>3.5210421476190632</v>
      </c>
    </row>
    <row r="784" spans="1:7" x14ac:dyDescent="0.35">
      <c r="A784" s="2">
        <v>2274</v>
      </c>
      <c r="B784" s="2">
        <f t="shared" si="60"/>
        <v>935.64793617759278</v>
      </c>
      <c r="C784" s="2">
        <f t="shared" si="61"/>
        <v>875437.06047338876</v>
      </c>
      <c r="D784" s="2">
        <v>26508</v>
      </c>
      <c r="E784" s="2">
        <f t="shared" si="62"/>
        <v>2.6507999999999998</v>
      </c>
      <c r="F784" s="2">
        <f t="shared" si="63"/>
        <v>-0.72905598335067268</v>
      </c>
      <c r="G784" s="2">
        <f t="shared" si="64"/>
        <v>0.53152262685941631</v>
      </c>
    </row>
    <row r="785" spans="1:7" x14ac:dyDescent="0.35">
      <c r="A785" s="2">
        <v>2274</v>
      </c>
      <c r="B785" s="2">
        <f t="shared" si="60"/>
        <v>935.64793617759278</v>
      </c>
      <c r="C785" s="2">
        <f t="shared" si="61"/>
        <v>875437.06047338876</v>
      </c>
      <c r="D785" s="2">
        <v>25275</v>
      </c>
      <c r="E785" s="2">
        <f t="shared" si="62"/>
        <v>2.5274999999999999</v>
      </c>
      <c r="F785" s="2">
        <f t="shared" si="63"/>
        <v>-0.85235598335067264</v>
      </c>
      <c r="G785" s="2">
        <f t="shared" si="64"/>
        <v>0.72651072235369218</v>
      </c>
    </row>
    <row r="786" spans="1:7" x14ac:dyDescent="0.35">
      <c r="A786" s="2">
        <v>2274</v>
      </c>
      <c r="B786" s="2">
        <f t="shared" si="60"/>
        <v>935.64793617759278</v>
      </c>
      <c r="C786" s="2">
        <f t="shared" si="61"/>
        <v>875437.06047338876</v>
      </c>
      <c r="D786" s="2">
        <v>28299</v>
      </c>
      <c r="E786" s="2">
        <f t="shared" si="62"/>
        <v>2.8298999999999999</v>
      </c>
      <c r="F786" s="2">
        <f t="shared" si="63"/>
        <v>-0.54995598335067264</v>
      </c>
      <c r="G786" s="2">
        <f t="shared" si="64"/>
        <v>0.30245158362320534</v>
      </c>
    </row>
    <row r="787" spans="1:7" x14ac:dyDescent="0.35">
      <c r="A787" s="2">
        <v>2274</v>
      </c>
      <c r="B787" s="2">
        <f t="shared" si="60"/>
        <v>935.64793617759278</v>
      </c>
      <c r="C787" s="2">
        <f t="shared" si="61"/>
        <v>875437.06047338876</v>
      </c>
      <c r="D787" s="2">
        <v>31247</v>
      </c>
      <c r="E787" s="2">
        <f t="shared" si="62"/>
        <v>3.1246999999999998</v>
      </c>
      <c r="F787" s="2">
        <f t="shared" si="63"/>
        <v>-0.25515598335067269</v>
      </c>
      <c r="G787" s="2">
        <f t="shared" si="64"/>
        <v>6.5104575839648751E-2</v>
      </c>
    </row>
    <row r="788" spans="1:7" x14ac:dyDescent="0.35">
      <c r="A788" s="2">
        <v>2274</v>
      </c>
      <c r="B788" s="2">
        <f t="shared" si="60"/>
        <v>935.64793617759278</v>
      </c>
      <c r="C788" s="2">
        <f t="shared" si="61"/>
        <v>875437.06047338876</v>
      </c>
      <c r="D788" s="2">
        <v>31218</v>
      </c>
      <c r="E788" s="2">
        <f t="shared" si="62"/>
        <v>3.1217999999999999</v>
      </c>
      <c r="F788" s="2">
        <f t="shared" si="63"/>
        <v>-0.25805598335067259</v>
      </c>
      <c r="G788" s="2">
        <f t="shared" si="64"/>
        <v>6.6592890543082608E-2</v>
      </c>
    </row>
    <row r="789" spans="1:7" x14ac:dyDescent="0.35">
      <c r="A789" s="2">
        <v>2274</v>
      </c>
      <c r="B789" s="2">
        <f t="shared" si="60"/>
        <v>935.64793617759278</v>
      </c>
      <c r="C789" s="2">
        <f t="shared" si="61"/>
        <v>875437.06047338876</v>
      </c>
      <c r="D789" s="2">
        <v>26921</v>
      </c>
      <c r="E789" s="2">
        <f t="shared" si="62"/>
        <v>2.6920999999999999</v>
      </c>
      <c r="F789" s="2">
        <f t="shared" si="63"/>
        <v>-0.68775598335067256</v>
      </c>
      <c r="G789" s="2">
        <f t="shared" si="64"/>
        <v>0.47300829263465061</v>
      </c>
    </row>
    <row r="790" spans="1:7" x14ac:dyDescent="0.35">
      <c r="A790" s="2">
        <v>2274</v>
      </c>
      <c r="B790" s="2">
        <f t="shared" si="60"/>
        <v>935.64793617759278</v>
      </c>
      <c r="C790" s="2">
        <f t="shared" si="61"/>
        <v>875437.06047338876</v>
      </c>
      <c r="D790" s="2">
        <v>33254</v>
      </c>
      <c r="E790" s="2">
        <f t="shared" si="62"/>
        <v>3.3254000000000001</v>
      </c>
      <c r="F790" s="2">
        <f t="shared" si="63"/>
        <v>-5.4455983350672366E-2</v>
      </c>
      <c r="G790" s="2">
        <f t="shared" si="64"/>
        <v>2.9654541226887057E-3</v>
      </c>
    </row>
    <row r="791" spans="1:7" x14ac:dyDescent="0.35">
      <c r="A791" s="2">
        <v>2274</v>
      </c>
      <c r="B791" s="2">
        <f t="shared" si="60"/>
        <v>935.64793617759278</v>
      </c>
      <c r="C791" s="2">
        <f t="shared" si="61"/>
        <v>875437.06047338876</v>
      </c>
      <c r="D791" s="2">
        <v>34804</v>
      </c>
      <c r="E791" s="2">
        <f t="shared" si="62"/>
        <v>3.4803999999999999</v>
      </c>
      <c r="F791" s="2">
        <f t="shared" si="63"/>
        <v>0.10054401664932744</v>
      </c>
      <c r="G791" s="2">
        <f t="shared" si="64"/>
        <v>1.0109099283980233E-2</v>
      </c>
    </row>
    <row r="792" spans="1:7" x14ac:dyDescent="0.35">
      <c r="A792" s="2">
        <v>2274</v>
      </c>
      <c r="B792" s="2">
        <f t="shared" si="60"/>
        <v>935.64793617759278</v>
      </c>
      <c r="C792" s="2">
        <f t="shared" si="61"/>
        <v>875437.06047338876</v>
      </c>
      <c r="D792" s="2">
        <v>37385</v>
      </c>
      <c r="E792" s="2">
        <f t="shared" si="62"/>
        <v>3.7385000000000002</v>
      </c>
      <c r="F792" s="2">
        <f t="shared" si="63"/>
        <v>0.35864401664932766</v>
      </c>
      <c r="G792" s="2">
        <f t="shared" si="64"/>
        <v>0.12862553067836321</v>
      </c>
    </row>
    <row r="793" spans="1:7" x14ac:dyDescent="0.35">
      <c r="A793" s="2">
        <v>2274</v>
      </c>
      <c r="B793" s="2">
        <f t="shared" si="60"/>
        <v>935.64793617759278</v>
      </c>
      <c r="C793" s="2">
        <f t="shared" si="61"/>
        <v>875437.06047338876</v>
      </c>
      <c r="D793" s="2">
        <v>32622</v>
      </c>
      <c r="E793" s="2">
        <f t="shared" si="62"/>
        <v>3.2622</v>
      </c>
      <c r="F793" s="2">
        <f t="shared" si="63"/>
        <v>-0.11765598335067251</v>
      </c>
      <c r="G793" s="2">
        <f t="shared" si="64"/>
        <v>1.3842930418213727E-2</v>
      </c>
    </row>
    <row r="794" spans="1:7" x14ac:dyDescent="0.35">
      <c r="A794" s="2">
        <v>2274</v>
      </c>
      <c r="B794" s="2">
        <f t="shared" si="60"/>
        <v>935.64793617759278</v>
      </c>
      <c r="C794" s="2">
        <f t="shared" si="61"/>
        <v>875437.06047338876</v>
      </c>
      <c r="D794" s="2">
        <v>35620</v>
      </c>
      <c r="E794" s="2">
        <f t="shared" si="62"/>
        <v>3.5619999999999998</v>
      </c>
      <c r="F794" s="2">
        <f t="shared" si="63"/>
        <v>0.18214401664932733</v>
      </c>
      <c r="G794" s="2">
        <f t="shared" si="64"/>
        <v>3.3176442801150431E-2</v>
      </c>
    </row>
    <row r="795" spans="1:7" x14ac:dyDescent="0.35">
      <c r="A795" s="2">
        <v>2274</v>
      </c>
      <c r="B795" s="2">
        <f t="shared" si="60"/>
        <v>935.64793617759278</v>
      </c>
      <c r="C795" s="2">
        <f t="shared" si="61"/>
        <v>875437.06047338876</v>
      </c>
      <c r="D795" s="2">
        <v>35876</v>
      </c>
      <c r="E795" s="2">
        <f t="shared" si="62"/>
        <v>3.5876000000000001</v>
      </c>
      <c r="F795" s="2">
        <f t="shared" si="63"/>
        <v>0.20774401664932762</v>
      </c>
      <c r="G795" s="2">
        <f t="shared" si="64"/>
        <v>4.3157576453596115E-2</v>
      </c>
    </row>
    <row r="796" spans="1:7" x14ac:dyDescent="0.35">
      <c r="A796" s="2">
        <v>2274</v>
      </c>
      <c r="B796" s="2">
        <f t="shared" si="60"/>
        <v>935.64793617759278</v>
      </c>
      <c r="C796" s="2">
        <f t="shared" si="61"/>
        <v>875437.06047338876</v>
      </c>
      <c r="D796" s="2">
        <v>32060</v>
      </c>
      <c r="E796" s="2">
        <f t="shared" si="62"/>
        <v>3.206</v>
      </c>
      <c r="F796" s="2">
        <f t="shared" si="63"/>
        <v>-0.17385598335067254</v>
      </c>
      <c r="G796" s="2">
        <f t="shared" si="64"/>
        <v>3.0225902946829326E-2</v>
      </c>
    </row>
    <row r="797" spans="1:7" x14ac:dyDescent="0.35">
      <c r="A797" s="2">
        <v>2274</v>
      </c>
      <c r="B797" s="2">
        <f t="shared" si="60"/>
        <v>935.64793617759278</v>
      </c>
      <c r="C797" s="2">
        <f t="shared" si="61"/>
        <v>875437.06047338876</v>
      </c>
      <c r="D797" s="2">
        <v>35225</v>
      </c>
      <c r="E797" s="2">
        <f t="shared" si="62"/>
        <v>3.5225</v>
      </c>
      <c r="F797" s="2">
        <f t="shared" si="63"/>
        <v>0.14264401664932747</v>
      </c>
      <c r="G797" s="2">
        <f t="shared" si="64"/>
        <v>2.0347315485853612E-2</v>
      </c>
    </row>
    <row r="798" spans="1:7" x14ac:dyDescent="0.35">
      <c r="A798" s="2">
        <v>2274</v>
      </c>
      <c r="B798" s="2">
        <f t="shared" si="60"/>
        <v>935.64793617759278</v>
      </c>
      <c r="C798" s="2">
        <f t="shared" si="61"/>
        <v>875437.06047338876</v>
      </c>
      <c r="D798" s="2">
        <v>36812</v>
      </c>
      <c r="E798" s="2">
        <f t="shared" si="62"/>
        <v>3.6812</v>
      </c>
      <c r="F798" s="2">
        <f t="shared" si="63"/>
        <v>0.30134401664932753</v>
      </c>
      <c r="G798" s="2">
        <f t="shared" si="64"/>
        <v>9.0808216370350192E-2</v>
      </c>
    </row>
    <row r="799" spans="1:7" x14ac:dyDescent="0.35">
      <c r="A799" s="2">
        <v>2274</v>
      </c>
      <c r="B799" s="2">
        <f t="shared" si="60"/>
        <v>935.64793617759278</v>
      </c>
      <c r="C799" s="2">
        <f t="shared" si="61"/>
        <v>875437.06047338876</v>
      </c>
      <c r="D799" s="2">
        <v>36000</v>
      </c>
      <c r="E799" s="2">
        <f t="shared" si="62"/>
        <v>3.6</v>
      </c>
      <c r="F799" s="2">
        <f t="shared" si="63"/>
        <v>0.22014401664932759</v>
      </c>
      <c r="G799" s="2">
        <f t="shared" si="64"/>
        <v>4.846338806649942E-2</v>
      </c>
    </row>
    <row r="800" spans="1:7" x14ac:dyDescent="0.35">
      <c r="A800" s="2">
        <v>2274</v>
      </c>
      <c r="B800" s="2">
        <f t="shared" si="60"/>
        <v>935.64793617759278</v>
      </c>
      <c r="C800" s="2">
        <f t="shared" si="61"/>
        <v>875437.06047338876</v>
      </c>
      <c r="D800" s="2">
        <v>38746</v>
      </c>
      <c r="E800" s="2">
        <f t="shared" si="62"/>
        <v>3.8746</v>
      </c>
      <c r="F800" s="2">
        <f t="shared" si="63"/>
        <v>0.49474401664932754</v>
      </c>
      <c r="G800" s="2">
        <f t="shared" si="64"/>
        <v>0.2447716420103101</v>
      </c>
    </row>
    <row r="801" spans="1:7" x14ac:dyDescent="0.35">
      <c r="A801" s="2">
        <v>2274</v>
      </c>
      <c r="B801" s="2">
        <f t="shared" si="60"/>
        <v>935.64793617759278</v>
      </c>
      <c r="C801" s="2">
        <f t="shared" si="61"/>
        <v>875437.06047338876</v>
      </c>
      <c r="D801" s="2">
        <v>42187</v>
      </c>
      <c r="E801" s="2">
        <f t="shared" si="62"/>
        <v>4.2187000000000001</v>
      </c>
      <c r="F801" s="2">
        <f t="shared" si="63"/>
        <v>0.83884401664932762</v>
      </c>
      <c r="G801" s="2">
        <f t="shared" si="64"/>
        <v>0.70365928426837743</v>
      </c>
    </row>
    <row r="802" spans="1:7" x14ac:dyDescent="0.35">
      <c r="A802" s="2">
        <v>2274</v>
      </c>
      <c r="B802" s="2">
        <f t="shared" si="60"/>
        <v>935.64793617759278</v>
      </c>
      <c r="C802" s="2">
        <f t="shared" si="61"/>
        <v>875437.06047338876</v>
      </c>
      <c r="D802" s="2">
        <v>38989</v>
      </c>
      <c r="E802" s="2">
        <f t="shared" si="62"/>
        <v>3.8988999999999998</v>
      </c>
      <c r="F802" s="2">
        <f t="shared" si="63"/>
        <v>0.51904401664932731</v>
      </c>
      <c r="G802" s="2">
        <f t="shared" si="64"/>
        <v>0.26940669121946714</v>
      </c>
    </row>
    <row r="803" spans="1:7" x14ac:dyDescent="0.35">
      <c r="A803" s="2">
        <v>2274</v>
      </c>
      <c r="B803" s="2">
        <f t="shared" si="60"/>
        <v>935.64793617759278</v>
      </c>
      <c r="C803" s="2">
        <f t="shared" si="61"/>
        <v>875437.06047338876</v>
      </c>
      <c r="D803" s="2">
        <v>41986</v>
      </c>
      <c r="E803" s="2">
        <f t="shared" si="62"/>
        <v>4.1985999999999999</v>
      </c>
      <c r="F803" s="2">
        <f t="shared" si="63"/>
        <v>0.81874401664932739</v>
      </c>
      <c r="G803" s="2">
        <f t="shared" si="64"/>
        <v>0.67034176479907404</v>
      </c>
    </row>
    <row r="804" spans="1:7" x14ac:dyDescent="0.35">
      <c r="A804" s="2">
        <v>2274</v>
      </c>
      <c r="B804" s="2">
        <f t="shared" si="60"/>
        <v>935.64793617759278</v>
      </c>
      <c r="C804" s="2">
        <f t="shared" si="61"/>
        <v>875437.06047338876</v>
      </c>
      <c r="D804" s="2">
        <v>43555</v>
      </c>
      <c r="E804" s="2">
        <f t="shared" si="62"/>
        <v>4.3555000000000001</v>
      </c>
      <c r="F804" s="2">
        <f t="shared" si="63"/>
        <v>0.97564401664932765</v>
      </c>
      <c r="G804" s="2">
        <f t="shared" si="64"/>
        <v>0.95188124722363354</v>
      </c>
    </row>
    <row r="805" spans="1:7" x14ac:dyDescent="0.35">
      <c r="A805" s="2">
        <v>2274</v>
      </c>
      <c r="B805" s="2">
        <f t="shared" si="60"/>
        <v>935.64793617759278</v>
      </c>
      <c r="C805" s="2">
        <f t="shared" si="61"/>
        <v>875437.06047338876</v>
      </c>
      <c r="D805" s="2">
        <v>40639</v>
      </c>
      <c r="E805" s="2">
        <f t="shared" si="62"/>
        <v>4.0639000000000003</v>
      </c>
      <c r="F805" s="2">
        <f t="shared" si="63"/>
        <v>0.68404401664932779</v>
      </c>
      <c r="G805" s="2">
        <f t="shared" si="64"/>
        <v>0.46791621671374584</v>
      </c>
    </row>
    <row r="806" spans="1:7" x14ac:dyDescent="0.35">
      <c r="A806" s="2">
        <v>2274</v>
      </c>
      <c r="B806" s="2">
        <f t="shared" si="60"/>
        <v>935.64793617759278</v>
      </c>
      <c r="C806" s="2">
        <f t="shared" si="61"/>
        <v>875437.06047338876</v>
      </c>
      <c r="D806" s="2">
        <v>40004</v>
      </c>
      <c r="E806" s="2">
        <f t="shared" si="62"/>
        <v>4.0004</v>
      </c>
      <c r="F806" s="2">
        <f t="shared" si="63"/>
        <v>0.62054401664932746</v>
      </c>
      <c r="G806" s="2">
        <f t="shared" si="64"/>
        <v>0.3850748765992808</v>
      </c>
    </row>
    <row r="807" spans="1:7" x14ac:dyDescent="0.35">
      <c r="A807" s="2">
        <v>2274</v>
      </c>
      <c r="B807" s="2">
        <f t="shared" si="60"/>
        <v>935.64793617759278</v>
      </c>
      <c r="C807" s="2">
        <f t="shared" si="61"/>
        <v>875437.06047338876</v>
      </c>
      <c r="D807" s="2">
        <v>43399</v>
      </c>
      <c r="E807" s="2">
        <f t="shared" si="62"/>
        <v>4.3399000000000001</v>
      </c>
      <c r="F807" s="2">
        <f t="shared" si="63"/>
        <v>0.96004401664932759</v>
      </c>
      <c r="G807" s="2">
        <f t="shared" si="64"/>
        <v>0.92168451390417439</v>
      </c>
    </row>
    <row r="808" spans="1:7" x14ac:dyDescent="0.35">
      <c r="A808" s="2">
        <v>2274</v>
      </c>
      <c r="B808" s="2">
        <f t="shared" si="60"/>
        <v>935.64793617759278</v>
      </c>
      <c r="C808" s="2">
        <f t="shared" si="61"/>
        <v>875437.06047338876</v>
      </c>
      <c r="D808" s="2">
        <v>44792</v>
      </c>
      <c r="E808" s="2">
        <f t="shared" si="62"/>
        <v>4.4791999999999996</v>
      </c>
      <c r="F808" s="2">
        <f t="shared" si="63"/>
        <v>1.0993440166493271</v>
      </c>
      <c r="G808" s="2">
        <f t="shared" si="64"/>
        <v>1.2085572669426761</v>
      </c>
    </row>
    <row r="809" spans="1:7" x14ac:dyDescent="0.35">
      <c r="A809" s="2">
        <v>2274</v>
      </c>
      <c r="B809" s="2">
        <f t="shared" si="60"/>
        <v>935.64793617759278</v>
      </c>
      <c r="C809" s="2">
        <f t="shared" si="61"/>
        <v>875437.06047338876</v>
      </c>
      <c r="D809" s="2">
        <v>42178</v>
      </c>
      <c r="E809" s="2">
        <f t="shared" si="62"/>
        <v>4.2178000000000004</v>
      </c>
      <c r="F809" s="2">
        <f t="shared" si="63"/>
        <v>0.83794401664932794</v>
      </c>
      <c r="G809" s="2">
        <f t="shared" si="64"/>
        <v>0.70215017503840915</v>
      </c>
    </row>
    <row r="810" spans="1:7" x14ac:dyDescent="0.35">
      <c r="A810" s="2">
        <v>2274</v>
      </c>
      <c r="B810" s="2">
        <f t="shared" si="60"/>
        <v>935.64793617759278</v>
      </c>
      <c r="C810" s="2">
        <f t="shared" si="61"/>
        <v>875437.06047338876</v>
      </c>
      <c r="D810" s="2">
        <v>38210</v>
      </c>
      <c r="E810" s="2">
        <f t="shared" si="62"/>
        <v>3.8210000000000002</v>
      </c>
      <c r="F810" s="2">
        <f t="shared" si="63"/>
        <v>0.44114401664932767</v>
      </c>
      <c r="G810" s="2">
        <f t="shared" si="64"/>
        <v>0.19460804342550228</v>
      </c>
    </row>
    <row r="811" spans="1:7" x14ac:dyDescent="0.35">
      <c r="A811" s="2">
        <v>2274</v>
      </c>
      <c r="B811" s="2">
        <f t="shared" si="60"/>
        <v>935.64793617759278</v>
      </c>
      <c r="C811" s="2">
        <f t="shared" si="61"/>
        <v>875437.06047338876</v>
      </c>
      <c r="D811" s="2">
        <v>38967</v>
      </c>
      <c r="E811" s="2">
        <f t="shared" si="62"/>
        <v>3.8967000000000001</v>
      </c>
      <c r="F811" s="2">
        <f t="shared" si="63"/>
        <v>0.51684401664932755</v>
      </c>
      <c r="G811" s="2">
        <f t="shared" si="64"/>
        <v>0.26712773754621039</v>
      </c>
    </row>
    <row r="812" spans="1:7" x14ac:dyDescent="0.35">
      <c r="A812" s="2">
        <v>2274</v>
      </c>
      <c r="B812" s="2">
        <f t="shared" si="60"/>
        <v>935.64793617759278</v>
      </c>
      <c r="C812" s="2">
        <f t="shared" si="61"/>
        <v>875437.06047338876</v>
      </c>
      <c r="D812" s="2">
        <v>44061</v>
      </c>
      <c r="E812" s="2">
        <f t="shared" si="62"/>
        <v>4.4061000000000003</v>
      </c>
      <c r="F812" s="2">
        <f t="shared" si="63"/>
        <v>1.0262440166493279</v>
      </c>
      <c r="G812" s="2">
        <f t="shared" si="64"/>
        <v>1.053176781708546</v>
      </c>
    </row>
    <row r="813" spans="1:7" x14ac:dyDescent="0.35">
      <c r="A813" s="2">
        <v>2274</v>
      </c>
      <c r="B813" s="2">
        <f t="shared" si="60"/>
        <v>935.64793617759278</v>
      </c>
      <c r="C813" s="2">
        <f t="shared" si="61"/>
        <v>875437.06047338876</v>
      </c>
      <c r="D813" s="2">
        <v>41905</v>
      </c>
      <c r="E813" s="2">
        <f t="shared" si="62"/>
        <v>4.1905000000000001</v>
      </c>
      <c r="F813" s="2">
        <f t="shared" si="63"/>
        <v>0.81064401664932761</v>
      </c>
      <c r="G813" s="2">
        <f t="shared" si="64"/>
        <v>0.65714372172935531</v>
      </c>
    </row>
    <row r="814" spans="1:7" x14ac:dyDescent="0.35">
      <c r="A814" s="2">
        <v>51</v>
      </c>
      <c r="B814" s="2">
        <f t="shared" si="60"/>
        <v>-1287.3520638224072</v>
      </c>
      <c r="C814" s="2">
        <f t="shared" si="61"/>
        <v>1657275.3362278112</v>
      </c>
      <c r="D814" s="2">
        <v>59478</v>
      </c>
      <c r="E814" s="2">
        <f t="shared" si="62"/>
        <v>5.9478</v>
      </c>
      <c r="F814" s="2">
        <f t="shared" si="63"/>
        <v>2.5679440166493275</v>
      </c>
      <c r="G814" s="2">
        <f t="shared" si="64"/>
        <v>6.5943364726450815</v>
      </c>
    </row>
    <row r="815" spans="1:7" x14ac:dyDescent="0.35">
      <c r="A815" s="2">
        <v>51</v>
      </c>
      <c r="B815" s="2">
        <f t="shared" si="60"/>
        <v>-1287.3520638224072</v>
      </c>
      <c r="C815" s="2">
        <f t="shared" si="61"/>
        <v>1657275.3362278112</v>
      </c>
      <c r="D815" s="2">
        <v>57747</v>
      </c>
      <c r="E815" s="2">
        <f t="shared" si="62"/>
        <v>5.7747000000000002</v>
      </c>
      <c r="F815" s="2">
        <f t="shared" si="63"/>
        <v>2.3948440166493277</v>
      </c>
      <c r="G815" s="2">
        <f t="shared" si="64"/>
        <v>5.7352778640810849</v>
      </c>
    </row>
    <row r="816" spans="1:7" x14ac:dyDescent="0.35">
      <c r="A816" s="2">
        <v>51</v>
      </c>
      <c r="B816" s="2">
        <f t="shared" si="60"/>
        <v>-1287.3520638224072</v>
      </c>
      <c r="C816" s="2">
        <f t="shared" si="61"/>
        <v>1657275.3362278112</v>
      </c>
      <c r="D816" s="2">
        <v>58265</v>
      </c>
      <c r="E816" s="2">
        <f t="shared" si="62"/>
        <v>5.8265000000000002</v>
      </c>
      <c r="F816" s="2">
        <f t="shared" si="63"/>
        <v>2.4466440166493277</v>
      </c>
      <c r="G816" s="2">
        <f t="shared" si="64"/>
        <v>5.9860669442059562</v>
      </c>
    </row>
    <row r="817" spans="1:7" x14ac:dyDescent="0.35">
      <c r="A817" s="2">
        <v>51</v>
      </c>
      <c r="B817" s="2">
        <f t="shared" si="60"/>
        <v>-1287.3520638224072</v>
      </c>
      <c r="C817" s="2">
        <f t="shared" si="61"/>
        <v>1657275.3362278112</v>
      </c>
      <c r="D817" s="2">
        <v>64825</v>
      </c>
      <c r="E817" s="2">
        <f t="shared" si="62"/>
        <v>6.4824999999999999</v>
      </c>
      <c r="F817" s="2">
        <f t="shared" si="63"/>
        <v>3.1026440166493274</v>
      </c>
      <c r="G817" s="2">
        <f t="shared" si="64"/>
        <v>9.6263998940498716</v>
      </c>
    </row>
    <row r="818" spans="1:7" x14ac:dyDescent="0.35">
      <c r="A818" s="2">
        <v>51</v>
      </c>
      <c r="B818" s="2">
        <f t="shared" si="60"/>
        <v>-1287.3520638224072</v>
      </c>
      <c r="C818" s="2">
        <f t="shared" si="61"/>
        <v>1657275.3362278112</v>
      </c>
      <c r="D818" s="2">
        <v>72663</v>
      </c>
      <c r="E818" s="2">
        <f t="shared" si="62"/>
        <v>7.2663000000000002</v>
      </c>
      <c r="F818" s="2">
        <f t="shared" si="63"/>
        <v>3.8864440166493277</v>
      </c>
      <c r="G818" s="2">
        <f t="shared" si="64"/>
        <v>15.104447094549359</v>
      </c>
    </row>
    <row r="819" spans="1:7" x14ac:dyDescent="0.35">
      <c r="A819" s="2">
        <v>51</v>
      </c>
      <c r="B819" s="2">
        <f t="shared" si="60"/>
        <v>-1287.3520638224072</v>
      </c>
      <c r="C819" s="2">
        <f t="shared" si="61"/>
        <v>1657275.3362278112</v>
      </c>
      <c r="D819" s="2">
        <v>74554</v>
      </c>
      <c r="E819" s="2">
        <f t="shared" si="62"/>
        <v>7.4554</v>
      </c>
      <c r="F819" s="2">
        <f t="shared" si="63"/>
        <v>4.075544016649328</v>
      </c>
      <c r="G819" s="2">
        <f t="shared" si="64"/>
        <v>16.610059031646138</v>
      </c>
    </row>
    <row r="820" spans="1:7" x14ac:dyDescent="0.35">
      <c r="A820" s="2">
        <v>51</v>
      </c>
      <c r="B820" s="2">
        <f t="shared" si="60"/>
        <v>-1287.3520638224072</v>
      </c>
      <c r="C820" s="2">
        <f t="shared" si="61"/>
        <v>1657275.3362278112</v>
      </c>
      <c r="D820" s="2">
        <v>76511</v>
      </c>
      <c r="E820" s="2">
        <f t="shared" si="62"/>
        <v>7.6510999999999996</v>
      </c>
      <c r="F820" s="2">
        <f t="shared" si="63"/>
        <v>4.2712440166493266</v>
      </c>
      <c r="G820" s="2">
        <f t="shared" si="64"/>
        <v>18.243525449762672</v>
      </c>
    </row>
    <row r="821" spans="1:7" x14ac:dyDescent="0.35">
      <c r="A821" s="2">
        <v>51</v>
      </c>
      <c r="B821" s="2">
        <f t="shared" si="60"/>
        <v>-1287.3520638224072</v>
      </c>
      <c r="C821" s="2">
        <f t="shared" si="61"/>
        <v>1657275.3362278112</v>
      </c>
      <c r="D821" s="2">
        <v>77184</v>
      </c>
      <c r="E821" s="2">
        <f t="shared" si="62"/>
        <v>7.7183999999999999</v>
      </c>
      <c r="F821" s="2">
        <f t="shared" si="63"/>
        <v>4.3385440166493279</v>
      </c>
      <c r="G821" s="2">
        <f t="shared" si="64"/>
        <v>18.822964184403684</v>
      </c>
    </row>
    <row r="822" spans="1:7" x14ac:dyDescent="0.35">
      <c r="A822" s="2">
        <v>51</v>
      </c>
      <c r="B822" s="2">
        <f t="shared" si="60"/>
        <v>-1287.3520638224072</v>
      </c>
      <c r="C822" s="2">
        <f t="shared" si="61"/>
        <v>1657275.3362278112</v>
      </c>
      <c r="D822" s="2">
        <v>79130</v>
      </c>
      <c r="E822" s="2">
        <f t="shared" si="62"/>
        <v>7.9130000000000003</v>
      </c>
      <c r="F822" s="2">
        <f t="shared" si="63"/>
        <v>4.5331440166493273</v>
      </c>
      <c r="G822" s="2">
        <f t="shared" si="64"/>
        <v>20.549394675683597</v>
      </c>
    </row>
    <row r="823" spans="1:7" x14ac:dyDescent="0.35">
      <c r="A823" s="2">
        <v>51</v>
      </c>
      <c r="B823" s="2">
        <f t="shared" si="60"/>
        <v>-1287.3520638224072</v>
      </c>
      <c r="C823" s="2">
        <f t="shared" si="61"/>
        <v>1657275.3362278112</v>
      </c>
      <c r="D823" s="2">
        <v>81356</v>
      </c>
      <c r="E823" s="2">
        <f t="shared" si="62"/>
        <v>8.1356000000000002</v>
      </c>
      <c r="F823" s="2">
        <f t="shared" si="63"/>
        <v>4.7557440166493272</v>
      </c>
      <c r="G823" s="2">
        <f t="shared" si="64"/>
        <v>22.617101151895877</v>
      </c>
    </row>
    <row r="824" spans="1:7" x14ac:dyDescent="0.35">
      <c r="A824" s="2">
        <v>51</v>
      </c>
      <c r="B824" s="2">
        <f t="shared" si="60"/>
        <v>-1287.3520638224072</v>
      </c>
      <c r="C824" s="2">
        <f t="shared" si="61"/>
        <v>1657275.3362278112</v>
      </c>
      <c r="D824" s="2">
        <v>82910</v>
      </c>
      <c r="E824" s="2">
        <f t="shared" si="62"/>
        <v>8.2910000000000004</v>
      </c>
      <c r="F824" s="2">
        <f t="shared" si="63"/>
        <v>4.9111440166493274</v>
      </c>
      <c r="G824" s="2">
        <f t="shared" si="64"/>
        <v>24.119335552270488</v>
      </c>
    </row>
    <row r="825" spans="1:7" x14ac:dyDescent="0.35">
      <c r="A825" s="2">
        <v>51</v>
      </c>
      <c r="B825" s="2">
        <f t="shared" si="60"/>
        <v>-1287.3520638224072</v>
      </c>
      <c r="C825" s="2">
        <f t="shared" si="61"/>
        <v>1657275.3362278112</v>
      </c>
      <c r="D825" s="2">
        <v>84152</v>
      </c>
      <c r="E825" s="2">
        <f t="shared" si="62"/>
        <v>8.4152000000000005</v>
      </c>
      <c r="F825" s="2">
        <f t="shared" si="63"/>
        <v>5.0353440166493275</v>
      </c>
      <c r="G825" s="2">
        <f t="shared" si="64"/>
        <v>25.354689366006184</v>
      </c>
    </row>
    <row r="826" spans="1:7" x14ac:dyDescent="0.35">
      <c r="A826" s="2">
        <v>51</v>
      </c>
      <c r="B826" s="2">
        <f t="shared" si="60"/>
        <v>-1287.3520638224072</v>
      </c>
      <c r="C826" s="2">
        <f t="shared" si="61"/>
        <v>1657275.3362278112</v>
      </c>
      <c r="D826" s="2">
        <v>86401</v>
      </c>
      <c r="E826" s="2">
        <f t="shared" si="62"/>
        <v>8.6401000000000003</v>
      </c>
      <c r="F826" s="2">
        <f t="shared" si="63"/>
        <v>5.2602440166493274</v>
      </c>
      <c r="G826" s="2">
        <f t="shared" si="64"/>
        <v>27.670167114695051</v>
      </c>
    </row>
    <row r="827" spans="1:7" x14ac:dyDescent="0.35">
      <c r="A827" s="2">
        <v>51</v>
      </c>
      <c r="B827" s="2">
        <f t="shared" si="60"/>
        <v>-1287.3520638224072</v>
      </c>
      <c r="C827" s="2">
        <f t="shared" si="61"/>
        <v>1657275.3362278112</v>
      </c>
      <c r="D827" s="2">
        <v>88780</v>
      </c>
      <c r="E827" s="2">
        <f t="shared" si="62"/>
        <v>8.8780000000000001</v>
      </c>
      <c r="F827" s="2">
        <f t="shared" si="63"/>
        <v>5.4981440166493272</v>
      </c>
      <c r="G827" s="2">
        <f t="shared" si="64"/>
        <v>30.229587627816798</v>
      </c>
    </row>
    <row r="828" spans="1:7" x14ac:dyDescent="0.35">
      <c r="A828" s="2">
        <v>51</v>
      </c>
      <c r="B828" s="2">
        <f t="shared" si="60"/>
        <v>-1287.3520638224072</v>
      </c>
      <c r="C828" s="2">
        <f t="shared" si="61"/>
        <v>1657275.3362278112</v>
      </c>
      <c r="D828" s="2">
        <v>91025</v>
      </c>
      <c r="E828" s="2">
        <f t="shared" si="62"/>
        <v>9.1024999999999991</v>
      </c>
      <c r="F828" s="2">
        <f t="shared" si="63"/>
        <v>5.7226440166493262</v>
      </c>
      <c r="G828" s="2">
        <f t="shared" si="64"/>
        <v>32.748654541292332</v>
      </c>
    </row>
    <row r="829" spans="1:7" x14ac:dyDescent="0.35">
      <c r="A829" s="2">
        <v>51</v>
      </c>
      <c r="B829" s="2">
        <f t="shared" si="60"/>
        <v>-1287.3520638224072</v>
      </c>
      <c r="C829" s="2">
        <f t="shared" si="61"/>
        <v>1657275.3362278112</v>
      </c>
      <c r="D829" s="2">
        <v>92833</v>
      </c>
      <c r="E829" s="2">
        <f t="shared" si="62"/>
        <v>9.2833000000000006</v>
      </c>
      <c r="F829" s="2">
        <f t="shared" si="63"/>
        <v>5.9034440166493276</v>
      </c>
      <c r="G829" s="2">
        <f t="shared" si="64"/>
        <v>34.850651257712748</v>
      </c>
    </row>
    <row r="830" spans="1:7" x14ac:dyDescent="0.35">
      <c r="A830" s="2">
        <v>51</v>
      </c>
      <c r="B830" s="2">
        <f t="shared" si="60"/>
        <v>-1287.3520638224072</v>
      </c>
      <c r="C830" s="2">
        <f t="shared" si="61"/>
        <v>1657275.3362278112</v>
      </c>
      <c r="D830" s="2">
        <v>93889</v>
      </c>
      <c r="E830" s="2">
        <f t="shared" si="62"/>
        <v>9.3888999999999996</v>
      </c>
      <c r="F830" s="2">
        <f t="shared" si="63"/>
        <v>6.0090440166493266</v>
      </c>
      <c r="G830" s="2">
        <f t="shared" si="64"/>
        <v>36.108609994029074</v>
      </c>
    </row>
    <row r="831" spans="1:7" x14ac:dyDescent="0.35">
      <c r="A831" s="2">
        <v>51</v>
      </c>
      <c r="B831" s="2">
        <f t="shared" si="60"/>
        <v>-1287.3520638224072</v>
      </c>
      <c r="C831" s="2">
        <f t="shared" si="61"/>
        <v>1657275.3362278112</v>
      </c>
      <c r="D831" s="2">
        <v>98384</v>
      </c>
      <c r="E831" s="2">
        <f t="shared" si="62"/>
        <v>9.8384</v>
      </c>
      <c r="F831" s="2">
        <f t="shared" si="63"/>
        <v>6.4585440166493271</v>
      </c>
      <c r="G831" s="2">
        <f t="shared" si="64"/>
        <v>41.712790814996822</v>
      </c>
    </row>
    <row r="832" spans="1:7" x14ac:dyDescent="0.35">
      <c r="A832" s="2">
        <v>51</v>
      </c>
      <c r="B832" s="2">
        <f t="shared" si="60"/>
        <v>-1287.3520638224072</v>
      </c>
      <c r="C832" s="2">
        <f t="shared" si="61"/>
        <v>1657275.3362278112</v>
      </c>
      <c r="D832" s="2">
        <v>99874</v>
      </c>
      <c r="E832" s="2">
        <f t="shared" si="62"/>
        <v>9.9873999999999992</v>
      </c>
      <c r="F832" s="2">
        <f t="shared" si="63"/>
        <v>6.6075440166493262</v>
      </c>
      <c r="G832" s="2">
        <f t="shared" si="64"/>
        <v>43.659637931958315</v>
      </c>
    </row>
    <row r="833" spans="1:7" x14ac:dyDescent="0.35">
      <c r="A833" s="2">
        <v>51</v>
      </c>
      <c r="B833" s="2">
        <f t="shared" si="60"/>
        <v>-1287.3520638224072</v>
      </c>
      <c r="C833" s="2">
        <f t="shared" si="61"/>
        <v>1657275.3362278112</v>
      </c>
      <c r="D833" s="2">
        <v>100750</v>
      </c>
      <c r="E833" s="2">
        <f t="shared" si="62"/>
        <v>10.074999999999999</v>
      </c>
      <c r="F833" s="2">
        <f t="shared" si="63"/>
        <v>6.6951440166493263</v>
      </c>
      <c r="G833" s="2">
        <f t="shared" si="64"/>
        <v>44.824953403675273</v>
      </c>
    </row>
    <row r="834" spans="1:7" x14ac:dyDescent="0.35">
      <c r="A834" s="2">
        <v>51</v>
      </c>
      <c r="B834" s="2">
        <f t="shared" si="60"/>
        <v>-1287.3520638224072</v>
      </c>
      <c r="C834" s="2">
        <f t="shared" si="61"/>
        <v>1657275.3362278112</v>
      </c>
      <c r="D834" s="2">
        <v>97675</v>
      </c>
      <c r="E834" s="2">
        <f t="shared" si="62"/>
        <v>9.7675000000000001</v>
      </c>
      <c r="F834" s="2">
        <f t="shared" si="63"/>
        <v>6.3876440166493271</v>
      </c>
      <c r="G834" s="2">
        <f t="shared" si="64"/>
        <v>40.801996083435952</v>
      </c>
    </row>
    <row r="835" spans="1:7" x14ac:dyDescent="0.35">
      <c r="A835" s="2">
        <v>51</v>
      </c>
      <c r="B835" s="2">
        <f t="shared" ref="B835:B898" si="65">A835-$J$1</f>
        <v>-1287.3520638224072</v>
      </c>
      <c r="C835" s="2">
        <f t="shared" ref="C835:C898" si="66">B835^2</f>
        <v>1657275.3362278112</v>
      </c>
      <c r="D835" s="2">
        <v>97349</v>
      </c>
      <c r="E835" s="2">
        <f t="shared" ref="E835:E898" si="67">D835/10000</f>
        <v>9.7348999999999997</v>
      </c>
      <c r="F835" s="2">
        <f t="shared" ref="F835:F898" si="68">E835-$J$2</f>
        <v>6.3550440166493267</v>
      </c>
      <c r="G835" s="2">
        <f t="shared" ref="G835:G898" si="69">F835^2</f>
        <v>40.386584453550405</v>
      </c>
    </row>
    <row r="836" spans="1:7" x14ac:dyDescent="0.35">
      <c r="A836" s="2">
        <v>51</v>
      </c>
      <c r="B836" s="2">
        <f t="shared" si="65"/>
        <v>-1287.3520638224072</v>
      </c>
      <c r="C836" s="2">
        <f t="shared" si="66"/>
        <v>1657275.3362278112</v>
      </c>
      <c r="D836" s="2">
        <v>95930</v>
      </c>
      <c r="E836" s="2">
        <f t="shared" si="67"/>
        <v>9.593</v>
      </c>
      <c r="F836" s="2">
        <f t="shared" si="68"/>
        <v>6.213144016649327</v>
      </c>
      <c r="G836" s="2">
        <f t="shared" si="69"/>
        <v>38.603158571625336</v>
      </c>
    </row>
    <row r="837" spans="1:7" x14ac:dyDescent="0.35">
      <c r="A837" s="2">
        <v>51</v>
      </c>
      <c r="B837" s="2">
        <f t="shared" si="65"/>
        <v>-1287.3520638224072</v>
      </c>
      <c r="C837" s="2">
        <f t="shared" si="66"/>
        <v>1657275.3362278112</v>
      </c>
      <c r="D837" s="2">
        <v>94217</v>
      </c>
      <c r="E837" s="2">
        <f t="shared" si="67"/>
        <v>9.4216999999999995</v>
      </c>
      <c r="F837" s="2">
        <f t="shared" si="68"/>
        <v>6.0418440166493266</v>
      </c>
      <c r="G837" s="2">
        <f t="shared" si="69"/>
        <v>36.503879121521265</v>
      </c>
    </row>
    <row r="838" spans="1:7" x14ac:dyDescent="0.35">
      <c r="A838" s="2">
        <v>51</v>
      </c>
      <c r="B838" s="2">
        <f t="shared" si="65"/>
        <v>-1287.3520638224072</v>
      </c>
      <c r="C838" s="2">
        <f t="shared" si="66"/>
        <v>1657275.3362278112</v>
      </c>
      <c r="D838" s="2">
        <v>95670</v>
      </c>
      <c r="E838" s="2">
        <f t="shared" si="67"/>
        <v>9.5670000000000002</v>
      </c>
      <c r="F838" s="2">
        <f t="shared" si="68"/>
        <v>6.1871440166493272</v>
      </c>
      <c r="G838" s="2">
        <f t="shared" si="69"/>
        <v>38.280751082759572</v>
      </c>
    </row>
    <row r="839" spans="1:7" x14ac:dyDescent="0.35">
      <c r="A839" s="2">
        <v>51</v>
      </c>
      <c r="B839" s="2">
        <f t="shared" si="65"/>
        <v>-1287.3520638224072</v>
      </c>
      <c r="C839" s="2">
        <f t="shared" si="66"/>
        <v>1657275.3362278112</v>
      </c>
      <c r="D839" s="2">
        <v>95296</v>
      </c>
      <c r="E839" s="2">
        <f t="shared" si="67"/>
        <v>9.5296000000000003</v>
      </c>
      <c r="F839" s="2">
        <f t="shared" si="68"/>
        <v>6.1497440166493273</v>
      </c>
      <c r="G839" s="2">
        <f t="shared" si="69"/>
        <v>37.819351470314203</v>
      </c>
    </row>
    <row r="840" spans="1:7" x14ac:dyDescent="0.35">
      <c r="A840" s="2">
        <v>51</v>
      </c>
      <c r="B840" s="2">
        <f t="shared" si="65"/>
        <v>-1287.3520638224072</v>
      </c>
      <c r="C840" s="2">
        <f t="shared" si="66"/>
        <v>1657275.3362278112</v>
      </c>
      <c r="D840" s="2">
        <v>95865</v>
      </c>
      <c r="E840" s="2">
        <f t="shared" si="67"/>
        <v>9.5864999999999991</v>
      </c>
      <c r="F840" s="2">
        <f t="shared" si="68"/>
        <v>6.2066440166493262</v>
      </c>
      <c r="G840" s="2">
        <f t="shared" si="69"/>
        <v>38.522429949408881</v>
      </c>
    </row>
    <row r="841" spans="1:7" x14ac:dyDescent="0.35">
      <c r="A841" s="2">
        <v>51</v>
      </c>
      <c r="B841" s="2">
        <f t="shared" si="65"/>
        <v>-1287.3520638224072</v>
      </c>
      <c r="C841" s="2">
        <f t="shared" si="66"/>
        <v>1657275.3362278112</v>
      </c>
      <c r="D841" s="2">
        <v>95300</v>
      </c>
      <c r="E841" s="2">
        <f t="shared" si="67"/>
        <v>9.5299999999999994</v>
      </c>
      <c r="F841" s="2">
        <f t="shared" si="68"/>
        <v>6.1501440166493264</v>
      </c>
      <c r="G841" s="2">
        <f t="shared" si="69"/>
        <v>37.824271425527513</v>
      </c>
    </row>
    <row r="842" spans="1:7" x14ac:dyDescent="0.35">
      <c r="A842" s="2">
        <v>51</v>
      </c>
      <c r="B842" s="2">
        <f t="shared" si="65"/>
        <v>-1287.3520638224072</v>
      </c>
      <c r="C842" s="2">
        <f t="shared" si="66"/>
        <v>1657275.3362278112</v>
      </c>
      <c r="D842" s="2">
        <v>94312</v>
      </c>
      <c r="E842" s="2">
        <f t="shared" si="67"/>
        <v>9.4312000000000005</v>
      </c>
      <c r="F842" s="2">
        <f t="shared" si="68"/>
        <v>6.0513440166493275</v>
      </c>
      <c r="G842" s="2">
        <f t="shared" si="69"/>
        <v>36.618764407837617</v>
      </c>
    </row>
    <row r="843" spans="1:7" x14ac:dyDescent="0.35">
      <c r="A843" s="2">
        <v>51</v>
      </c>
      <c r="B843" s="2">
        <f t="shared" si="65"/>
        <v>-1287.3520638224072</v>
      </c>
      <c r="C843" s="2">
        <f t="shared" si="66"/>
        <v>1657275.3362278112</v>
      </c>
      <c r="D843" s="2">
        <v>93669</v>
      </c>
      <c r="E843" s="2">
        <f t="shared" si="67"/>
        <v>9.3668999999999993</v>
      </c>
      <c r="F843" s="2">
        <f t="shared" si="68"/>
        <v>5.9870440166493264</v>
      </c>
      <c r="G843" s="2">
        <f t="shared" si="69"/>
        <v>35.844696057296503</v>
      </c>
    </row>
    <row r="844" spans="1:7" x14ac:dyDescent="0.35">
      <c r="A844" s="2">
        <v>1784</v>
      </c>
      <c r="B844" s="2">
        <f t="shared" si="65"/>
        <v>445.64793617759278</v>
      </c>
      <c r="C844" s="2">
        <f t="shared" si="66"/>
        <v>198602.0830193478</v>
      </c>
      <c r="D844" s="2">
        <v>39844</v>
      </c>
      <c r="E844" s="2">
        <f t="shared" si="67"/>
        <v>3.9843999999999999</v>
      </c>
      <c r="F844" s="2">
        <f t="shared" si="68"/>
        <v>0.60454401664932744</v>
      </c>
      <c r="G844" s="2">
        <f t="shared" si="69"/>
        <v>0.36547346806650227</v>
      </c>
    </row>
    <row r="845" spans="1:7" x14ac:dyDescent="0.35">
      <c r="A845" s="2">
        <v>1784</v>
      </c>
      <c r="B845" s="2">
        <f t="shared" si="65"/>
        <v>445.64793617759278</v>
      </c>
      <c r="C845" s="2">
        <f t="shared" si="66"/>
        <v>198602.0830193478</v>
      </c>
      <c r="D845" s="2">
        <v>38985</v>
      </c>
      <c r="E845" s="2">
        <f t="shared" si="67"/>
        <v>3.8984999999999999</v>
      </c>
      <c r="F845" s="2">
        <f t="shared" si="68"/>
        <v>0.51864401664932736</v>
      </c>
      <c r="G845" s="2">
        <f t="shared" si="69"/>
        <v>0.26899161600614774</v>
      </c>
    </row>
    <row r="846" spans="1:7" x14ac:dyDescent="0.35">
      <c r="A846" s="2">
        <v>1784</v>
      </c>
      <c r="B846" s="2">
        <f t="shared" si="65"/>
        <v>445.64793617759278</v>
      </c>
      <c r="C846" s="2">
        <f t="shared" si="66"/>
        <v>198602.0830193478</v>
      </c>
      <c r="D846" s="2">
        <v>35987</v>
      </c>
      <c r="E846" s="2">
        <f t="shared" si="67"/>
        <v>3.5987</v>
      </c>
      <c r="F846" s="2">
        <f t="shared" si="68"/>
        <v>0.21884401664932751</v>
      </c>
      <c r="G846" s="2">
        <f t="shared" si="69"/>
        <v>4.7892703623211137E-2</v>
      </c>
    </row>
    <row r="847" spans="1:7" x14ac:dyDescent="0.35">
      <c r="A847" s="2">
        <v>1784</v>
      </c>
      <c r="B847" s="2">
        <f t="shared" si="65"/>
        <v>445.64793617759278</v>
      </c>
      <c r="C847" s="2">
        <f t="shared" si="66"/>
        <v>198602.0830193478</v>
      </c>
      <c r="D847" s="2">
        <v>41069</v>
      </c>
      <c r="E847" s="2">
        <f t="shared" si="67"/>
        <v>4.1069000000000004</v>
      </c>
      <c r="F847" s="2">
        <f t="shared" si="68"/>
        <v>0.72704401664932794</v>
      </c>
      <c r="G847" s="2">
        <f t="shared" si="69"/>
        <v>0.52859300214558824</v>
      </c>
    </row>
    <row r="848" spans="1:7" x14ac:dyDescent="0.35">
      <c r="A848" s="2">
        <v>1784</v>
      </c>
      <c r="B848" s="2">
        <f t="shared" si="65"/>
        <v>445.64793617759278</v>
      </c>
      <c r="C848" s="2">
        <f t="shared" si="66"/>
        <v>198602.0830193478</v>
      </c>
      <c r="D848" s="2">
        <v>43271</v>
      </c>
      <c r="E848" s="2">
        <f t="shared" si="67"/>
        <v>4.3270999999999997</v>
      </c>
      <c r="F848" s="2">
        <f t="shared" si="68"/>
        <v>0.94724401664932723</v>
      </c>
      <c r="G848" s="2">
        <f t="shared" si="69"/>
        <v>0.89727122707795093</v>
      </c>
    </row>
    <row r="849" spans="1:7" x14ac:dyDescent="0.35">
      <c r="A849" s="2">
        <v>1784</v>
      </c>
      <c r="B849" s="2">
        <f t="shared" si="65"/>
        <v>445.64793617759278</v>
      </c>
      <c r="C849" s="2">
        <f t="shared" si="66"/>
        <v>198602.0830193478</v>
      </c>
      <c r="D849" s="2">
        <v>37669</v>
      </c>
      <c r="E849" s="2">
        <f t="shared" si="67"/>
        <v>3.7669000000000001</v>
      </c>
      <c r="F849" s="2">
        <f t="shared" si="68"/>
        <v>0.38704401664932764</v>
      </c>
      <c r="G849" s="2">
        <f t="shared" si="69"/>
        <v>0.14980307082404501</v>
      </c>
    </row>
    <row r="850" spans="1:7" x14ac:dyDescent="0.35">
      <c r="A850" s="2">
        <v>1784</v>
      </c>
      <c r="B850" s="2">
        <f t="shared" si="65"/>
        <v>445.64793617759278</v>
      </c>
      <c r="C850" s="2">
        <f t="shared" si="66"/>
        <v>198602.0830193478</v>
      </c>
      <c r="D850" s="2">
        <v>43561</v>
      </c>
      <c r="E850" s="2">
        <f t="shared" si="67"/>
        <v>4.3560999999999996</v>
      </c>
      <c r="F850" s="2">
        <f t="shared" si="68"/>
        <v>0.97624401664932714</v>
      </c>
      <c r="G850" s="2">
        <f t="shared" si="69"/>
        <v>0.9530523800436117</v>
      </c>
    </row>
    <row r="851" spans="1:7" x14ac:dyDescent="0.35">
      <c r="A851" s="2">
        <v>1784</v>
      </c>
      <c r="B851" s="2">
        <f t="shared" si="65"/>
        <v>445.64793617759278</v>
      </c>
      <c r="C851" s="2">
        <f t="shared" si="66"/>
        <v>198602.0830193478</v>
      </c>
      <c r="D851" s="2">
        <v>47076</v>
      </c>
      <c r="E851" s="2">
        <f t="shared" si="67"/>
        <v>4.7076000000000002</v>
      </c>
      <c r="F851" s="2">
        <f t="shared" si="68"/>
        <v>1.3277440166493277</v>
      </c>
      <c r="G851" s="2">
        <f t="shared" si="69"/>
        <v>1.7629041737480902</v>
      </c>
    </row>
    <row r="852" spans="1:7" x14ac:dyDescent="0.35">
      <c r="A852" s="2">
        <v>1784</v>
      </c>
      <c r="B852" s="2">
        <f t="shared" si="65"/>
        <v>445.64793617759278</v>
      </c>
      <c r="C852" s="2">
        <f t="shared" si="66"/>
        <v>198602.0830193478</v>
      </c>
      <c r="D852" s="2">
        <v>43353</v>
      </c>
      <c r="E852" s="2">
        <f t="shared" si="67"/>
        <v>4.3353000000000002</v>
      </c>
      <c r="F852" s="2">
        <f t="shared" si="68"/>
        <v>0.95544401664932765</v>
      </c>
      <c r="G852" s="2">
        <f t="shared" si="69"/>
        <v>0.91287326895100074</v>
      </c>
    </row>
    <row r="853" spans="1:7" x14ac:dyDescent="0.35">
      <c r="A853" s="2">
        <v>1784</v>
      </c>
      <c r="B853" s="2">
        <f t="shared" si="65"/>
        <v>445.64793617759278</v>
      </c>
      <c r="C853" s="2">
        <f t="shared" si="66"/>
        <v>198602.0830193478</v>
      </c>
      <c r="D853" s="2">
        <v>53291</v>
      </c>
      <c r="E853" s="2">
        <f t="shared" si="67"/>
        <v>5.3291000000000004</v>
      </c>
      <c r="F853" s="2">
        <f t="shared" si="68"/>
        <v>1.9492440166493279</v>
      </c>
      <c r="G853" s="2">
        <f t="shared" si="69"/>
        <v>3.7995522364432053</v>
      </c>
    </row>
    <row r="854" spans="1:7" x14ac:dyDescent="0.35">
      <c r="A854" s="2">
        <v>1784</v>
      </c>
      <c r="B854" s="2">
        <f t="shared" si="65"/>
        <v>445.64793617759278</v>
      </c>
      <c r="C854" s="2">
        <f t="shared" si="66"/>
        <v>198602.0830193478</v>
      </c>
      <c r="D854" s="2">
        <v>51627</v>
      </c>
      <c r="E854" s="2">
        <f t="shared" si="67"/>
        <v>5.1627000000000001</v>
      </c>
      <c r="F854" s="2">
        <f t="shared" si="68"/>
        <v>1.7828440166493276</v>
      </c>
      <c r="G854" s="2">
        <f t="shared" si="69"/>
        <v>3.178532787702308</v>
      </c>
    </row>
    <row r="855" spans="1:7" x14ac:dyDescent="0.35">
      <c r="A855" s="2">
        <v>1784</v>
      </c>
      <c r="B855" s="2">
        <f t="shared" si="65"/>
        <v>445.64793617759278</v>
      </c>
      <c r="C855" s="2">
        <f t="shared" si="66"/>
        <v>198602.0830193478</v>
      </c>
      <c r="D855" s="2">
        <v>44419</v>
      </c>
      <c r="E855" s="2">
        <f t="shared" si="67"/>
        <v>4.4419000000000004</v>
      </c>
      <c r="F855" s="2">
        <f t="shared" si="68"/>
        <v>1.0620440166493279</v>
      </c>
      <c r="G855" s="2">
        <f t="shared" si="69"/>
        <v>1.1279374933006379</v>
      </c>
    </row>
    <row r="856" spans="1:7" x14ac:dyDescent="0.35">
      <c r="A856" s="2">
        <v>1784</v>
      </c>
      <c r="B856" s="2">
        <f t="shared" si="65"/>
        <v>445.64793617759278</v>
      </c>
      <c r="C856" s="2">
        <f t="shared" si="66"/>
        <v>198602.0830193478</v>
      </c>
      <c r="D856" s="2">
        <v>49760</v>
      </c>
      <c r="E856" s="2">
        <f t="shared" si="67"/>
        <v>4.976</v>
      </c>
      <c r="F856" s="2">
        <f t="shared" si="68"/>
        <v>1.5961440166493275</v>
      </c>
      <c r="G856" s="2">
        <f t="shared" si="69"/>
        <v>2.5476757218854487</v>
      </c>
    </row>
    <row r="857" spans="1:7" x14ac:dyDescent="0.35">
      <c r="A857" s="2">
        <v>1784</v>
      </c>
      <c r="B857" s="2">
        <f t="shared" si="65"/>
        <v>445.64793617759278</v>
      </c>
      <c r="C857" s="2">
        <f t="shared" si="66"/>
        <v>198602.0830193478</v>
      </c>
      <c r="D857" s="2">
        <v>52531</v>
      </c>
      <c r="E857" s="2">
        <f t="shared" si="67"/>
        <v>5.2530999999999999</v>
      </c>
      <c r="F857" s="2">
        <f t="shared" si="68"/>
        <v>1.8732440166493274</v>
      </c>
      <c r="G857" s="2">
        <f t="shared" si="69"/>
        <v>3.5090431459125053</v>
      </c>
    </row>
    <row r="858" spans="1:7" x14ac:dyDescent="0.35">
      <c r="A858" s="2">
        <v>1784</v>
      </c>
      <c r="B858" s="2">
        <f t="shared" si="65"/>
        <v>445.64793617759278</v>
      </c>
      <c r="C858" s="2">
        <f t="shared" si="66"/>
        <v>198602.0830193478</v>
      </c>
      <c r="D858" s="2">
        <v>57884</v>
      </c>
      <c r="E858" s="2">
        <f t="shared" si="67"/>
        <v>5.7884000000000002</v>
      </c>
      <c r="F858" s="2">
        <f t="shared" si="68"/>
        <v>2.4085440166493277</v>
      </c>
      <c r="G858" s="2">
        <f t="shared" si="69"/>
        <v>5.8010842801372773</v>
      </c>
    </row>
    <row r="859" spans="1:7" x14ac:dyDescent="0.35">
      <c r="A859" s="2">
        <v>1784</v>
      </c>
      <c r="B859" s="2">
        <f t="shared" si="65"/>
        <v>445.64793617759278</v>
      </c>
      <c r="C859" s="2">
        <f t="shared" si="66"/>
        <v>198602.0830193478</v>
      </c>
      <c r="D859" s="2">
        <v>60284</v>
      </c>
      <c r="E859" s="2">
        <f t="shared" si="67"/>
        <v>6.0284000000000004</v>
      </c>
      <c r="F859" s="2">
        <f t="shared" si="68"/>
        <v>2.6485440166493279</v>
      </c>
      <c r="G859" s="2">
        <f t="shared" si="69"/>
        <v>7.0147854081289553</v>
      </c>
    </row>
    <row r="860" spans="1:7" x14ac:dyDescent="0.35">
      <c r="A860" s="2">
        <v>1784</v>
      </c>
      <c r="B860" s="2">
        <f t="shared" si="65"/>
        <v>445.64793617759278</v>
      </c>
      <c r="C860" s="2">
        <f t="shared" si="66"/>
        <v>198602.0830193478</v>
      </c>
      <c r="D860" s="2">
        <v>59384</v>
      </c>
      <c r="E860" s="2">
        <f t="shared" si="67"/>
        <v>5.9383999999999997</v>
      </c>
      <c r="F860" s="2">
        <f t="shared" si="68"/>
        <v>2.5585440166493272</v>
      </c>
      <c r="G860" s="2">
        <f t="shared" si="69"/>
        <v>6.5461474851320727</v>
      </c>
    </row>
    <row r="861" spans="1:7" x14ac:dyDescent="0.35">
      <c r="A861" s="2">
        <v>1784</v>
      </c>
      <c r="B861" s="2">
        <f t="shared" si="65"/>
        <v>445.64793617759278</v>
      </c>
      <c r="C861" s="2">
        <f t="shared" si="66"/>
        <v>198602.0830193478</v>
      </c>
      <c r="D861" s="2">
        <v>66430</v>
      </c>
      <c r="E861" s="2">
        <f t="shared" si="67"/>
        <v>6.6429999999999998</v>
      </c>
      <c r="F861" s="2">
        <f t="shared" si="68"/>
        <v>3.2631440166493273</v>
      </c>
      <c r="G861" s="2">
        <f t="shared" si="69"/>
        <v>10.648108873394305</v>
      </c>
    </row>
    <row r="862" spans="1:7" x14ac:dyDescent="0.35">
      <c r="A862" s="2">
        <v>1784</v>
      </c>
      <c r="B862" s="2">
        <f t="shared" si="65"/>
        <v>445.64793617759278</v>
      </c>
      <c r="C862" s="2">
        <f t="shared" si="66"/>
        <v>198602.0830193478</v>
      </c>
      <c r="D862" s="2">
        <v>72118</v>
      </c>
      <c r="E862" s="2">
        <f t="shared" si="67"/>
        <v>7.2118000000000002</v>
      </c>
      <c r="F862" s="2">
        <f t="shared" si="68"/>
        <v>3.8319440166493277</v>
      </c>
      <c r="G862" s="2">
        <f t="shared" si="69"/>
        <v>14.683794946734583</v>
      </c>
    </row>
    <row r="863" spans="1:7" x14ac:dyDescent="0.35">
      <c r="A863" s="2">
        <v>1784</v>
      </c>
      <c r="B863" s="2">
        <f t="shared" si="65"/>
        <v>445.64793617759278</v>
      </c>
      <c r="C863" s="2">
        <f t="shared" si="66"/>
        <v>198602.0830193478</v>
      </c>
      <c r="D863" s="2">
        <v>73941</v>
      </c>
      <c r="E863" s="2">
        <f t="shared" si="67"/>
        <v>7.3940999999999999</v>
      </c>
      <c r="F863" s="2">
        <f t="shared" si="68"/>
        <v>4.014244016649327</v>
      </c>
      <c r="G863" s="2">
        <f t="shared" si="69"/>
        <v>16.114155025204923</v>
      </c>
    </row>
    <row r="864" spans="1:7" x14ac:dyDescent="0.35">
      <c r="A864" s="2">
        <v>1784</v>
      </c>
      <c r="B864" s="2">
        <f t="shared" si="65"/>
        <v>445.64793617759278</v>
      </c>
      <c r="C864" s="2">
        <f t="shared" si="66"/>
        <v>198602.0830193478</v>
      </c>
      <c r="D864" s="2">
        <v>74651</v>
      </c>
      <c r="E864" s="2">
        <f t="shared" si="67"/>
        <v>7.4650999999999996</v>
      </c>
      <c r="F864" s="2">
        <f t="shared" si="68"/>
        <v>4.0852440166493267</v>
      </c>
      <c r="G864" s="2">
        <f t="shared" si="69"/>
        <v>16.689218675569123</v>
      </c>
    </row>
    <row r="865" spans="1:7" x14ac:dyDescent="0.35">
      <c r="A865" s="2">
        <v>1784</v>
      </c>
      <c r="B865" s="2">
        <f t="shared" si="65"/>
        <v>445.64793617759278</v>
      </c>
      <c r="C865" s="2">
        <f t="shared" si="66"/>
        <v>198602.0830193478</v>
      </c>
      <c r="D865" s="2">
        <v>79373</v>
      </c>
      <c r="E865" s="2">
        <f t="shared" si="67"/>
        <v>7.9372999999999996</v>
      </c>
      <c r="F865" s="2">
        <f t="shared" si="68"/>
        <v>4.5574440166493275</v>
      </c>
      <c r="G865" s="2">
        <f t="shared" si="69"/>
        <v>20.770295964892757</v>
      </c>
    </row>
    <row r="866" spans="1:7" x14ac:dyDescent="0.35">
      <c r="A866" s="2">
        <v>1784</v>
      </c>
      <c r="B866" s="2">
        <f t="shared" si="65"/>
        <v>445.64793617759278</v>
      </c>
      <c r="C866" s="2">
        <f t="shared" si="66"/>
        <v>198602.0830193478</v>
      </c>
      <c r="D866" s="2">
        <v>69016</v>
      </c>
      <c r="E866" s="2">
        <f t="shared" si="67"/>
        <v>6.9016000000000002</v>
      </c>
      <c r="F866" s="2">
        <f t="shared" si="68"/>
        <v>3.5217440166493277</v>
      </c>
      <c r="G866" s="2">
        <f t="shared" si="69"/>
        <v>12.40268091880534</v>
      </c>
    </row>
    <row r="867" spans="1:7" x14ac:dyDescent="0.35">
      <c r="A867" s="2">
        <v>1784</v>
      </c>
      <c r="B867" s="2">
        <f t="shared" si="65"/>
        <v>445.64793617759278</v>
      </c>
      <c r="C867" s="2">
        <f t="shared" si="66"/>
        <v>198602.0830193478</v>
      </c>
      <c r="D867" s="2">
        <v>70136</v>
      </c>
      <c r="E867" s="2">
        <f t="shared" si="67"/>
        <v>7.0136000000000003</v>
      </c>
      <c r="F867" s="2">
        <f t="shared" si="68"/>
        <v>3.6337440166493278</v>
      </c>
      <c r="G867" s="2">
        <f t="shared" si="69"/>
        <v>13.20409557853479</v>
      </c>
    </row>
    <row r="868" spans="1:7" x14ac:dyDescent="0.35">
      <c r="A868" s="2">
        <v>1784</v>
      </c>
      <c r="B868" s="2">
        <f t="shared" si="65"/>
        <v>445.64793617759278</v>
      </c>
      <c r="C868" s="2">
        <f t="shared" si="66"/>
        <v>198602.0830193478</v>
      </c>
      <c r="D868" s="2">
        <v>54783</v>
      </c>
      <c r="E868" s="2">
        <f t="shared" si="67"/>
        <v>5.4782999999999999</v>
      </c>
      <c r="F868" s="2">
        <f t="shared" si="68"/>
        <v>2.0984440166493274</v>
      </c>
      <c r="G868" s="2">
        <f t="shared" si="69"/>
        <v>4.4034672910113626</v>
      </c>
    </row>
    <row r="869" spans="1:7" x14ac:dyDescent="0.35">
      <c r="A869" s="2">
        <v>1784</v>
      </c>
      <c r="B869" s="2">
        <f t="shared" si="65"/>
        <v>445.64793617759278</v>
      </c>
      <c r="C869" s="2">
        <f t="shared" si="66"/>
        <v>198602.0830193478</v>
      </c>
      <c r="D869" s="2">
        <v>63968</v>
      </c>
      <c r="E869" s="2">
        <f t="shared" si="67"/>
        <v>6.3967999999999998</v>
      </c>
      <c r="F869" s="2">
        <f t="shared" si="68"/>
        <v>3.0169440166493273</v>
      </c>
      <c r="G869" s="2">
        <f t="shared" si="69"/>
        <v>9.1019511995961775</v>
      </c>
    </row>
    <row r="870" spans="1:7" x14ac:dyDescent="0.35">
      <c r="A870" s="2">
        <v>1784</v>
      </c>
      <c r="B870" s="2">
        <f t="shared" si="65"/>
        <v>445.64793617759278</v>
      </c>
      <c r="C870" s="2">
        <f t="shared" si="66"/>
        <v>198602.0830193478</v>
      </c>
      <c r="D870" s="2">
        <v>61615</v>
      </c>
      <c r="E870" s="2">
        <f t="shared" si="67"/>
        <v>6.1615000000000002</v>
      </c>
      <c r="F870" s="2">
        <f t="shared" si="68"/>
        <v>2.7816440166493277</v>
      </c>
      <c r="G870" s="2">
        <f t="shared" si="69"/>
        <v>7.7375434353610055</v>
      </c>
    </row>
    <row r="871" spans="1:7" x14ac:dyDescent="0.35">
      <c r="A871" s="2">
        <v>1784</v>
      </c>
      <c r="B871" s="2">
        <f t="shared" si="65"/>
        <v>445.64793617759278</v>
      </c>
      <c r="C871" s="2">
        <f t="shared" si="66"/>
        <v>198602.0830193478</v>
      </c>
      <c r="D871" s="2">
        <v>58935</v>
      </c>
      <c r="E871" s="2">
        <f t="shared" si="67"/>
        <v>5.8935000000000004</v>
      </c>
      <c r="F871" s="2">
        <f t="shared" si="68"/>
        <v>2.5136440166493279</v>
      </c>
      <c r="G871" s="2">
        <f t="shared" si="69"/>
        <v>6.3184062424369669</v>
      </c>
    </row>
    <row r="872" spans="1:7" x14ac:dyDescent="0.35">
      <c r="A872" s="2">
        <v>1784</v>
      </c>
      <c r="B872" s="2">
        <f t="shared" si="65"/>
        <v>445.64793617759278</v>
      </c>
      <c r="C872" s="2">
        <f t="shared" si="66"/>
        <v>198602.0830193478</v>
      </c>
      <c r="D872" s="2">
        <v>63986</v>
      </c>
      <c r="E872" s="2">
        <f t="shared" si="67"/>
        <v>6.3986000000000001</v>
      </c>
      <c r="F872" s="2">
        <f t="shared" si="68"/>
        <v>3.0187440166493276</v>
      </c>
      <c r="G872" s="2">
        <f t="shared" si="69"/>
        <v>9.1128154380561153</v>
      </c>
    </row>
    <row r="873" spans="1:7" x14ac:dyDescent="0.35">
      <c r="A873" s="2">
        <v>1784</v>
      </c>
      <c r="B873" s="2">
        <f t="shared" si="65"/>
        <v>445.64793617759278</v>
      </c>
      <c r="C873" s="2">
        <f t="shared" si="66"/>
        <v>198602.0830193478</v>
      </c>
      <c r="D873" s="2">
        <v>69302</v>
      </c>
      <c r="E873" s="2">
        <f t="shared" si="67"/>
        <v>6.9302000000000001</v>
      </c>
      <c r="F873" s="2">
        <f t="shared" si="68"/>
        <v>3.5503440166493276</v>
      </c>
      <c r="G873" s="2">
        <f t="shared" si="69"/>
        <v>12.604942636557681</v>
      </c>
    </row>
    <row r="874" spans="1:7" x14ac:dyDescent="0.35">
      <c r="A874" s="2">
        <v>848</v>
      </c>
      <c r="B874" s="2">
        <f t="shared" si="65"/>
        <v>-490.35206382240722</v>
      </c>
      <c r="C874" s="2">
        <f t="shared" si="66"/>
        <v>240445.14649489411</v>
      </c>
      <c r="D874" s="2">
        <v>18519</v>
      </c>
      <c r="E874" s="2">
        <f t="shared" si="67"/>
        <v>1.8519000000000001</v>
      </c>
      <c r="F874" s="2">
        <f t="shared" si="68"/>
        <v>-1.5279559833506724</v>
      </c>
      <c r="G874" s="2">
        <f t="shared" si="69"/>
        <v>2.3346494870571202</v>
      </c>
    </row>
    <row r="875" spans="1:7" x14ac:dyDescent="0.35">
      <c r="A875" s="2">
        <v>848</v>
      </c>
      <c r="B875" s="2">
        <f t="shared" si="65"/>
        <v>-490.35206382240722</v>
      </c>
      <c r="C875" s="2">
        <f t="shared" si="66"/>
        <v>240445.14649489411</v>
      </c>
      <c r="D875" s="2">
        <v>18275</v>
      </c>
      <c r="E875" s="2">
        <f t="shared" si="67"/>
        <v>1.8274999999999999</v>
      </c>
      <c r="F875" s="2">
        <f t="shared" si="68"/>
        <v>-1.5523559833506726</v>
      </c>
      <c r="G875" s="2">
        <f t="shared" si="69"/>
        <v>2.4098090990446339</v>
      </c>
    </row>
    <row r="876" spans="1:7" x14ac:dyDescent="0.35">
      <c r="A876" s="2">
        <v>848</v>
      </c>
      <c r="B876" s="2">
        <f t="shared" si="65"/>
        <v>-490.35206382240722</v>
      </c>
      <c r="C876" s="2">
        <f t="shared" si="66"/>
        <v>240445.14649489411</v>
      </c>
      <c r="D876" s="2">
        <v>18644</v>
      </c>
      <c r="E876" s="2">
        <f t="shared" si="67"/>
        <v>1.8644000000000001</v>
      </c>
      <c r="F876" s="2">
        <f t="shared" si="68"/>
        <v>-1.5154559833506724</v>
      </c>
      <c r="G876" s="2">
        <f t="shared" si="69"/>
        <v>2.2966068374733535</v>
      </c>
    </row>
    <row r="877" spans="1:7" x14ac:dyDescent="0.35">
      <c r="A877" s="2">
        <v>848</v>
      </c>
      <c r="B877" s="2">
        <f t="shared" si="65"/>
        <v>-490.35206382240722</v>
      </c>
      <c r="C877" s="2">
        <f t="shared" si="66"/>
        <v>240445.14649489411</v>
      </c>
      <c r="D877" s="2">
        <v>18372</v>
      </c>
      <c r="E877" s="2">
        <f t="shared" si="67"/>
        <v>1.8371999999999999</v>
      </c>
      <c r="F877" s="2">
        <f t="shared" si="68"/>
        <v>-1.5426559833506726</v>
      </c>
      <c r="G877" s="2">
        <f t="shared" si="69"/>
        <v>2.3797874829676307</v>
      </c>
    </row>
    <row r="878" spans="1:7" x14ac:dyDescent="0.35">
      <c r="A878" s="2">
        <v>848</v>
      </c>
      <c r="B878" s="2">
        <f t="shared" si="65"/>
        <v>-490.35206382240722</v>
      </c>
      <c r="C878" s="2">
        <f t="shared" si="66"/>
        <v>240445.14649489411</v>
      </c>
      <c r="D878" s="2">
        <v>18462</v>
      </c>
      <c r="E878" s="2">
        <f t="shared" si="67"/>
        <v>1.8462000000000001</v>
      </c>
      <c r="F878" s="2">
        <f t="shared" si="68"/>
        <v>-1.5336559833506724</v>
      </c>
      <c r="G878" s="2">
        <f t="shared" si="69"/>
        <v>2.3521006752673181</v>
      </c>
    </row>
    <row r="879" spans="1:7" x14ac:dyDescent="0.35">
      <c r="A879" s="2">
        <v>848</v>
      </c>
      <c r="B879" s="2">
        <f t="shared" si="65"/>
        <v>-490.35206382240722</v>
      </c>
      <c r="C879" s="2">
        <f t="shared" si="66"/>
        <v>240445.14649489411</v>
      </c>
      <c r="D879" s="2">
        <v>18571</v>
      </c>
      <c r="E879" s="2">
        <f t="shared" si="67"/>
        <v>1.8571</v>
      </c>
      <c r="F879" s="2">
        <f t="shared" si="68"/>
        <v>-1.5227559833506725</v>
      </c>
      <c r="G879" s="2">
        <f t="shared" si="69"/>
        <v>2.3187857848302738</v>
      </c>
    </row>
    <row r="880" spans="1:7" x14ac:dyDescent="0.35">
      <c r="A880" s="2">
        <v>848</v>
      </c>
      <c r="B880" s="2">
        <f t="shared" si="65"/>
        <v>-490.35206382240722</v>
      </c>
      <c r="C880" s="2">
        <f t="shared" si="66"/>
        <v>240445.14649489411</v>
      </c>
      <c r="D880" s="2">
        <v>18667</v>
      </c>
      <c r="E880" s="2">
        <f t="shared" si="67"/>
        <v>1.8667</v>
      </c>
      <c r="F880" s="2">
        <f t="shared" si="68"/>
        <v>-1.5131559833506725</v>
      </c>
      <c r="G880" s="2">
        <f t="shared" si="69"/>
        <v>2.2896410299499408</v>
      </c>
    </row>
    <row r="881" spans="1:7" x14ac:dyDescent="0.35">
      <c r="A881" s="2">
        <v>848</v>
      </c>
      <c r="B881" s="2">
        <f t="shared" si="65"/>
        <v>-490.35206382240722</v>
      </c>
      <c r="C881" s="2">
        <f t="shared" si="66"/>
        <v>240445.14649489411</v>
      </c>
      <c r="D881" s="2">
        <v>18293</v>
      </c>
      <c r="E881" s="2">
        <f t="shared" si="67"/>
        <v>1.8292999999999999</v>
      </c>
      <c r="F881" s="2">
        <f t="shared" si="68"/>
        <v>-1.5505559833506726</v>
      </c>
      <c r="G881" s="2">
        <f t="shared" si="69"/>
        <v>2.4042238575045713</v>
      </c>
    </row>
    <row r="882" spans="1:7" x14ac:dyDescent="0.35">
      <c r="A882" s="2">
        <v>848</v>
      </c>
      <c r="B882" s="2">
        <f t="shared" si="65"/>
        <v>-490.35206382240722</v>
      </c>
      <c r="C882" s="2">
        <f t="shared" si="66"/>
        <v>240445.14649489411</v>
      </c>
      <c r="D882" s="2">
        <v>18427</v>
      </c>
      <c r="E882" s="2">
        <f t="shared" si="67"/>
        <v>1.8427</v>
      </c>
      <c r="F882" s="2">
        <f t="shared" si="68"/>
        <v>-1.5371559833506725</v>
      </c>
      <c r="G882" s="2">
        <f t="shared" si="69"/>
        <v>2.3628485171507729</v>
      </c>
    </row>
    <row r="883" spans="1:7" x14ac:dyDescent="0.35">
      <c r="A883" s="2">
        <v>848</v>
      </c>
      <c r="B883" s="2">
        <f t="shared" si="65"/>
        <v>-490.35206382240722</v>
      </c>
      <c r="C883" s="2">
        <f t="shared" si="66"/>
        <v>240445.14649489411</v>
      </c>
      <c r="D883" s="2">
        <v>20016</v>
      </c>
      <c r="E883" s="2">
        <f t="shared" si="67"/>
        <v>2.0015999999999998</v>
      </c>
      <c r="F883" s="2">
        <f t="shared" si="68"/>
        <v>-1.3782559833506727</v>
      </c>
      <c r="G883" s="2">
        <f t="shared" si="69"/>
        <v>1.8995895556419298</v>
      </c>
    </row>
    <row r="884" spans="1:7" x14ac:dyDescent="0.35">
      <c r="A884" s="2">
        <v>848</v>
      </c>
      <c r="B884" s="2">
        <f t="shared" si="65"/>
        <v>-490.35206382240722</v>
      </c>
      <c r="C884" s="2">
        <f t="shared" si="66"/>
        <v>240445.14649489411</v>
      </c>
      <c r="D884" s="2">
        <v>18462</v>
      </c>
      <c r="E884" s="2">
        <f t="shared" si="67"/>
        <v>1.8462000000000001</v>
      </c>
      <c r="F884" s="2">
        <f t="shared" si="68"/>
        <v>-1.5336559833506724</v>
      </c>
      <c r="G884" s="2">
        <f t="shared" si="69"/>
        <v>2.3521006752673181</v>
      </c>
    </row>
    <row r="885" spans="1:7" x14ac:dyDescent="0.35">
      <c r="A885" s="2">
        <v>848</v>
      </c>
      <c r="B885" s="2">
        <f t="shared" si="65"/>
        <v>-490.35206382240722</v>
      </c>
      <c r="C885" s="2">
        <f t="shared" si="66"/>
        <v>240445.14649489411</v>
      </c>
      <c r="D885" s="2">
        <v>18016</v>
      </c>
      <c r="E885" s="2">
        <f t="shared" si="67"/>
        <v>1.8016000000000001</v>
      </c>
      <c r="F885" s="2">
        <f t="shared" si="68"/>
        <v>-1.5782559833506724</v>
      </c>
      <c r="G885" s="2">
        <f t="shared" si="69"/>
        <v>2.4908919489821981</v>
      </c>
    </row>
    <row r="886" spans="1:7" x14ac:dyDescent="0.35">
      <c r="A886" s="2">
        <v>848</v>
      </c>
      <c r="B886" s="2">
        <f t="shared" si="65"/>
        <v>-490.35206382240722</v>
      </c>
      <c r="C886" s="2">
        <f t="shared" si="66"/>
        <v>240445.14649489411</v>
      </c>
      <c r="D886" s="2">
        <v>17511</v>
      </c>
      <c r="E886" s="2">
        <f t="shared" si="67"/>
        <v>1.7511000000000001</v>
      </c>
      <c r="F886" s="2">
        <f t="shared" si="68"/>
        <v>-1.6287559833506724</v>
      </c>
      <c r="G886" s="2">
        <f t="shared" si="69"/>
        <v>2.6528460533006157</v>
      </c>
    </row>
    <row r="887" spans="1:7" x14ac:dyDescent="0.35">
      <c r="A887" s="2">
        <v>848</v>
      </c>
      <c r="B887" s="2">
        <f t="shared" si="65"/>
        <v>-490.35206382240722</v>
      </c>
      <c r="C887" s="2">
        <f t="shared" si="66"/>
        <v>240445.14649489411</v>
      </c>
      <c r="D887" s="2">
        <v>18433</v>
      </c>
      <c r="E887" s="2">
        <f t="shared" si="67"/>
        <v>1.8432999999999999</v>
      </c>
      <c r="F887" s="2">
        <f t="shared" si="68"/>
        <v>-1.5365559833506726</v>
      </c>
      <c r="G887" s="2">
        <f t="shared" si="69"/>
        <v>2.3610042899707522</v>
      </c>
    </row>
    <row r="888" spans="1:7" x14ac:dyDescent="0.35">
      <c r="A888" s="2">
        <v>848</v>
      </c>
      <c r="B888" s="2">
        <f t="shared" si="65"/>
        <v>-490.35206382240722</v>
      </c>
      <c r="C888" s="2">
        <f t="shared" si="66"/>
        <v>240445.14649489411</v>
      </c>
      <c r="D888" s="2">
        <v>20629</v>
      </c>
      <c r="E888" s="2">
        <f t="shared" si="67"/>
        <v>2.0629</v>
      </c>
      <c r="F888" s="2">
        <f t="shared" si="68"/>
        <v>-1.3169559833506725</v>
      </c>
      <c r="G888" s="2">
        <f t="shared" si="69"/>
        <v>1.7343730620831368</v>
      </c>
    </row>
    <row r="889" spans="1:7" x14ac:dyDescent="0.35">
      <c r="A889" s="2">
        <v>848</v>
      </c>
      <c r="B889" s="2">
        <f t="shared" si="65"/>
        <v>-490.35206382240722</v>
      </c>
      <c r="C889" s="2">
        <f t="shared" si="66"/>
        <v>240445.14649489411</v>
      </c>
      <c r="D889" s="2">
        <v>21602</v>
      </c>
      <c r="E889" s="2">
        <f t="shared" si="67"/>
        <v>2.1602000000000001</v>
      </c>
      <c r="F889" s="2">
        <f t="shared" si="68"/>
        <v>-1.2196559833506724</v>
      </c>
      <c r="G889" s="2">
        <f t="shared" si="69"/>
        <v>1.4875607177230956</v>
      </c>
    </row>
    <row r="890" spans="1:7" x14ac:dyDescent="0.35">
      <c r="A890" s="2">
        <v>848</v>
      </c>
      <c r="B890" s="2">
        <f t="shared" si="65"/>
        <v>-490.35206382240722</v>
      </c>
      <c r="C890" s="2">
        <f t="shared" si="66"/>
        <v>240445.14649489411</v>
      </c>
      <c r="D890" s="2">
        <v>30273</v>
      </c>
      <c r="E890" s="2">
        <f t="shared" si="67"/>
        <v>3.0272999999999999</v>
      </c>
      <c r="F890" s="2">
        <f t="shared" si="68"/>
        <v>-0.35255598335067262</v>
      </c>
      <c r="G890" s="2">
        <f t="shared" si="69"/>
        <v>0.12429572139635975</v>
      </c>
    </row>
    <row r="891" spans="1:7" x14ac:dyDescent="0.35">
      <c r="A891" s="2">
        <v>848</v>
      </c>
      <c r="B891" s="2">
        <f t="shared" si="65"/>
        <v>-490.35206382240722</v>
      </c>
      <c r="C891" s="2">
        <f t="shared" si="66"/>
        <v>240445.14649489411</v>
      </c>
      <c r="D891" s="2">
        <v>28914</v>
      </c>
      <c r="E891" s="2">
        <f t="shared" si="67"/>
        <v>2.8914</v>
      </c>
      <c r="F891" s="2">
        <f t="shared" si="68"/>
        <v>-0.48845598335067253</v>
      </c>
      <c r="G891" s="2">
        <f t="shared" si="69"/>
        <v>0.23858924767107248</v>
      </c>
    </row>
    <row r="892" spans="1:7" x14ac:dyDescent="0.35">
      <c r="A892" s="2">
        <v>848</v>
      </c>
      <c r="B892" s="2">
        <f t="shared" si="65"/>
        <v>-490.35206382240722</v>
      </c>
      <c r="C892" s="2">
        <f t="shared" si="66"/>
        <v>240445.14649489411</v>
      </c>
      <c r="D892" s="2">
        <v>28950</v>
      </c>
      <c r="E892" s="2">
        <f t="shared" si="67"/>
        <v>2.895</v>
      </c>
      <c r="F892" s="2">
        <f t="shared" si="68"/>
        <v>-0.48485598335067248</v>
      </c>
      <c r="G892" s="2">
        <f t="shared" si="69"/>
        <v>0.23508532459094758</v>
      </c>
    </row>
    <row r="893" spans="1:7" x14ac:dyDescent="0.35">
      <c r="A893" s="2">
        <v>848</v>
      </c>
      <c r="B893" s="2">
        <f t="shared" si="65"/>
        <v>-490.35206382240722</v>
      </c>
      <c r="C893" s="2">
        <f t="shared" si="66"/>
        <v>240445.14649489411</v>
      </c>
      <c r="D893" s="2">
        <v>27310</v>
      </c>
      <c r="E893" s="2">
        <f t="shared" si="67"/>
        <v>2.7309999999999999</v>
      </c>
      <c r="F893" s="2">
        <f t="shared" si="68"/>
        <v>-0.64885598335067263</v>
      </c>
      <c r="G893" s="2">
        <f t="shared" si="69"/>
        <v>0.42101408712996835</v>
      </c>
    </row>
    <row r="894" spans="1:7" x14ac:dyDescent="0.35">
      <c r="A894" s="2">
        <v>848</v>
      </c>
      <c r="B894" s="2">
        <f t="shared" si="65"/>
        <v>-490.35206382240722</v>
      </c>
      <c r="C894" s="2">
        <f t="shared" si="66"/>
        <v>240445.14649489411</v>
      </c>
      <c r="D894" s="2">
        <v>28148</v>
      </c>
      <c r="E894" s="2">
        <f t="shared" si="67"/>
        <v>2.8148</v>
      </c>
      <c r="F894" s="2">
        <f t="shared" si="68"/>
        <v>-0.56505598335067253</v>
      </c>
      <c r="G894" s="2">
        <f t="shared" si="69"/>
        <v>0.31928826432039553</v>
      </c>
    </row>
    <row r="895" spans="1:7" x14ac:dyDescent="0.35">
      <c r="A895" s="2">
        <v>848</v>
      </c>
      <c r="B895" s="2">
        <f t="shared" si="65"/>
        <v>-490.35206382240722</v>
      </c>
      <c r="C895" s="2">
        <f t="shared" si="66"/>
        <v>240445.14649489411</v>
      </c>
      <c r="D895" s="2">
        <v>30752</v>
      </c>
      <c r="E895" s="2">
        <f t="shared" si="67"/>
        <v>3.0752000000000002</v>
      </c>
      <c r="F895" s="2">
        <f t="shared" si="68"/>
        <v>-0.30465598335067234</v>
      </c>
      <c r="G895" s="2">
        <f t="shared" si="69"/>
        <v>9.2815268191365138E-2</v>
      </c>
    </row>
    <row r="896" spans="1:7" x14ac:dyDescent="0.35">
      <c r="A896" s="2">
        <v>848</v>
      </c>
      <c r="B896" s="2">
        <f t="shared" si="65"/>
        <v>-490.35206382240722</v>
      </c>
      <c r="C896" s="2">
        <f t="shared" si="66"/>
        <v>240445.14649489411</v>
      </c>
      <c r="D896" s="2">
        <v>28089</v>
      </c>
      <c r="E896" s="2">
        <f t="shared" si="67"/>
        <v>2.8089</v>
      </c>
      <c r="F896" s="2">
        <f t="shared" si="68"/>
        <v>-0.57095598335067255</v>
      </c>
      <c r="G896" s="2">
        <f t="shared" si="69"/>
        <v>0.32599073492393349</v>
      </c>
    </row>
    <row r="897" spans="1:7" x14ac:dyDescent="0.35">
      <c r="A897" s="2">
        <v>2592</v>
      </c>
      <c r="B897" s="2">
        <f t="shared" si="65"/>
        <v>1253.6479361775928</v>
      </c>
      <c r="C897" s="2">
        <f t="shared" si="66"/>
        <v>1571633.1478823377</v>
      </c>
      <c r="D897" s="2">
        <v>23663</v>
      </c>
      <c r="E897" s="2">
        <f t="shared" si="67"/>
        <v>2.3662999999999998</v>
      </c>
      <c r="F897" s="2">
        <f t="shared" si="68"/>
        <v>-1.0135559833506727</v>
      </c>
      <c r="G897" s="2">
        <f t="shared" si="69"/>
        <v>1.027295731385949</v>
      </c>
    </row>
    <row r="898" spans="1:7" x14ac:dyDescent="0.35">
      <c r="A898" s="2">
        <v>2592</v>
      </c>
      <c r="B898" s="2">
        <f t="shared" si="65"/>
        <v>1253.6479361775928</v>
      </c>
      <c r="C898" s="2">
        <f t="shared" si="66"/>
        <v>1571633.1478823377</v>
      </c>
      <c r="D898" s="2">
        <v>21215</v>
      </c>
      <c r="E898" s="2">
        <f t="shared" si="67"/>
        <v>2.1215000000000002</v>
      </c>
      <c r="F898" s="2">
        <f t="shared" si="68"/>
        <v>-1.2583559833506723</v>
      </c>
      <c r="G898" s="2">
        <f t="shared" si="69"/>
        <v>1.5834597808344375</v>
      </c>
    </row>
    <row r="899" spans="1:7" x14ac:dyDescent="0.35">
      <c r="A899" s="2">
        <v>2592</v>
      </c>
      <c r="B899" s="2">
        <f t="shared" ref="B899:B962" si="70">A899-$J$1</f>
        <v>1253.6479361775928</v>
      </c>
      <c r="C899" s="2">
        <f t="shared" ref="C899:C962" si="71">B899^2</f>
        <v>1571633.1478823377</v>
      </c>
      <c r="D899" s="2">
        <v>19201</v>
      </c>
      <c r="E899" s="2">
        <f t="shared" ref="E899:E962" si="72">D899/10000</f>
        <v>1.9200999999999999</v>
      </c>
      <c r="F899" s="2">
        <f t="shared" ref="F899:F962" si="73">E899-$J$2</f>
        <v>-1.4597559833506726</v>
      </c>
      <c r="G899" s="2">
        <f t="shared" ref="G899:G962" si="74">F899^2</f>
        <v>2.130887530928089</v>
      </c>
    </row>
    <row r="900" spans="1:7" x14ac:dyDescent="0.35">
      <c r="A900" s="2">
        <v>2592</v>
      </c>
      <c r="B900" s="2">
        <f t="shared" si="70"/>
        <v>1253.6479361775928</v>
      </c>
      <c r="C900" s="2">
        <f t="shared" si="71"/>
        <v>1571633.1478823377</v>
      </c>
      <c r="D900" s="2">
        <v>24209</v>
      </c>
      <c r="E900" s="2">
        <f t="shared" si="72"/>
        <v>2.4209000000000001</v>
      </c>
      <c r="F900" s="2">
        <f t="shared" si="73"/>
        <v>-0.95895598335067245</v>
      </c>
      <c r="G900" s="2">
        <f t="shared" si="74"/>
        <v>0.91959657800405514</v>
      </c>
    </row>
    <row r="901" spans="1:7" x14ac:dyDescent="0.35">
      <c r="A901" s="2">
        <v>2592</v>
      </c>
      <c r="B901" s="2">
        <f t="shared" si="70"/>
        <v>1253.6479361775928</v>
      </c>
      <c r="C901" s="2">
        <f t="shared" si="71"/>
        <v>1571633.1478823377</v>
      </c>
      <c r="D901" s="2">
        <v>21860</v>
      </c>
      <c r="E901" s="2">
        <f t="shared" si="72"/>
        <v>2.1859999999999999</v>
      </c>
      <c r="F901" s="2">
        <f t="shared" si="73"/>
        <v>-1.1938559833506726</v>
      </c>
      <c r="G901" s="2">
        <f t="shared" si="74"/>
        <v>1.4252921089822013</v>
      </c>
    </row>
    <row r="902" spans="1:7" x14ac:dyDescent="0.35">
      <c r="A902" s="2">
        <v>2592</v>
      </c>
      <c r="B902" s="2">
        <f t="shared" si="70"/>
        <v>1253.6479361775928</v>
      </c>
      <c r="C902" s="2">
        <f t="shared" si="71"/>
        <v>1571633.1478823377</v>
      </c>
      <c r="D902" s="2">
        <v>23537</v>
      </c>
      <c r="E902" s="2">
        <f t="shared" si="72"/>
        <v>2.3536999999999999</v>
      </c>
      <c r="F902" s="2">
        <f t="shared" si="73"/>
        <v>-1.0261559833506726</v>
      </c>
      <c r="G902" s="2">
        <f t="shared" si="74"/>
        <v>1.0529961021663858</v>
      </c>
    </row>
    <row r="903" spans="1:7" x14ac:dyDescent="0.35">
      <c r="A903" s="2">
        <v>2592</v>
      </c>
      <c r="B903" s="2">
        <f t="shared" si="70"/>
        <v>1253.6479361775928</v>
      </c>
      <c r="C903" s="2">
        <f t="shared" si="71"/>
        <v>1571633.1478823377</v>
      </c>
      <c r="D903" s="2">
        <v>21530</v>
      </c>
      <c r="E903" s="2">
        <f t="shared" si="72"/>
        <v>2.153</v>
      </c>
      <c r="F903" s="2">
        <f t="shared" si="73"/>
        <v>-1.2268559833506725</v>
      </c>
      <c r="G903" s="2">
        <f t="shared" si="74"/>
        <v>1.5051756038833455</v>
      </c>
    </row>
    <row r="904" spans="1:7" x14ac:dyDescent="0.35">
      <c r="A904" s="2">
        <v>2592</v>
      </c>
      <c r="B904" s="2">
        <f t="shared" si="70"/>
        <v>1253.6479361775928</v>
      </c>
      <c r="C904" s="2">
        <f t="shared" si="71"/>
        <v>1571633.1478823377</v>
      </c>
      <c r="D904" s="2">
        <v>23559</v>
      </c>
      <c r="E904" s="2">
        <f t="shared" si="72"/>
        <v>2.3559000000000001</v>
      </c>
      <c r="F904" s="2">
        <f t="shared" si="73"/>
        <v>-1.0239559833506724</v>
      </c>
      <c r="G904" s="2">
        <f t="shared" si="74"/>
        <v>1.0484858558396424</v>
      </c>
    </row>
    <row r="905" spans="1:7" x14ac:dyDescent="0.35">
      <c r="A905" s="2">
        <v>2592</v>
      </c>
      <c r="B905" s="2">
        <f t="shared" si="70"/>
        <v>1253.6479361775928</v>
      </c>
      <c r="C905" s="2">
        <f t="shared" si="71"/>
        <v>1571633.1478823377</v>
      </c>
      <c r="D905" s="2">
        <v>22910</v>
      </c>
      <c r="E905" s="2">
        <f t="shared" si="72"/>
        <v>2.2909999999999999</v>
      </c>
      <c r="F905" s="2">
        <f t="shared" si="73"/>
        <v>-1.0888559833506726</v>
      </c>
      <c r="G905" s="2">
        <f t="shared" si="74"/>
        <v>1.1856073524785602</v>
      </c>
    </row>
    <row r="906" spans="1:7" x14ac:dyDescent="0.35">
      <c r="A906" s="2">
        <v>2592</v>
      </c>
      <c r="B906" s="2">
        <f t="shared" si="70"/>
        <v>1253.6479361775928</v>
      </c>
      <c r="C906" s="2">
        <f t="shared" si="71"/>
        <v>1571633.1478823377</v>
      </c>
      <c r="D906" s="2">
        <v>26559</v>
      </c>
      <c r="E906" s="2">
        <f t="shared" si="72"/>
        <v>2.6558999999999999</v>
      </c>
      <c r="F906" s="2">
        <f t="shared" si="73"/>
        <v>-0.72395598335067257</v>
      </c>
      <c r="G906" s="2">
        <f t="shared" si="74"/>
        <v>0.52411226582923931</v>
      </c>
    </row>
    <row r="907" spans="1:7" x14ac:dyDescent="0.35">
      <c r="A907" s="2">
        <v>2592</v>
      </c>
      <c r="B907" s="2">
        <f t="shared" si="70"/>
        <v>1253.6479361775928</v>
      </c>
      <c r="C907" s="2">
        <f t="shared" si="71"/>
        <v>1571633.1478823377</v>
      </c>
      <c r="D907" s="2">
        <v>20652</v>
      </c>
      <c r="E907" s="2">
        <f t="shared" si="72"/>
        <v>2.0651999999999999</v>
      </c>
      <c r="F907" s="2">
        <f t="shared" si="73"/>
        <v>-1.3146559833506726</v>
      </c>
      <c r="G907" s="2">
        <f t="shared" si="74"/>
        <v>1.7283203545597239</v>
      </c>
    </row>
    <row r="908" spans="1:7" x14ac:dyDescent="0.35">
      <c r="A908" s="2">
        <v>2592</v>
      </c>
      <c r="B908" s="2">
        <f t="shared" si="70"/>
        <v>1253.6479361775928</v>
      </c>
      <c r="C908" s="2">
        <f t="shared" si="71"/>
        <v>1571633.1478823377</v>
      </c>
      <c r="D908" s="2">
        <v>21731</v>
      </c>
      <c r="E908" s="2">
        <f t="shared" si="72"/>
        <v>2.1730999999999998</v>
      </c>
      <c r="F908" s="2">
        <f t="shared" si="73"/>
        <v>-1.2067559833506727</v>
      </c>
      <c r="G908" s="2">
        <f t="shared" si="74"/>
        <v>1.4562600033526489</v>
      </c>
    </row>
    <row r="909" spans="1:7" x14ac:dyDescent="0.35">
      <c r="A909" s="2">
        <v>2592</v>
      </c>
      <c r="B909" s="2">
        <f t="shared" si="70"/>
        <v>1253.6479361775928</v>
      </c>
      <c r="C909" s="2">
        <f t="shared" si="71"/>
        <v>1571633.1478823377</v>
      </c>
      <c r="D909" s="2">
        <v>6365</v>
      </c>
      <c r="E909" s="2">
        <f t="shared" si="72"/>
        <v>0.63649999999999995</v>
      </c>
      <c r="F909" s="2">
        <f t="shared" si="73"/>
        <v>-2.7433559833506727</v>
      </c>
      <c r="G909" s="2">
        <f t="shared" si="74"/>
        <v>7.5260020513859365</v>
      </c>
    </row>
    <row r="910" spans="1:7" x14ac:dyDescent="0.35">
      <c r="A910" s="2">
        <v>2592</v>
      </c>
      <c r="B910" s="2">
        <f t="shared" si="70"/>
        <v>1253.6479361775928</v>
      </c>
      <c r="C910" s="2">
        <f t="shared" si="71"/>
        <v>1571633.1478823377</v>
      </c>
      <c r="D910" s="2">
        <v>27633</v>
      </c>
      <c r="E910" s="2">
        <f t="shared" si="72"/>
        <v>2.7633000000000001</v>
      </c>
      <c r="F910" s="2">
        <f t="shared" si="73"/>
        <v>-0.61655598335067241</v>
      </c>
      <c r="G910" s="2">
        <f t="shared" si="74"/>
        <v>0.38014128060551461</v>
      </c>
    </row>
    <row r="911" spans="1:7" x14ac:dyDescent="0.35">
      <c r="A911" s="2">
        <v>2592</v>
      </c>
      <c r="B911" s="2">
        <f t="shared" si="70"/>
        <v>1253.6479361775928</v>
      </c>
      <c r="C911" s="2">
        <f t="shared" si="71"/>
        <v>1571633.1478823377</v>
      </c>
      <c r="D911" s="2">
        <v>24976</v>
      </c>
      <c r="E911" s="2">
        <f t="shared" si="72"/>
        <v>2.4975999999999998</v>
      </c>
      <c r="F911" s="2">
        <f t="shared" si="73"/>
        <v>-0.88225598335067268</v>
      </c>
      <c r="G911" s="2">
        <f t="shared" si="74"/>
        <v>0.77837562015806239</v>
      </c>
    </row>
    <row r="912" spans="1:7" x14ac:dyDescent="0.35">
      <c r="A912" s="2">
        <v>2592</v>
      </c>
      <c r="B912" s="2">
        <f t="shared" si="70"/>
        <v>1253.6479361775928</v>
      </c>
      <c r="C912" s="2">
        <f t="shared" si="71"/>
        <v>1571633.1478823377</v>
      </c>
      <c r="D912" s="2">
        <v>24353</v>
      </c>
      <c r="E912" s="2">
        <f t="shared" si="72"/>
        <v>2.4352999999999998</v>
      </c>
      <c r="F912" s="2">
        <f t="shared" si="73"/>
        <v>-0.9445559833506727</v>
      </c>
      <c r="G912" s="2">
        <f t="shared" si="74"/>
        <v>0.89218600568355633</v>
      </c>
    </row>
    <row r="913" spans="1:7" x14ac:dyDescent="0.35">
      <c r="A913" s="2">
        <v>2592</v>
      </c>
      <c r="B913" s="2">
        <f t="shared" si="70"/>
        <v>1253.6479361775928</v>
      </c>
      <c r="C913" s="2">
        <f t="shared" si="71"/>
        <v>1571633.1478823377</v>
      </c>
      <c r="D913" s="2">
        <v>24249</v>
      </c>
      <c r="E913" s="2">
        <f t="shared" si="72"/>
        <v>2.4249000000000001</v>
      </c>
      <c r="F913" s="2">
        <f t="shared" si="73"/>
        <v>-0.95495598335067244</v>
      </c>
      <c r="G913" s="2">
        <f t="shared" si="74"/>
        <v>0.91194093013724975</v>
      </c>
    </row>
    <row r="914" spans="1:7" x14ac:dyDescent="0.35">
      <c r="A914" s="2">
        <v>2592</v>
      </c>
      <c r="B914" s="2">
        <f t="shared" si="70"/>
        <v>1253.6479361775928</v>
      </c>
      <c r="C914" s="2">
        <f t="shared" si="71"/>
        <v>1571633.1478823377</v>
      </c>
      <c r="D914" s="2">
        <v>23538</v>
      </c>
      <c r="E914" s="2">
        <f t="shared" si="72"/>
        <v>2.3538000000000001</v>
      </c>
      <c r="F914" s="2">
        <f t="shared" si="73"/>
        <v>-1.0260559833506724</v>
      </c>
      <c r="G914" s="2">
        <f t="shared" si="74"/>
        <v>1.0527908809697153</v>
      </c>
    </row>
    <row r="915" spans="1:7" x14ac:dyDescent="0.35">
      <c r="A915" s="2">
        <v>2592</v>
      </c>
      <c r="B915" s="2">
        <f t="shared" si="70"/>
        <v>1253.6479361775928</v>
      </c>
      <c r="C915" s="2">
        <f t="shared" si="71"/>
        <v>1571633.1478823377</v>
      </c>
      <c r="D915" s="2">
        <v>23733</v>
      </c>
      <c r="E915" s="2">
        <f t="shared" si="72"/>
        <v>2.3733</v>
      </c>
      <c r="F915" s="2">
        <f t="shared" si="73"/>
        <v>-1.0065559833506725</v>
      </c>
      <c r="G915" s="2">
        <f t="shared" si="74"/>
        <v>1.0131549476190393</v>
      </c>
    </row>
    <row r="916" spans="1:7" x14ac:dyDescent="0.35">
      <c r="A916" s="2">
        <v>2592</v>
      </c>
      <c r="B916" s="2">
        <f t="shared" si="70"/>
        <v>1253.6479361775928</v>
      </c>
      <c r="C916" s="2">
        <f t="shared" si="71"/>
        <v>1571633.1478823377</v>
      </c>
      <c r="D916" s="2">
        <v>23149</v>
      </c>
      <c r="E916" s="2">
        <f t="shared" si="72"/>
        <v>2.3149000000000002</v>
      </c>
      <c r="F916" s="2">
        <f t="shared" si="73"/>
        <v>-1.0649559833506723</v>
      </c>
      <c r="G916" s="2">
        <f t="shared" si="74"/>
        <v>1.1341312464743976</v>
      </c>
    </row>
    <row r="917" spans="1:7" x14ac:dyDescent="0.35">
      <c r="A917" s="2">
        <v>2592</v>
      </c>
      <c r="B917" s="2">
        <f t="shared" si="70"/>
        <v>1253.6479361775928</v>
      </c>
      <c r="C917" s="2">
        <f t="shared" si="71"/>
        <v>1571633.1478823377</v>
      </c>
      <c r="D917" s="2">
        <v>26735</v>
      </c>
      <c r="E917" s="2">
        <f t="shared" si="72"/>
        <v>2.6735000000000002</v>
      </c>
      <c r="F917" s="2">
        <f t="shared" si="73"/>
        <v>-0.70635598335067229</v>
      </c>
      <c r="G917" s="2">
        <f t="shared" si="74"/>
        <v>0.49893877521529523</v>
      </c>
    </row>
    <row r="918" spans="1:7" x14ac:dyDescent="0.35">
      <c r="A918" s="2">
        <v>2592</v>
      </c>
      <c r="B918" s="2">
        <f t="shared" si="70"/>
        <v>1253.6479361775928</v>
      </c>
      <c r="C918" s="2">
        <f t="shared" si="71"/>
        <v>1571633.1478823377</v>
      </c>
      <c r="D918" s="2">
        <v>22838</v>
      </c>
      <c r="E918" s="2">
        <f t="shared" si="72"/>
        <v>2.2837999999999998</v>
      </c>
      <c r="F918" s="2">
        <f t="shared" si="73"/>
        <v>-1.0960559833506727</v>
      </c>
      <c r="G918" s="2">
        <f t="shared" si="74"/>
        <v>1.20133871863881</v>
      </c>
    </row>
    <row r="919" spans="1:7" x14ac:dyDescent="0.35">
      <c r="A919" s="2">
        <v>2592</v>
      </c>
      <c r="B919" s="2">
        <f t="shared" si="70"/>
        <v>1253.6479361775928</v>
      </c>
      <c r="C919" s="2">
        <f t="shared" si="71"/>
        <v>1571633.1478823377</v>
      </c>
      <c r="D919" s="2">
        <v>28705</v>
      </c>
      <c r="E919" s="2">
        <f t="shared" si="72"/>
        <v>2.8704999999999998</v>
      </c>
      <c r="F919" s="2">
        <f t="shared" si="73"/>
        <v>-0.50935598335067267</v>
      </c>
      <c r="G919" s="2">
        <f t="shared" si="74"/>
        <v>0.25944351777513075</v>
      </c>
    </row>
    <row r="920" spans="1:7" x14ac:dyDescent="0.35">
      <c r="A920" s="2">
        <v>2592</v>
      </c>
      <c r="B920" s="2">
        <f t="shared" si="70"/>
        <v>1253.6479361775928</v>
      </c>
      <c r="C920" s="2">
        <f t="shared" si="71"/>
        <v>1571633.1478823377</v>
      </c>
      <c r="D920" s="2">
        <v>30173</v>
      </c>
      <c r="E920" s="2">
        <f t="shared" si="72"/>
        <v>3.0173000000000001</v>
      </c>
      <c r="F920" s="2">
        <f t="shared" si="73"/>
        <v>-0.36255598335067241</v>
      </c>
      <c r="G920" s="2">
        <f t="shared" si="74"/>
        <v>0.13144684106337304</v>
      </c>
    </row>
    <row r="921" spans="1:7" x14ac:dyDescent="0.35">
      <c r="A921" s="2">
        <v>2592</v>
      </c>
      <c r="B921" s="2">
        <f t="shared" si="70"/>
        <v>1253.6479361775928</v>
      </c>
      <c r="C921" s="2">
        <f t="shared" si="71"/>
        <v>1571633.1478823377</v>
      </c>
      <c r="D921" s="2">
        <v>28519</v>
      </c>
      <c r="E921" s="2">
        <f t="shared" si="72"/>
        <v>2.8519000000000001</v>
      </c>
      <c r="F921" s="2">
        <f t="shared" si="73"/>
        <v>-0.5279559833506724</v>
      </c>
      <c r="G921" s="2">
        <f t="shared" si="74"/>
        <v>0.27873752035577548</v>
      </c>
    </row>
    <row r="922" spans="1:7" x14ac:dyDescent="0.35">
      <c r="A922" s="2">
        <v>2592</v>
      </c>
      <c r="B922" s="2">
        <f t="shared" si="70"/>
        <v>1253.6479361775928</v>
      </c>
      <c r="C922" s="2">
        <f t="shared" si="71"/>
        <v>1571633.1478823377</v>
      </c>
      <c r="D922" s="2">
        <v>24412</v>
      </c>
      <c r="E922" s="2">
        <f t="shared" si="72"/>
        <v>2.4411999999999998</v>
      </c>
      <c r="F922" s="2">
        <f t="shared" si="73"/>
        <v>-0.93865598335067268</v>
      </c>
      <c r="G922" s="2">
        <f t="shared" si="74"/>
        <v>0.88107505508001827</v>
      </c>
    </row>
    <row r="923" spans="1:7" x14ac:dyDescent="0.35">
      <c r="A923" s="2">
        <v>2592</v>
      </c>
      <c r="B923" s="2">
        <f t="shared" si="70"/>
        <v>1253.6479361775928</v>
      </c>
      <c r="C923" s="2">
        <f t="shared" si="71"/>
        <v>1571633.1478823377</v>
      </c>
      <c r="D923" s="2">
        <v>31967</v>
      </c>
      <c r="E923" s="2">
        <f t="shared" si="72"/>
        <v>3.1966999999999999</v>
      </c>
      <c r="F923" s="2">
        <f t="shared" si="73"/>
        <v>-0.18315598335067262</v>
      </c>
      <c r="G923" s="2">
        <f t="shared" si="74"/>
        <v>3.3546114237151869E-2</v>
      </c>
    </row>
    <row r="924" spans="1:7" x14ac:dyDescent="0.35">
      <c r="A924" s="2">
        <v>2592</v>
      </c>
      <c r="B924" s="2">
        <f t="shared" si="70"/>
        <v>1253.6479361775928</v>
      </c>
      <c r="C924" s="2">
        <f t="shared" si="71"/>
        <v>1571633.1478823377</v>
      </c>
      <c r="D924" s="2">
        <v>54802</v>
      </c>
      <c r="E924" s="2">
        <f t="shared" si="72"/>
        <v>5.4802</v>
      </c>
      <c r="F924" s="2">
        <f t="shared" si="73"/>
        <v>2.1003440166493275</v>
      </c>
      <c r="G924" s="2">
        <f t="shared" si="74"/>
        <v>4.4114449882746305</v>
      </c>
    </row>
    <row r="925" spans="1:7" x14ac:dyDescent="0.35">
      <c r="A925" s="2">
        <v>2592</v>
      </c>
      <c r="B925" s="2">
        <f t="shared" si="70"/>
        <v>1253.6479361775928</v>
      </c>
      <c r="C925" s="2">
        <f t="shared" si="71"/>
        <v>1571633.1478823377</v>
      </c>
      <c r="D925" s="2">
        <v>47345</v>
      </c>
      <c r="E925" s="2">
        <f t="shared" si="72"/>
        <v>4.7344999999999997</v>
      </c>
      <c r="F925" s="2">
        <f t="shared" si="73"/>
        <v>1.3546440166493272</v>
      </c>
      <c r="G925" s="2">
        <f t="shared" si="74"/>
        <v>1.8350604118438227</v>
      </c>
    </row>
    <row r="926" spans="1:7" x14ac:dyDescent="0.35">
      <c r="A926" s="2">
        <v>2592</v>
      </c>
      <c r="B926" s="2">
        <f t="shared" si="70"/>
        <v>1253.6479361775928</v>
      </c>
      <c r="C926" s="2">
        <f t="shared" si="71"/>
        <v>1571633.1478823377</v>
      </c>
      <c r="D926" s="2">
        <v>35450</v>
      </c>
      <c r="E926" s="2">
        <f t="shared" si="72"/>
        <v>3.5449999999999999</v>
      </c>
      <c r="F926" s="2">
        <f t="shared" si="73"/>
        <v>0.16514401664932743</v>
      </c>
      <c r="G926" s="2">
        <f t="shared" si="74"/>
        <v>2.7272546235073334E-2</v>
      </c>
    </row>
    <row r="927" spans="1:7" x14ac:dyDescent="0.35">
      <c r="A927" s="2">
        <v>867</v>
      </c>
      <c r="B927" s="2">
        <f t="shared" si="70"/>
        <v>-471.35206382240722</v>
      </c>
      <c r="C927" s="2">
        <f t="shared" si="71"/>
        <v>222172.76806964265</v>
      </c>
      <c r="D927" s="2">
        <v>54964</v>
      </c>
      <c r="E927" s="2">
        <f t="shared" si="72"/>
        <v>5.4964000000000004</v>
      </c>
      <c r="F927" s="2">
        <f t="shared" si="73"/>
        <v>2.1165440166493279</v>
      </c>
      <c r="G927" s="2">
        <f t="shared" si="74"/>
        <v>4.4797585744140704</v>
      </c>
    </row>
    <row r="928" spans="1:7" x14ac:dyDescent="0.35">
      <c r="A928" s="2">
        <v>867</v>
      </c>
      <c r="B928" s="2">
        <f t="shared" si="70"/>
        <v>-471.35206382240722</v>
      </c>
      <c r="C928" s="2">
        <f t="shared" si="71"/>
        <v>222172.76806964265</v>
      </c>
      <c r="D928" s="2">
        <v>51299</v>
      </c>
      <c r="E928" s="2">
        <f t="shared" si="72"/>
        <v>5.1299000000000001</v>
      </c>
      <c r="F928" s="2">
        <f t="shared" si="73"/>
        <v>1.7500440166493276</v>
      </c>
      <c r="G928" s="2">
        <f t="shared" si="74"/>
        <v>3.0626540602101122</v>
      </c>
    </row>
    <row r="929" spans="1:7" x14ac:dyDescent="0.35">
      <c r="A929" s="2">
        <v>867</v>
      </c>
      <c r="B929" s="2">
        <f t="shared" si="70"/>
        <v>-471.35206382240722</v>
      </c>
      <c r="C929" s="2">
        <f t="shared" si="71"/>
        <v>222172.76806964265</v>
      </c>
      <c r="D929" s="2">
        <v>49782</v>
      </c>
      <c r="E929" s="2">
        <f t="shared" si="72"/>
        <v>4.9782000000000002</v>
      </c>
      <c r="F929" s="2">
        <f t="shared" si="73"/>
        <v>1.5983440166493277</v>
      </c>
      <c r="G929" s="2">
        <f t="shared" si="74"/>
        <v>2.5547035955587063</v>
      </c>
    </row>
    <row r="930" spans="1:7" x14ac:dyDescent="0.35">
      <c r="A930" s="2">
        <v>867</v>
      </c>
      <c r="B930" s="2">
        <f t="shared" si="70"/>
        <v>-471.35206382240722</v>
      </c>
      <c r="C930" s="2">
        <f t="shared" si="71"/>
        <v>222172.76806964265</v>
      </c>
      <c r="D930" s="2">
        <v>60368</v>
      </c>
      <c r="E930" s="2">
        <f t="shared" si="72"/>
        <v>6.0368000000000004</v>
      </c>
      <c r="F930" s="2">
        <f t="shared" si="73"/>
        <v>2.6569440166493279</v>
      </c>
      <c r="G930" s="2">
        <f t="shared" si="74"/>
        <v>7.0593515076086639</v>
      </c>
    </row>
    <row r="931" spans="1:7" x14ac:dyDescent="0.35">
      <c r="A931" s="2">
        <v>867</v>
      </c>
      <c r="B931" s="2">
        <f t="shared" si="70"/>
        <v>-471.35206382240722</v>
      </c>
      <c r="C931" s="2">
        <f t="shared" si="71"/>
        <v>222172.76806964265</v>
      </c>
      <c r="D931" s="2">
        <v>59461</v>
      </c>
      <c r="E931" s="2">
        <f t="shared" si="72"/>
        <v>5.9461000000000004</v>
      </c>
      <c r="F931" s="2">
        <f t="shared" si="73"/>
        <v>2.5662440166493279</v>
      </c>
      <c r="G931" s="2">
        <f t="shared" si="74"/>
        <v>6.5856083529884755</v>
      </c>
    </row>
    <row r="932" spans="1:7" x14ac:dyDescent="0.35">
      <c r="A932" s="2">
        <v>867</v>
      </c>
      <c r="B932" s="2">
        <f t="shared" si="70"/>
        <v>-471.35206382240722</v>
      </c>
      <c r="C932" s="2">
        <f t="shared" si="71"/>
        <v>222172.76806964265</v>
      </c>
      <c r="D932" s="2">
        <v>53273</v>
      </c>
      <c r="E932" s="2">
        <f t="shared" si="72"/>
        <v>5.3273000000000001</v>
      </c>
      <c r="F932" s="2">
        <f t="shared" si="73"/>
        <v>1.9474440166493276</v>
      </c>
      <c r="G932" s="2">
        <f t="shared" si="74"/>
        <v>3.7925381979832666</v>
      </c>
    </row>
    <row r="933" spans="1:7" x14ac:dyDescent="0.35">
      <c r="A933" s="2">
        <v>867</v>
      </c>
      <c r="B933" s="2">
        <f t="shared" si="70"/>
        <v>-471.35206382240722</v>
      </c>
      <c r="C933" s="2">
        <f t="shared" si="71"/>
        <v>222172.76806964265</v>
      </c>
      <c r="D933" s="2">
        <v>52448</v>
      </c>
      <c r="E933" s="2">
        <f t="shared" si="72"/>
        <v>5.2447999999999997</v>
      </c>
      <c r="F933" s="2">
        <f t="shared" si="73"/>
        <v>1.8649440166493272</v>
      </c>
      <c r="G933" s="2">
        <f t="shared" si="74"/>
        <v>3.4780161852361258</v>
      </c>
    </row>
    <row r="934" spans="1:7" x14ac:dyDescent="0.35">
      <c r="A934" s="2">
        <v>867</v>
      </c>
      <c r="B934" s="2">
        <f t="shared" si="70"/>
        <v>-471.35206382240722</v>
      </c>
      <c r="C934" s="2">
        <f t="shared" si="71"/>
        <v>222172.76806964265</v>
      </c>
      <c r="D934" s="2">
        <v>49628</v>
      </c>
      <c r="E934" s="2">
        <f t="shared" si="72"/>
        <v>4.9627999999999997</v>
      </c>
      <c r="F934" s="2">
        <f t="shared" si="73"/>
        <v>1.5829440166493272</v>
      </c>
      <c r="G934" s="2">
        <f t="shared" si="74"/>
        <v>2.5057117598459056</v>
      </c>
    </row>
    <row r="935" spans="1:7" x14ac:dyDescent="0.35">
      <c r="A935" s="2">
        <v>867</v>
      </c>
      <c r="B935" s="2">
        <f t="shared" si="70"/>
        <v>-471.35206382240722</v>
      </c>
      <c r="C935" s="2">
        <f t="shared" si="71"/>
        <v>222172.76806964265</v>
      </c>
      <c r="D935" s="2">
        <v>45700</v>
      </c>
      <c r="E935" s="2">
        <f t="shared" si="72"/>
        <v>4.57</v>
      </c>
      <c r="F935" s="2">
        <f t="shared" si="73"/>
        <v>1.1901440166493278</v>
      </c>
      <c r="G935" s="2">
        <f t="shared" si="74"/>
        <v>1.4164427803661954</v>
      </c>
    </row>
    <row r="936" spans="1:7" x14ac:dyDescent="0.35">
      <c r="A936" s="2">
        <v>867</v>
      </c>
      <c r="B936" s="2">
        <f t="shared" si="70"/>
        <v>-471.35206382240722</v>
      </c>
      <c r="C936" s="2">
        <f t="shared" si="71"/>
        <v>222172.76806964265</v>
      </c>
      <c r="D936" s="2">
        <v>48627</v>
      </c>
      <c r="E936" s="2">
        <f t="shared" si="72"/>
        <v>4.8627000000000002</v>
      </c>
      <c r="F936" s="2">
        <f t="shared" si="73"/>
        <v>1.4828440166493277</v>
      </c>
      <c r="G936" s="2">
        <f t="shared" si="74"/>
        <v>2.1988263777127117</v>
      </c>
    </row>
    <row r="937" spans="1:7" x14ac:dyDescent="0.35">
      <c r="A937" s="2">
        <v>867</v>
      </c>
      <c r="B937" s="2">
        <f t="shared" si="70"/>
        <v>-471.35206382240722</v>
      </c>
      <c r="C937" s="2">
        <f t="shared" si="71"/>
        <v>222172.76806964265</v>
      </c>
      <c r="D937" s="2">
        <v>52455</v>
      </c>
      <c r="E937" s="2">
        <f t="shared" si="72"/>
        <v>5.2454999999999998</v>
      </c>
      <c r="F937" s="2">
        <f t="shared" si="73"/>
        <v>1.8656440166493273</v>
      </c>
      <c r="G937" s="2">
        <f t="shared" si="74"/>
        <v>3.4806275968594353</v>
      </c>
    </row>
    <row r="938" spans="1:7" x14ac:dyDescent="0.35">
      <c r="A938" s="2">
        <v>867</v>
      </c>
      <c r="B938" s="2">
        <f t="shared" si="70"/>
        <v>-471.35206382240722</v>
      </c>
      <c r="C938" s="2">
        <f t="shared" si="71"/>
        <v>222172.76806964265</v>
      </c>
      <c r="D938" s="2">
        <v>58919</v>
      </c>
      <c r="E938" s="2">
        <f t="shared" si="72"/>
        <v>5.8918999999999997</v>
      </c>
      <c r="F938" s="2">
        <f t="shared" si="73"/>
        <v>2.5120440166493272</v>
      </c>
      <c r="G938" s="2">
        <f t="shared" si="74"/>
        <v>6.3103651415836852</v>
      </c>
    </row>
    <row r="939" spans="1:7" x14ac:dyDescent="0.35">
      <c r="A939" s="2">
        <v>867</v>
      </c>
      <c r="B939" s="2">
        <f t="shared" si="70"/>
        <v>-471.35206382240722</v>
      </c>
      <c r="C939" s="2">
        <f t="shared" si="71"/>
        <v>222172.76806964265</v>
      </c>
      <c r="D939" s="2">
        <v>58281</v>
      </c>
      <c r="E939" s="2">
        <f t="shared" si="72"/>
        <v>5.8281000000000001</v>
      </c>
      <c r="F939" s="2">
        <f t="shared" si="73"/>
        <v>2.4482440166493276</v>
      </c>
      <c r="G939" s="2">
        <f t="shared" si="74"/>
        <v>5.9938987650592326</v>
      </c>
    </row>
    <row r="940" spans="1:7" x14ac:dyDescent="0.35">
      <c r="A940" s="2">
        <v>867</v>
      </c>
      <c r="B940" s="2">
        <f t="shared" si="70"/>
        <v>-471.35206382240722</v>
      </c>
      <c r="C940" s="2">
        <f t="shared" si="71"/>
        <v>222172.76806964265</v>
      </c>
      <c r="D940" s="2">
        <v>60915</v>
      </c>
      <c r="E940" s="2">
        <f t="shared" si="72"/>
        <v>6.0914999999999999</v>
      </c>
      <c r="F940" s="2">
        <f t="shared" si="73"/>
        <v>2.7116440166493274</v>
      </c>
      <c r="G940" s="2">
        <f t="shared" si="74"/>
        <v>7.3530132730300979</v>
      </c>
    </row>
    <row r="941" spans="1:7" x14ac:dyDescent="0.35">
      <c r="A941" s="2">
        <v>867</v>
      </c>
      <c r="B941" s="2">
        <f t="shared" si="70"/>
        <v>-471.35206382240722</v>
      </c>
      <c r="C941" s="2">
        <f t="shared" si="71"/>
        <v>222172.76806964265</v>
      </c>
      <c r="D941" s="2">
        <v>58358</v>
      </c>
      <c r="E941" s="2">
        <f t="shared" si="72"/>
        <v>5.8357999999999999</v>
      </c>
      <c r="F941" s="2">
        <f t="shared" si="73"/>
        <v>2.4559440166493274</v>
      </c>
      <c r="G941" s="2">
        <f t="shared" si="74"/>
        <v>6.0316610129156318</v>
      </c>
    </row>
    <row r="942" spans="1:7" x14ac:dyDescent="0.35">
      <c r="A942" s="2">
        <v>867</v>
      </c>
      <c r="B942" s="2">
        <f t="shared" si="70"/>
        <v>-471.35206382240722</v>
      </c>
      <c r="C942" s="2">
        <f t="shared" si="71"/>
        <v>222172.76806964265</v>
      </c>
      <c r="D942" s="2">
        <v>53603</v>
      </c>
      <c r="E942" s="2">
        <f t="shared" si="72"/>
        <v>5.3602999999999996</v>
      </c>
      <c r="F942" s="2">
        <f t="shared" si="73"/>
        <v>1.9804440166493271</v>
      </c>
      <c r="G942" s="2">
        <f t="shared" si="74"/>
        <v>3.9221585030821204</v>
      </c>
    </row>
    <row r="943" spans="1:7" x14ac:dyDescent="0.35">
      <c r="A943" s="2">
        <v>867</v>
      </c>
      <c r="B943" s="2">
        <f t="shared" si="70"/>
        <v>-471.35206382240722</v>
      </c>
      <c r="C943" s="2">
        <f t="shared" si="71"/>
        <v>222172.76806964265</v>
      </c>
      <c r="D943" s="2">
        <v>56910</v>
      </c>
      <c r="E943" s="2">
        <f t="shared" si="72"/>
        <v>5.6909999999999998</v>
      </c>
      <c r="F943" s="2">
        <f t="shared" si="73"/>
        <v>2.3111440166493273</v>
      </c>
      <c r="G943" s="2">
        <f t="shared" si="74"/>
        <v>5.3413866656939861</v>
      </c>
    </row>
    <row r="944" spans="1:7" x14ac:dyDescent="0.35">
      <c r="A944" s="2">
        <v>867</v>
      </c>
      <c r="B944" s="2">
        <f t="shared" si="70"/>
        <v>-471.35206382240722</v>
      </c>
      <c r="C944" s="2">
        <f t="shared" si="71"/>
        <v>222172.76806964265</v>
      </c>
      <c r="D944" s="2">
        <v>57098</v>
      </c>
      <c r="E944" s="2">
        <f t="shared" si="72"/>
        <v>5.7098000000000004</v>
      </c>
      <c r="F944" s="2">
        <f t="shared" si="73"/>
        <v>2.3299440166493279</v>
      </c>
      <c r="G944" s="2">
        <f t="shared" si="74"/>
        <v>5.4286391207200033</v>
      </c>
    </row>
    <row r="945" spans="1:7" x14ac:dyDescent="0.35">
      <c r="A945" s="2">
        <v>867</v>
      </c>
      <c r="B945" s="2">
        <f t="shared" si="70"/>
        <v>-471.35206382240722</v>
      </c>
      <c r="C945" s="2">
        <f t="shared" si="71"/>
        <v>222172.76806964265</v>
      </c>
      <c r="D945" s="2">
        <v>57314</v>
      </c>
      <c r="E945" s="2">
        <f t="shared" si="72"/>
        <v>5.7313999999999998</v>
      </c>
      <c r="F945" s="2">
        <f t="shared" si="73"/>
        <v>2.3515440166493273</v>
      </c>
      <c r="G945" s="2">
        <f t="shared" si="74"/>
        <v>5.529759262239252</v>
      </c>
    </row>
    <row r="946" spans="1:7" x14ac:dyDescent="0.35">
      <c r="A946" s="2">
        <v>867</v>
      </c>
      <c r="B946" s="2">
        <f t="shared" si="70"/>
        <v>-471.35206382240722</v>
      </c>
      <c r="C946" s="2">
        <f t="shared" si="71"/>
        <v>222172.76806964265</v>
      </c>
      <c r="D946" s="2">
        <v>54756</v>
      </c>
      <c r="E946" s="2">
        <f t="shared" si="72"/>
        <v>5.4756</v>
      </c>
      <c r="F946" s="2">
        <f t="shared" si="73"/>
        <v>2.0957440166493275</v>
      </c>
      <c r="G946" s="2">
        <f t="shared" si="74"/>
        <v>4.3921429833214569</v>
      </c>
    </row>
    <row r="947" spans="1:7" x14ac:dyDescent="0.35">
      <c r="A947" s="2">
        <v>867</v>
      </c>
      <c r="B947" s="2">
        <f t="shared" si="70"/>
        <v>-471.35206382240722</v>
      </c>
      <c r="C947" s="2">
        <f t="shared" si="71"/>
        <v>222172.76806964265</v>
      </c>
      <c r="D947" s="2">
        <v>46354</v>
      </c>
      <c r="E947" s="2">
        <f t="shared" si="72"/>
        <v>4.6353999999999997</v>
      </c>
      <c r="F947" s="2">
        <f t="shared" si="73"/>
        <v>1.2555440166493272</v>
      </c>
      <c r="G947" s="2">
        <f t="shared" si="74"/>
        <v>1.5763907777439261</v>
      </c>
    </row>
    <row r="948" spans="1:7" x14ac:dyDescent="0.35">
      <c r="A948" s="2">
        <v>867</v>
      </c>
      <c r="B948" s="2">
        <f t="shared" si="70"/>
        <v>-471.35206382240722</v>
      </c>
      <c r="C948" s="2">
        <f t="shared" si="71"/>
        <v>222172.76806964265</v>
      </c>
      <c r="D948" s="2">
        <v>57599</v>
      </c>
      <c r="E948" s="2">
        <f t="shared" si="72"/>
        <v>5.7599</v>
      </c>
      <c r="F948" s="2">
        <f t="shared" si="73"/>
        <v>2.3800440166493275</v>
      </c>
      <c r="G948" s="2">
        <f t="shared" si="74"/>
        <v>5.6646095211882646</v>
      </c>
    </row>
    <row r="949" spans="1:7" x14ac:dyDescent="0.35">
      <c r="A949" s="2">
        <v>867</v>
      </c>
      <c r="B949" s="2">
        <f t="shared" si="70"/>
        <v>-471.35206382240722</v>
      </c>
      <c r="C949" s="2">
        <f t="shared" si="71"/>
        <v>222172.76806964265</v>
      </c>
      <c r="D949" s="2">
        <v>57406</v>
      </c>
      <c r="E949" s="2">
        <f t="shared" si="72"/>
        <v>5.7405999999999997</v>
      </c>
      <c r="F949" s="2">
        <f t="shared" si="73"/>
        <v>2.3607440166493272</v>
      </c>
      <c r="G949" s="2">
        <f t="shared" si="74"/>
        <v>5.5731123121455992</v>
      </c>
    </row>
    <row r="950" spans="1:7" x14ac:dyDescent="0.35">
      <c r="A950" s="2">
        <v>867</v>
      </c>
      <c r="B950" s="2">
        <f t="shared" si="70"/>
        <v>-471.35206382240722</v>
      </c>
      <c r="C950" s="2">
        <f t="shared" si="71"/>
        <v>222172.76806964265</v>
      </c>
      <c r="D950" s="2">
        <v>50432</v>
      </c>
      <c r="E950" s="2">
        <f t="shared" si="72"/>
        <v>5.0431999999999997</v>
      </c>
      <c r="F950" s="2">
        <f t="shared" si="73"/>
        <v>1.6633440166493272</v>
      </c>
      <c r="G950" s="2">
        <f t="shared" si="74"/>
        <v>2.7667133177231173</v>
      </c>
    </row>
    <row r="951" spans="1:7" x14ac:dyDescent="0.35">
      <c r="A951" s="2">
        <v>867</v>
      </c>
      <c r="B951" s="2">
        <f t="shared" si="70"/>
        <v>-471.35206382240722</v>
      </c>
      <c r="C951" s="2">
        <f t="shared" si="71"/>
        <v>222172.76806964265</v>
      </c>
      <c r="D951" s="2">
        <v>56263</v>
      </c>
      <c r="E951" s="2">
        <f t="shared" si="72"/>
        <v>5.6262999999999996</v>
      </c>
      <c r="F951" s="2">
        <f t="shared" si="73"/>
        <v>2.2464440166493271</v>
      </c>
      <c r="G951" s="2">
        <f t="shared" si="74"/>
        <v>5.0465107199395627</v>
      </c>
    </row>
    <row r="952" spans="1:7" x14ac:dyDescent="0.35">
      <c r="A952" s="2">
        <v>867</v>
      </c>
      <c r="B952" s="2">
        <f t="shared" si="70"/>
        <v>-471.35206382240722</v>
      </c>
      <c r="C952" s="2">
        <f t="shared" si="71"/>
        <v>222172.76806964265</v>
      </c>
      <c r="D952" s="2">
        <v>55947</v>
      </c>
      <c r="E952" s="2">
        <f t="shared" si="72"/>
        <v>5.5946999999999996</v>
      </c>
      <c r="F952" s="2">
        <f t="shared" si="73"/>
        <v>2.2148440166493271</v>
      </c>
      <c r="G952" s="2">
        <f t="shared" si="74"/>
        <v>4.9055340180873248</v>
      </c>
    </row>
    <row r="953" spans="1:7" x14ac:dyDescent="0.35">
      <c r="A953" s="2">
        <v>867</v>
      </c>
      <c r="B953" s="2">
        <f t="shared" si="70"/>
        <v>-471.35206382240722</v>
      </c>
      <c r="C953" s="2">
        <f t="shared" si="71"/>
        <v>222172.76806964265</v>
      </c>
      <c r="D953" s="2">
        <v>39400</v>
      </c>
      <c r="E953" s="2">
        <f t="shared" si="72"/>
        <v>3.94</v>
      </c>
      <c r="F953" s="2">
        <f t="shared" si="73"/>
        <v>0.56014401664932745</v>
      </c>
      <c r="G953" s="2">
        <f t="shared" si="74"/>
        <v>0.31376131938804203</v>
      </c>
    </row>
    <row r="954" spans="1:7" x14ac:dyDescent="0.35">
      <c r="A954" s="2">
        <v>867</v>
      </c>
      <c r="B954" s="2">
        <f t="shared" si="70"/>
        <v>-471.35206382240722</v>
      </c>
      <c r="C954" s="2">
        <f t="shared" si="71"/>
        <v>222172.76806964265</v>
      </c>
      <c r="D954" s="2">
        <v>49784</v>
      </c>
      <c r="E954" s="2">
        <f t="shared" si="72"/>
        <v>4.9783999999999997</v>
      </c>
      <c r="F954" s="2">
        <f t="shared" si="73"/>
        <v>1.5985440166493272</v>
      </c>
      <c r="G954" s="2">
        <f t="shared" si="74"/>
        <v>2.5553429731653647</v>
      </c>
    </row>
    <row r="955" spans="1:7" x14ac:dyDescent="0.35">
      <c r="A955" s="2">
        <v>867</v>
      </c>
      <c r="B955" s="2">
        <f t="shared" si="70"/>
        <v>-471.35206382240722</v>
      </c>
      <c r="C955" s="2">
        <f t="shared" si="71"/>
        <v>222172.76806964265</v>
      </c>
      <c r="D955" s="2">
        <v>50014</v>
      </c>
      <c r="E955" s="2">
        <f t="shared" si="72"/>
        <v>5.0014000000000003</v>
      </c>
      <c r="F955" s="2">
        <f t="shared" si="73"/>
        <v>1.6215440166493278</v>
      </c>
      <c r="G955" s="2">
        <f t="shared" si="74"/>
        <v>2.6294049979312355</v>
      </c>
    </row>
    <row r="956" spans="1:7" x14ac:dyDescent="0.35">
      <c r="A956" s="2">
        <v>867</v>
      </c>
      <c r="B956" s="2">
        <f t="shared" si="70"/>
        <v>-471.35206382240722</v>
      </c>
      <c r="C956" s="2">
        <f t="shared" si="71"/>
        <v>222172.76806964265</v>
      </c>
      <c r="D956" s="2">
        <v>47499</v>
      </c>
      <c r="E956" s="2">
        <f t="shared" si="72"/>
        <v>4.7499000000000002</v>
      </c>
      <c r="F956" s="2">
        <f t="shared" si="73"/>
        <v>1.3700440166493277</v>
      </c>
      <c r="G956" s="2">
        <f t="shared" si="74"/>
        <v>1.8770206075566234</v>
      </c>
    </row>
    <row r="957" spans="1:7" x14ac:dyDescent="0.35">
      <c r="A957" s="2">
        <v>1831</v>
      </c>
      <c r="B957" s="2">
        <f t="shared" si="70"/>
        <v>492.64793617759278</v>
      </c>
      <c r="C957" s="2">
        <f t="shared" si="71"/>
        <v>242701.98902004154</v>
      </c>
      <c r="D957" s="2">
        <v>17241</v>
      </c>
      <c r="E957" s="2">
        <f t="shared" si="72"/>
        <v>1.7241</v>
      </c>
      <c r="F957" s="2">
        <f t="shared" si="73"/>
        <v>-1.6557559833506725</v>
      </c>
      <c r="G957" s="2">
        <f t="shared" si="74"/>
        <v>2.7415278764015527</v>
      </c>
    </row>
    <row r="958" spans="1:7" x14ac:dyDescent="0.35">
      <c r="A958" s="2">
        <v>1831</v>
      </c>
      <c r="B958" s="2">
        <f t="shared" si="70"/>
        <v>492.64793617759278</v>
      </c>
      <c r="C958" s="2">
        <f t="shared" si="71"/>
        <v>242701.98902004154</v>
      </c>
      <c r="D958" s="2">
        <v>25724</v>
      </c>
      <c r="E958" s="2">
        <f t="shared" si="72"/>
        <v>2.5724</v>
      </c>
      <c r="F958" s="2">
        <f t="shared" si="73"/>
        <v>-0.80745598335067248</v>
      </c>
      <c r="G958" s="2">
        <f t="shared" si="74"/>
        <v>0.65198516504880144</v>
      </c>
    </row>
    <row r="959" spans="1:7" x14ac:dyDescent="0.35">
      <c r="A959" s="2">
        <v>1831</v>
      </c>
      <c r="B959" s="2">
        <f t="shared" si="70"/>
        <v>492.64793617759278</v>
      </c>
      <c r="C959" s="2">
        <f t="shared" si="71"/>
        <v>242701.98902004154</v>
      </c>
      <c r="D959" s="2">
        <v>20900</v>
      </c>
      <c r="E959" s="2">
        <f t="shared" si="72"/>
        <v>2.09</v>
      </c>
      <c r="F959" s="2">
        <f t="shared" si="73"/>
        <v>-1.2898559833506726</v>
      </c>
      <c r="G959" s="2">
        <f t="shared" si="74"/>
        <v>1.6637284577855307</v>
      </c>
    </row>
    <row r="960" spans="1:7" x14ac:dyDescent="0.35">
      <c r="A960" s="2">
        <v>1831</v>
      </c>
      <c r="B960" s="2">
        <f t="shared" si="70"/>
        <v>492.64793617759278</v>
      </c>
      <c r="C960" s="2">
        <f t="shared" si="71"/>
        <v>242701.98902004154</v>
      </c>
      <c r="D960" s="2">
        <v>20000</v>
      </c>
      <c r="E960" s="2">
        <f t="shared" si="72"/>
        <v>2</v>
      </c>
      <c r="F960" s="2">
        <f t="shared" si="73"/>
        <v>-1.3798559833506725</v>
      </c>
      <c r="G960" s="2">
        <f t="shared" si="74"/>
        <v>1.9040025347886513</v>
      </c>
    </row>
    <row r="961" spans="1:7" x14ac:dyDescent="0.35">
      <c r="A961" s="2">
        <v>1831</v>
      </c>
      <c r="B961" s="2">
        <f t="shared" si="70"/>
        <v>492.64793617759278</v>
      </c>
      <c r="C961" s="2">
        <f t="shared" si="71"/>
        <v>242701.98902004154</v>
      </c>
      <c r="D961" s="2">
        <v>20000</v>
      </c>
      <c r="E961" s="2">
        <f t="shared" si="72"/>
        <v>2</v>
      </c>
      <c r="F961" s="2">
        <f t="shared" si="73"/>
        <v>-1.3798559833506725</v>
      </c>
      <c r="G961" s="2">
        <f t="shared" si="74"/>
        <v>1.9040025347886513</v>
      </c>
    </row>
    <row r="962" spans="1:7" x14ac:dyDescent="0.35">
      <c r="A962" s="2">
        <v>1831</v>
      </c>
      <c r="B962" s="2">
        <f t="shared" si="70"/>
        <v>492.64793617759278</v>
      </c>
      <c r="C962" s="2">
        <f t="shared" si="71"/>
        <v>242701.98902004154</v>
      </c>
      <c r="D962" s="2">
        <v>19886</v>
      </c>
      <c r="E962" s="2">
        <f t="shared" si="72"/>
        <v>1.9885999999999999</v>
      </c>
      <c r="F962" s="2">
        <f t="shared" si="73"/>
        <v>-1.3912559833506726</v>
      </c>
      <c r="G962" s="2">
        <f t="shared" si="74"/>
        <v>1.935593211209047</v>
      </c>
    </row>
    <row r="963" spans="1:7" x14ac:dyDescent="0.35">
      <c r="A963" s="2">
        <v>1831</v>
      </c>
      <c r="B963" s="2">
        <f t="shared" ref="B963:B1026" si="75">A963-$J$1</f>
        <v>492.64793617759278</v>
      </c>
      <c r="C963" s="2">
        <f t="shared" ref="C963:C1026" si="76">B963^2</f>
        <v>242701.98902004154</v>
      </c>
      <c r="D963" s="2">
        <v>19995</v>
      </c>
      <c r="E963" s="2">
        <f t="shared" ref="E963:E1026" si="77">D963/10000</f>
        <v>1.9995000000000001</v>
      </c>
      <c r="F963" s="2">
        <f t="shared" ref="F963:F1026" si="78">E963-$J$2</f>
        <v>-1.3803559833506724</v>
      </c>
      <c r="G963" s="2">
        <f t="shared" ref="G963:G1026" si="79">F963^2</f>
        <v>1.9053826407720018</v>
      </c>
    </row>
    <row r="964" spans="1:7" x14ac:dyDescent="0.35">
      <c r="A964" s="2">
        <v>1831</v>
      </c>
      <c r="B964" s="2">
        <f t="shared" si="75"/>
        <v>492.64793617759278</v>
      </c>
      <c r="C964" s="2">
        <f t="shared" si="76"/>
        <v>242701.98902004154</v>
      </c>
      <c r="D964" s="2">
        <v>20106</v>
      </c>
      <c r="E964" s="2">
        <f t="shared" si="77"/>
        <v>2.0106000000000002</v>
      </c>
      <c r="F964" s="2">
        <f t="shared" si="78"/>
        <v>-1.3692559833506723</v>
      </c>
      <c r="G964" s="2">
        <f t="shared" si="79"/>
        <v>1.8748619479416166</v>
      </c>
    </row>
    <row r="965" spans="1:7" x14ac:dyDescent="0.35">
      <c r="A965" s="2">
        <v>1831</v>
      </c>
      <c r="B965" s="2">
        <f t="shared" si="75"/>
        <v>492.64793617759278</v>
      </c>
      <c r="C965" s="2">
        <f t="shared" si="76"/>
        <v>242701.98902004154</v>
      </c>
      <c r="D965" s="2">
        <v>20218</v>
      </c>
      <c r="E965" s="2">
        <f t="shared" si="77"/>
        <v>2.0217999999999998</v>
      </c>
      <c r="F965" s="2">
        <f t="shared" si="78"/>
        <v>-1.3580559833506727</v>
      </c>
      <c r="G965" s="2">
        <f t="shared" si="79"/>
        <v>1.8443160539145627</v>
      </c>
    </row>
    <row r="966" spans="1:7" x14ac:dyDescent="0.35">
      <c r="A966" s="2">
        <v>1831</v>
      </c>
      <c r="B966" s="2">
        <f t="shared" si="75"/>
        <v>492.64793617759278</v>
      </c>
      <c r="C966" s="2">
        <f t="shared" si="76"/>
        <v>242701.98902004154</v>
      </c>
      <c r="D966" s="2">
        <v>20332</v>
      </c>
      <c r="E966" s="2">
        <f t="shared" si="77"/>
        <v>2.0331999999999999</v>
      </c>
      <c r="F966" s="2">
        <f t="shared" si="78"/>
        <v>-1.3466559833506726</v>
      </c>
      <c r="G966" s="2">
        <f t="shared" si="79"/>
        <v>1.8134823374941671</v>
      </c>
    </row>
    <row r="967" spans="1:7" x14ac:dyDescent="0.35">
      <c r="A967" s="2">
        <v>1831</v>
      </c>
      <c r="B967" s="2">
        <f t="shared" si="75"/>
        <v>492.64793617759278</v>
      </c>
      <c r="C967" s="2">
        <f t="shared" si="76"/>
        <v>242701.98902004154</v>
      </c>
      <c r="D967" s="2">
        <v>20447</v>
      </c>
      <c r="E967" s="2">
        <f t="shared" si="77"/>
        <v>2.0447000000000002</v>
      </c>
      <c r="F967" s="2">
        <f t="shared" si="78"/>
        <v>-1.3351559833506723</v>
      </c>
      <c r="G967" s="2">
        <f t="shared" si="79"/>
        <v>1.7826414998771007</v>
      </c>
    </row>
    <row r="968" spans="1:7" x14ac:dyDescent="0.35">
      <c r="A968" s="2">
        <v>1831</v>
      </c>
      <c r="B968" s="2">
        <f t="shared" si="75"/>
        <v>492.64793617759278</v>
      </c>
      <c r="C968" s="2">
        <f t="shared" si="76"/>
        <v>242701.98902004154</v>
      </c>
      <c r="D968" s="2">
        <v>20565</v>
      </c>
      <c r="E968" s="2">
        <f t="shared" si="77"/>
        <v>2.0565000000000002</v>
      </c>
      <c r="F968" s="2">
        <f t="shared" si="78"/>
        <v>-1.3233559833506723</v>
      </c>
      <c r="G968" s="2">
        <f t="shared" si="79"/>
        <v>1.7512710586700249</v>
      </c>
    </row>
    <row r="969" spans="1:7" x14ac:dyDescent="0.35">
      <c r="A969" s="2">
        <v>1831</v>
      </c>
      <c r="B969" s="2">
        <f t="shared" si="75"/>
        <v>492.64793617759278</v>
      </c>
      <c r="C969" s="2">
        <f t="shared" si="76"/>
        <v>242701.98902004154</v>
      </c>
      <c r="D969" s="2">
        <v>20686</v>
      </c>
      <c r="E969" s="2">
        <f t="shared" si="77"/>
        <v>2.0686</v>
      </c>
      <c r="F969" s="2">
        <f t="shared" si="78"/>
        <v>-1.3112559833506725</v>
      </c>
      <c r="G969" s="2">
        <f t="shared" si="79"/>
        <v>1.7193922538729391</v>
      </c>
    </row>
    <row r="970" spans="1:7" x14ac:dyDescent="0.35">
      <c r="A970" s="2">
        <v>1831</v>
      </c>
      <c r="B970" s="2">
        <f t="shared" si="75"/>
        <v>492.64793617759278</v>
      </c>
      <c r="C970" s="2">
        <f t="shared" si="76"/>
        <v>242701.98902004154</v>
      </c>
      <c r="D970" s="2">
        <v>20810</v>
      </c>
      <c r="E970" s="2">
        <f t="shared" si="77"/>
        <v>2.081</v>
      </c>
      <c r="F970" s="2">
        <f t="shared" si="78"/>
        <v>-1.2988559833506725</v>
      </c>
      <c r="G970" s="2">
        <f t="shared" si="79"/>
        <v>1.6870268654858425</v>
      </c>
    </row>
    <row r="971" spans="1:7" x14ac:dyDescent="0.35">
      <c r="A971" s="2">
        <v>1831</v>
      </c>
      <c r="B971" s="2">
        <f t="shared" si="75"/>
        <v>492.64793617759278</v>
      </c>
      <c r="C971" s="2">
        <f t="shared" si="76"/>
        <v>242701.98902004154</v>
      </c>
      <c r="D971" s="2">
        <v>20000</v>
      </c>
      <c r="E971" s="2">
        <f t="shared" si="77"/>
        <v>2</v>
      </c>
      <c r="F971" s="2">
        <f t="shared" si="78"/>
        <v>-1.3798559833506725</v>
      </c>
      <c r="G971" s="2">
        <f t="shared" si="79"/>
        <v>1.9040025347886513</v>
      </c>
    </row>
    <row r="972" spans="1:7" x14ac:dyDescent="0.35">
      <c r="A972" s="2">
        <v>1831</v>
      </c>
      <c r="B972" s="2">
        <f t="shared" si="75"/>
        <v>492.64793617759278</v>
      </c>
      <c r="C972" s="2">
        <f t="shared" si="76"/>
        <v>242701.98902004154</v>
      </c>
      <c r="D972" s="2">
        <v>21295</v>
      </c>
      <c r="E972" s="2">
        <f t="shared" si="77"/>
        <v>2.1295000000000002</v>
      </c>
      <c r="F972" s="2">
        <f t="shared" si="78"/>
        <v>-1.2503559833506723</v>
      </c>
      <c r="G972" s="2">
        <f t="shared" si="79"/>
        <v>1.5633900851008269</v>
      </c>
    </row>
    <row r="973" spans="1:7" x14ac:dyDescent="0.35">
      <c r="A973" s="2">
        <v>1831</v>
      </c>
      <c r="B973" s="2">
        <f t="shared" si="75"/>
        <v>492.64793617759278</v>
      </c>
      <c r="C973" s="2">
        <f t="shared" si="76"/>
        <v>242701.98902004154</v>
      </c>
      <c r="D973" s="2">
        <v>21657</v>
      </c>
      <c r="E973" s="2">
        <f t="shared" si="77"/>
        <v>2.1657000000000002</v>
      </c>
      <c r="F973" s="2">
        <f t="shared" si="78"/>
        <v>-1.2141559833506723</v>
      </c>
      <c r="G973" s="2">
        <f t="shared" si="79"/>
        <v>1.474174751906238</v>
      </c>
    </row>
    <row r="974" spans="1:7" x14ac:dyDescent="0.35">
      <c r="A974" s="2">
        <v>1831</v>
      </c>
      <c r="B974" s="2">
        <f t="shared" si="75"/>
        <v>492.64793617759278</v>
      </c>
      <c r="C974" s="2">
        <f t="shared" si="76"/>
        <v>242701.98902004154</v>
      </c>
      <c r="D974" s="2">
        <v>22554</v>
      </c>
      <c r="E974" s="2">
        <f t="shared" si="77"/>
        <v>2.2553999999999998</v>
      </c>
      <c r="F974" s="2">
        <f t="shared" si="78"/>
        <v>-1.1244559833506726</v>
      </c>
      <c r="G974" s="2">
        <f t="shared" si="79"/>
        <v>1.2644012584931281</v>
      </c>
    </row>
    <row r="975" spans="1:7" x14ac:dyDescent="0.35">
      <c r="A975" s="2">
        <v>1831</v>
      </c>
      <c r="B975" s="2">
        <f t="shared" si="75"/>
        <v>492.64793617759278</v>
      </c>
      <c r="C975" s="2">
        <f t="shared" si="76"/>
        <v>242701.98902004154</v>
      </c>
      <c r="D975" s="2">
        <v>23088</v>
      </c>
      <c r="E975" s="2">
        <f t="shared" si="77"/>
        <v>2.3088000000000002</v>
      </c>
      <c r="F975" s="2">
        <f t="shared" si="78"/>
        <v>-1.0710559833506723</v>
      </c>
      <c r="G975" s="2">
        <f t="shared" si="79"/>
        <v>1.1471609194712757</v>
      </c>
    </row>
    <row r="976" spans="1:7" x14ac:dyDescent="0.35">
      <c r="A976" s="2">
        <v>1831</v>
      </c>
      <c r="B976" s="2">
        <f t="shared" si="75"/>
        <v>492.64793617759278</v>
      </c>
      <c r="C976" s="2">
        <f t="shared" si="76"/>
        <v>242701.98902004154</v>
      </c>
      <c r="D976" s="2">
        <v>23622</v>
      </c>
      <c r="E976" s="2">
        <f t="shared" si="77"/>
        <v>2.3622000000000001</v>
      </c>
      <c r="F976" s="2">
        <f t="shared" si="78"/>
        <v>-1.0176559833506724</v>
      </c>
      <c r="G976" s="2">
        <f t="shared" si="79"/>
        <v>1.035623700449424</v>
      </c>
    </row>
    <row r="977" spans="1:7" x14ac:dyDescent="0.35">
      <c r="A977" s="2">
        <v>1831</v>
      </c>
      <c r="B977" s="2">
        <f t="shared" si="75"/>
        <v>492.64793617759278</v>
      </c>
      <c r="C977" s="2">
        <f t="shared" si="76"/>
        <v>242701.98902004154</v>
      </c>
      <c r="D977" s="2">
        <v>24155</v>
      </c>
      <c r="E977" s="2">
        <f t="shared" si="77"/>
        <v>2.4155000000000002</v>
      </c>
      <c r="F977" s="2">
        <f t="shared" si="78"/>
        <v>-0.9643559833506723</v>
      </c>
      <c r="G977" s="2">
        <f t="shared" si="79"/>
        <v>0.92998246262424211</v>
      </c>
    </row>
    <row r="978" spans="1:7" x14ac:dyDescent="0.35">
      <c r="A978" s="2">
        <v>1831</v>
      </c>
      <c r="B978" s="2">
        <f t="shared" si="75"/>
        <v>492.64793617759278</v>
      </c>
      <c r="C978" s="2">
        <f t="shared" si="76"/>
        <v>242701.98902004154</v>
      </c>
      <c r="D978" s="2">
        <v>24688</v>
      </c>
      <c r="E978" s="2">
        <f t="shared" si="77"/>
        <v>2.4687999999999999</v>
      </c>
      <c r="F978" s="2">
        <f t="shared" si="78"/>
        <v>-0.91105598335067262</v>
      </c>
      <c r="G978" s="2">
        <f t="shared" si="79"/>
        <v>0.8300230047990611</v>
      </c>
    </row>
    <row r="979" spans="1:7" x14ac:dyDescent="0.35">
      <c r="A979" s="2">
        <v>1831</v>
      </c>
      <c r="B979" s="2">
        <f t="shared" si="75"/>
        <v>492.64793617759278</v>
      </c>
      <c r="C979" s="2">
        <f t="shared" si="76"/>
        <v>242701.98902004154</v>
      </c>
      <c r="D979" s="2">
        <v>25219</v>
      </c>
      <c r="E979" s="2">
        <f t="shared" si="77"/>
        <v>2.5219</v>
      </c>
      <c r="F979" s="2">
        <f t="shared" si="78"/>
        <v>-0.85795598335067247</v>
      </c>
      <c r="G979" s="2">
        <f t="shared" si="79"/>
        <v>0.73608846936721939</v>
      </c>
    </row>
    <row r="980" spans="1:7" x14ac:dyDescent="0.35">
      <c r="A980" s="2">
        <v>1831</v>
      </c>
      <c r="B980" s="2">
        <f t="shared" si="75"/>
        <v>492.64793617759278</v>
      </c>
      <c r="C980" s="2">
        <f t="shared" si="76"/>
        <v>242701.98902004154</v>
      </c>
      <c r="D980" s="2">
        <v>25748</v>
      </c>
      <c r="E980" s="2">
        <f t="shared" si="77"/>
        <v>2.5748000000000002</v>
      </c>
      <c r="F980" s="2">
        <f t="shared" si="78"/>
        <v>-0.8050559833506723</v>
      </c>
      <c r="G980" s="2">
        <f t="shared" si="79"/>
        <v>0.64811513632871798</v>
      </c>
    </row>
    <row r="981" spans="1:7" x14ac:dyDescent="0.35">
      <c r="A981" s="2">
        <v>1831</v>
      </c>
      <c r="B981" s="2">
        <f t="shared" si="75"/>
        <v>492.64793617759278</v>
      </c>
      <c r="C981" s="2">
        <f t="shared" si="76"/>
        <v>242701.98902004154</v>
      </c>
      <c r="D981" s="2">
        <v>26273</v>
      </c>
      <c r="E981" s="2">
        <f t="shared" si="77"/>
        <v>2.6273</v>
      </c>
      <c r="F981" s="2">
        <f t="shared" si="78"/>
        <v>-0.75255598335067253</v>
      </c>
      <c r="G981" s="2">
        <f t="shared" si="79"/>
        <v>0.56634050807689773</v>
      </c>
    </row>
    <row r="982" spans="1:7" x14ac:dyDescent="0.35">
      <c r="A982" s="2">
        <v>1831</v>
      </c>
      <c r="B982" s="2">
        <f t="shared" si="75"/>
        <v>492.64793617759278</v>
      </c>
      <c r="C982" s="2">
        <f t="shared" si="76"/>
        <v>242701.98902004154</v>
      </c>
      <c r="D982" s="2">
        <v>27419</v>
      </c>
      <c r="E982" s="2">
        <f t="shared" si="77"/>
        <v>2.7418999999999998</v>
      </c>
      <c r="F982" s="2">
        <f t="shared" si="78"/>
        <v>-0.63795598335067272</v>
      </c>
      <c r="G982" s="2">
        <f t="shared" si="79"/>
        <v>0.40698783669292382</v>
      </c>
    </row>
    <row r="983" spans="1:7" x14ac:dyDescent="0.35">
      <c r="A983" s="2">
        <v>1831</v>
      </c>
      <c r="B983" s="2">
        <f t="shared" si="75"/>
        <v>492.64793617759278</v>
      </c>
      <c r="C983" s="2">
        <f t="shared" si="76"/>
        <v>242701.98902004154</v>
      </c>
      <c r="D983" s="2">
        <v>27419</v>
      </c>
      <c r="E983" s="2">
        <f t="shared" si="77"/>
        <v>2.7418999999999998</v>
      </c>
      <c r="F983" s="2">
        <f t="shared" si="78"/>
        <v>-0.63795598335067272</v>
      </c>
      <c r="G983" s="2">
        <f t="shared" si="79"/>
        <v>0.40698783669292382</v>
      </c>
    </row>
    <row r="984" spans="1:7" x14ac:dyDescent="0.35">
      <c r="A984" s="2">
        <v>1831</v>
      </c>
      <c r="B984" s="2">
        <f t="shared" si="75"/>
        <v>492.64793617759278</v>
      </c>
      <c r="C984" s="2">
        <f t="shared" si="76"/>
        <v>242701.98902004154</v>
      </c>
      <c r="D984" s="2">
        <v>27450</v>
      </c>
      <c r="E984" s="2">
        <f t="shared" si="77"/>
        <v>2.7450000000000001</v>
      </c>
      <c r="F984" s="2">
        <f t="shared" si="78"/>
        <v>-0.63485598335067239</v>
      </c>
      <c r="G984" s="2">
        <f t="shared" si="79"/>
        <v>0.40304211959614922</v>
      </c>
    </row>
    <row r="985" spans="1:7" x14ac:dyDescent="0.35">
      <c r="A985" s="2">
        <v>1831</v>
      </c>
      <c r="B985" s="2">
        <f t="shared" si="75"/>
        <v>492.64793617759278</v>
      </c>
      <c r="C985" s="2">
        <f t="shared" si="76"/>
        <v>242701.98902004154</v>
      </c>
      <c r="D985" s="2">
        <v>27935</v>
      </c>
      <c r="E985" s="2">
        <f t="shared" si="77"/>
        <v>2.7934999999999999</v>
      </c>
      <c r="F985" s="2">
        <f t="shared" si="78"/>
        <v>-0.58635598335067263</v>
      </c>
      <c r="G985" s="2">
        <f t="shared" si="79"/>
        <v>0.34381333921113427</v>
      </c>
    </row>
    <row r="986" spans="1:7" x14ac:dyDescent="0.35">
      <c r="A986" s="2">
        <v>1831</v>
      </c>
      <c r="B986" s="2">
        <f t="shared" si="75"/>
        <v>492.64793617759278</v>
      </c>
      <c r="C986" s="2">
        <f t="shared" si="76"/>
        <v>242701.98902004154</v>
      </c>
      <c r="D986" s="2">
        <v>28453</v>
      </c>
      <c r="E986" s="2">
        <f t="shared" si="77"/>
        <v>2.8452999999999999</v>
      </c>
      <c r="F986" s="2">
        <f t="shared" si="78"/>
        <v>-0.53455598335067256</v>
      </c>
      <c r="G986" s="2">
        <f t="shared" si="79"/>
        <v>0.28575009933600454</v>
      </c>
    </row>
    <row r="987" spans="1:7" x14ac:dyDescent="0.35">
      <c r="A987" s="2">
        <v>836</v>
      </c>
      <c r="B987" s="2">
        <f t="shared" si="75"/>
        <v>-502.35206382240722</v>
      </c>
      <c r="C987" s="2">
        <f t="shared" si="76"/>
        <v>252357.59602663189</v>
      </c>
      <c r="D987" s="2">
        <v>19091</v>
      </c>
      <c r="E987" s="2">
        <f t="shared" si="77"/>
        <v>1.9091</v>
      </c>
      <c r="F987" s="2">
        <f t="shared" si="78"/>
        <v>-1.4707559833506725</v>
      </c>
      <c r="G987" s="2">
        <f t="shared" si="79"/>
        <v>2.1631231625618037</v>
      </c>
    </row>
    <row r="988" spans="1:7" x14ac:dyDescent="0.35">
      <c r="A988" s="2">
        <v>836</v>
      </c>
      <c r="B988" s="2">
        <f t="shared" si="75"/>
        <v>-502.35206382240722</v>
      </c>
      <c r="C988" s="2">
        <f t="shared" si="76"/>
        <v>252357.59602663189</v>
      </c>
      <c r="D988" s="2">
        <v>16071</v>
      </c>
      <c r="E988" s="2">
        <f t="shared" si="77"/>
        <v>1.6071</v>
      </c>
      <c r="F988" s="2">
        <f t="shared" si="78"/>
        <v>-1.7727559833506725</v>
      </c>
      <c r="G988" s="2">
        <f t="shared" si="79"/>
        <v>3.1426637765056098</v>
      </c>
    </row>
    <row r="989" spans="1:7" x14ac:dyDescent="0.35">
      <c r="A989" s="2">
        <v>836</v>
      </c>
      <c r="B989" s="2">
        <f t="shared" si="75"/>
        <v>-502.35206382240722</v>
      </c>
      <c r="C989" s="2">
        <f t="shared" si="76"/>
        <v>252357.59602663189</v>
      </c>
      <c r="D989" s="2">
        <v>12825</v>
      </c>
      <c r="E989" s="2">
        <f t="shared" si="77"/>
        <v>1.2825</v>
      </c>
      <c r="F989" s="2">
        <f t="shared" si="78"/>
        <v>-2.0973559833506723</v>
      </c>
      <c r="G989" s="2">
        <f t="shared" si="79"/>
        <v>4.3989021208968655</v>
      </c>
    </row>
    <row r="990" spans="1:7" x14ac:dyDescent="0.35">
      <c r="A990" s="2">
        <v>836</v>
      </c>
      <c r="B990" s="2">
        <f t="shared" si="75"/>
        <v>-502.35206382240722</v>
      </c>
      <c r="C990" s="2">
        <f t="shared" si="76"/>
        <v>252357.59602663189</v>
      </c>
      <c r="D990" s="2">
        <v>15111</v>
      </c>
      <c r="E990" s="2">
        <f t="shared" si="77"/>
        <v>1.5111000000000001</v>
      </c>
      <c r="F990" s="2">
        <f t="shared" si="78"/>
        <v>-1.8687559833506724</v>
      </c>
      <c r="G990" s="2">
        <f t="shared" si="79"/>
        <v>3.4922489253089384</v>
      </c>
    </row>
    <row r="991" spans="1:7" x14ac:dyDescent="0.35">
      <c r="A991" s="2">
        <v>836</v>
      </c>
      <c r="B991" s="2">
        <f t="shared" si="75"/>
        <v>-502.35206382240722</v>
      </c>
      <c r="C991" s="2">
        <f t="shared" si="76"/>
        <v>252357.59602663189</v>
      </c>
      <c r="D991" s="2">
        <v>14671</v>
      </c>
      <c r="E991" s="2">
        <f t="shared" si="77"/>
        <v>1.4671000000000001</v>
      </c>
      <c r="F991" s="2">
        <f t="shared" si="78"/>
        <v>-1.9127559833506724</v>
      </c>
      <c r="G991" s="2">
        <f t="shared" si="79"/>
        <v>3.6586354518437978</v>
      </c>
    </row>
    <row r="992" spans="1:7" x14ac:dyDescent="0.35">
      <c r="A992" s="2">
        <v>836</v>
      </c>
      <c r="B992" s="2">
        <f t="shared" si="75"/>
        <v>-502.35206382240722</v>
      </c>
      <c r="C992" s="2">
        <f t="shared" si="76"/>
        <v>252357.59602663189</v>
      </c>
      <c r="D992" s="2">
        <v>15265</v>
      </c>
      <c r="E992" s="2">
        <f t="shared" si="77"/>
        <v>1.5265</v>
      </c>
      <c r="F992" s="2">
        <f t="shared" si="78"/>
        <v>-1.8533559833506725</v>
      </c>
      <c r="G992" s="2">
        <f t="shared" si="79"/>
        <v>3.4349284010217382</v>
      </c>
    </row>
    <row r="993" spans="1:7" x14ac:dyDescent="0.35">
      <c r="A993" s="2">
        <v>836</v>
      </c>
      <c r="B993" s="2">
        <f t="shared" si="75"/>
        <v>-502.35206382240722</v>
      </c>
      <c r="C993" s="2">
        <f t="shared" si="76"/>
        <v>252357.59602663189</v>
      </c>
      <c r="D993" s="2">
        <v>17298</v>
      </c>
      <c r="E993" s="2">
        <f t="shared" si="77"/>
        <v>1.7298</v>
      </c>
      <c r="F993" s="2">
        <f t="shared" si="78"/>
        <v>-1.6500559833506725</v>
      </c>
      <c r="G993" s="2">
        <f t="shared" si="79"/>
        <v>2.7226847481913548</v>
      </c>
    </row>
    <row r="994" spans="1:7" x14ac:dyDescent="0.35">
      <c r="A994" s="2">
        <v>836</v>
      </c>
      <c r="B994" s="2">
        <f t="shared" si="75"/>
        <v>-502.35206382240722</v>
      </c>
      <c r="C994" s="2">
        <f t="shared" si="76"/>
        <v>252357.59602663189</v>
      </c>
      <c r="D994" s="2">
        <v>14601</v>
      </c>
      <c r="E994" s="2">
        <f t="shared" si="77"/>
        <v>1.4601</v>
      </c>
      <c r="F994" s="2">
        <f t="shared" si="78"/>
        <v>-1.9197559833506725</v>
      </c>
      <c r="G994" s="2">
        <f t="shared" si="79"/>
        <v>3.6854630356107076</v>
      </c>
    </row>
    <row r="995" spans="1:7" x14ac:dyDescent="0.35">
      <c r="A995" s="2">
        <v>836</v>
      </c>
      <c r="B995" s="2">
        <f t="shared" si="75"/>
        <v>-502.35206382240722</v>
      </c>
      <c r="C995" s="2">
        <f t="shared" si="76"/>
        <v>252357.59602663189</v>
      </c>
      <c r="D995" s="2">
        <v>15390</v>
      </c>
      <c r="E995" s="2">
        <f t="shared" si="77"/>
        <v>1.5389999999999999</v>
      </c>
      <c r="F995" s="2">
        <f t="shared" si="78"/>
        <v>-1.8408559833506726</v>
      </c>
      <c r="G995" s="2">
        <f t="shared" si="79"/>
        <v>3.3887507514379718</v>
      </c>
    </row>
    <row r="996" spans="1:7" x14ac:dyDescent="0.35">
      <c r="A996" s="2">
        <v>836</v>
      </c>
      <c r="B996" s="2">
        <f t="shared" si="75"/>
        <v>-502.35206382240722</v>
      </c>
      <c r="C996" s="2">
        <f t="shared" si="76"/>
        <v>252357.59602663189</v>
      </c>
      <c r="D996" s="2">
        <v>12304</v>
      </c>
      <c r="E996" s="2">
        <f t="shared" si="77"/>
        <v>1.2303999999999999</v>
      </c>
      <c r="F996" s="2">
        <f t="shared" si="78"/>
        <v>-2.1494559833506726</v>
      </c>
      <c r="G996" s="2">
        <f t="shared" si="79"/>
        <v>4.620161024362007</v>
      </c>
    </row>
    <row r="997" spans="1:7" x14ac:dyDescent="0.35">
      <c r="A997" s="2">
        <v>836</v>
      </c>
      <c r="B997" s="2">
        <f t="shared" si="75"/>
        <v>-502.35206382240722</v>
      </c>
      <c r="C997" s="2">
        <f t="shared" si="76"/>
        <v>252357.59602663189</v>
      </c>
      <c r="D997" s="2">
        <v>10676</v>
      </c>
      <c r="E997" s="2">
        <f t="shared" si="77"/>
        <v>1.0676000000000001</v>
      </c>
      <c r="F997" s="2">
        <f t="shared" si="78"/>
        <v>-2.3122559833506724</v>
      </c>
      <c r="G997" s="2">
        <f t="shared" si="79"/>
        <v>5.3465277325409852</v>
      </c>
    </row>
    <row r="998" spans="1:7" x14ac:dyDescent="0.35">
      <c r="A998" s="2">
        <v>836</v>
      </c>
      <c r="B998" s="2">
        <f t="shared" si="75"/>
        <v>-502.35206382240722</v>
      </c>
      <c r="C998" s="2">
        <f t="shared" si="76"/>
        <v>252357.59602663189</v>
      </c>
      <c r="D998" s="2">
        <v>10236</v>
      </c>
      <c r="E998" s="2">
        <f t="shared" si="77"/>
        <v>1.0236000000000001</v>
      </c>
      <c r="F998" s="2">
        <f t="shared" si="78"/>
        <v>-2.3562559833506724</v>
      </c>
      <c r="G998" s="2">
        <f t="shared" si="79"/>
        <v>5.5519422590758447</v>
      </c>
    </row>
    <row r="999" spans="1:7" x14ac:dyDescent="0.35">
      <c r="A999" s="2">
        <v>836</v>
      </c>
      <c r="B999" s="2">
        <f t="shared" si="75"/>
        <v>-502.35206382240722</v>
      </c>
      <c r="C999" s="2">
        <f t="shared" si="76"/>
        <v>252357.59602663189</v>
      </c>
      <c r="D999" s="2">
        <v>13429</v>
      </c>
      <c r="E999" s="2">
        <f t="shared" si="77"/>
        <v>1.3429</v>
      </c>
      <c r="F999" s="2">
        <f t="shared" si="78"/>
        <v>-2.0369559833506727</v>
      </c>
      <c r="G999" s="2">
        <f t="shared" si="79"/>
        <v>4.1491896781081063</v>
      </c>
    </row>
    <row r="1000" spans="1:7" x14ac:dyDescent="0.35">
      <c r="A1000" s="2">
        <v>836</v>
      </c>
      <c r="B1000" s="2">
        <f t="shared" si="75"/>
        <v>-502.35206382240722</v>
      </c>
      <c r="C1000" s="2">
        <f t="shared" si="76"/>
        <v>252357.59602663189</v>
      </c>
      <c r="D1000" s="2">
        <v>21712</v>
      </c>
      <c r="E1000" s="2">
        <f t="shared" si="77"/>
        <v>2.1711999999999998</v>
      </c>
      <c r="F1000" s="2">
        <f t="shared" si="78"/>
        <v>-1.2086559833506727</v>
      </c>
      <c r="G1000" s="2">
        <f t="shared" si="79"/>
        <v>1.4608492860893816</v>
      </c>
    </row>
    <row r="1001" spans="1:7" x14ac:dyDescent="0.35">
      <c r="A1001" s="2">
        <v>836</v>
      </c>
      <c r="B1001" s="2">
        <f t="shared" si="75"/>
        <v>-502.35206382240722</v>
      </c>
      <c r="C1001" s="2">
        <f t="shared" si="76"/>
        <v>252357.59602663189</v>
      </c>
      <c r="D1001" s="2">
        <v>22143</v>
      </c>
      <c r="E1001" s="2">
        <f t="shared" si="77"/>
        <v>2.2143000000000002</v>
      </c>
      <c r="F1001" s="2">
        <f t="shared" si="78"/>
        <v>-1.1655559833506723</v>
      </c>
      <c r="G1001" s="2">
        <f t="shared" si="79"/>
        <v>1.3585207503245529</v>
      </c>
    </row>
    <row r="1002" spans="1:7" x14ac:dyDescent="0.35">
      <c r="A1002" s="2">
        <v>836</v>
      </c>
      <c r="B1002" s="2">
        <f t="shared" si="75"/>
        <v>-502.35206382240722</v>
      </c>
      <c r="C1002" s="2">
        <f t="shared" si="76"/>
        <v>252357.59602663189</v>
      </c>
      <c r="D1002" s="2">
        <v>23286</v>
      </c>
      <c r="E1002" s="2">
        <f t="shared" si="77"/>
        <v>2.3285999999999998</v>
      </c>
      <c r="F1002" s="2">
        <f t="shared" si="78"/>
        <v>-1.0512559833506727</v>
      </c>
      <c r="G1002" s="2">
        <f t="shared" si="79"/>
        <v>1.1051391425305899</v>
      </c>
    </row>
    <row r="1003" spans="1:7" x14ac:dyDescent="0.35">
      <c r="A1003" s="2">
        <v>836</v>
      </c>
      <c r="B1003" s="2">
        <f t="shared" si="75"/>
        <v>-502.35206382240722</v>
      </c>
      <c r="C1003" s="2">
        <f t="shared" si="76"/>
        <v>252357.59602663189</v>
      </c>
      <c r="D1003" s="2">
        <v>20452</v>
      </c>
      <c r="E1003" s="2">
        <f t="shared" si="77"/>
        <v>2.0451999999999999</v>
      </c>
      <c r="F1003" s="2">
        <f t="shared" si="78"/>
        <v>-1.3346559833506726</v>
      </c>
      <c r="G1003" s="2">
        <f t="shared" si="79"/>
        <v>1.7813065938937509</v>
      </c>
    </row>
    <row r="1004" spans="1:7" x14ac:dyDescent="0.35">
      <c r="A1004" s="2">
        <v>836</v>
      </c>
      <c r="B1004" s="2">
        <f t="shared" si="75"/>
        <v>-502.35206382240722</v>
      </c>
      <c r="C1004" s="2">
        <f t="shared" si="76"/>
        <v>252357.59602663189</v>
      </c>
      <c r="D1004" s="2">
        <v>20375</v>
      </c>
      <c r="E1004" s="2">
        <f t="shared" si="77"/>
        <v>2.0375000000000001</v>
      </c>
      <c r="F1004" s="2">
        <f t="shared" si="78"/>
        <v>-1.3423559833506724</v>
      </c>
      <c r="G1004" s="2">
        <f t="shared" si="79"/>
        <v>1.8019195860373507</v>
      </c>
    </row>
    <row r="1005" spans="1:7" x14ac:dyDescent="0.35">
      <c r="A1005" s="2">
        <v>836</v>
      </c>
      <c r="B1005" s="2">
        <f t="shared" si="75"/>
        <v>-502.35206382240722</v>
      </c>
      <c r="C1005" s="2">
        <f t="shared" si="76"/>
        <v>252357.59602663189</v>
      </c>
      <c r="D1005" s="2">
        <v>10034</v>
      </c>
      <c r="E1005" s="2">
        <f t="shared" si="77"/>
        <v>1.0034000000000001</v>
      </c>
      <c r="F1005" s="2">
        <f t="shared" si="78"/>
        <v>-2.3764559833506724</v>
      </c>
      <c r="G1005" s="2">
        <f t="shared" si="79"/>
        <v>5.6475430408032112</v>
      </c>
    </row>
    <row r="1006" spans="1:7" x14ac:dyDescent="0.35">
      <c r="A1006" s="2">
        <v>836</v>
      </c>
      <c r="B1006" s="2">
        <f t="shared" si="75"/>
        <v>-502.35206382240722</v>
      </c>
      <c r="C1006" s="2">
        <f t="shared" si="76"/>
        <v>252357.59602663189</v>
      </c>
      <c r="D1006" s="2">
        <v>16910</v>
      </c>
      <c r="E1006" s="2">
        <f t="shared" si="77"/>
        <v>1.6910000000000001</v>
      </c>
      <c r="F1006" s="2">
        <f t="shared" si="78"/>
        <v>-1.6888559833506724</v>
      </c>
      <c r="G1006" s="2">
        <f t="shared" si="79"/>
        <v>2.852234532499367</v>
      </c>
    </row>
    <row r="1007" spans="1:7" x14ac:dyDescent="0.35">
      <c r="A1007" s="2">
        <v>836</v>
      </c>
      <c r="B1007" s="2">
        <f t="shared" si="75"/>
        <v>-502.35206382240722</v>
      </c>
      <c r="C1007" s="2">
        <f t="shared" si="76"/>
        <v>252357.59602663189</v>
      </c>
      <c r="D1007" s="2">
        <v>6861</v>
      </c>
      <c r="E1007" s="2">
        <f t="shared" si="77"/>
        <v>0.68610000000000004</v>
      </c>
      <c r="F1007" s="2">
        <f t="shared" si="78"/>
        <v>-2.6937559833506723</v>
      </c>
      <c r="G1007" s="2">
        <f t="shared" si="79"/>
        <v>7.2563212978375473</v>
      </c>
    </row>
    <row r="1008" spans="1:7" x14ac:dyDescent="0.35">
      <c r="A1008" s="2">
        <v>836</v>
      </c>
      <c r="B1008" s="2">
        <f t="shared" si="75"/>
        <v>-502.35206382240722</v>
      </c>
      <c r="C1008" s="2">
        <f t="shared" si="76"/>
        <v>252357.59602663189</v>
      </c>
      <c r="D1008" s="2">
        <v>11265</v>
      </c>
      <c r="E1008" s="2">
        <f t="shared" si="77"/>
        <v>1.1265000000000001</v>
      </c>
      <c r="F1008" s="2">
        <f t="shared" si="78"/>
        <v>-2.2533559833506724</v>
      </c>
      <c r="G1008" s="2">
        <f t="shared" si="79"/>
        <v>5.0776131877022763</v>
      </c>
    </row>
    <row r="1009" spans="1:7" x14ac:dyDescent="0.35">
      <c r="A1009" s="2">
        <v>836</v>
      </c>
      <c r="B1009" s="2">
        <f t="shared" si="75"/>
        <v>-502.35206382240722</v>
      </c>
      <c r="C1009" s="2">
        <f t="shared" si="76"/>
        <v>252357.59602663189</v>
      </c>
      <c r="D1009" s="2">
        <v>10822</v>
      </c>
      <c r="E1009" s="2">
        <f t="shared" si="77"/>
        <v>1.0822000000000001</v>
      </c>
      <c r="F1009" s="2">
        <f t="shared" si="78"/>
        <v>-2.2976559833506727</v>
      </c>
      <c r="G1009" s="2">
        <f t="shared" si="79"/>
        <v>5.2792230178271469</v>
      </c>
    </row>
    <row r="1010" spans="1:7" x14ac:dyDescent="0.35">
      <c r="A1010" s="2">
        <v>836</v>
      </c>
      <c r="B1010" s="2">
        <f t="shared" si="75"/>
        <v>-502.35206382240722</v>
      </c>
      <c r="C1010" s="2">
        <f t="shared" si="76"/>
        <v>252357.59602663189</v>
      </c>
      <c r="D1010" s="2">
        <v>11595</v>
      </c>
      <c r="E1010" s="2">
        <f t="shared" si="77"/>
        <v>1.1595</v>
      </c>
      <c r="F1010" s="2">
        <f t="shared" si="78"/>
        <v>-2.2203559833506725</v>
      </c>
      <c r="G1010" s="2">
        <f t="shared" si="79"/>
        <v>4.9299806928011316</v>
      </c>
    </row>
    <row r="1011" spans="1:7" x14ac:dyDescent="0.35">
      <c r="A1011" s="2">
        <v>836</v>
      </c>
      <c r="B1011" s="2">
        <f t="shared" si="75"/>
        <v>-502.35206382240722</v>
      </c>
      <c r="C1011" s="2">
        <f t="shared" si="76"/>
        <v>252357.59602663189</v>
      </c>
      <c r="D1011" s="2">
        <v>12168</v>
      </c>
      <c r="E1011" s="2">
        <f t="shared" si="77"/>
        <v>1.2168000000000001</v>
      </c>
      <c r="F1011" s="2">
        <f t="shared" si="78"/>
        <v>-2.1630559833506724</v>
      </c>
      <c r="G1011" s="2">
        <f t="shared" si="79"/>
        <v>4.6788111871091447</v>
      </c>
    </row>
    <row r="1012" spans="1:7" x14ac:dyDescent="0.35">
      <c r="A1012" s="2">
        <v>836</v>
      </c>
      <c r="B1012" s="2">
        <f t="shared" si="75"/>
        <v>-502.35206382240722</v>
      </c>
      <c r="C1012" s="2">
        <f t="shared" si="76"/>
        <v>252357.59602663189</v>
      </c>
      <c r="D1012" s="2">
        <v>8526</v>
      </c>
      <c r="E1012" s="2">
        <f t="shared" si="77"/>
        <v>0.85260000000000002</v>
      </c>
      <c r="F1012" s="2">
        <f t="shared" si="78"/>
        <v>-2.5272559833506723</v>
      </c>
      <c r="G1012" s="2">
        <f t="shared" si="79"/>
        <v>6.3870228053817737</v>
      </c>
    </row>
    <row r="1013" spans="1:7" x14ac:dyDescent="0.35">
      <c r="A1013" s="2">
        <v>836</v>
      </c>
      <c r="B1013" s="2">
        <f t="shared" si="75"/>
        <v>-502.35206382240722</v>
      </c>
      <c r="C1013" s="2">
        <f t="shared" si="76"/>
        <v>252357.59602663189</v>
      </c>
      <c r="D1013" s="2">
        <v>10501</v>
      </c>
      <c r="E1013" s="2">
        <f t="shared" si="77"/>
        <v>1.0501</v>
      </c>
      <c r="F1013" s="2">
        <f t="shared" si="78"/>
        <v>-2.3297559833506725</v>
      </c>
      <c r="G1013" s="2">
        <f t="shared" si="79"/>
        <v>5.4277629419582585</v>
      </c>
    </row>
    <row r="1014" spans="1:7" x14ac:dyDescent="0.35">
      <c r="A1014" s="2">
        <v>836</v>
      </c>
      <c r="B1014" s="2">
        <f t="shared" si="75"/>
        <v>-502.35206382240722</v>
      </c>
      <c r="C1014" s="2">
        <f t="shared" si="76"/>
        <v>252357.59602663189</v>
      </c>
      <c r="D1014" s="2">
        <v>7041</v>
      </c>
      <c r="E1014" s="2">
        <f t="shared" si="77"/>
        <v>0.70409999999999995</v>
      </c>
      <c r="F1014" s="2">
        <f t="shared" si="78"/>
        <v>-2.6757559833506726</v>
      </c>
      <c r="G1014" s="2">
        <f t="shared" si="79"/>
        <v>7.159670082436925</v>
      </c>
    </row>
    <row r="1015" spans="1:7" x14ac:dyDescent="0.35">
      <c r="A1015" s="2">
        <v>836</v>
      </c>
      <c r="B1015" s="2">
        <f t="shared" si="75"/>
        <v>-502.35206382240722</v>
      </c>
      <c r="C1015" s="2">
        <f t="shared" si="76"/>
        <v>252357.59602663189</v>
      </c>
      <c r="D1015" s="2">
        <v>7717</v>
      </c>
      <c r="E1015" s="2">
        <f t="shared" si="77"/>
        <v>0.77170000000000005</v>
      </c>
      <c r="F1015" s="2">
        <f t="shared" si="78"/>
        <v>-2.6081559833506724</v>
      </c>
      <c r="G1015" s="2">
        <f t="shared" si="79"/>
        <v>6.8024776334879133</v>
      </c>
    </row>
    <row r="1016" spans="1:7" x14ac:dyDescent="0.35">
      <c r="A1016" s="2">
        <v>836</v>
      </c>
      <c r="B1016" s="2">
        <f t="shared" si="75"/>
        <v>-502.35206382240722</v>
      </c>
      <c r="C1016" s="2">
        <f t="shared" si="76"/>
        <v>252357.59602663189</v>
      </c>
      <c r="D1016" s="2">
        <v>7424</v>
      </c>
      <c r="E1016" s="2">
        <f t="shared" si="77"/>
        <v>0.74239999999999995</v>
      </c>
      <c r="F1016" s="2">
        <f t="shared" si="78"/>
        <v>-2.6374559833506726</v>
      </c>
      <c r="G1016" s="2">
        <f t="shared" si="79"/>
        <v>6.9561740641122629</v>
      </c>
    </row>
    <row r="1017" spans="1:7" x14ac:dyDescent="0.35">
      <c r="A1017" s="2">
        <v>1187</v>
      </c>
      <c r="B1017" s="2">
        <f t="shared" si="75"/>
        <v>-151.35206382240722</v>
      </c>
      <c r="C1017" s="2">
        <f t="shared" si="76"/>
        <v>22907.447223302028</v>
      </c>
      <c r="D1017" s="2">
        <v>11765</v>
      </c>
      <c r="E1017" s="2">
        <f t="shared" si="77"/>
        <v>1.1765000000000001</v>
      </c>
      <c r="F1017" s="2">
        <f t="shared" si="78"/>
        <v>-2.2033559833506722</v>
      </c>
      <c r="G1017" s="2">
        <f t="shared" si="79"/>
        <v>4.8547775893672078</v>
      </c>
    </row>
    <row r="1018" spans="1:7" x14ac:dyDescent="0.35">
      <c r="A1018" s="2">
        <v>1187</v>
      </c>
      <c r="B1018" s="2">
        <f t="shared" si="75"/>
        <v>-151.35206382240722</v>
      </c>
      <c r="C1018" s="2">
        <f t="shared" si="76"/>
        <v>22907.447223302028</v>
      </c>
      <c r="D1018" s="2">
        <v>9146</v>
      </c>
      <c r="E1018" s="2">
        <f t="shared" si="77"/>
        <v>0.91459999999999997</v>
      </c>
      <c r="F1018" s="2">
        <f t="shared" si="78"/>
        <v>-2.4652559833506724</v>
      </c>
      <c r="G1018" s="2">
        <f t="shared" si="79"/>
        <v>6.0774870634462905</v>
      </c>
    </row>
    <row r="1019" spans="1:7" x14ac:dyDescent="0.35">
      <c r="A1019" s="2">
        <v>1187</v>
      </c>
      <c r="B1019" s="2">
        <f t="shared" si="75"/>
        <v>-151.35206382240722</v>
      </c>
      <c r="C1019" s="2">
        <f t="shared" si="76"/>
        <v>22907.447223302028</v>
      </c>
      <c r="D1019" s="2">
        <v>11208</v>
      </c>
      <c r="E1019" s="2">
        <f t="shared" si="77"/>
        <v>1.1208</v>
      </c>
      <c r="F1019" s="2">
        <f t="shared" si="78"/>
        <v>-2.2590559833506725</v>
      </c>
      <c r="G1019" s="2">
        <f t="shared" si="79"/>
        <v>5.1033339359124739</v>
      </c>
    </row>
    <row r="1020" spans="1:7" x14ac:dyDescent="0.35">
      <c r="A1020" s="2">
        <v>1187</v>
      </c>
      <c r="B1020" s="2">
        <f t="shared" si="75"/>
        <v>-151.35206382240722</v>
      </c>
      <c r="C1020" s="2">
        <f t="shared" si="76"/>
        <v>22907.447223302028</v>
      </c>
      <c r="D1020" s="2">
        <v>10293</v>
      </c>
      <c r="E1020" s="2">
        <f t="shared" si="77"/>
        <v>1.0293000000000001</v>
      </c>
      <c r="F1020" s="2">
        <f t="shared" si="78"/>
        <v>-2.3505559833506724</v>
      </c>
      <c r="G1020" s="2">
        <f t="shared" si="79"/>
        <v>5.5251134308656464</v>
      </c>
    </row>
    <row r="1021" spans="1:7" x14ac:dyDescent="0.35">
      <c r="A1021" s="2">
        <v>1187</v>
      </c>
      <c r="B1021" s="2">
        <f t="shared" si="75"/>
        <v>-151.35206382240722</v>
      </c>
      <c r="C1021" s="2">
        <f t="shared" si="76"/>
        <v>22907.447223302028</v>
      </c>
      <c r="D1021" s="2">
        <v>16510</v>
      </c>
      <c r="E1021" s="2">
        <f t="shared" si="77"/>
        <v>1.651</v>
      </c>
      <c r="F1021" s="2">
        <f t="shared" si="78"/>
        <v>-1.7288559833506725</v>
      </c>
      <c r="G1021" s="2">
        <f t="shared" si="79"/>
        <v>2.9889430111674207</v>
      </c>
    </row>
    <row r="1022" spans="1:7" x14ac:dyDescent="0.35">
      <c r="A1022" s="2">
        <v>1187</v>
      </c>
      <c r="B1022" s="2">
        <f t="shared" si="75"/>
        <v>-151.35206382240722</v>
      </c>
      <c r="C1022" s="2">
        <f t="shared" si="76"/>
        <v>22907.447223302028</v>
      </c>
      <c r="D1022" s="2">
        <v>15901</v>
      </c>
      <c r="E1022" s="2">
        <f t="shared" si="77"/>
        <v>1.5901000000000001</v>
      </c>
      <c r="F1022" s="2">
        <f t="shared" si="78"/>
        <v>-1.7897559833506724</v>
      </c>
      <c r="G1022" s="2">
        <f t="shared" si="79"/>
        <v>3.2032264799395325</v>
      </c>
    </row>
    <row r="1023" spans="1:7" x14ac:dyDescent="0.35">
      <c r="A1023" s="2">
        <v>1187</v>
      </c>
      <c r="B1023" s="2">
        <f t="shared" si="75"/>
        <v>-151.35206382240722</v>
      </c>
      <c r="C1023" s="2">
        <f t="shared" si="76"/>
        <v>22907.447223302028</v>
      </c>
      <c r="D1023" s="2">
        <v>16499</v>
      </c>
      <c r="E1023" s="2">
        <f t="shared" si="77"/>
        <v>1.6498999999999999</v>
      </c>
      <c r="F1023" s="2">
        <f t="shared" si="78"/>
        <v>-1.7299559833506726</v>
      </c>
      <c r="G1023" s="2">
        <f t="shared" si="79"/>
        <v>2.9927477043307924</v>
      </c>
    </row>
    <row r="1024" spans="1:7" x14ac:dyDescent="0.35">
      <c r="A1024" s="2">
        <v>1187</v>
      </c>
      <c r="B1024" s="2">
        <f t="shared" si="75"/>
        <v>-151.35206382240722</v>
      </c>
      <c r="C1024" s="2">
        <f t="shared" si="76"/>
        <v>22907.447223302028</v>
      </c>
      <c r="D1024" s="2">
        <v>20389</v>
      </c>
      <c r="E1024" s="2">
        <f t="shared" si="77"/>
        <v>2.0388999999999999</v>
      </c>
      <c r="F1024" s="2">
        <f t="shared" si="78"/>
        <v>-1.3409559833506726</v>
      </c>
      <c r="G1024" s="2">
        <f t="shared" si="79"/>
        <v>1.7981629492839692</v>
      </c>
    </row>
    <row r="1025" spans="1:7" x14ac:dyDescent="0.35">
      <c r="A1025" s="2">
        <v>1187</v>
      </c>
      <c r="B1025" s="2">
        <f t="shared" si="75"/>
        <v>-151.35206382240722</v>
      </c>
      <c r="C1025" s="2">
        <f t="shared" si="76"/>
        <v>22907.447223302028</v>
      </c>
      <c r="D1025" s="2">
        <v>20062</v>
      </c>
      <c r="E1025" s="2">
        <f t="shared" si="77"/>
        <v>2.0062000000000002</v>
      </c>
      <c r="F1025" s="2">
        <f t="shared" si="78"/>
        <v>-1.3736559833506723</v>
      </c>
      <c r="G1025" s="2">
        <f t="shared" si="79"/>
        <v>1.8869307605951025</v>
      </c>
    </row>
    <row r="1026" spans="1:7" x14ac:dyDescent="0.35">
      <c r="A1026" s="2">
        <v>1187</v>
      </c>
      <c r="B1026" s="2">
        <f t="shared" si="75"/>
        <v>-151.35206382240722</v>
      </c>
      <c r="C1026" s="2">
        <f t="shared" si="76"/>
        <v>22907.447223302028</v>
      </c>
      <c r="D1026" s="2">
        <v>20192</v>
      </c>
      <c r="E1026" s="2">
        <f t="shared" si="77"/>
        <v>2.0192000000000001</v>
      </c>
      <c r="F1026" s="2">
        <f t="shared" si="78"/>
        <v>-1.3606559833506724</v>
      </c>
      <c r="G1026" s="2">
        <f t="shared" si="79"/>
        <v>1.8513847050279852</v>
      </c>
    </row>
    <row r="1027" spans="1:7" x14ac:dyDescent="0.35">
      <c r="A1027" s="2">
        <v>1187</v>
      </c>
      <c r="B1027" s="2">
        <f t="shared" ref="B1027:B1090" si="80">A1027-$J$1</f>
        <v>-151.35206382240722</v>
      </c>
      <c r="C1027" s="2">
        <f t="shared" ref="C1027:C1090" si="81">B1027^2</f>
        <v>22907.447223302028</v>
      </c>
      <c r="D1027" s="2">
        <v>20496</v>
      </c>
      <c r="E1027" s="2">
        <f t="shared" ref="E1027:E1090" si="82">D1027/10000</f>
        <v>2.0495999999999999</v>
      </c>
      <c r="F1027" s="2">
        <f t="shared" ref="F1027:F1090" si="83">E1027-$J$2</f>
        <v>-1.3302559833506726</v>
      </c>
      <c r="G1027" s="2">
        <f t="shared" ref="G1027:G1090" si="84">F1027^2</f>
        <v>1.769580981240265</v>
      </c>
    </row>
    <row r="1028" spans="1:7" x14ac:dyDescent="0.35">
      <c r="A1028" s="2">
        <v>1187</v>
      </c>
      <c r="B1028" s="2">
        <f t="shared" si="80"/>
        <v>-151.35206382240722</v>
      </c>
      <c r="C1028" s="2">
        <f t="shared" si="81"/>
        <v>22907.447223302028</v>
      </c>
      <c r="D1028" s="2">
        <v>16746</v>
      </c>
      <c r="E1028" s="2">
        <f t="shared" si="82"/>
        <v>1.6746000000000001</v>
      </c>
      <c r="F1028" s="2">
        <f t="shared" si="83"/>
        <v>-1.7052559833506724</v>
      </c>
      <c r="G1028" s="2">
        <f t="shared" si="84"/>
        <v>2.9078979687532689</v>
      </c>
    </row>
    <row r="1029" spans="1:7" x14ac:dyDescent="0.35">
      <c r="A1029" s="2">
        <v>1187</v>
      </c>
      <c r="B1029" s="2">
        <f t="shared" si="80"/>
        <v>-151.35206382240722</v>
      </c>
      <c r="C1029" s="2">
        <f t="shared" si="81"/>
        <v>22907.447223302028</v>
      </c>
      <c r="D1029" s="2">
        <v>14847</v>
      </c>
      <c r="E1029" s="2">
        <f t="shared" si="82"/>
        <v>1.4846999999999999</v>
      </c>
      <c r="F1029" s="2">
        <f t="shared" si="83"/>
        <v>-1.8951559833506726</v>
      </c>
      <c r="G1029" s="2">
        <f t="shared" si="84"/>
        <v>3.5916162012298547</v>
      </c>
    </row>
    <row r="1030" spans="1:7" x14ac:dyDescent="0.35">
      <c r="A1030" s="2">
        <v>1187</v>
      </c>
      <c r="B1030" s="2">
        <f t="shared" si="80"/>
        <v>-151.35206382240722</v>
      </c>
      <c r="C1030" s="2">
        <f t="shared" si="81"/>
        <v>22907.447223302028</v>
      </c>
      <c r="D1030" s="2">
        <v>19919</v>
      </c>
      <c r="E1030" s="2">
        <f t="shared" si="82"/>
        <v>1.9919</v>
      </c>
      <c r="F1030" s="2">
        <f t="shared" si="83"/>
        <v>-1.3879559833506725</v>
      </c>
      <c r="G1030" s="2">
        <f t="shared" si="84"/>
        <v>1.9264218117189322</v>
      </c>
    </row>
    <row r="1031" spans="1:7" x14ac:dyDescent="0.35">
      <c r="A1031" s="2">
        <v>1187</v>
      </c>
      <c r="B1031" s="2">
        <f t="shared" si="80"/>
        <v>-151.35206382240722</v>
      </c>
      <c r="C1031" s="2">
        <f t="shared" si="81"/>
        <v>22907.447223302028</v>
      </c>
      <c r="D1031" s="2">
        <v>21589</v>
      </c>
      <c r="E1031" s="2">
        <f t="shared" si="82"/>
        <v>2.1589</v>
      </c>
      <c r="F1031" s="2">
        <f t="shared" si="83"/>
        <v>-1.2209559833506725</v>
      </c>
      <c r="G1031" s="2">
        <f t="shared" si="84"/>
        <v>1.4907335132798076</v>
      </c>
    </row>
    <row r="1032" spans="1:7" x14ac:dyDescent="0.35">
      <c r="A1032" s="2">
        <v>1187</v>
      </c>
      <c r="B1032" s="2">
        <f t="shared" si="80"/>
        <v>-151.35206382240722</v>
      </c>
      <c r="C1032" s="2">
        <f t="shared" si="81"/>
        <v>22907.447223302028</v>
      </c>
      <c r="D1032" s="2">
        <v>20185</v>
      </c>
      <c r="E1032" s="2">
        <f t="shared" si="82"/>
        <v>2.0185</v>
      </c>
      <c r="F1032" s="2">
        <f t="shared" si="83"/>
        <v>-1.3613559833506725</v>
      </c>
      <c r="G1032" s="2">
        <f t="shared" si="84"/>
        <v>1.8532901134046766</v>
      </c>
    </row>
    <row r="1033" spans="1:7" x14ac:dyDescent="0.35">
      <c r="A1033" s="2">
        <v>1187</v>
      </c>
      <c r="B1033" s="2">
        <f t="shared" si="80"/>
        <v>-151.35206382240722</v>
      </c>
      <c r="C1033" s="2">
        <f t="shared" si="81"/>
        <v>22907.447223302028</v>
      </c>
      <c r="D1033" s="2">
        <v>22799</v>
      </c>
      <c r="E1033" s="2">
        <f t="shared" si="82"/>
        <v>2.2799</v>
      </c>
      <c r="F1033" s="2">
        <f t="shared" si="83"/>
        <v>-1.0999559833506725</v>
      </c>
      <c r="G1033" s="2">
        <f t="shared" si="84"/>
        <v>1.2099031653089449</v>
      </c>
    </row>
    <row r="1034" spans="1:7" x14ac:dyDescent="0.35">
      <c r="A1034" s="2">
        <v>1187</v>
      </c>
      <c r="B1034" s="2">
        <f t="shared" si="80"/>
        <v>-151.35206382240722</v>
      </c>
      <c r="C1034" s="2">
        <f t="shared" si="81"/>
        <v>22907.447223302028</v>
      </c>
      <c r="D1034" s="2">
        <v>20253</v>
      </c>
      <c r="E1034" s="2">
        <f t="shared" si="82"/>
        <v>2.0253000000000001</v>
      </c>
      <c r="F1034" s="2">
        <f t="shared" si="83"/>
        <v>-1.3545559833506724</v>
      </c>
      <c r="G1034" s="2">
        <f t="shared" si="84"/>
        <v>1.8348219120311071</v>
      </c>
    </row>
    <row r="1035" spans="1:7" x14ac:dyDescent="0.35">
      <c r="A1035" s="2">
        <v>1187</v>
      </c>
      <c r="B1035" s="2">
        <f t="shared" si="80"/>
        <v>-151.35206382240722</v>
      </c>
      <c r="C1035" s="2">
        <f t="shared" si="81"/>
        <v>22907.447223302028</v>
      </c>
      <c r="D1035" s="2">
        <v>23917</v>
      </c>
      <c r="E1035" s="2">
        <f t="shared" si="82"/>
        <v>2.3917000000000002</v>
      </c>
      <c r="F1035" s="2">
        <f t="shared" si="83"/>
        <v>-0.98815598335067234</v>
      </c>
      <c r="G1035" s="2">
        <f t="shared" si="84"/>
        <v>0.9764522474317342</v>
      </c>
    </row>
    <row r="1036" spans="1:7" x14ac:dyDescent="0.35">
      <c r="A1036" s="2">
        <v>1187</v>
      </c>
      <c r="B1036" s="2">
        <f t="shared" si="80"/>
        <v>-151.35206382240722</v>
      </c>
      <c r="C1036" s="2">
        <f t="shared" si="81"/>
        <v>22907.447223302028</v>
      </c>
      <c r="D1036" s="2">
        <v>20000</v>
      </c>
      <c r="E1036" s="2">
        <f t="shared" si="82"/>
        <v>2</v>
      </c>
      <c r="F1036" s="2">
        <f t="shared" si="83"/>
        <v>-1.3798559833506725</v>
      </c>
      <c r="G1036" s="2">
        <f t="shared" si="84"/>
        <v>1.9040025347886513</v>
      </c>
    </row>
    <row r="1037" spans="1:7" x14ac:dyDescent="0.35">
      <c r="A1037" s="2">
        <v>1187</v>
      </c>
      <c r="B1037" s="2">
        <f t="shared" si="80"/>
        <v>-151.35206382240722</v>
      </c>
      <c r="C1037" s="2">
        <f t="shared" si="81"/>
        <v>22907.447223302028</v>
      </c>
      <c r="D1037" s="2">
        <v>17015</v>
      </c>
      <c r="E1037" s="2">
        <f t="shared" si="82"/>
        <v>1.7015</v>
      </c>
      <c r="F1037" s="2">
        <f t="shared" si="83"/>
        <v>-1.6783559833506725</v>
      </c>
      <c r="G1037" s="2">
        <f t="shared" si="84"/>
        <v>2.8168788068490027</v>
      </c>
    </row>
    <row r="1038" spans="1:7" x14ac:dyDescent="0.35">
      <c r="A1038" s="2">
        <v>1187</v>
      </c>
      <c r="B1038" s="2">
        <f t="shared" si="80"/>
        <v>-151.35206382240722</v>
      </c>
      <c r="C1038" s="2">
        <f t="shared" si="81"/>
        <v>22907.447223302028</v>
      </c>
      <c r="D1038" s="2">
        <v>22735</v>
      </c>
      <c r="E1038" s="2">
        <f t="shared" si="82"/>
        <v>2.2734999999999999</v>
      </c>
      <c r="F1038" s="2">
        <f t="shared" si="83"/>
        <v>-1.1063559833506726</v>
      </c>
      <c r="G1038" s="2">
        <f t="shared" si="84"/>
        <v>1.2240235618958339</v>
      </c>
    </row>
    <row r="1039" spans="1:7" x14ac:dyDescent="0.35">
      <c r="A1039" s="2">
        <v>1187</v>
      </c>
      <c r="B1039" s="2">
        <f t="shared" si="80"/>
        <v>-151.35206382240722</v>
      </c>
      <c r="C1039" s="2">
        <f t="shared" si="81"/>
        <v>22907.447223302028</v>
      </c>
      <c r="D1039" s="2">
        <v>24109</v>
      </c>
      <c r="E1039" s="2">
        <f t="shared" si="82"/>
        <v>2.4108999999999998</v>
      </c>
      <c r="F1039" s="2">
        <f t="shared" si="83"/>
        <v>-0.96895598335067268</v>
      </c>
      <c r="G1039" s="2">
        <f t="shared" si="84"/>
        <v>0.93887569767106904</v>
      </c>
    </row>
    <row r="1040" spans="1:7" x14ac:dyDescent="0.35">
      <c r="A1040" s="2">
        <v>1187</v>
      </c>
      <c r="B1040" s="2">
        <f t="shared" si="80"/>
        <v>-151.35206382240722</v>
      </c>
      <c r="C1040" s="2">
        <f t="shared" si="81"/>
        <v>22907.447223302028</v>
      </c>
      <c r="D1040" s="2">
        <v>27126</v>
      </c>
      <c r="E1040" s="2">
        <f t="shared" si="82"/>
        <v>2.7126000000000001</v>
      </c>
      <c r="F1040" s="2">
        <f t="shared" si="83"/>
        <v>-0.66725598335067238</v>
      </c>
      <c r="G1040" s="2">
        <f t="shared" si="84"/>
        <v>0.4452305473172728</v>
      </c>
    </row>
    <row r="1041" spans="1:7" x14ac:dyDescent="0.35">
      <c r="A1041" s="2">
        <v>1187</v>
      </c>
      <c r="B1041" s="2">
        <f t="shared" si="80"/>
        <v>-151.35206382240722</v>
      </c>
      <c r="C1041" s="2">
        <f t="shared" si="81"/>
        <v>22907.447223302028</v>
      </c>
      <c r="D1041" s="2">
        <v>23495</v>
      </c>
      <c r="E1041" s="2">
        <f t="shared" si="82"/>
        <v>2.3494999999999999</v>
      </c>
      <c r="F1041" s="2">
        <f t="shared" si="83"/>
        <v>-1.0303559833506726</v>
      </c>
      <c r="G1041" s="2">
        <f t="shared" si="84"/>
        <v>1.0616334524265314</v>
      </c>
    </row>
    <row r="1042" spans="1:7" x14ac:dyDescent="0.35">
      <c r="A1042" s="2">
        <v>1187</v>
      </c>
      <c r="B1042" s="2">
        <f t="shared" si="80"/>
        <v>-151.35206382240722</v>
      </c>
      <c r="C1042" s="2">
        <f t="shared" si="81"/>
        <v>22907.447223302028</v>
      </c>
      <c r="D1042" s="2">
        <v>25386</v>
      </c>
      <c r="E1042" s="2">
        <f t="shared" si="82"/>
        <v>2.5386000000000002</v>
      </c>
      <c r="F1042" s="2">
        <f t="shared" si="83"/>
        <v>-0.84125598335067231</v>
      </c>
      <c r="G1042" s="2">
        <f t="shared" si="84"/>
        <v>0.70771162952330668</v>
      </c>
    </row>
    <row r="1043" spans="1:7" x14ac:dyDescent="0.35">
      <c r="A1043" s="2">
        <v>1187</v>
      </c>
      <c r="B1043" s="2">
        <f t="shared" si="80"/>
        <v>-151.35206382240722</v>
      </c>
      <c r="C1043" s="2">
        <f t="shared" si="81"/>
        <v>22907.447223302028</v>
      </c>
      <c r="D1043" s="2">
        <v>26378</v>
      </c>
      <c r="E1043" s="2">
        <f t="shared" si="82"/>
        <v>2.6377999999999999</v>
      </c>
      <c r="F1043" s="2">
        <f t="shared" si="83"/>
        <v>-0.74205598335067258</v>
      </c>
      <c r="G1043" s="2">
        <f t="shared" si="84"/>
        <v>0.55064708242653371</v>
      </c>
    </row>
    <row r="1044" spans="1:7" x14ac:dyDescent="0.35">
      <c r="A1044" s="2">
        <v>1187</v>
      </c>
      <c r="B1044" s="2">
        <f t="shared" si="80"/>
        <v>-151.35206382240722</v>
      </c>
      <c r="C1044" s="2">
        <f t="shared" si="81"/>
        <v>22907.447223302028</v>
      </c>
      <c r="D1044" s="2">
        <v>26964</v>
      </c>
      <c r="E1044" s="2">
        <f t="shared" si="82"/>
        <v>2.6964000000000001</v>
      </c>
      <c r="F1044" s="2">
        <f t="shared" si="83"/>
        <v>-0.68345598335067237</v>
      </c>
      <c r="G1044" s="2">
        <f t="shared" si="84"/>
        <v>0.46711208117783454</v>
      </c>
    </row>
    <row r="1045" spans="1:7" x14ac:dyDescent="0.35">
      <c r="A1045" s="2">
        <v>1187</v>
      </c>
      <c r="B1045" s="2">
        <f t="shared" si="80"/>
        <v>-151.35206382240722</v>
      </c>
      <c r="C1045" s="2">
        <f t="shared" si="81"/>
        <v>22907.447223302028</v>
      </c>
      <c r="D1045" s="2">
        <v>27500</v>
      </c>
      <c r="E1045" s="2">
        <f t="shared" si="82"/>
        <v>2.75</v>
      </c>
      <c r="F1045" s="2">
        <f t="shared" si="83"/>
        <v>-0.6298559833506725</v>
      </c>
      <c r="G1045" s="2">
        <f t="shared" si="84"/>
        <v>0.39671855976264264</v>
      </c>
    </row>
    <row r="1046" spans="1:7" x14ac:dyDescent="0.35">
      <c r="A1046" s="2">
        <v>1187</v>
      </c>
      <c r="B1046" s="2">
        <f t="shared" si="80"/>
        <v>-151.35206382240722</v>
      </c>
      <c r="C1046" s="2">
        <f t="shared" si="81"/>
        <v>22907.447223302028</v>
      </c>
      <c r="D1046" s="2">
        <v>28200</v>
      </c>
      <c r="E1046" s="2">
        <f t="shared" si="82"/>
        <v>2.82</v>
      </c>
      <c r="F1046" s="2">
        <f t="shared" si="83"/>
        <v>-0.55985598335067266</v>
      </c>
      <c r="G1046" s="2">
        <f t="shared" si="84"/>
        <v>0.31343872209354867</v>
      </c>
    </row>
    <row r="1047" spans="1:7" x14ac:dyDescent="0.35">
      <c r="A1047" s="2">
        <v>652</v>
      </c>
      <c r="B1047" s="2">
        <f t="shared" si="80"/>
        <v>-686.35206382240722</v>
      </c>
      <c r="C1047" s="2">
        <f t="shared" si="81"/>
        <v>471079.15551327774</v>
      </c>
      <c r="D1047" s="2">
        <v>61549</v>
      </c>
      <c r="E1047" s="2">
        <f t="shared" si="82"/>
        <v>6.1548999999999996</v>
      </c>
      <c r="F1047" s="2">
        <f t="shared" si="83"/>
        <v>2.7750440166493271</v>
      </c>
      <c r="G1047" s="2">
        <f t="shared" si="84"/>
        <v>7.7008692943412305</v>
      </c>
    </row>
    <row r="1048" spans="1:7" x14ac:dyDescent="0.35">
      <c r="A1048" s="2">
        <v>652</v>
      </c>
      <c r="B1048" s="2">
        <f t="shared" si="80"/>
        <v>-686.35206382240722</v>
      </c>
      <c r="C1048" s="2">
        <f t="shared" si="81"/>
        <v>471079.15551327774</v>
      </c>
      <c r="D1048" s="2">
        <v>67222</v>
      </c>
      <c r="E1048" s="2">
        <f t="shared" si="82"/>
        <v>6.7222</v>
      </c>
      <c r="F1048" s="2">
        <f t="shared" si="83"/>
        <v>3.3423440166493275</v>
      </c>
      <c r="G1048" s="2">
        <f t="shared" si="84"/>
        <v>11.171263525631559</v>
      </c>
    </row>
    <row r="1049" spans="1:7" x14ac:dyDescent="0.35">
      <c r="A1049" s="2">
        <v>652</v>
      </c>
      <c r="B1049" s="2">
        <f t="shared" si="80"/>
        <v>-686.35206382240722</v>
      </c>
      <c r="C1049" s="2">
        <f t="shared" si="81"/>
        <v>471079.15551327774</v>
      </c>
      <c r="D1049" s="2">
        <v>68500</v>
      </c>
      <c r="E1049" s="2">
        <f t="shared" si="82"/>
        <v>6.85</v>
      </c>
      <c r="F1049" s="2">
        <f t="shared" si="83"/>
        <v>3.4701440166493271</v>
      </c>
      <c r="G1049" s="2">
        <f t="shared" si="84"/>
        <v>12.041899496287126</v>
      </c>
    </row>
    <row r="1050" spans="1:7" x14ac:dyDescent="0.35">
      <c r="A1050" s="2">
        <v>652</v>
      </c>
      <c r="B1050" s="2">
        <f t="shared" si="80"/>
        <v>-686.35206382240722</v>
      </c>
      <c r="C1050" s="2">
        <f t="shared" si="81"/>
        <v>471079.15551327774</v>
      </c>
      <c r="D1050" s="2">
        <v>65964</v>
      </c>
      <c r="E1050" s="2">
        <f t="shared" si="82"/>
        <v>6.5964</v>
      </c>
      <c r="F1050" s="2">
        <f t="shared" si="83"/>
        <v>3.2165440166493275</v>
      </c>
      <c r="G1050" s="2">
        <f t="shared" si="84"/>
        <v>10.34615541104259</v>
      </c>
    </row>
    <row r="1051" spans="1:7" x14ac:dyDescent="0.35">
      <c r="A1051" s="2">
        <v>652</v>
      </c>
      <c r="B1051" s="2">
        <f t="shared" si="80"/>
        <v>-686.35206382240722</v>
      </c>
      <c r="C1051" s="2">
        <f t="shared" si="81"/>
        <v>471079.15551327774</v>
      </c>
      <c r="D1051" s="2">
        <v>60000</v>
      </c>
      <c r="E1051" s="2">
        <f t="shared" si="82"/>
        <v>6</v>
      </c>
      <c r="F1051" s="2">
        <f t="shared" si="83"/>
        <v>2.6201440166493275</v>
      </c>
      <c r="G1051" s="2">
        <f t="shared" si="84"/>
        <v>6.8651546679832718</v>
      </c>
    </row>
    <row r="1052" spans="1:7" x14ac:dyDescent="0.35">
      <c r="A1052" s="2">
        <v>652</v>
      </c>
      <c r="B1052" s="2">
        <f t="shared" si="80"/>
        <v>-686.35206382240722</v>
      </c>
      <c r="C1052" s="2">
        <f t="shared" si="81"/>
        <v>471079.15551327774</v>
      </c>
      <c r="D1052" s="2">
        <v>54938</v>
      </c>
      <c r="E1052" s="2">
        <f t="shared" si="82"/>
        <v>5.4938000000000002</v>
      </c>
      <c r="F1052" s="2">
        <f t="shared" si="83"/>
        <v>2.1139440166493277</v>
      </c>
      <c r="G1052" s="2">
        <f t="shared" si="84"/>
        <v>4.4687593055274935</v>
      </c>
    </row>
    <row r="1053" spans="1:7" x14ac:dyDescent="0.35">
      <c r="A1053" s="2">
        <v>652</v>
      </c>
      <c r="B1053" s="2">
        <f t="shared" si="80"/>
        <v>-686.35206382240722</v>
      </c>
      <c r="C1053" s="2">
        <f t="shared" si="81"/>
        <v>471079.15551327774</v>
      </c>
      <c r="D1053" s="2">
        <v>73611</v>
      </c>
      <c r="E1053" s="2">
        <f t="shared" si="82"/>
        <v>7.3611000000000004</v>
      </c>
      <c r="F1053" s="2">
        <f t="shared" si="83"/>
        <v>3.9812440166493279</v>
      </c>
      <c r="G1053" s="2">
        <f t="shared" si="84"/>
        <v>15.850303920106073</v>
      </c>
    </row>
    <row r="1054" spans="1:7" x14ac:dyDescent="0.35">
      <c r="A1054" s="2">
        <v>652</v>
      </c>
      <c r="B1054" s="2">
        <f t="shared" si="80"/>
        <v>-686.35206382240722</v>
      </c>
      <c r="C1054" s="2">
        <f t="shared" si="81"/>
        <v>471079.15551327774</v>
      </c>
      <c r="D1054" s="2">
        <v>73904</v>
      </c>
      <c r="E1054" s="2">
        <f t="shared" si="82"/>
        <v>7.3903999999999996</v>
      </c>
      <c r="F1054" s="2">
        <f t="shared" si="83"/>
        <v>4.0105440166493267</v>
      </c>
      <c r="G1054" s="2">
        <f t="shared" si="84"/>
        <v>16.084463309481716</v>
      </c>
    </row>
    <row r="1055" spans="1:7" x14ac:dyDescent="0.35">
      <c r="A1055" s="2">
        <v>652</v>
      </c>
      <c r="B1055" s="2">
        <f t="shared" si="80"/>
        <v>-686.35206382240722</v>
      </c>
      <c r="C1055" s="2">
        <f t="shared" si="81"/>
        <v>471079.15551327774</v>
      </c>
      <c r="D1055" s="2">
        <v>80813</v>
      </c>
      <c r="E1055" s="2">
        <f t="shared" si="82"/>
        <v>8.0813000000000006</v>
      </c>
      <c r="F1055" s="2">
        <f t="shared" si="83"/>
        <v>4.7014440166493277</v>
      </c>
      <c r="G1055" s="2">
        <f t="shared" si="84"/>
        <v>22.103575841687764</v>
      </c>
    </row>
    <row r="1056" spans="1:7" x14ac:dyDescent="0.35">
      <c r="A1056" s="2">
        <v>652</v>
      </c>
      <c r="B1056" s="2">
        <f t="shared" si="80"/>
        <v>-686.35206382240722</v>
      </c>
      <c r="C1056" s="2">
        <f t="shared" si="81"/>
        <v>471079.15551327774</v>
      </c>
      <c r="D1056" s="2">
        <v>81057</v>
      </c>
      <c r="E1056" s="2">
        <f t="shared" si="82"/>
        <v>8.1057000000000006</v>
      </c>
      <c r="F1056" s="2">
        <f t="shared" si="83"/>
        <v>4.7258440166493276</v>
      </c>
      <c r="G1056" s="2">
        <f t="shared" si="84"/>
        <v>22.333601669700251</v>
      </c>
    </row>
    <row r="1057" spans="1:7" x14ac:dyDescent="0.35">
      <c r="A1057" s="2">
        <v>652</v>
      </c>
      <c r="B1057" s="2">
        <f t="shared" si="80"/>
        <v>-686.35206382240722</v>
      </c>
      <c r="C1057" s="2">
        <f t="shared" si="81"/>
        <v>471079.15551327774</v>
      </c>
      <c r="D1057" s="2">
        <v>77561</v>
      </c>
      <c r="E1057" s="2">
        <f t="shared" si="82"/>
        <v>7.7561</v>
      </c>
      <c r="F1057" s="2">
        <f t="shared" si="83"/>
        <v>4.3762440166493271</v>
      </c>
      <c r="G1057" s="2">
        <f t="shared" si="84"/>
        <v>19.151511693259035</v>
      </c>
    </row>
    <row r="1058" spans="1:7" x14ac:dyDescent="0.35">
      <c r="A1058" s="2">
        <v>652</v>
      </c>
      <c r="B1058" s="2">
        <f t="shared" si="80"/>
        <v>-686.35206382240722</v>
      </c>
      <c r="C1058" s="2">
        <f t="shared" si="81"/>
        <v>471079.15551327774</v>
      </c>
      <c r="D1058" s="2">
        <v>74739</v>
      </c>
      <c r="E1058" s="2">
        <f t="shared" si="82"/>
        <v>7.4739000000000004</v>
      </c>
      <c r="F1058" s="2">
        <f t="shared" si="83"/>
        <v>4.0940440166493275</v>
      </c>
      <c r="G1058" s="2">
        <f t="shared" si="84"/>
        <v>16.761196410262158</v>
      </c>
    </row>
    <row r="1059" spans="1:7" x14ac:dyDescent="0.35">
      <c r="A1059" s="2">
        <v>652</v>
      </c>
      <c r="B1059" s="2">
        <f t="shared" si="80"/>
        <v>-686.35206382240722</v>
      </c>
      <c r="C1059" s="2">
        <f t="shared" si="81"/>
        <v>471079.15551327774</v>
      </c>
      <c r="D1059" s="2">
        <v>72195</v>
      </c>
      <c r="E1059" s="2">
        <f t="shared" si="82"/>
        <v>7.2195</v>
      </c>
      <c r="F1059" s="2">
        <f t="shared" si="83"/>
        <v>3.8396440166493275</v>
      </c>
      <c r="G1059" s="2">
        <f t="shared" si="84"/>
        <v>14.742866174590981</v>
      </c>
    </row>
    <row r="1060" spans="1:7" x14ac:dyDescent="0.35">
      <c r="A1060" s="2">
        <v>652</v>
      </c>
      <c r="B1060" s="2">
        <f t="shared" si="80"/>
        <v>-686.35206382240722</v>
      </c>
      <c r="C1060" s="2">
        <f t="shared" si="81"/>
        <v>471079.15551327774</v>
      </c>
      <c r="D1060" s="2">
        <v>73028</v>
      </c>
      <c r="E1060" s="2">
        <f t="shared" si="82"/>
        <v>7.3028000000000004</v>
      </c>
      <c r="F1060" s="2">
        <f t="shared" si="83"/>
        <v>3.9229440166493279</v>
      </c>
      <c r="G1060" s="2">
        <f t="shared" si="84"/>
        <v>15.389489757764762</v>
      </c>
    </row>
    <row r="1061" spans="1:7" x14ac:dyDescent="0.35">
      <c r="A1061" s="2">
        <v>652</v>
      </c>
      <c r="B1061" s="2">
        <f t="shared" si="80"/>
        <v>-686.35206382240722</v>
      </c>
      <c r="C1061" s="2">
        <f t="shared" si="81"/>
        <v>471079.15551327774</v>
      </c>
      <c r="D1061" s="2">
        <v>70098</v>
      </c>
      <c r="E1061" s="2">
        <f t="shared" si="82"/>
        <v>7.0098000000000003</v>
      </c>
      <c r="F1061" s="2">
        <f t="shared" si="83"/>
        <v>3.6299440166493278</v>
      </c>
      <c r="G1061" s="2">
        <f t="shared" si="84"/>
        <v>13.176493564008256</v>
      </c>
    </row>
    <row r="1062" spans="1:7" x14ac:dyDescent="0.35">
      <c r="A1062" s="2">
        <v>652</v>
      </c>
      <c r="B1062" s="2">
        <f t="shared" si="80"/>
        <v>-686.35206382240722</v>
      </c>
      <c r="C1062" s="2">
        <f t="shared" si="81"/>
        <v>471079.15551327774</v>
      </c>
      <c r="D1062" s="2">
        <v>71151</v>
      </c>
      <c r="E1062" s="2">
        <f t="shared" si="82"/>
        <v>7.1151</v>
      </c>
      <c r="F1062" s="2">
        <f t="shared" si="83"/>
        <v>3.7352440166493275</v>
      </c>
      <c r="G1062" s="2">
        <f t="shared" si="84"/>
        <v>13.952047863914601</v>
      </c>
    </row>
    <row r="1063" spans="1:7" x14ac:dyDescent="0.35">
      <c r="A1063" s="2">
        <v>652</v>
      </c>
      <c r="B1063" s="2">
        <f t="shared" si="80"/>
        <v>-686.35206382240722</v>
      </c>
      <c r="C1063" s="2">
        <f t="shared" si="81"/>
        <v>471079.15551327774</v>
      </c>
      <c r="D1063" s="2">
        <v>73683</v>
      </c>
      <c r="E1063" s="2">
        <f t="shared" si="82"/>
        <v>7.3682999999999996</v>
      </c>
      <c r="F1063" s="2">
        <f t="shared" si="83"/>
        <v>3.9884440166493271</v>
      </c>
      <c r="G1063" s="2">
        <f t="shared" si="84"/>
        <v>15.907685673945817</v>
      </c>
    </row>
    <row r="1064" spans="1:7" x14ac:dyDescent="0.35">
      <c r="A1064" s="2">
        <v>652</v>
      </c>
      <c r="B1064" s="2">
        <f t="shared" si="80"/>
        <v>-686.35206382240722</v>
      </c>
      <c r="C1064" s="2">
        <f t="shared" si="81"/>
        <v>471079.15551327774</v>
      </c>
      <c r="D1064" s="2">
        <v>71038</v>
      </c>
      <c r="E1064" s="2">
        <f t="shared" si="82"/>
        <v>7.1037999999999997</v>
      </c>
      <c r="F1064" s="2">
        <f t="shared" si="83"/>
        <v>3.7239440166493272</v>
      </c>
      <c r="G1064" s="2">
        <f t="shared" si="84"/>
        <v>13.867759039138324</v>
      </c>
    </row>
    <row r="1065" spans="1:7" x14ac:dyDescent="0.35">
      <c r="A1065" s="2">
        <v>652</v>
      </c>
      <c r="B1065" s="2">
        <f t="shared" si="80"/>
        <v>-686.35206382240722</v>
      </c>
      <c r="C1065" s="2">
        <f t="shared" si="81"/>
        <v>471079.15551327774</v>
      </c>
      <c r="D1065" s="2">
        <v>74059</v>
      </c>
      <c r="E1065" s="2">
        <f t="shared" si="82"/>
        <v>7.4058999999999999</v>
      </c>
      <c r="F1065" s="2">
        <f t="shared" si="83"/>
        <v>4.0260440166493279</v>
      </c>
      <c r="G1065" s="2">
        <f t="shared" si="84"/>
        <v>16.209030423997852</v>
      </c>
    </row>
    <row r="1066" spans="1:7" x14ac:dyDescent="0.35">
      <c r="A1066" s="2">
        <v>652</v>
      </c>
      <c r="B1066" s="2">
        <f t="shared" si="80"/>
        <v>-686.35206382240722</v>
      </c>
      <c r="C1066" s="2">
        <f t="shared" si="81"/>
        <v>471079.15551327774</v>
      </c>
      <c r="D1066" s="2">
        <v>77137</v>
      </c>
      <c r="E1066" s="2">
        <f t="shared" si="82"/>
        <v>7.7137000000000002</v>
      </c>
      <c r="F1066" s="2">
        <f t="shared" si="83"/>
        <v>4.3338440166493282</v>
      </c>
      <c r="G1066" s="2">
        <f t="shared" si="84"/>
        <v>18.782203960647184</v>
      </c>
    </row>
    <row r="1067" spans="1:7" x14ac:dyDescent="0.35">
      <c r="A1067" s="2">
        <v>652</v>
      </c>
      <c r="B1067" s="2">
        <f t="shared" si="80"/>
        <v>-686.35206382240722</v>
      </c>
      <c r="C1067" s="2">
        <f t="shared" si="81"/>
        <v>471079.15551327774</v>
      </c>
      <c r="D1067" s="2">
        <v>76337</v>
      </c>
      <c r="E1067" s="2">
        <f t="shared" si="82"/>
        <v>7.6337000000000002</v>
      </c>
      <c r="F1067" s="2">
        <f t="shared" si="83"/>
        <v>4.2538440166493281</v>
      </c>
      <c r="G1067" s="2">
        <f t="shared" si="84"/>
        <v>18.09518891798329</v>
      </c>
    </row>
    <row r="1068" spans="1:7" x14ac:dyDescent="0.35">
      <c r="A1068" s="2">
        <v>652</v>
      </c>
      <c r="B1068" s="2">
        <f t="shared" si="80"/>
        <v>-686.35206382240722</v>
      </c>
      <c r="C1068" s="2">
        <f t="shared" si="81"/>
        <v>471079.15551327774</v>
      </c>
      <c r="D1068" s="2">
        <v>73731</v>
      </c>
      <c r="E1068" s="2">
        <f t="shared" si="82"/>
        <v>7.3731</v>
      </c>
      <c r="F1068" s="2">
        <f t="shared" si="83"/>
        <v>3.9932440166493275</v>
      </c>
      <c r="G1068" s="2">
        <f t="shared" si="84"/>
        <v>15.945997776505655</v>
      </c>
    </row>
    <row r="1069" spans="1:7" x14ac:dyDescent="0.35">
      <c r="A1069" s="2">
        <v>652</v>
      </c>
      <c r="B1069" s="2">
        <f t="shared" si="80"/>
        <v>-686.35206382240722</v>
      </c>
      <c r="C1069" s="2">
        <f t="shared" si="81"/>
        <v>471079.15551327774</v>
      </c>
      <c r="D1069" s="2">
        <v>76682</v>
      </c>
      <c r="E1069" s="2">
        <f t="shared" si="82"/>
        <v>7.6681999999999997</v>
      </c>
      <c r="F1069" s="2">
        <f t="shared" si="83"/>
        <v>4.2883440166493276</v>
      </c>
      <c r="G1069" s="2">
        <f t="shared" si="84"/>
        <v>18.38989440513209</v>
      </c>
    </row>
    <row r="1070" spans="1:7" x14ac:dyDescent="0.35">
      <c r="A1070" s="2">
        <v>652</v>
      </c>
      <c r="B1070" s="2">
        <f t="shared" si="80"/>
        <v>-686.35206382240722</v>
      </c>
      <c r="C1070" s="2">
        <f t="shared" si="81"/>
        <v>471079.15551327774</v>
      </c>
      <c r="D1070" s="2">
        <v>69283</v>
      </c>
      <c r="E1070" s="2">
        <f t="shared" si="82"/>
        <v>6.9283000000000001</v>
      </c>
      <c r="F1070" s="2">
        <f t="shared" si="83"/>
        <v>3.5484440166493276</v>
      </c>
      <c r="G1070" s="2">
        <f t="shared" si="84"/>
        <v>12.591454939294414</v>
      </c>
    </row>
    <row r="1071" spans="1:7" x14ac:dyDescent="0.35">
      <c r="A1071" s="2">
        <v>652</v>
      </c>
      <c r="B1071" s="2">
        <f t="shared" si="80"/>
        <v>-686.35206382240722</v>
      </c>
      <c r="C1071" s="2">
        <f t="shared" si="81"/>
        <v>471079.15551327774</v>
      </c>
      <c r="D1071" s="2">
        <v>81086</v>
      </c>
      <c r="E1071" s="2">
        <f t="shared" si="82"/>
        <v>8.1085999999999991</v>
      </c>
      <c r="F1071" s="2">
        <f t="shared" si="83"/>
        <v>4.7287440166493262</v>
      </c>
      <c r="G1071" s="2">
        <f t="shared" si="84"/>
        <v>22.361019974996804</v>
      </c>
    </row>
    <row r="1072" spans="1:7" x14ac:dyDescent="0.35">
      <c r="A1072" s="2">
        <v>652</v>
      </c>
      <c r="B1072" s="2">
        <f t="shared" si="80"/>
        <v>-686.35206382240722</v>
      </c>
      <c r="C1072" s="2">
        <f t="shared" si="81"/>
        <v>471079.15551327774</v>
      </c>
      <c r="D1072" s="2">
        <v>74926</v>
      </c>
      <c r="E1072" s="2">
        <f t="shared" si="82"/>
        <v>7.4926000000000004</v>
      </c>
      <c r="F1072" s="2">
        <f t="shared" si="83"/>
        <v>4.1127440166493283</v>
      </c>
      <c r="G1072" s="2">
        <f t="shared" si="84"/>
        <v>16.914663346484851</v>
      </c>
    </row>
    <row r="1073" spans="1:7" x14ac:dyDescent="0.35">
      <c r="A1073" s="2">
        <v>652</v>
      </c>
      <c r="B1073" s="2">
        <f t="shared" si="80"/>
        <v>-686.35206382240722</v>
      </c>
      <c r="C1073" s="2">
        <f t="shared" si="81"/>
        <v>471079.15551327774</v>
      </c>
      <c r="D1073" s="2">
        <v>83964</v>
      </c>
      <c r="E1073" s="2">
        <f t="shared" si="82"/>
        <v>8.3963999999999999</v>
      </c>
      <c r="F1073" s="2">
        <f t="shared" si="83"/>
        <v>5.0165440166493269</v>
      </c>
      <c r="G1073" s="2">
        <f t="shared" si="84"/>
        <v>25.165713870980163</v>
      </c>
    </row>
    <row r="1074" spans="1:7" x14ac:dyDescent="0.35">
      <c r="A1074" s="2">
        <v>652</v>
      </c>
      <c r="B1074" s="2">
        <f t="shared" si="80"/>
        <v>-686.35206382240722</v>
      </c>
      <c r="C1074" s="2">
        <f t="shared" si="81"/>
        <v>471079.15551327774</v>
      </c>
      <c r="D1074" s="2">
        <v>84659</v>
      </c>
      <c r="E1074" s="2">
        <f t="shared" si="82"/>
        <v>8.4658999999999995</v>
      </c>
      <c r="F1074" s="2">
        <f t="shared" si="83"/>
        <v>5.0860440166493266</v>
      </c>
      <c r="G1074" s="2">
        <f t="shared" si="84"/>
        <v>25.867843739294415</v>
      </c>
    </row>
    <row r="1075" spans="1:7" x14ac:dyDescent="0.35">
      <c r="A1075" s="2">
        <v>652</v>
      </c>
      <c r="B1075" s="2">
        <f t="shared" si="80"/>
        <v>-686.35206382240722</v>
      </c>
      <c r="C1075" s="2">
        <f t="shared" si="81"/>
        <v>471079.15551327774</v>
      </c>
      <c r="D1075" s="2">
        <v>77093</v>
      </c>
      <c r="E1075" s="2">
        <f t="shared" si="82"/>
        <v>7.7092999999999998</v>
      </c>
      <c r="F1075" s="2">
        <f t="shared" si="83"/>
        <v>4.3294440166493278</v>
      </c>
      <c r="G1075" s="2">
        <f t="shared" si="84"/>
        <v>18.744085493300666</v>
      </c>
    </row>
    <row r="1076" spans="1:7" x14ac:dyDescent="0.35">
      <c r="A1076" s="2">
        <v>652</v>
      </c>
      <c r="B1076" s="2">
        <f t="shared" si="80"/>
        <v>-686.35206382240722</v>
      </c>
      <c r="C1076" s="2">
        <f t="shared" si="81"/>
        <v>471079.15551327774</v>
      </c>
      <c r="D1076" s="2">
        <v>77299</v>
      </c>
      <c r="E1076" s="2">
        <f t="shared" si="82"/>
        <v>7.7298999999999998</v>
      </c>
      <c r="F1076" s="2">
        <f t="shared" si="83"/>
        <v>4.3500440166493277</v>
      </c>
      <c r="G1076" s="2">
        <f t="shared" si="84"/>
        <v>18.922882946786615</v>
      </c>
    </row>
    <row r="1077" spans="1:7" x14ac:dyDescent="0.35">
      <c r="A1077" s="2">
        <v>1996</v>
      </c>
      <c r="B1077" s="2">
        <f t="shared" si="80"/>
        <v>657.64793617759278</v>
      </c>
      <c r="C1077" s="2">
        <f t="shared" si="81"/>
        <v>432500.80795864714</v>
      </c>
      <c r="D1077" s="2">
        <v>26374</v>
      </c>
      <c r="E1077" s="2">
        <f t="shared" si="82"/>
        <v>2.6374</v>
      </c>
      <c r="F1077" s="2">
        <f t="shared" si="83"/>
        <v>-0.74245598335067253</v>
      </c>
      <c r="G1077" s="2">
        <f t="shared" si="84"/>
        <v>0.55124088721321418</v>
      </c>
    </row>
    <row r="1078" spans="1:7" x14ac:dyDescent="0.35">
      <c r="A1078" s="2">
        <v>1996</v>
      </c>
      <c r="B1078" s="2">
        <f t="shared" si="80"/>
        <v>657.64793617759278</v>
      </c>
      <c r="C1078" s="2">
        <f t="shared" si="81"/>
        <v>432500.80795864714</v>
      </c>
      <c r="D1078" s="2">
        <v>33402</v>
      </c>
      <c r="E1078" s="2">
        <f t="shared" si="82"/>
        <v>3.3401999999999998</v>
      </c>
      <c r="F1078" s="2">
        <f t="shared" si="83"/>
        <v>-3.9655983350672663E-2</v>
      </c>
      <c r="G1078" s="2">
        <f t="shared" si="84"/>
        <v>1.5725970155088275E-3</v>
      </c>
    </row>
    <row r="1079" spans="1:7" x14ac:dyDescent="0.35">
      <c r="A1079" s="2">
        <v>1996</v>
      </c>
      <c r="B1079" s="2">
        <f t="shared" si="80"/>
        <v>657.64793617759278</v>
      </c>
      <c r="C1079" s="2">
        <f t="shared" si="81"/>
        <v>432500.80795864714</v>
      </c>
      <c r="D1079" s="2">
        <v>25283</v>
      </c>
      <c r="E1079" s="2">
        <f t="shared" si="82"/>
        <v>2.5283000000000002</v>
      </c>
      <c r="F1079" s="2">
        <f t="shared" si="83"/>
        <v>-0.85155598335067229</v>
      </c>
      <c r="G1079" s="2">
        <f t="shared" si="84"/>
        <v>0.72514759278033047</v>
      </c>
    </row>
    <row r="1080" spans="1:7" x14ac:dyDescent="0.35">
      <c r="A1080" s="2">
        <v>1996</v>
      </c>
      <c r="B1080" s="2">
        <f t="shared" si="80"/>
        <v>657.64793617759278</v>
      </c>
      <c r="C1080" s="2">
        <f t="shared" si="81"/>
        <v>432500.80795864714</v>
      </c>
      <c r="D1080" s="2">
        <v>29693</v>
      </c>
      <c r="E1080" s="2">
        <f t="shared" si="82"/>
        <v>2.9693000000000001</v>
      </c>
      <c r="F1080" s="2">
        <f t="shared" si="83"/>
        <v>-0.41055598335067245</v>
      </c>
      <c r="G1080" s="2">
        <f t="shared" si="84"/>
        <v>0.16855621546503763</v>
      </c>
    </row>
    <row r="1081" spans="1:7" x14ac:dyDescent="0.35">
      <c r="A1081" s="2">
        <v>1996</v>
      </c>
      <c r="B1081" s="2">
        <f t="shared" si="80"/>
        <v>657.64793617759278</v>
      </c>
      <c r="C1081" s="2">
        <f t="shared" si="81"/>
        <v>432500.80795864714</v>
      </c>
      <c r="D1081" s="2">
        <v>31111</v>
      </c>
      <c r="E1081" s="2">
        <f t="shared" si="82"/>
        <v>3.1111</v>
      </c>
      <c r="F1081" s="2">
        <f t="shared" si="83"/>
        <v>-0.26875598335067252</v>
      </c>
      <c r="G1081" s="2">
        <f t="shared" si="84"/>
        <v>7.2229778586786961E-2</v>
      </c>
    </row>
    <row r="1082" spans="1:7" x14ac:dyDescent="0.35">
      <c r="A1082" s="2">
        <v>1996</v>
      </c>
      <c r="B1082" s="2">
        <f t="shared" si="80"/>
        <v>657.64793617759278</v>
      </c>
      <c r="C1082" s="2">
        <f t="shared" si="81"/>
        <v>432500.80795864714</v>
      </c>
      <c r="D1082" s="2">
        <v>28745</v>
      </c>
      <c r="E1082" s="2">
        <f t="shared" si="82"/>
        <v>2.8744999999999998</v>
      </c>
      <c r="F1082" s="2">
        <f t="shared" si="83"/>
        <v>-0.50535598335067267</v>
      </c>
      <c r="G1082" s="2">
        <f t="shared" si="84"/>
        <v>0.25538466990832537</v>
      </c>
    </row>
    <row r="1083" spans="1:7" x14ac:dyDescent="0.35">
      <c r="A1083" s="2">
        <v>1996</v>
      </c>
      <c r="B1083" s="2">
        <f t="shared" si="80"/>
        <v>657.64793617759278</v>
      </c>
      <c r="C1083" s="2">
        <f t="shared" si="81"/>
        <v>432500.80795864714</v>
      </c>
      <c r="D1083" s="2">
        <v>26021</v>
      </c>
      <c r="E1083" s="2">
        <f t="shared" si="82"/>
        <v>2.6021000000000001</v>
      </c>
      <c r="F1083" s="2">
        <f t="shared" si="83"/>
        <v>-0.77775598335067242</v>
      </c>
      <c r="G1083" s="2">
        <f t="shared" si="84"/>
        <v>0.60490436963777139</v>
      </c>
    </row>
    <row r="1084" spans="1:7" x14ac:dyDescent="0.35">
      <c r="A1084" s="2">
        <v>1996</v>
      </c>
      <c r="B1084" s="2">
        <f t="shared" si="80"/>
        <v>657.64793617759278</v>
      </c>
      <c r="C1084" s="2">
        <f t="shared" si="81"/>
        <v>432500.80795864714</v>
      </c>
      <c r="D1084" s="2">
        <v>27338</v>
      </c>
      <c r="E1084" s="2">
        <f t="shared" si="82"/>
        <v>2.7338</v>
      </c>
      <c r="F1084" s="2">
        <f t="shared" si="83"/>
        <v>-0.64605598335067249</v>
      </c>
      <c r="G1084" s="2">
        <f t="shared" si="84"/>
        <v>0.41738833362320443</v>
      </c>
    </row>
    <row r="1085" spans="1:7" x14ac:dyDescent="0.35">
      <c r="A1085" s="2">
        <v>1996</v>
      </c>
      <c r="B1085" s="2">
        <f t="shared" si="80"/>
        <v>657.64793617759278</v>
      </c>
      <c r="C1085" s="2">
        <f t="shared" si="81"/>
        <v>432500.80795864714</v>
      </c>
      <c r="D1085" s="2">
        <v>30022</v>
      </c>
      <c r="E1085" s="2">
        <f t="shared" si="82"/>
        <v>3.0022000000000002</v>
      </c>
      <c r="F1085" s="2">
        <f t="shared" si="83"/>
        <v>-0.3776559833506723</v>
      </c>
      <c r="G1085" s="2">
        <f t="shared" si="84"/>
        <v>0.14262404176056326</v>
      </c>
    </row>
    <row r="1086" spans="1:7" x14ac:dyDescent="0.35">
      <c r="A1086" s="2">
        <v>1996</v>
      </c>
      <c r="B1086" s="2">
        <f t="shared" si="80"/>
        <v>657.64793617759278</v>
      </c>
      <c r="C1086" s="2">
        <f t="shared" si="81"/>
        <v>432500.80795864714</v>
      </c>
      <c r="D1086" s="2">
        <v>27877</v>
      </c>
      <c r="E1086" s="2">
        <f t="shared" si="82"/>
        <v>2.7877000000000001</v>
      </c>
      <c r="F1086" s="2">
        <f t="shared" si="83"/>
        <v>-0.59215598335067243</v>
      </c>
      <c r="G1086" s="2">
        <f t="shared" si="84"/>
        <v>0.35064870861800185</v>
      </c>
    </row>
    <row r="1087" spans="1:7" x14ac:dyDescent="0.35">
      <c r="A1087" s="2">
        <v>1996</v>
      </c>
      <c r="B1087" s="2">
        <f t="shared" si="80"/>
        <v>657.64793617759278</v>
      </c>
      <c r="C1087" s="2">
        <f t="shared" si="81"/>
        <v>432500.80795864714</v>
      </c>
      <c r="D1087" s="2">
        <v>18086</v>
      </c>
      <c r="E1087" s="2">
        <f t="shared" si="82"/>
        <v>1.8086</v>
      </c>
      <c r="F1087" s="2">
        <f t="shared" si="83"/>
        <v>-1.5712559833506725</v>
      </c>
      <c r="G1087" s="2">
        <f t="shared" si="84"/>
        <v>2.4688453652152891</v>
      </c>
    </row>
    <row r="1088" spans="1:7" x14ac:dyDescent="0.35">
      <c r="A1088" s="2">
        <v>1996</v>
      </c>
      <c r="B1088" s="2">
        <f t="shared" si="80"/>
        <v>657.64793617759278</v>
      </c>
      <c r="C1088" s="2">
        <f t="shared" si="81"/>
        <v>432500.80795864714</v>
      </c>
      <c r="D1088" s="2">
        <v>18548</v>
      </c>
      <c r="E1088" s="2">
        <f t="shared" si="82"/>
        <v>1.8548</v>
      </c>
      <c r="F1088" s="2">
        <f t="shared" si="83"/>
        <v>-1.5250559833506725</v>
      </c>
      <c r="G1088" s="2">
        <f t="shared" si="84"/>
        <v>2.3257957523536867</v>
      </c>
    </row>
    <row r="1089" spans="1:7" x14ac:dyDescent="0.35">
      <c r="A1089" s="2">
        <v>1996</v>
      </c>
      <c r="B1089" s="2">
        <f t="shared" si="80"/>
        <v>657.64793617759278</v>
      </c>
      <c r="C1089" s="2">
        <f t="shared" si="81"/>
        <v>432500.80795864714</v>
      </c>
      <c r="D1089" s="2">
        <v>22581</v>
      </c>
      <c r="E1089" s="2">
        <f t="shared" si="82"/>
        <v>2.2581000000000002</v>
      </c>
      <c r="F1089" s="2">
        <f t="shared" si="83"/>
        <v>-1.1217559833506723</v>
      </c>
      <c r="G1089" s="2">
        <f t="shared" si="84"/>
        <v>1.2583364861830337</v>
      </c>
    </row>
    <row r="1090" spans="1:7" x14ac:dyDescent="0.35">
      <c r="A1090" s="2">
        <v>1996</v>
      </c>
      <c r="B1090" s="2">
        <f t="shared" si="80"/>
        <v>657.64793617759278</v>
      </c>
      <c r="C1090" s="2">
        <f t="shared" si="81"/>
        <v>432500.80795864714</v>
      </c>
      <c r="D1090" s="2">
        <v>32924</v>
      </c>
      <c r="E1090" s="2">
        <f t="shared" si="82"/>
        <v>3.2924000000000002</v>
      </c>
      <c r="F1090" s="2">
        <f t="shared" si="83"/>
        <v>-8.7455983350672284E-2</v>
      </c>
      <c r="G1090" s="2">
        <f t="shared" si="84"/>
        <v>7.6485490238330676E-3</v>
      </c>
    </row>
    <row r="1091" spans="1:7" x14ac:dyDescent="0.35">
      <c r="A1091" s="2">
        <v>1996</v>
      </c>
      <c r="B1091" s="2">
        <f t="shared" ref="B1091:B1154" si="85">A1091-$J$1</f>
        <v>657.64793617759278</v>
      </c>
      <c r="C1091" s="2">
        <f t="shared" ref="C1091:C1154" si="86">B1091^2</f>
        <v>432500.80795864714</v>
      </c>
      <c r="D1091" s="2">
        <v>30764</v>
      </c>
      <c r="E1091" s="2">
        <f t="shared" ref="E1091:E1154" si="87">D1091/10000</f>
        <v>3.0764</v>
      </c>
      <c r="F1091" s="2">
        <f t="shared" ref="F1091:F1154" si="88">E1091-$J$2</f>
        <v>-0.30345598335067248</v>
      </c>
      <c r="G1091" s="2">
        <f t="shared" ref="G1091:G1154" si="89">F1091^2</f>
        <v>9.2085533831323604E-2</v>
      </c>
    </row>
    <row r="1092" spans="1:7" x14ac:dyDescent="0.35">
      <c r="A1092" s="2">
        <v>1996</v>
      </c>
      <c r="B1092" s="2">
        <f t="shared" si="85"/>
        <v>657.64793617759278</v>
      </c>
      <c r="C1092" s="2">
        <f t="shared" si="86"/>
        <v>432500.80795864714</v>
      </c>
      <c r="D1092" s="2">
        <v>19229</v>
      </c>
      <c r="E1092" s="2">
        <f t="shared" si="87"/>
        <v>1.9229000000000001</v>
      </c>
      <c r="F1092" s="2">
        <f t="shared" si="88"/>
        <v>-1.4569559833506724</v>
      </c>
      <c r="G1092" s="2">
        <f t="shared" si="89"/>
        <v>2.1227207374213251</v>
      </c>
    </row>
    <row r="1093" spans="1:7" x14ac:dyDescent="0.35">
      <c r="A1093" s="2">
        <v>1996</v>
      </c>
      <c r="B1093" s="2">
        <f t="shared" si="85"/>
        <v>657.64793617759278</v>
      </c>
      <c r="C1093" s="2">
        <f t="shared" si="86"/>
        <v>432500.80795864714</v>
      </c>
      <c r="D1093" s="2">
        <v>11989</v>
      </c>
      <c r="E1093" s="2">
        <f t="shared" si="87"/>
        <v>1.1989000000000001</v>
      </c>
      <c r="F1093" s="2">
        <f t="shared" si="88"/>
        <v>-2.1809559833506724</v>
      </c>
      <c r="G1093" s="2">
        <f t="shared" si="89"/>
        <v>4.7565690013130988</v>
      </c>
    </row>
    <row r="1094" spans="1:7" x14ac:dyDescent="0.35">
      <c r="A1094" s="2">
        <v>1996</v>
      </c>
      <c r="B1094" s="2">
        <f t="shared" si="85"/>
        <v>657.64793617759278</v>
      </c>
      <c r="C1094" s="2">
        <f t="shared" si="86"/>
        <v>432500.80795864714</v>
      </c>
      <c r="D1094" s="2">
        <v>26236</v>
      </c>
      <c r="E1094" s="2">
        <f t="shared" si="87"/>
        <v>2.6236000000000002</v>
      </c>
      <c r="F1094" s="2">
        <f t="shared" si="88"/>
        <v>-0.75625598335067235</v>
      </c>
      <c r="G1094" s="2">
        <f t="shared" si="89"/>
        <v>0.57192311235369242</v>
      </c>
    </row>
    <row r="1095" spans="1:7" x14ac:dyDescent="0.35">
      <c r="A1095" s="2">
        <v>1996</v>
      </c>
      <c r="B1095" s="2">
        <f t="shared" si="85"/>
        <v>657.64793617759278</v>
      </c>
      <c r="C1095" s="2">
        <f t="shared" si="86"/>
        <v>432500.80795864714</v>
      </c>
      <c r="D1095" s="2">
        <v>27463</v>
      </c>
      <c r="E1095" s="2">
        <f t="shared" si="87"/>
        <v>2.7463000000000002</v>
      </c>
      <c r="F1095" s="2">
        <f t="shared" si="88"/>
        <v>-0.63355598335067231</v>
      </c>
      <c r="G1095" s="2">
        <f t="shared" si="89"/>
        <v>0.40139318403943736</v>
      </c>
    </row>
    <row r="1096" spans="1:7" x14ac:dyDescent="0.35">
      <c r="A1096" s="2">
        <v>1996</v>
      </c>
      <c r="B1096" s="2">
        <f t="shared" si="85"/>
        <v>657.64793617759278</v>
      </c>
      <c r="C1096" s="2">
        <f t="shared" si="86"/>
        <v>432500.80795864714</v>
      </c>
      <c r="D1096" s="2">
        <v>24662</v>
      </c>
      <c r="E1096" s="2">
        <f t="shared" si="87"/>
        <v>2.4662000000000002</v>
      </c>
      <c r="F1096" s="2">
        <f t="shared" si="88"/>
        <v>-0.91365598335067233</v>
      </c>
      <c r="G1096" s="2">
        <f t="shared" si="89"/>
        <v>0.83476725591248402</v>
      </c>
    </row>
    <row r="1097" spans="1:7" x14ac:dyDescent="0.35">
      <c r="A1097" s="2">
        <v>1996</v>
      </c>
      <c r="B1097" s="2">
        <f t="shared" si="85"/>
        <v>657.64793617759278</v>
      </c>
      <c r="C1097" s="2">
        <f t="shared" si="86"/>
        <v>432500.80795864714</v>
      </c>
      <c r="D1097" s="2">
        <v>28203</v>
      </c>
      <c r="E1097" s="2">
        <f t="shared" si="87"/>
        <v>2.8203</v>
      </c>
      <c r="F1097" s="2">
        <f t="shared" si="88"/>
        <v>-0.55955598335067247</v>
      </c>
      <c r="G1097" s="2">
        <f t="shared" si="89"/>
        <v>0.31310289850353806</v>
      </c>
    </row>
    <row r="1098" spans="1:7" x14ac:dyDescent="0.35">
      <c r="A1098" s="2">
        <v>1996</v>
      </c>
      <c r="B1098" s="2">
        <f t="shared" si="85"/>
        <v>657.64793617759278</v>
      </c>
      <c r="C1098" s="2">
        <f t="shared" si="86"/>
        <v>432500.80795864714</v>
      </c>
      <c r="D1098" s="2">
        <v>30625</v>
      </c>
      <c r="E1098" s="2">
        <f t="shared" si="87"/>
        <v>3.0625</v>
      </c>
      <c r="F1098" s="2">
        <f t="shared" si="88"/>
        <v>-0.3173559833506725</v>
      </c>
      <c r="G1098" s="2">
        <f t="shared" si="89"/>
        <v>0.10071482016847232</v>
      </c>
    </row>
    <row r="1099" spans="1:7" x14ac:dyDescent="0.35">
      <c r="A1099" s="2">
        <v>1996</v>
      </c>
      <c r="B1099" s="2">
        <f t="shared" si="85"/>
        <v>657.64793617759278</v>
      </c>
      <c r="C1099" s="2">
        <f t="shared" si="86"/>
        <v>432500.80795864714</v>
      </c>
      <c r="D1099" s="2">
        <v>28922</v>
      </c>
      <c r="E1099" s="2">
        <f t="shared" si="87"/>
        <v>2.8921999999999999</v>
      </c>
      <c r="F1099" s="2">
        <f t="shared" si="88"/>
        <v>-0.48765598335067262</v>
      </c>
      <c r="G1099" s="2">
        <f t="shared" si="89"/>
        <v>0.23780835809771148</v>
      </c>
    </row>
    <row r="1100" spans="1:7" x14ac:dyDescent="0.35">
      <c r="A1100" s="2">
        <v>1996</v>
      </c>
      <c r="B1100" s="2">
        <f t="shared" si="85"/>
        <v>657.64793617759278</v>
      </c>
      <c r="C1100" s="2">
        <f t="shared" si="86"/>
        <v>432500.80795864714</v>
      </c>
      <c r="D1100" s="2">
        <v>28258</v>
      </c>
      <c r="E1100" s="2">
        <f t="shared" si="87"/>
        <v>2.8258000000000001</v>
      </c>
      <c r="F1100" s="2">
        <f t="shared" si="88"/>
        <v>-0.55405598335067241</v>
      </c>
      <c r="G1100" s="2">
        <f t="shared" si="89"/>
        <v>0.30697803268668056</v>
      </c>
    </row>
    <row r="1101" spans="1:7" x14ac:dyDescent="0.35">
      <c r="A1101" s="2">
        <v>1996</v>
      </c>
      <c r="B1101" s="2">
        <f t="shared" si="85"/>
        <v>657.64793617759278</v>
      </c>
      <c r="C1101" s="2">
        <f t="shared" si="86"/>
        <v>432500.80795864714</v>
      </c>
      <c r="D1101" s="2">
        <v>28621</v>
      </c>
      <c r="E1101" s="2">
        <f t="shared" si="87"/>
        <v>2.8620999999999999</v>
      </c>
      <c r="F1101" s="2">
        <f t="shared" si="88"/>
        <v>-0.51775598335067263</v>
      </c>
      <c r="G1101" s="2">
        <f t="shared" si="89"/>
        <v>0.268071258295422</v>
      </c>
    </row>
    <row r="1102" spans="1:7" x14ac:dyDescent="0.35">
      <c r="A1102" s="2">
        <v>1996</v>
      </c>
      <c r="B1102" s="2">
        <f t="shared" si="85"/>
        <v>657.64793617759278</v>
      </c>
      <c r="C1102" s="2">
        <f t="shared" si="86"/>
        <v>432500.80795864714</v>
      </c>
      <c r="D1102" s="2">
        <v>28928</v>
      </c>
      <c r="E1102" s="2">
        <f t="shared" si="87"/>
        <v>2.8927999999999998</v>
      </c>
      <c r="F1102" s="2">
        <f t="shared" si="88"/>
        <v>-0.48705598335067268</v>
      </c>
      <c r="G1102" s="2">
        <f t="shared" si="89"/>
        <v>0.23722353091769074</v>
      </c>
    </row>
    <row r="1103" spans="1:7" x14ac:dyDescent="0.35">
      <c r="A1103" s="2">
        <v>1996</v>
      </c>
      <c r="B1103" s="2">
        <f t="shared" si="85"/>
        <v>657.64793617759278</v>
      </c>
      <c r="C1103" s="2">
        <f t="shared" si="86"/>
        <v>432500.80795864714</v>
      </c>
      <c r="D1103" s="2">
        <v>29387</v>
      </c>
      <c r="E1103" s="2">
        <f t="shared" si="87"/>
        <v>2.9386999999999999</v>
      </c>
      <c r="F1103" s="2">
        <f t="shared" si="88"/>
        <v>-0.44115598335067263</v>
      </c>
      <c r="G1103" s="2">
        <f t="shared" si="89"/>
        <v>0.19461860164609895</v>
      </c>
    </row>
    <row r="1104" spans="1:7" x14ac:dyDescent="0.35">
      <c r="A1104" s="2">
        <v>1996</v>
      </c>
      <c r="B1104" s="2">
        <f t="shared" si="85"/>
        <v>657.64793617759278</v>
      </c>
      <c r="C1104" s="2">
        <f t="shared" si="86"/>
        <v>432500.80795864714</v>
      </c>
      <c r="D1104" s="2">
        <v>30061</v>
      </c>
      <c r="E1104" s="2">
        <f t="shared" si="87"/>
        <v>3.0061</v>
      </c>
      <c r="F1104" s="2">
        <f t="shared" si="88"/>
        <v>-0.3737559833506725</v>
      </c>
      <c r="G1104" s="2">
        <f t="shared" si="89"/>
        <v>0.13969353509042817</v>
      </c>
    </row>
    <row r="1105" spans="1:7" x14ac:dyDescent="0.35">
      <c r="A1105" s="2">
        <v>1996</v>
      </c>
      <c r="B1105" s="2">
        <f t="shared" si="85"/>
        <v>657.64793617759278</v>
      </c>
      <c r="C1105" s="2">
        <f t="shared" si="86"/>
        <v>432500.80795864714</v>
      </c>
      <c r="D1105" s="2">
        <v>29356</v>
      </c>
      <c r="E1105" s="2">
        <f t="shared" si="87"/>
        <v>2.9356</v>
      </c>
      <c r="F1105" s="2">
        <f t="shared" si="88"/>
        <v>-0.44425598335067251</v>
      </c>
      <c r="G1105" s="2">
        <f t="shared" si="89"/>
        <v>0.19736337874287302</v>
      </c>
    </row>
    <row r="1106" spans="1:7" x14ac:dyDescent="0.35">
      <c r="A1106" s="2">
        <v>1996</v>
      </c>
      <c r="B1106" s="2">
        <f t="shared" si="85"/>
        <v>657.64793617759278</v>
      </c>
      <c r="C1106" s="2">
        <f t="shared" si="86"/>
        <v>432500.80795864714</v>
      </c>
      <c r="D1106" s="2">
        <v>29807</v>
      </c>
      <c r="E1106" s="2">
        <f t="shared" si="87"/>
        <v>2.9807000000000001</v>
      </c>
      <c r="F1106" s="2">
        <f t="shared" si="88"/>
        <v>-0.39915598335067237</v>
      </c>
      <c r="G1106" s="2">
        <f t="shared" si="89"/>
        <v>0.15932549904464224</v>
      </c>
    </row>
    <row r="1107" spans="1:7" x14ac:dyDescent="0.35">
      <c r="A1107" s="2">
        <v>1651</v>
      </c>
      <c r="B1107" s="2">
        <f t="shared" si="85"/>
        <v>312.64793617759278</v>
      </c>
      <c r="C1107" s="2">
        <f t="shared" si="86"/>
        <v>97748.731996108123</v>
      </c>
      <c r="D1107" s="2">
        <v>17090</v>
      </c>
      <c r="E1107" s="2">
        <f t="shared" si="87"/>
        <v>1.7090000000000001</v>
      </c>
      <c r="F1107" s="2">
        <f t="shared" si="88"/>
        <v>-1.6708559833506724</v>
      </c>
      <c r="G1107" s="2">
        <f t="shared" si="89"/>
        <v>2.7917597170987425</v>
      </c>
    </row>
    <row r="1108" spans="1:7" x14ac:dyDescent="0.35">
      <c r="A1108" s="2">
        <v>1651</v>
      </c>
      <c r="B1108" s="2">
        <f t="shared" si="85"/>
        <v>312.64793617759278</v>
      </c>
      <c r="C1108" s="2">
        <f t="shared" si="86"/>
        <v>97748.731996108123</v>
      </c>
      <c r="D1108" s="2">
        <v>17094</v>
      </c>
      <c r="E1108" s="2">
        <f t="shared" si="87"/>
        <v>1.7094</v>
      </c>
      <c r="F1108" s="2">
        <f t="shared" si="88"/>
        <v>-1.6704559833506725</v>
      </c>
      <c r="G1108" s="2">
        <f t="shared" si="89"/>
        <v>2.7904231923120619</v>
      </c>
    </row>
    <row r="1109" spans="1:7" x14ac:dyDescent="0.35">
      <c r="A1109" s="2">
        <v>1651</v>
      </c>
      <c r="B1109" s="2">
        <f t="shared" si="85"/>
        <v>312.64793617759278</v>
      </c>
      <c r="C1109" s="2">
        <f t="shared" si="86"/>
        <v>97748.731996108123</v>
      </c>
      <c r="D1109" s="2">
        <v>17097</v>
      </c>
      <c r="E1109" s="2">
        <f t="shared" si="87"/>
        <v>1.7097</v>
      </c>
      <c r="F1109" s="2">
        <f t="shared" si="88"/>
        <v>-1.6701559833506725</v>
      </c>
      <c r="G1109" s="2">
        <f t="shared" si="89"/>
        <v>2.7894210087220519</v>
      </c>
    </row>
    <row r="1110" spans="1:7" x14ac:dyDescent="0.35">
      <c r="A1110" s="2">
        <v>1651</v>
      </c>
      <c r="B1110" s="2">
        <f t="shared" si="85"/>
        <v>312.64793617759278</v>
      </c>
      <c r="C1110" s="2">
        <f t="shared" si="86"/>
        <v>97748.731996108123</v>
      </c>
      <c r="D1110" s="2">
        <v>17103</v>
      </c>
      <c r="E1110" s="2">
        <f t="shared" si="87"/>
        <v>1.7102999999999999</v>
      </c>
      <c r="F1110" s="2">
        <f t="shared" si="88"/>
        <v>-1.6695559833506726</v>
      </c>
      <c r="G1110" s="2">
        <f t="shared" si="89"/>
        <v>2.7874171815420312</v>
      </c>
    </row>
    <row r="1111" spans="1:7" x14ac:dyDescent="0.35">
      <c r="A1111" s="2">
        <v>1651</v>
      </c>
      <c r="B1111" s="2">
        <f t="shared" si="85"/>
        <v>312.64793617759278</v>
      </c>
      <c r="C1111" s="2">
        <f t="shared" si="86"/>
        <v>97748.731996108123</v>
      </c>
      <c r="D1111" s="2">
        <v>17106</v>
      </c>
      <c r="E1111" s="2">
        <f t="shared" si="87"/>
        <v>1.7105999999999999</v>
      </c>
      <c r="F1111" s="2">
        <f t="shared" si="88"/>
        <v>-1.6692559833506726</v>
      </c>
      <c r="G1111" s="2">
        <f t="shared" si="89"/>
        <v>2.786415537952021</v>
      </c>
    </row>
    <row r="1112" spans="1:7" x14ac:dyDescent="0.35">
      <c r="A1112" s="2">
        <v>1651</v>
      </c>
      <c r="B1112" s="2">
        <f t="shared" si="85"/>
        <v>312.64793617759278</v>
      </c>
      <c r="C1112" s="2">
        <f t="shared" si="86"/>
        <v>97748.731996108123</v>
      </c>
      <c r="D1112" s="2">
        <v>17110</v>
      </c>
      <c r="E1112" s="2">
        <f t="shared" si="87"/>
        <v>1.7110000000000001</v>
      </c>
      <c r="F1112" s="2">
        <f t="shared" si="88"/>
        <v>-1.6688559833506724</v>
      </c>
      <c r="G1112" s="2">
        <f t="shared" si="89"/>
        <v>2.7850802931653398</v>
      </c>
    </row>
    <row r="1113" spans="1:7" x14ac:dyDescent="0.35">
      <c r="A1113" s="2">
        <v>1651</v>
      </c>
      <c r="B1113" s="2">
        <f t="shared" si="85"/>
        <v>312.64793617759278</v>
      </c>
      <c r="C1113" s="2">
        <f t="shared" si="86"/>
        <v>97748.731996108123</v>
      </c>
      <c r="D1113" s="2">
        <v>17113</v>
      </c>
      <c r="E1113" s="2">
        <f t="shared" si="87"/>
        <v>1.7113</v>
      </c>
      <c r="F1113" s="2">
        <f t="shared" si="88"/>
        <v>-1.6685559833506725</v>
      </c>
      <c r="G1113" s="2">
        <f t="shared" si="89"/>
        <v>2.7840790695753297</v>
      </c>
    </row>
    <row r="1114" spans="1:7" x14ac:dyDescent="0.35">
      <c r="A1114" s="2">
        <v>1651</v>
      </c>
      <c r="B1114" s="2">
        <f t="shared" si="85"/>
        <v>312.64793617759278</v>
      </c>
      <c r="C1114" s="2">
        <f t="shared" si="86"/>
        <v>97748.731996108123</v>
      </c>
      <c r="D1114" s="2">
        <v>17116</v>
      </c>
      <c r="E1114" s="2">
        <f t="shared" si="87"/>
        <v>1.7116</v>
      </c>
      <c r="F1114" s="2">
        <f t="shared" si="88"/>
        <v>-1.6682559833506725</v>
      </c>
      <c r="G1114" s="2">
        <f t="shared" si="89"/>
        <v>2.7830780259853194</v>
      </c>
    </row>
    <row r="1115" spans="1:7" x14ac:dyDescent="0.35">
      <c r="A1115" s="2">
        <v>1651</v>
      </c>
      <c r="B1115" s="2">
        <f t="shared" si="85"/>
        <v>312.64793617759278</v>
      </c>
      <c r="C1115" s="2">
        <f t="shared" si="86"/>
        <v>97748.731996108123</v>
      </c>
      <c r="D1115" s="2">
        <v>17119</v>
      </c>
      <c r="E1115" s="2">
        <f t="shared" si="87"/>
        <v>1.7119</v>
      </c>
      <c r="F1115" s="2">
        <f t="shared" si="88"/>
        <v>-1.6679559833506725</v>
      </c>
      <c r="G1115" s="2">
        <f t="shared" si="89"/>
        <v>2.7820771623953089</v>
      </c>
    </row>
    <row r="1116" spans="1:7" x14ac:dyDescent="0.35">
      <c r="A1116" s="2">
        <v>1651</v>
      </c>
      <c r="B1116" s="2">
        <f t="shared" si="85"/>
        <v>312.64793617759278</v>
      </c>
      <c r="C1116" s="2">
        <f t="shared" si="86"/>
        <v>97748.731996108123</v>
      </c>
      <c r="D1116" s="2">
        <v>17122</v>
      </c>
      <c r="E1116" s="2">
        <f t="shared" si="87"/>
        <v>1.7121999999999999</v>
      </c>
      <c r="F1116" s="2">
        <f t="shared" si="88"/>
        <v>-1.6676559833506726</v>
      </c>
      <c r="G1116" s="2">
        <f t="shared" si="89"/>
        <v>2.7810764788052986</v>
      </c>
    </row>
    <row r="1117" spans="1:7" x14ac:dyDescent="0.35">
      <c r="A1117" s="2">
        <v>1651</v>
      </c>
      <c r="B1117" s="2">
        <f t="shared" si="85"/>
        <v>312.64793617759278</v>
      </c>
      <c r="C1117" s="2">
        <f t="shared" si="86"/>
        <v>97748.731996108123</v>
      </c>
      <c r="D1117" s="2">
        <v>17126</v>
      </c>
      <c r="E1117" s="2">
        <f t="shared" si="87"/>
        <v>1.7125999999999999</v>
      </c>
      <c r="F1117" s="2">
        <f t="shared" si="88"/>
        <v>-1.6672559833506726</v>
      </c>
      <c r="G1117" s="2">
        <f t="shared" si="89"/>
        <v>2.779742514018618</v>
      </c>
    </row>
    <row r="1118" spans="1:7" x14ac:dyDescent="0.35">
      <c r="A1118" s="2">
        <v>1651</v>
      </c>
      <c r="B1118" s="2">
        <f t="shared" si="85"/>
        <v>312.64793617759278</v>
      </c>
      <c r="C1118" s="2">
        <f t="shared" si="86"/>
        <v>97748.731996108123</v>
      </c>
      <c r="D1118" s="2">
        <v>17129</v>
      </c>
      <c r="E1118" s="2">
        <f t="shared" si="87"/>
        <v>1.7129000000000001</v>
      </c>
      <c r="F1118" s="2">
        <f t="shared" si="88"/>
        <v>-1.6669559833506724</v>
      </c>
      <c r="G1118" s="2">
        <f t="shared" si="89"/>
        <v>2.7787422504286075</v>
      </c>
    </row>
    <row r="1119" spans="1:7" x14ac:dyDescent="0.35">
      <c r="A1119" s="2">
        <v>1651</v>
      </c>
      <c r="B1119" s="2">
        <f t="shared" si="85"/>
        <v>312.64793617759278</v>
      </c>
      <c r="C1119" s="2">
        <f t="shared" si="86"/>
        <v>97748.731996108123</v>
      </c>
      <c r="D1119" s="2">
        <v>17132</v>
      </c>
      <c r="E1119" s="2">
        <f t="shared" si="87"/>
        <v>1.7132000000000001</v>
      </c>
      <c r="F1119" s="2">
        <f t="shared" si="88"/>
        <v>-1.6666559833506724</v>
      </c>
      <c r="G1119" s="2">
        <f t="shared" si="89"/>
        <v>2.7777421668385971</v>
      </c>
    </row>
    <row r="1120" spans="1:7" x14ac:dyDescent="0.35">
      <c r="A1120" s="2">
        <v>1651</v>
      </c>
      <c r="B1120" s="2">
        <f t="shared" si="85"/>
        <v>312.64793617759278</v>
      </c>
      <c r="C1120" s="2">
        <f t="shared" si="86"/>
        <v>97748.731996108123</v>
      </c>
      <c r="D1120" s="2">
        <v>17135</v>
      </c>
      <c r="E1120" s="2">
        <f t="shared" si="87"/>
        <v>1.7135</v>
      </c>
      <c r="F1120" s="2">
        <f t="shared" si="88"/>
        <v>-1.6663559833506725</v>
      </c>
      <c r="G1120" s="2">
        <f t="shared" si="89"/>
        <v>2.7767422632485865</v>
      </c>
    </row>
    <row r="1121" spans="1:7" x14ac:dyDescent="0.35">
      <c r="A1121" s="2">
        <v>1651</v>
      </c>
      <c r="B1121" s="2">
        <f t="shared" si="85"/>
        <v>312.64793617759278</v>
      </c>
      <c r="C1121" s="2">
        <f t="shared" si="86"/>
        <v>97748.731996108123</v>
      </c>
      <c r="D1121" s="2">
        <v>17139</v>
      </c>
      <c r="E1121" s="2">
        <f t="shared" si="87"/>
        <v>1.7139</v>
      </c>
      <c r="F1121" s="2">
        <f t="shared" si="88"/>
        <v>-1.6659559833506725</v>
      </c>
      <c r="G1121" s="2">
        <f t="shared" si="89"/>
        <v>2.7754093384619063</v>
      </c>
    </row>
    <row r="1122" spans="1:7" x14ac:dyDescent="0.35">
      <c r="A1122" s="2">
        <v>1651</v>
      </c>
      <c r="B1122" s="2">
        <f t="shared" si="85"/>
        <v>312.64793617759278</v>
      </c>
      <c r="C1122" s="2">
        <f t="shared" si="86"/>
        <v>97748.731996108123</v>
      </c>
      <c r="D1122" s="2">
        <v>17194</v>
      </c>
      <c r="E1122" s="2">
        <f t="shared" si="87"/>
        <v>1.7194</v>
      </c>
      <c r="F1122" s="2">
        <f t="shared" si="88"/>
        <v>-1.6604559833506725</v>
      </c>
      <c r="G1122" s="2">
        <f t="shared" si="89"/>
        <v>2.7571140726450487</v>
      </c>
    </row>
    <row r="1123" spans="1:7" x14ac:dyDescent="0.35">
      <c r="A1123" s="2">
        <v>1651</v>
      </c>
      <c r="B1123" s="2">
        <f t="shared" si="85"/>
        <v>312.64793617759278</v>
      </c>
      <c r="C1123" s="2">
        <f t="shared" si="86"/>
        <v>97748.731996108123</v>
      </c>
      <c r="D1123" s="2">
        <v>17289</v>
      </c>
      <c r="E1123" s="2">
        <f t="shared" si="87"/>
        <v>1.7289000000000001</v>
      </c>
      <c r="F1123" s="2">
        <f t="shared" si="88"/>
        <v>-1.6509559833506724</v>
      </c>
      <c r="G1123" s="2">
        <f t="shared" si="89"/>
        <v>2.7256556589613856</v>
      </c>
    </row>
    <row r="1124" spans="1:7" x14ac:dyDescent="0.35">
      <c r="A1124" s="2">
        <v>1651</v>
      </c>
      <c r="B1124" s="2">
        <f t="shared" si="85"/>
        <v>312.64793617759278</v>
      </c>
      <c r="C1124" s="2">
        <f t="shared" si="86"/>
        <v>97748.731996108123</v>
      </c>
      <c r="D1124" s="2">
        <v>17479</v>
      </c>
      <c r="E1124" s="2">
        <f t="shared" si="87"/>
        <v>1.7479</v>
      </c>
      <c r="F1124" s="2">
        <f t="shared" si="88"/>
        <v>-1.6319559833506725</v>
      </c>
      <c r="G1124" s="2">
        <f t="shared" si="89"/>
        <v>2.6632803315940605</v>
      </c>
    </row>
    <row r="1125" spans="1:7" x14ac:dyDescent="0.35">
      <c r="A1125" s="2">
        <v>1651</v>
      </c>
      <c r="B1125" s="2">
        <f t="shared" si="85"/>
        <v>312.64793617759278</v>
      </c>
      <c r="C1125" s="2">
        <f t="shared" si="86"/>
        <v>97748.731996108123</v>
      </c>
      <c r="D1125" s="2">
        <v>17575</v>
      </c>
      <c r="E1125" s="2">
        <f t="shared" si="87"/>
        <v>1.7575000000000001</v>
      </c>
      <c r="F1125" s="2">
        <f t="shared" si="88"/>
        <v>-1.6223559833506724</v>
      </c>
      <c r="G1125" s="2">
        <f t="shared" si="89"/>
        <v>2.6320389367137271</v>
      </c>
    </row>
    <row r="1126" spans="1:7" x14ac:dyDescent="0.35">
      <c r="A1126" s="2">
        <v>1651</v>
      </c>
      <c r="B1126" s="2">
        <f t="shared" si="85"/>
        <v>312.64793617759278</v>
      </c>
      <c r="C1126" s="2">
        <f t="shared" si="86"/>
        <v>97748.731996108123</v>
      </c>
      <c r="D1126" s="2">
        <v>17672</v>
      </c>
      <c r="E1126" s="2">
        <f t="shared" si="87"/>
        <v>1.7672000000000001</v>
      </c>
      <c r="F1126" s="2">
        <f t="shared" si="88"/>
        <v>-1.6126559833506724</v>
      </c>
      <c r="G1126" s="2">
        <f t="shared" si="89"/>
        <v>2.6006593206367241</v>
      </c>
    </row>
    <row r="1127" spans="1:7" x14ac:dyDescent="0.35">
      <c r="A1127" s="2">
        <v>1651</v>
      </c>
      <c r="B1127" s="2">
        <f t="shared" si="85"/>
        <v>312.64793617759278</v>
      </c>
      <c r="C1127" s="2">
        <f t="shared" si="86"/>
        <v>97748.731996108123</v>
      </c>
      <c r="D1127" s="2">
        <v>17769</v>
      </c>
      <c r="E1127" s="2">
        <f t="shared" si="87"/>
        <v>1.7768999999999999</v>
      </c>
      <c r="F1127" s="2">
        <f t="shared" si="88"/>
        <v>-1.6029559833506726</v>
      </c>
      <c r="G1127" s="2">
        <f t="shared" si="89"/>
        <v>2.5694678845597219</v>
      </c>
    </row>
    <row r="1128" spans="1:7" x14ac:dyDescent="0.35">
      <c r="A1128" s="2">
        <v>1651</v>
      </c>
      <c r="B1128" s="2">
        <f t="shared" si="85"/>
        <v>312.64793617759278</v>
      </c>
      <c r="C1128" s="2">
        <f t="shared" si="86"/>
        <v>97748.731996108123</v>
      </c>
      <c r="D1128" s="2">
        <v>19308</v>
      </c>
      <c r="E1128" s="2">
        <f t="shared" si="87"/>
        <v>1.9308000000000001</v>
      </c>
      <c r="F1128" s="2">
        <f t="shared" si="88"/>
        <v>-1.4490559833506724</v>
      </c>
      <c r="G1128" s="2">
        <f t="shared" si="89"/>
        <v>2.0997632428843844</v>
      </c>
    </row>
    <row r="1129" spans="1:7" x14ac:dyDescent="0.35">
      <c r="A1129" s="2">
        <v>1651</v>
      </c>
      <c r="B1129" s="2">
        <f t="shared" si="85"/>
        <v>312.64793617759278</v>
      </c>
      <c r="C1129" s="2">
        <f t="shared" si="86"/>
        <v>97748.731996108123</v>
      </c>
      <c r="D1129" s="2">
        <v>16705</v>
      </c>
      <c r="E1129" s="2">
        <f t="shared" si="87"/>
        <v>1.6705000000000001</v>
      </c>
      <c r="F1129" s="2">
        <f t="shared" si="88"/>
        <v>-1.7093559833506724</v>
      </c>
      <c r="G1129" s="2">
        <f t="shared" si="89"/>
        <v>2.9218978778167441</v>
      </c>
    </row>
    <row r="1130" spans="1:7" x14ac:dyDescent="0.35">
      <c r="A1130" s="2">
        <v>1651</v>
      </c>
      <c r="B1130" s="2">
        <f t="shared" si="85"/>
        <v>312.64793617759278</v>
      </c>
      <c r="C1130" s="2">
        <f t="shared" si="86"/>
        <v>97748.731996108123</v>
      </c>
      <c r="D1130" s="2">
        <v>11008</v>
      </c>
      <c r="E1130" s="2">
        <f t="shared" si="87"/>
        <v>1.1008</v>
      </c>
      <c r="F1130" s="2">
        <f t="shared" si="88"/>
        <v>-2.2790559833506725</v>
      </c>
      <c r="G1130" s="2">
        <f t="shared" si="89"/>
        <v>5.1940961752465009</v>
      </c>
    </row>
    <row r="1131" spans="1:7" x14ac:dyDescent="0.35">
      <c r="A1131" s="2">
        <v>1651</v>
      </c>
      <c r="B1131" s="2">
        <f t="shared" si="85"/>
        <v>312.64793617759278</v>
      </c>
      <c r="C1131" s="2">
        <f t="shared" si="86"/>
        <v>97748.731996108123</v>
      </c>
      <c r="D1131" s="2">
        <v>11567</v>
      </c>
      <c r="E1131" s="2">
        <f t="shared" si="87"/>
        <v>1.1567000000000001</v>
      </c>
      <c r="F1131" s="2">
        <f t="shared" si="88"/>
        <v>-2.2231559833506722</v>
      </c>
      <c r="G1131" s="2">
        <f t="shared" si="89"/>
        <v>4.9424225263078947</v>
      </c>
    </row>
    <row r="1132" spans="1:7" x14ac:dyDescent="0.35">
      <c r="A1132" s="2">
        <v>1651</v>
      </c>
      <c r="B1132" s="2">
        <f t="shared" si="85"/>
        <v>312.64793617759278</v>
      </c>
      <c r="C1132" s="2">
        <f t="shared" si="86"/>
        <v>97748.731996108123</v>
      </c>
      <c r="D1132" s="2">
        <v>12000</v>
      </c>
      <c r="E1132" s="2">
        <f t="shared" si="87"/>
        <v>1.2</v>
      </c>
      <c r="F1132" s="2">
        <f t="shared" si="88"/>
        <v>-2.1798559833506728</v>
      </c>
      <c r="G1132" s="2">
        <f t="shared" si="89"/>
        <v>4.7517721081497282</v>
      </c>
    </row>
    <row r="1133" spans="1:7" x14ac:dyDescent="0.35">
      <c r="A1133" s="2">
        <v>1651</v>
      </c>
      <c r="B1133" s="2">
        <f t="shared" si="85"/>
        <v>312.64793617759278</v>
      </c>
      <c r="C1133" s="2">
        <f t="shared" si="86"/>
        <v>97748.731996108123</v>
      </c>
      <c r="D1133" s="2">
        <v>12500</v>
      </c>
      <c r="E1133" s="2">
        <f t="shared" si="87"/>
        <v>1.25</v>
      </c>
      <c r="F1133" s="2">
        <f t="shared" si="88"/>
        <v>-2.1298559833506725</v>
      </c>
      <c r="G1133" s="2">
        <f t="shared" si="89"/>
        <v>4.5362865098146603</v>
      </c>
    </row>
    <row r="1134" spans="1:7" x14ac:dyDescent="0.35">
      <c r="A1134" s="2">
        <v>1651</v>
      </c>
      <c r="B1134" s="2">
        <f t="shared" si="85"/>
        <v>312.64793617759278</v>
      </c>
      <c r="C1134" s="2">
        <f t="shared" si="86"/>
        <v>97748.731996108123</v>
      </c>
      <c r="D1134" s="2">
        <v>13016</v>
      </c>
      <c r="E1134" s="2">
        <f t="shared" si="87"/>
        <v>1.3016000000000001</v>
      </c>
      <c r="F1134" s="2">
        <f t="shared" si="88"/>
        <v>-2.0782559833506724</v>
      </c>
      <c r="G1134" s="2">
        <f t="shared" si="89"/>
        <v>4.3191479323328705</v>
      </c>
    </row>
    <row r="1135" spans="1:7" x14ac:dyDescent="0.35">
      <c r="A1135" s="2">
        <v>1651</v>
      </c>
      <c r="B1135" s="2">
        <f t="shared" si="85"/>
        <v>312.64793617759278</v>
      </c>
      <c r="C1135" s="2">
        <f t="shared" si="86"/>
        <v>97748.731996108123</v>
      </c>
      <c r="D1135" s="2">
        <v>12193</v>
      </c>
      <c r="E1135" s="2">
        <f t="shared" si="87"/>
        <v>1.2193000000000001</v>
      </c>
      <c r="F1135" s="2">
        <f t="shared" si="88"/>
        <v>-2.1605559833506724</v>
      </c>
      <c r="G1135" s="2">
        <f t="shared" si="89"/>
        <v>4.6680021571923911</v>
      </c>
    </row>
    <row r="1136" spans="1:7" x14ac:dyDescent="0.35">
      <c r="A1136" s="2">
        <v>1651</v>
      </c>
      <c r="B1136" s="2">
        <f t="shared" si="85"/>
        <v>312.64793617759278</v>
      </c>
      <c r="C1136" s="2">
        <f t="shared" si="86"/>
        <v>97748.731996108123</v>
      </c>
      <c r="D1136" s="2">
        <v>11769</v>
      </c>
      <c r="E1136" s="2">
        <f t="shared" si="87"/>
        <v>1.1769000000000001</v>
      </c>
      <c r="F1136" s="2">
        <f t="shared" si="88"/>
        <v>-2.2029559833506722</v>
      </c>
      <c r="G1136" s="2">
        <f t="shared" si="89"/>
        <v>4.8530150645805268</v>
      </c>
    </row>
    <row r="1137" spans="1:7" x14ac:dyDescent="0.35">
      <c r="A1137" s="2">
        <v>1577</v>
      </c>
      <c r="B1137" s="2">
        <f t="shared" si="85"/>
        <v>238.64793617759278</v>
      </c>
      <c r="C1137" s="2">
        <f t="shared" si="86"/>
        <v>56952.837441824398</v>
      </c>
      <c r="D1137" s="2">
        <v>17500</v>
      </c>
      <c r="E1137" s="2">
        <f t="shared" si="87"/>
        <v>1.75</v>
      </c>
      <c r="F1137" s="2">
        <f t="shared" si="88"/>
        <v>-1.6298559833506725</v>
      </c>
      <c r="G1137" s="2">
        <f t="shared" si="89"/>
        <v>2.6564305264639878</v>
      </c>
    </row>
    <row r="1138" spans="1:7" x14ac:dyDescent="0.35">
      <c r="A1138" s="2">
        <v>1577</v>
      </c>
      <c r="B1138" s="2">
        <f t="shared" si="85"/>
        <v>238.64793617759278</v>
      </c>
      <c r="C1138" s="2">
        <f t="shared" si="86"/>
        <v>56952.837441824398</v>
      </c>
      <c r="D1138" s="2">
        <v>20000</v>
      </c>
      <c r="E1138" s="2">
        <f t="shared" si="87"/>
        <v>2</v>
      </c>
      <c r="F1138" s="2">
        <f t="shared" si="88"/>
        <v>-1.3798559833506725</v>
      </c>
      <c r="G1138" s="2">
        <f t="shared" si="89"/>
        <v>1.9040025347886513</v>
      </c>
    </row>
    <row r="1139" spans="1:7" x14ac:dyDescent="0.35">
      <c r="A1139" s="2">
        <v>1577</v>
      </c>
      <c r="B1139" s="2">
        <f t="shared" si="85"/>
        <v>238.64793617759278</v>
      </c>
      <c r="C1139" s="2">
        <f t="shared" si="86"/>
        <v>56952.837441824398</v>
      </c>
      <c r="D1139" s="2">
        <v>21000</v>
      </c>
      <c r="E1139" s="2">
        <f t="shared" si="87"/>
        <v>2.1</v>
      </c>
      <c r="F1139" s="2">
        <f t="shared" si="88"/>
        <v>-1.2798559833506724</v>
      </c>
      <c r="G1139" s="2">
        <f t="shared" si="89"/>
        <v>1.6380313381185168</v>
      </c>
    </row>
    <row r="1140" spans="1:7" x14ac:dyDescent="0.35">
      <c r="A1140" s="2">
        <v>1577</v>
      </c>
      <c r="B1140" s="2">
        <f t="shared" si="85"/>
        <v>238.64793617759278</v>
      </c>
      <c r="C1140" s="2">
        <f t="shared" si="86"/>
        <v>56952.837441824398</v>
      </c>
      <c r="D1140" s="2">
        <v>20176</v>
      </c>
      <c r="E1140" s="2">
        <f t="shared" si="87"/>
        <v>2.0175999999999998</v>
      </c>
      <c r="F1140" s="2">
        <f t="shared" si="88"/>
        <v>-1.3622559833506727</v>
      </c>
      <c r="G1140" s="2">
        <f t="shared" si="89"/>
        <v>1.8557413641747083</v>
      </c>
    </row>
    <row r="1141" spans="1:7" x14ac:dyDescent="0.35">
      <c r="A1141" s="2">
        <v>1577</v>
      </c>
      <c r="B1141" s="2">
        <f t="shared" si="85"/>
        <v>238.64793617759278</v>
      </c>
      <c r="C1141" s="2">
        <f t="shared" si="86"/>
        <v>56952.837441824398</v>
      </c>
      <c r="D1141" s="2">
        <v>20518</v>
      </c>
      <c r="E1141" s="2">
        <f t="shared" si="87"/>
        <v>2.0518000000000001</v>
      </c>
      <c r="F1141" s="2">
        <f t="shared" si="88"/>
        <v>-1.3280559833506724</v>
      </c>
      <c r="G1141" s="2">
        <f t="shared" si="89"/>
        <v>1.7637326949135215</v>
      </c>
    </row>
    <row r="1142" spans="1:7" x14ac:dyDescent="0.35">
      <c r="A1142" s="2">
        <v>1577</v>
      </c>
      <c r="B1142" s="2">
        <f t="shared" si="85"/>
        <v>238.64793617759278</v>
      </c>
      <c r="C1142" s="2">
        <f t="shared" si="86"/>
        <v>56952.837441824398</v>
      </c>
      <c r="D1142" s="2">
        <v>20064</v>
      </c>
      <c r="E1142" s="2">
        <f t="shared" si="87"/>
        <v>2.0064000000000002</v>
      </c>
      <c r="F1142" s="2">
        <f t="shared" si="88"/>
        <v>-1.3734559833506723</v>
      </c>
      <c r="G1142" s="2">
        <f t="shared" si="89"/>
        <v>1.8863813382017622</v>
      </c>
    </row>
    <row r="1143" spans="1:7" x14ac:dyDescent="0.35">
      <c r="A1143" s="2">
        <v>1577</v>
      </c>
      <c r="B1143" s="2">
        <f t="shared" si="85"/>
        <v>238.64793617759278</v>
      </c>
      <c r="C1143" s="2">
        <f t="shared" si="86"/>
        <v>56952.837441824398</v>
      </c>
      <c r="D1143" s="2">
        <v>19011</v>
      </c>
      <c r="E1143" s="2">
        <f t="shared" si="87"/>
        <v>1.9011</v>
      </c>
      <c r="F1143" s="2">
        <f t="shared" si="88"/>
        <v>-1.4787559833506725</v>
      </c>
      <c r="G1143" s="2">
        <f t="shared" si="89"/>
        <v>2.1867192582954145</v>
      </c>
    </row>
    <row r="1144" spans="1:7" x14ac:dyDescent="0.35">
      <c r="A1144" s="2">
        <v>1577</v>
      </c>
      <c r="B1144" s="2">
        <f t="shared" si="85"/>
        <v>238.64793617759278</v>
      </c>
      <c r="C1144" s="2">
        <f t="shared" si="86"/>
        <v>56952.837441824398</v>
      </c>
      <c r="D1144" s="2">
        <v>19738</v>
      </c>
      <c r="E1144" s="2">
        <f t="shared" si="87"/>
        <v>1.9738</v>
      </c>
      <c r="F1144" s="2">
        <f t="shared" si="88"/>
        <v>-1.4060559833506725</v>
      </c>
      <c r="G1144" s="2">
        <f t="shared" si="89"/>
        <v>1.9769934283162267</v>
      </c>
    </row>
    <row r="1145" spans="1:7" x14ac:dyDescent="0.35">
      <c r="A1145" s="2">
        <v>1577</v>
      </c>
      <c r="B1145" s="2">
        <f t="shared" si="85"/>
        <v>238.64793617759278</v>
      </c>
      <c r="C1145" s="2">
        <f t="shared" si="86"/>
        <v>56952.837441824398</v>
      </c>
      <c r="D1145" s="2">
        <v>20067</v>
      </c>
      <c r="E1145" s="2">
        <f t="shared" si="87"/>
        <v>2.0066999999999999</v>
      </c>
      <c r="F1145" s="2">
        <f t="shared" si="88"/>
        <v>-1.3731559833506726</v>
      </c>
      <c r="G1145" s="2">
        <f t="shared" si="89"/>
        <v>1.8855573546117526</v>
      </c>
    </row>
    <row r="1146" spans="1:7" x14ac:dyDescent="0.35">
      <c r="A1146" s="2">
        <v>1577</v>
      </c>
      <c r="B1146" s="2">
        <f t="shared" si="85"/>
        <v>238.64793617759278</v>
      </c>
      <c r="C1146" s="2">
        <f t="shared" si="86"/>
        <v>56952.837441824398</v>
      </c>
      <c r="D1146" s="2">
        <v>19070</v>
      </c>
      <c r="E1146" s="2">
        <f t="shared" si="87"/>
        <v>1.907</v>
      </c>
      <c r="F1146" s="2">
        <f t="shared" si="88"/>
        <v>-1.4728559833506725</v>
      </c>
      <c r="G1146" s="2">
        <f t="shared" si="89"/>
        <v>2.1693047476918763</v>
      </c>
    </row>
    <row r="1147" spans="1:7" x14ac:dyDescent="0.35">
      <c r="A1147" s="2">
        <v>1577</v>
      </c>
      <c r="B1147" s="2">
        <f t="shared" si="85"/>
        <v>238.64793617759278</v>
      </c>
      <c r="C1147" s="2">
        <f t="shared" si="86"/>
        <v>56952.837441824398</v>
      </c>
      <c r="D1147" s="2">
        <v>18375</v>
      </c>
      <c r="E1147" s="2">
        <f t="shared" si="87"/>
        <v>1.8374999999999999</v>
      </c>
      <c r="F1147" s="2">
        <f t="shared" si="88"/>
        <v>-1.5423559833506726</v>
      </c>
      <c r="G1147" s="2">
        <f t="shared" si="89"/>
        <v>2.37886197937762</v>
      </c>
    </row>
    <row r="1148" spans="1:7" x14ac:dyDescent="0.35">
      <c r="A1148" s="2">
        <v>1577</v>
      </c>
      <c r="B1148" s="2">
        <f t="shared" si="85"/>
        <v>238.64793617759278</v>
      </c>
      <c r="C1148" s="2">
        <f t="shared" si="86"/>
        <v>56952.837441824398</v>
      </c>
      <c r="D1148" s="2">
        <v>16657</v>
      </c>
      <c r="E1148" s="2">
        <f t="shared" si="87"/>
        <v>1.6657</v>
      </c>
      <c r="F1148" s="2">
        <f t="shared" si="88"/>
        <v>-1.7141559833506725</v>
      </c>
      <c r="G1148" s="2">
        <f t="shared" si="89"/>
        <v>2.938330735256911</v>
      </c>
    </row>
    <row r="1149" spans="1:7" x14ac:dyDescent="0.35">
      <c r="A1149" s="2">
        <v>1577</v>
      </c>
      <c r="B1149" s="2">
        <f t="shared" si="85"/>
        <v>238.64793617759278</v>
      </c>
      <c r="C1149" s="2">
        <f t="shared" si="86"/>
        <v>56952.837441824398</v>
      </c>
      <c r="D1149" s="2">
        <v>14282</v>
      </c>
      <c r="E1149" s="2">
        <f t="shared" si="87"/>
        <v>1.4281999999999999</v>
      </c>
      <c r="F1149" s="2">
        <f t="shared" si="88"/>
        <v>-1.9516559833506726</v>
      </c>
      <c r="G1149" s="2">
        <f t="shared" si="89"/>
        <v>3.808961077348481</v>
      </c>
    </row>
    <row r="1150" spans="1:7" x14ac:dyDescent="0.35">
      <c r="A1150" s="2">
        <v>1577</v>
      </c>
      <c r="B1150" s="2">
        <f t="shared" si="85"/>
        <v>238.64793617759278</v>
      </c>
      <c r="C1150" s="2">
        <f t="shared" si="86"/>
        <v>56952.837441824398</v>
      </c>
      <c r="D1150" s="2">
        <v>11809</v>
      </c>
      <c r="E1150" s="2">
        <f t="shared" si="87"/>
        <v>1.1809000000000001</v>
      </c>
      <c r="F1150" s="2">
        <f t="shared" si="88"/>
        <v>-2.1989559833506727</v>
      </c>
      <c r="G1150" s="2">
        <f t="shared" si="89"/>
        <v>4.835407416713724</v>
      </c>
    </row>
    <row r="1151" spans="1:7" x14ac:dyDescent="0.35">
      <c r="A1151" s="2">
        <v>1577</v>
      </c>
      <c r="B1151" s="2">
        <f t="shared" si="85"/>
        <v>238.64793617759278</v>
      </c>
      <c r="C1151" s="2">
        <f t="shared" si="86"/>
        <v>56952.837441824398</v>
      </c>
      <c r="D1151" s="2">
        <v>14210</v>
      </c>
      <c r="E1151" s="2">
        <f t="shared" si="87"/>
        <v>1.421</v>
      </c>
      <c r="F1151" s="2">
        <f t="shared" si="88"/>
        <v>-1.9588559833506725</v>
      </c>
      <c r="G1151" s="2">
        <f t="shared" si="89"/>
        <v>3.83711676350873</v>
      </c>
    </row>
    <row r="1152" spans="1:7" x14ac:dyDescent="0.35">
      <c r="A1152" s="2">
        <v>1577</v>
      </c>
      <c r="B1152" s="2">
        <f t="shared" si="85"/>
        <v>238.64793617759278</v>
      </c>
      <c r="C1152" s="2">
        <f t="shared" si="86"/>
        <v>56952.837441824398</v>
      </c>
      <c r="D1152" s="2">
        <v>12341</v>
      </c>
      <c r="E1152" s="2">
        <f t="shared" si="87"/>
        <v>1.2341</v>
      </c>
      <c r="F1152" s="2">
        <f t="shared" si="88"/>
        <v>-2.1457559833506723</v>
      </c>
      <c r="G1152" s="2">
        <f t="shared" si="89"/>
        <v>4.6042687400852103</v>
      </c>
    </row>
    <row r="1153" spans="1:7" x14ac:dyDescent="0.35">
      <c r="A1153" s="2">
        <v>1577</v>
      </c>
      <c r="B1153" s="2">
        <f t="shared" si="85"/>
        <v>238.64793617759278</v>
      </c>
      <c r="C1153" s="2">
        <f t="shared" si="86"/>
        <v>56952.837441824398</v>
      </c>
      <c r="D1153" s="2">
        <v>12921</v>
      </c>
      <c r="E1153" s="2">
        <f t="shared" si="87"/>
        <v>1.2921</v>
      </c>
      <c r="F1153" s="2">
        <f t="shared" si="88"/>
        <v>-2.0877559833506725</v>
      </c>
      <c r="G1153" s="2">
        <f t="shared" si="89"/>
        <v>4.3587250460165334</v>
      </c>
    </row>
    <row r="1154" spans="1:7" x14ac:dyDescent="0.35">
      <c r="A1154" s="2">
        <v>1577</v>
      </c>
      <c r="B1154" s="2">
        <f t="shared" si="85"/>
        <v>238.64793617759278</v>
      </c>
      <c r="C1154" s="2">
        <f t="shared" si="86"/>
        <v>56952.837441824398</v>
      </c>
      <c r="D1154" s="2">
        <v>13722</v>
      </c>
      <c r="E1154" s="2">
        <f t="shared" si="87"/>
        <v>1.3722000000000001</v>
      </c>
      <c r="F1154" s="2">
        <f t="shared" si="88"/>
        <v>-2.0076559833506726</v>
      </c>
      <c r="G1154" s="2">
        <f t="shared" si="89"/>
        <v>4.0306825474837567</v>
      </c>
    </row>
    <row r="1155" spans="1:7" x14ac:dyDescent="0.35">
      <c r="A1155" s="2">
        <v>1577</v>
      </c>
      <c r="B1155" s="2">
        <f t="shared" ref="B1155:B1218" si="90">A1155-$J$1</f>
        <v>238.64793617759278</v>
      </c>
      <c r="C1155" s="2">
        <f t="shared" ref="C1155:C1218" si="91">B1155^2</f>
        <v>56952.837441824398</v>
      </c>
      <c r="D1155" s="2">
        <v>15129</v>
      </c>
      <c r="E1155" s="2">
        <f t="shared" ref="E1155:E1218" si="92">D1155/10000</f>
        <v>1.5128999999999999</v>
      </c>
      <c r="F1155" s="2">
        <f t="shared" ref="F1155:F1218" si="93">E1155-$J$2</f>
        <v>-1.8669559833506726</v>
      </c>
      <c r="G1155" s="2">
        <f t="shared" ref="G1155:G1218" si="94">F1155^2</f>
        <v>3.4855246437688767</v>
      </c>
    </row>
    <row r="1156" spans="1:7" x14ac:dyDescent="0.35">
      <c r="A1156" s="2">
        <v>1577</v>
      </c>
      <c r="B1156" s="2">
        <f t="shared" si="90"/>
        <v>238.64793617759278</v>
      </c>
      <c r="C1156" s="2">
        <f t="shared" si="91"/>
        <v>56952.837441824398</v>
      </c>
      <c r="D1156" s="2">
        <v>16308</v>
      </c>
      <c r="E1156" s="2">
        <f t="shared" si="92"/>
        <v>1.6308</v>
      </c>
      <c r="F1156" s="2">
        <f t="shared" si="93"/>
        <v>-1.7490559833506725</v>
      </c>
      <c r="G1156" s="2">
        <f t="shared" si="94"/>
        <v>3.0591968328947878</v>
      </c>
    </row>
    <row r="1157" spans="1:7" x14ac:dyDescent="0.35">
      <c r="A1157" s="2">
        <v>1577</v>
      </c>
      <c r="B1157" s="2">
        <f t="shared" si="90"/>
        <v>238.64793617759278</v>
      </c>
      <c r="C1157" s="2">
        <f t="shared" si="91"/>
        <v>56952.837441824398</v>
      </c>
      <c r="D1157" s="2">
        <v>18156</v>
      </c>
      <c r="E1157" s="2">
        <f t="shared" si="92"/>
        <v>1.8156000000000001</v>
      </c>
      <c r="F1157" s="2">
        <f t="shared" si="93"/>
        <v>-1.5642559833506724</v>
      </c>
      <c r="G1157" s="2">
        <f t="shared" si="94"/>
        <v>2.4468967814483791</v>
      </c>
    </row>
    <row r="1158" spans="1:7" x14ac:dyDescent="0.35">
      <c r="A1158" s="2">
        <v>1577</v>
      </c>
      <c r="B1158" s="2">
        <f t="shared" si="90"/>
        <v>238.64793617759278</v>
      </c>
      <c r="C1158" s="2">
        <f t="shared" si="91"/>
        <v>56952.837441824398</v>
      </c>
      <c r="D1158" s="2">
        <v>18098</v>
      </c>
      <c r="E1158" s="2">
        <f t="shared" si="92"/>
        <v>1.8098000000000001</v>
      </c>
      <c r="F1158" s="2">
        <f t="shared" si="93"/>
        <v>-1.5700559833506724</v>
      </c>
      <c r="G1158" s="2">
        <f t="shared" si="94"/>
        <v>2.4650757908552468</v>
      </c>
    </row>
    <row r="1159" spans="1:7" x14ac:dyDescent="0.35">
      <c r="A1159" s="2">
        <v>1577</v>
      </c>
      <c r="B1159" s="2">
        <f t="shared" si="90"/>
        <v>238.64793617759278</v>
      </c>
      <c r="C1159" s="2">
        <f t="shared" si="91"/>
        <v>56952.837441824398</v>
      </c>
      <c r="D1159" s="2">
        <v>20368</v>
      </c>
      <c r="E1159" s="2">
        <f t="shared" si="92"/>
        <v>2.0367999999999999</v>
      </c>
      <c r="F1159" s="2">
        <f t="shared" si="93"/>
        <v>-1.3430559833506726</v>
      </c>
      <c r="G1159" s="2">
        <f t="shared" si="94"/>
        <v>1.8037993744140421</v>
      </c>
    </row>
    <row r="1160" spans="1:7" x14ac:dyDescent="0.35">
      <c r="A1160" s="2">
        <v>1577</v>
      </c>
      <c r="B1160" s="2">
        <f t="shared" si="90"/>
        <v>238.64793617759278</v>
      </c>
      <c r="C1160" s="2">
        <f t="shared" si="91"/>
        <v>56952.837441824398</v>
      </c>
      <c r="D1160" s="2">
        <v>20818</v>
      </c>
      <c r="E1160" s="2">
        <f t="shared" si="92"/>
        <v>2.0817999999999999</v>
      </c>
      <c r="F1160" s="2">
        <f t="shared" si="93"/>
        <v>-1.2980559833506726</v>
      </c>
      <c r="G1160" s="2">
        <f t="shared" si="94"/>
        <v>1.6849493359124816</v>
      </c>
    </row>
    <row r="1161" spans="1:7" x14ac:dyDescent="0.35">
      <c r="A1161" s="2">
        <v>1577</v>
      </c>
      <c r="B1161" s="2">
        <f t="shared" si="90"/>
        <v>238.64793617759278</v>
      </c>
      <c r="C1161" s="2">
        <f t="shared" si="91"/>
        <v>56952.837441824398</v>
      </c>
      <c r="D1161" s="2">
        <v>18824</v>
      </c>
      <c r="E1161" s="2">
        <f t="shared" si="92"/>
        <v>1.8824000000000001</v>
      </c>
      <c r="F1161" s="2">
        <f t="shared" si="93"/>
        <v>-1.4974559833506724</v>
      </c>
      <c r="G1161" s="2">
        <f t="shared" si="94"/>
        <v>2.2423744220727295</v>
      </c>
    </row>
    <row r="1162" spans="1:7" x14ac:dyDescent="0.35">
      <c r="A1162" s="2">
        <v>1577</v>
      </c>
      <c r="B1162" s="2">
        <f t="shared" si="90"/>
        <v>238.64793617759278</v>
      </c>
      <c r="C1162" s="2">
        <f t="shared" si="91"/>
        <v>56952.837441824398</v>
      </c>
      <c r="D1162" s="2">
        <v>17345</v>
      </c>
      <c r="E1162" s="2">
        <f t="shared" si="92"/>
        <v>1.7344999999999999</v>
      </c>
      <c r="F1162" s="2">
        <f t="shared" si="93"/>
        <v>-1.6453559833506726</v>
      </c>
      <c r="G1162" s="2">
        <f t="shared" si="94"/>
        <v>2.7071963119478588</v>
      </c>
    </row>
    <row r="1163" spans="1:7" x14ac:dyDescent="0.35">
      <c r="A1163" s="2">
        <v>1577</v>
      </c>
      <c r="B1163" s="2">
        <f t="shared" si="90"/>
        <v>238.64793617759278</v>
      </c>
      <c r="C1163" s="2">
        <f t="shared" si="91"/>
        <v>56952.837441824398</v>
      </c>
      <c r="D1163" s="2">
        <v>15535</v>
      </c>
      <c r="E1163" s="2">
        <f t="shared" si="92"/>
        <v>1.5535000000000001</v>
      </c>
      <c r="F1163" s="2">
        <f t="shared" si="93"/>
        <v>-1.8263559833506724</v>
      </c>
      <c r="G1163" s="2">
        <f t="shared" si="94"/>
        <v>3.3355761779208017</v>
      </c>
    </row>
    <row r="1164" spans="1:7" x14ac:dyDescent="0.35">
      <c r="A1164" s="2">
        <v>1577</v>
      </c>
      <c r="B1164" s="2">
        <f t="shared" si="90"/>
        <v>238.64793617759278</v>
      </c>
      <c r="C1164" s="2">
        <f t="shared" si="91"/>
        <v>56952.837441824398</v>
      </c>
      <c r="D1164" s="2">
        <v>15647</v>
      </c>
      <c r="E1164" s="2">
        <f t="shared" si="92"/>
        <v>1.5647</v>
      </c>
      <c r="F1164" s="2">
        <f t="shared" si="93"/>
        <v>-1.8151559833506725</v>
      </c>
      <c r="G1164" s="2">
        <f t="shared" si="94"/>
        <v>3.294791243893747</v>
      </c>
    </row>
    <row r="1165" spans="1:7" x14ac:dyDescent="0.35">
      <c r="A1165" s="2">
        <v>1577</v>
      </c>
      <c r="B1165" s="2">
        <f t="shared" si="90"/>
        <v>238.64793617759278</v>
      </c>
      <c r="C1165" s="2">
        <f t="shared" si="91"/>
        <v>56952.837441824398</v>
      </c>
      <c r="D1165" s="2">
        <v>15281</v>
      </c>
      <c r="E1165" s="2">
        <f t="shared" si="92"/>
        <v>1.5281</v>
      </c>
      <c r="F1165" s="2">
        <f t="shared" si="93"/>
        <v>-1.8517559833506725</v>
      </c>
      <c r="G1165" s="2">
        <f t="shared" si="94"/>
        <v>3.429000221875016</v>
      </c>
    </row>
    <row r="1166" spans="1:7" x14ac:dyDescent="0.35">
      <c r="A1166" s="2">
        <v>1577</v>
      </c>
      <c r="B1166" s="2">
        <f t="shared" si="90"/>
        <v>238.64793617759278</v>
      </c>
      <c r="C1166" s="2">
        <f t="shared" si="91"/>
        <v>56952.837441824398</v>
      </c>
      <c r="D1166" s="2">
        <v>16255</v>
      </c>
      <c r="E1166" s="2">
        <f t="shared" si="92"/>
        <v>1.6254999999999999</v>
      </c>
      <c r="F1166" s="2">
        <f t="shared" si="93"/>
        <v>-1.7543559833506726</v>
      </c>
      <c r="G1166" s="2">
        <f t="shared" si="94"/>
        <v>3.0777649163183054</v>
      </c>
    </row>
    <row r="1167" spans="1:7" x14ac:dyDescent="0.35">
      <c r="A1167" s="2">
        <v>2387</v>
      </c>
      <c r="B1167" s="2">
        <f t="shared" si="90"/>
        <v>1048.6479361775928</v>
      </c>
      <c r="C1167" s="2">
        <f t="shared" si="91"/>
        <v>1099662.4940495247</v>
      </c>
      <c r="D1167" s="2">
        <v>32935</v>
      </c>
      <c r="E1167" s="2">
        <f t="shared" si="92"/>
        <v>3.2934999999999999</v>
      </c>
      <c r="F1167" s="2">
        <f t="shared" si="93"/>
        <v>-8.6355983350672627E-2</v>
      </c>
      <c r="G1167" s="2">
        <f t="shared" si="94"/>
        <v>7.4573558604616478E-3</v>
      </c>
    </row>
    <row r="1168" spans="1:7" x14ac:dyDescent="0.35">
      <c r="A1168" s="2">
        <v>2387</v>
      </c>
      <c r="B1168" s="2">
        <f t="shared" si="90"/>
        <v>1048.6479361775928</v>
      </c>
      <c r="C1168" s="2">
        <f t="shared" si="91"/>
        <v>1099662.4940495247</v>
      </c>
      <c r="D1168" s="2">
        <v>32825</v>
      </c>
      <c r="E1168" s="2">
        <f t="shared" si="92"/>
        <v>3.2825000000000002</v>
      </c>
      <c r="F1168" s="2">
        <f t="shared" si="93"/>
        <v>-9.7355983350672304E-2</v>
      </c>
      <c r="G1168" s="2">
        <f t="shared" si="94"/>
        <v>9.4781874941763829E-3</v>
      </c>
    </row>
    <row r="1169" spans="1:7" x14ac:dyDescent="0.35">
      <c r="A1169" s="2">
        <v>2387</v>
      </c>
      <c r="B1169" s="2">
        <f t="shared" si="90"/>
        <v>1048.6479361775928</v>
      </c>
      <c r="C1169" s="2">
        <f t="shared" si="91"/>
        <v>1099662.4940495247</v>
      </c>
      <c r="D1169" s="2">
        <v>32515</v>
      </c>
      <c r="E1169" s="2">
        <f t="shared" si="92"/>
        <v>3.2515000000000001</v>
      </c>
      <c r="F1169" s="2">
        <f t="shared" si="93"/>
        <v>-0.12835598335067244</v>
      </c>
      <c r="G1169" s="2">
        <f t="shared" si="94"/>
        <v>1.6475258461918101E-2</v>
      </c>
    </row>
    <row r="1170" spans="1:7" x14ac:dyDescent="0.35">
      <c r="A1170" s="2">
        <v>2387</v>
      </c>
      <c r="B1170" s="2">
        <f t="shared" si="90"/>
        <v>1048.6479361775928</v>
      </c>
      <c r="C1170" s="2">
        <f t="shared" si="91"/>
        <v>1099662.4940495247</v>
      </c>
      <c r="D1170" s="2">
        <v>34014</v>
      </c>
      <c r="E1170" s="2">
        <f t="shared" si="92"/>
        <v>3.4014000000000002</v>
      </c>
      <c r="F1170" s="2">
        <f t="shared" si="93"/>
        <v>2.1544016649327702E-2</v>
      </c>
      <c r="G1170" s="2">
        <f t="shared" si="94"/>
        <v>4.6414465338650922E-4</v>
      </c>
    </row>
    <row r="1171" spans="1:7" x14ac:dyDescent="0.35">
      <c r="A1171" s="2">
        <v>2387</v>
      </c>
      <c r="B1171" s="2">
        <f t="shared" si="90"/>
        <v>1048.6479361775928</v>
      </c>
      <c r="C1171" s="2">
        <f t="shared" si="91"/>
        <v>1099662.4940495247</v>
      </c>
      <c r="D1171" s="2">
        <v>30331</v>
      </c>
      <c r="E1171" s="2">
        <f t="shared" si="92"/>
        <v>3.0331000000000001</v>
      </c>
      <c r="F1171" s="2">
        <f t="shared" si="93"/>
        <v>-0.34675598335067237</v>
      </c>
      <c r="G1171" s="2">
        <f t="shared" si="94"/>
        <v>0.12023971198949178</v>
      </c>
    </row>
    <row r="1172" spans="1:7" x14ac:dyDescent="0.35">
      <c r="A1172" s="2">
        <v>2387</v>
      </c>
      <c r="B1172" s="2">
        <f t="shared" si="90"/>
        <v>1048.6479361775928</v>
      </c>
      <c r="C1172" s="2">
        <f t="shared" si="91"/>
        <v>1099662.4940495247</v>
      </c>
      <c r="D1172" s="2">
        <v>33427</v>
      </c>
      <c r="E1172" s="2">
        <f t="shared" si="92"/>
        <v>3.3426999999999998</v>
      </c>
      <c r="F1172" s="2">
        <f t="shared" si="93"/>
        <v>-3.7155983350672717E-2</v>
      </c>
      <c r="G1172" s="2">
        <f t="shared" si="94"/>
        <v>1.3805670987554681E-3</v>
      </c>
    </row>
    <row r="1173" spans="1:7" x14ac:dyDescent="0.35">
      <c r="A1173" s="2">
        <v>2387</v>
      </c>
      <c r="B1173" s="2">
        <f t="shared" si="90"/>
        <v>1048.6479361775928</v>
      </c>
      <c r="C1173" s="2">
        <f t="shared" si="91"/>
        <v>1099662.4940495247</v>
      </c>
      <c r="D1173" s="2">
        <v>35106</v>
      </c>
      <c r="E1173" s="2">
        <f t="shared" si="92"/>
        <v>3.5106000000000002</v>
      </c>
      <c r="F1173" s="2">
        <f t="shared" si="93"/>
        <v>0.13074401664932767</v>
      </c>
      <c r="G1173" s="2">
        <f t="shared" si="94"/>
        <v>1.7093997889599671E-2</v>
      </c>
    </row>
    <row r="1174" spans="1:7" x14ac:dyDescent="0.35">
      <c r="A1174" s="2">
        <v>2387</v>
      </c>
      <c r="B1174" s="2">
        <f t="shared" si="90"/>
        <v>1048.6479361775928</v>
      </c>
      <c r="C1174" s="2">
        <f t="shared" si="91"/>
        <v>1099662.4940495247</v>
      </c>
      <c r="D1174" s="2">
        <v>33171</v>
      </c>
      <c r="E1174" s="2">
        <f t="shared" si="92"/>
        <v>3.3170999999999999</v>
      </c>
      <c r="F1174" s="2">
        <f t="shared" si="93"/>
        <v>-6.2755983350672562E-2</v>
      </c>
      <c r="G1174" s="2">
        <f t="shared" si="94"/>
        <v>3.9383134463098915E-3</v>
      </c>
    </row>
    <row r="1175" spans="1:7" x14ac:dyDescent="0.35">
      <c r="A1175" s="2">
        <v>2387</v>
      </c>
      <c r="B1175" s="2">
        <f t="shared" si="90"/>
        <v>1048.6479361775928</v>
      </c>
      <c r="C1175" s="2">
        <f t="shared" si="91"/>
        <v>1099662.4940495247</v>
      </c>
      <c r="D1175" s="2">
        <v>37329</v>
      </c>
      <c r="E1175" s="2">
        <f t="shared" si="92"/>
        <v>3.7328999999999999</v>
      </c>
      <c r="F1175" s="2">
        <f t="shared" si="93"/>
        <v>0.35304401664932739</v>
      </c>
      <c r="G1175" s="2">
        <f t="shared" si="94"/>
        <v>0.12464007769189055</v>
      </c>
    </row>
    <row r="1176" spans="1:7" x14ac:dyDescent="0.35">
      <c r="A1176" s="2">
        <v>2387</v>
      </c>
      <c r="B1176" s="2">
        <f t="shared" si="90"/>
        <v>1048.6479361775928</v>
      </c>
      <c r="C1176" s="2">
        <f t="shared" si="91"/>
        <v>1099662.4940495247</v>
      </c>
      <c r="D1176" s="2">
        <v>39542</v>
      </c>
      <c r="E1176" s="2">
        <f t="shared" si="92"/>
        <v>3.9542000000000002</v>
      </c>
      <c r="F1176" s="2">
        <f t="shared" si="93"/>
        <v>0.57434401664932766</v>
      </c>
      <c r="G1176" s="2">
        <f t="shared" si="94"/>
        <v>0.32987104946088319</v>
      </c>
    </row>
    <row r="1177" spans="1:7" x14ac:dyDescent="0.35">
      <c r="A1177" s="2">
        <v>2387</v>
      </c>
      <c r="B1177" s="2">
        <f t="shared" si="90"/>
        <v>1048.6479361775928</v>
      </c>
      <c r="C1177" s="2">
        <f t="shared" si="91"/>
        <v>1099662.4940495247</v>
      </c>
      <c r="D1177" s="2">
        <v>40141</v>
      </c>
      <c r="E1177" s="2">
        <f t="shared" si="92"/>
        <v>4.0141</v>
      </c>
      <c r="F1177" s="2">
        <f t="shared" si="93"/>
        <v>0.6342440166493275</v>
      </c>
      <c r="G1177" s="2">
        <f t="shared" si="94"/>
        <v>0.40226547265547241</v>
      </c>
    </row>
    <row r="1178" spans="1:7" x14ac:dyDescent="0.35">
      <c r="A1178" s="2">
        <v>2387</v>
      </c>
      <c r="B1178" s="2">
        <f t="shared" si="90"/>
        <v>1048.6479361775928</v>
      </c>
      <c r="C1178" s="2">
        <f t="shared" si="91"/>
        <v>1099662.4940495247</v>
      </c>
      <c r="D1178" s="2">
        <v>39809</v>
      </c>
      <c r="E1178" s="2">
        <f t="shared" si="92"/>
        <v>3.9809000000000001</v>
      </c>
      <c r="F1178" s="2">
        <f t="shared" si="93"/>
        <v>0.60104401664932761</v>
      </c>
      <c r="G1178" s="2">
        <f t="shared" si="94"/>
        <v>0.36125390994995721</v>
      </c>
    </row>
    <row r="1179" spans="1:7" x14ac:dyDescent="0.35">
      <c r="A1179" s="2">
        <v>2387</v>
      </c>
      <c r="B1179" s="2">
        <f t="shared" si="90"/>
        <v>1048.6479361775928</v>
      </c>
      <c r="C1179" s="2">
        <f t="shared" si="91"/>
        <v>1099662.4940495247</v>
      </c>
      <c r="D1179" s="2">
        <v>40405</v>
      </c>
      <c r="E1179" s="2">
        <f t="shared" si="92"/>
        <v>4.0404999999999998</v>
      </c>
      <c r="F1179" s="2">
        <f t="shared" si="93"/>
        <v>0.66064401664932726</v>
      </c>
      <c r="G1179" s="2">
        <f t="shared" si="94"/>
        <v>0.43645051673455659</v>
      </c>
    </row>
    <row r="1180" spans="1:7" x14ac:dyDescent="0.35">
      <c r="A1180" s="2">
        <v>2387</v>
      </c>
      <c r="B1180" s="2">
        <f t="shared" si="90"/>
        <v>1048.6479361775928</v>
      </c>
      <c r="C1180" s="2">
        <f t="shared" si="91"/>
        <v>1099662.4940495247</v>
      </c>
      <c r="D1180" s="2">
        <v>38246</v>
      </c>
      <c r="E1180" s="2">
        <f t="shared" si="92"/>
        <v>3.8246000000000002</v>
      </c>
      <c r="F1180" s="2">
        <f t="shared" si="93"/>
        <v>0.44474401664932772</v>
      </c>
      <c r="G1180" s="2">
        <f t="shared" si="94"/>
        <v>0.19779724034537749</v>
      </c>
    </row>
    <row r="1181" spans="1:7" x14ac:dyDescent="0.35">
      <c r="A1181" s="2">
        <v>2387</v>
      </c>
      <c r="B1181" s="2">
        <f t="shared" si="90"/>
        <v>1048.6479361775928</v>
      </c>
      <c r="C1181" s="2">
        <f t="shared" si="91"/>
        <v>1099662.4940495247</v>
      </c>
      <c r="D1181" s="2">
        <v>38677</v>
      </c>
      <c r="E1181" s="2">
        <f t="shared" si="92"/>
        <v>3.8677000000000001</v>
      </c>
      <c r="F1181" s="2">
        <f t="shared" si="93"/>
        <v>0.48784401664932764</v>
      </c>
      <c r="G1181" s="2">
        <f t="shared" si="94"/>
        <v>0.23799178458054945</v>
      </c>
    </row>
    <row r="1182" spans="1:7" x14ac:dyDescent="0.35">
      <c r="A1182" s="2">
        <v>2387</v>
      </c>
      <c r="B1182" s="2">
        <f t="shared" si="90"/>
        <v>1048.6479361775928</v>
      </c>
      <c r="C1182" s="2">
        <f t="shared" si="91"/>
        <v>1099662.4940495247</v>
      </c>
      <c r="D1182" s="2">
        <v>39823</v>
      </c>
      <c r="E1182" s="2">
        <f t="shared" si="92"/>
        <v>3.9823</v>
      </c>
      <c r="F1182" s="2">
        <f t="shared" si="93"/>
        <v>0.60244401664932745</v>
      </c>
      <c r="G1182" s="2">
        <f t="shared" si="94"/>
        <v>0.36293879319657513</v>
      </c>
    </row>
    <row r="1183" spans="1:7" x14ac:dyDescent="0.35">
      <c r="A1183" s="2">
        <v>2387</v>
      </c>
      <c r="B1183" s="2">
        <f t="shared" si="90"/>
        <v>1048.6479361775928</v>
      </c>
      <c r="C1183" s="2">
        <f t="shared" si="91"/>
        <v>1099662.4940495247</v>
      </c>
      <c r="D1183" s="2">
        <v>41194</v>
      </c>
      <c r="E1183" s="2">
        <f t="shared" si="92"/>
        <v>4.1193999999999997</v>
      </c>
      <c r="F1183" s="2">
        <f t="shared" si="93"/>
        <v>0.73954401664932723</v>
      </c>
      <c r="G1183" s="2">
        <f t="shared" si="94"/>
        <v>0.5469253525618204</v>
      </c>
    </row>
    <row r="1184" spans="1:7" x14ac:dyDescent="0.35">
      <c r="A1184" s="2">
        <v>2387</v>
      </c>
      <c r="B1184" s="2">
        <f t="shared" si="90"/>
        <v>1048.6479361775928</v>
      </c>
      <c r="C1184" s="2">
        <f t="shared" si="91"/>
        <v>1099662.4940495247</v>
      </c>
      <c r="D1184" s="2">
        <v>43294</v>
      </c>
      <c r="E1184" s="2">
        <f t="shared" si="92"/>
        <v>4.3293999999999997</v>
      </c>
      <c r="F1184" s="2">
        <f t="shared" si="93"/>
        <v>0.94954401664932719</v>
      </c>
      <c r="G1184" s="2">
        <f t="shared" si="94"/>
        <v>0.9016338395545378</v>
      </c>
    </row>
    <row r="1185" spans="1:7" x14ac:dyDescent="0.35">
      <c r="A1185" s="2">
        <v>2387</v>
      </c>
      <c r="B1185" s="2">
        <f t="shared" si="90"/>
        <v>1048.6479361775928</v>
      </c>
      <c r="C1185" s="2">
        <f t="shared" si="91"/>
        <v>1099662.4940495247</v>
      </c>
      <c r="D1185" s="2">
        <v>39397</v>
      </c>
      <c r="E1185" s="2">
        <f t="shared" si="92"/>
        <v>3.9397000000000002</v>
      </c>
      <c r="F1185" s="2">
        <f t="shared" si="93"/>
        <v>0.5598440166493277</v>
      </c>
      <c r="G1185" s="2">
        <f t="shared" si="94"/>
        <v>0.3134253229780527</v>
      </c>
    </row>
    <row r="1186" spans="1:7" x14ac:dyDescent="0.35">
      <c r="A1186" s="2">
        <v>2387</v>
      </c>
      <c r="B1186" s="2">
        <f t="shared" si="90"/>
        <v>1048.6479361775928</v>
      </c>
      <c r="C1186" s="2">
        <f t="shared" si="91"/>
        <v>1099662.4940495247</v>
      </c>
      <c r="D1186" s="2">
        <v>46265</v>
      </c>
      <c r="E1186" s="2">
        <f t="shared" si="92"/>
        <v>4.6265000000000001</v>
      </c>
      <c r="F1186" s="2">
        <f t="shared" si="93"/>
        <v>1.2466440166493276</v>
      </c>
      <c r="G1186" s="2">
        <f t="shared" si="94"/>
        <v>1.5541213042475688</v>
      </c>
    </row>
    <row r="1187" spans="1:7" x14ac:dyDescent="0.35">
      <c r="A1187" s="2">
        <v>2387</v>
      </c>
      <c r="B1187" s="2">
        <f t="shared" si="90"/>
        <v>1048.6479361775928</v>
      </c>
      <c r="C1187" s="2">
        <f t="shared" si="91"/>
        <v>1099662.4940495247</v>
      </c>
      <c r="D1187" s="2">
        <v>43310</v>
      </c>
      <c r="E1187" s="2">
        <f t="shared" si="92"/>
        <v>4.3310000000000004</v>
      </c>
      <c r="F1187" s="2">
        <f t="shared" si="93"/>
        <v>0.95114401664932791</v>
      </c>
      <c r="G1187" s="2">
        <f t="shared" si="94"/>
        <v>0.90467494040781693</v>
      </c>
    </row>
    <row r="1188" spans="1:7" x14ac:dyDescent="0.35">
      <c r="A1188" s="2">
        <v>2387</v>
      </c>
      <c r="B1188" s="2">
        <f t="shared" si="90"/>
        <v>1048.6479361775928</v>
      </c>
      <c r="C1188" s="2">
        <f t="shared" si="91"/>
        <v>1099662.4940495247</v>
      </c>
      <c r="D1188" s="2">
        <v>42324</v>
      </c>
      <c r="E1188" s="2">
        <f t="shared" si="92"/>
        <v>4.2324000000000002</v>
      </c>
      <c r="F1188" s="2">
        <f t="shared" si="93"/>
        <v>0.85254401664932766</v>
      </c>
      <c r="G1188" s="2">
        <f t="shared" si="94"/>
        <v>0.72683130032456911</v>
      </c>
    </row>
    <row r="1189" spans="1:7" x14ac:dyDescent="0.35">
      <c r="A1189" s="2">
        <v>2387</v>
      </c>
      <c r="B1189" s="2">
        <f t="shared" si="90"/>
        <v>1048.6479361775928</v>
      </c>
      <c r="C1189" s="2">
        <f t="shared" si="91"/>
        <v>1099662.4940495247</v>
      </c>
      <c r="D1189" s="2">
        <v>44353</v>
      </c>
      <c r="E1189" s="2">
        <f t="shared" si="92"/>
        <v>4.4352999999999998</v>
      </c>
      <c r="F1189" s="2">
        <f t="shared" si="93"/>
        <v>1.0554440166493273</v>
      </c>
      <c r="G1189" s="2">
        <f t="shared" si="94"/>
        <v>1.1139620722808654</v>
      </c>
    </row>
    <row r="1190" spans="1:7" x14ac:dyDescent="0.35">
      <c r="A1190" s="2">
        <v>2387</v>
      </c>
      <c r="B1190" s="2">
        <f t="shared" si="90"/>
        <v>1048.6479361775928</v>
      </c>
      <c r="C1190" s="2">
        <f t="shared" si="91"/>
        <v>1099662.4940495247</v>
      </c>
      <c r="D1190" s="2">
        <v>42328</v>
      </c>
      <c r="E1190" s="2">
        <f t="shared" si="92"/>
        <v>4.2328000000000001</v>
      </c>
      <c r="F1190" s="2">
        <f t="shared" si="93"/>
        <v>0.85294401664932762</v>
      </c>
      <c r="G1190" s="2">
        <f t="shared" si="94"/>
        <v>0.72751349553788847</v>
      </c>
    </row>
    <row r="1191" spans="1:7" x14ac:dyDescent="0.35">
      <c r="A1191" s="2">
        <v>2387</v>
      </c>
      <c r="B1191" s="2">
        <f t="shared" si="90"/>
        <v>1048.6479361775928</v>
      </c>
      <c r="C1191" s="2">
        <f t="shared" si="91"/>
        <v>1099662.4940495247</v>
      </c>
      <c r="D1191" s="2">
        <v>44102</v>
      </c>
      <c r="E1191" s="2">
        <f t="shared" si="92"/>
        <v>4.4101999999999997</v>
      </c>
      <c r="F1191" s="2">
        <f t="shared" si="93"/>
        <v>1.0303440166493272</v>
      </c>
      <c r="G1191" s="2">
        <f t="shared" si="94"/>
        <v>1.061608792645069</v>
      </c>
    </row>
    <row r="1192" spans="1:7" x14ac:dyDescent="0.35">
      <c r="A1192" s="2">
        <v>2387</v>
      </c>
      <c r="B1192" s="2">
        <f t="shared" si="90"/>
        <v>1048.6479361775928</v>
      </c>
      <c r="C1192" s="2">
        <f t="shared" si="91"/>
        <v>1099662.4940495247</v>
      </c>
      <c r="D1192" s="2">
        <v>45280</v>
      </c>
      <c r="E1192" s="2">
        <f t="shared" si="92"/>
        <v>4.5279999999999996</v>
      </c>
      <c r="F1192" s="2">
        <f t="shared" si="93"/>
        <v>1.1481440166493271</v>
      </c>
      <c r="G1192" s="2">
        <f t="shared" si="94"/>
        <v>1.3182346829676503</v>
      </c>
    </row>
    <row r="1193" spans="1:7" x14ac:dyDescent="0.35">
      <c r="A1193" s="2">
        <v>2387</v>
      </c>
      <c r="B1193" s="2">
        <f t="shared" si="90"/>
        <v>1048.6479361775928</v>
      </c>
      <c r="C1193" s="2">
        <f t="shared" si="91"/>
        <v>1099662.4940495247</v>
      </c>
      <c r="D1193" s="2">
        <v>49996</v>
      </c>
      <c r="E1193" s="2">
        <f t="shared" si="92"/>
        <v>4.9996</v>
      </c>
      <c r="F1193" s="2">
        <f t="shared" si="93"/>
        <v>1.6197440166493275</v>
      </c>
      <c r="G1193" s="2">
        <f t="shared" si="94"/>
        <v>2.623570679471297</v>
      </c>
    </row>
    <row r="1194" spans="1:7" x14ac:dyDescent="0.35">
      <c r="A1194" s="2">
        <v>2387</v>
      </c>
      <c r="B1194" s="2">
        <f t="shared" si="90"/>
        <v>1048.6479361775928</v>
      </c>
      <c r="C1194" s="2">
        <f t="shared" si="91"/>
        <v>1099662.4940495247</v>
      </c>
      <c r="D1194" s="2">
        <v>34265</v>
      </c>
      <c r="E1194" s="2">
        <f t="shared" si="92"/>
        <v>3.4264999999999999</v>
      </c>
      <c r="F1194" s="2">
        <f t="shared" si="93"/>
        <v>4.664401664932738E-2</v>
      </c>
      <c r="G1194" s="2">
        <f t="shared" si="94"/>
        <v>2.1756642891827297E-3</v>
      </c>
    </row>
    <row r="1195" spans="1:7" x14ac:dyDescent="0.35">
      <c r="A1195" s="2">
        <v>2387</v>
      </c>
      <c r="B1195" s="2">
        <f t="shared" si="90"/>
        <v>1048.6479361775928</v>
      </c>
      <c r="C1195" s="2">
        <f t="shared" si="91"/>
        <v>1099662.4940495247</v>
      </c>
      <c r="D1195" s="2">
        <v>36010</v>
      </c>
      <c r="E1195" s="2">
        <f t="shared" si="92"/>
        <v>3.601</v>
      </c>
      <c r="F1195" s="2">
        <f t="shared" si="93"/>
        <v>0.22114401664932748</v>
      </c>
      <c r="G1195" s="2">
        <f t="shared" si="94"/>
        <v>4.8904676099798032E-2</v>
      </c>
    </row>
    <row r="1196" spans="1:7" x14ac:dyDescent="0.35">
      <c r="A1196" s="2">
        <v>2387</v>
      </c>
      <c r="B1196" s="2">
        <f t="shared" si="90"/>
        <v>1048.6479361775928</v>
      </c>
      <c r="C1196" s="2">
        <f t="shared" si="91"/>
        <v>1099662.4940495247</v>
      </c>
      <c r="D1196" s="2">
        <v>35572</v>
      </c>
      <c r="E1196" s="2">
        <f t="shared" si="92"/>
        <v>3.5571999999999999</v>
      </c>
      <c r="F1196" s="2">
        <f t="shared" si="93"/>
        <v>0.17734401664932742</v>
      </c>
      <c r="G1196" s="2">
        <f t="shared" si="94"/>
        <v>3.1450900241316922E-2</v>
      </c>
    </row>
    <row r="1197" spans="1:7" x14ac:dyDescent="0.35">
      <c r="A1197" s="2">
        <v>1440</v>
      </c>
      <c r="B1197" s="2">
        <f t="shared" si="90"/>
        <v>101.64793617759278</v>
      </c>
      <c r="C1197" s="2">
        <f t="shared" si="91"/>
        <v>10332.302929163976</v>
      </c>
      <c r="D1197" s="2">
        <v>23490</v>
      </c>
      <c r="E1197" s="2">
        <f t="shared" si="92"/>
        <v>2.3490000000000002</v>
      </c>
      <c r="F1197" s="2">
        <f t="shared" si="93"/>
        <v>-1.0308559833506723</v>
      </c>
      <c r="G1197" s="2">
        <f t="shared" si="94"/>
        <v>1.0626640584098817</v>
      </c>
    </row>
    <row r="1198" spans="1:7" x14ac:dyDescent="0.35">
      <c r="A1198" s="2">
        <v>1440</v>
      </c>
      <c r="B1198" s="2">
        <f t="shared" si="90"/>
        <v>101.64793617759278</v>
      </c>
      <c r="C1198" s="2">
        <f t="shared" si="91"/>
        <v>10332.302929163976</v>
      </c>
      <c r="D1198" s="2">
        <v>24566</v>
      </c>
      <c r="E1198" s="2">
        <f t="shared" si="92"/>
        <v>2.4565999999999999</v>
      </c>
      <c r="F1198" s="2">
        <f t="shared" si="93"/>
        <v>-0.9232559833506726</v>
      </c>
      <c r="G1198" s="2">
        <f t="shared" si="94"/>
        <v>0.8524016107928174</v>
      </c>
    </row>
    <row r="1199" spans="1:7" x14ac:dyDescent="0.35">
      <c r="A1199" s="2">
        <v>1440</v>
      </c>
      <c r="B1199" s="2">
        <f t="shared" si="90"/>
        <v>101.64793617759278</v>
      </c>
      <c r="C1199" s="2">
        <f t="shared" si="91"/>
        <v>10332.302929163976</v>
      </c>
      <c r="D1199" s="2">
        <v>24166</v>
      </c>
      <c r="E1199" s="2">
        <f t="shared" si="92"/>
        <v>2.4165999999999999</v>
      </c>
      <c r="F1199" s="2">
        <f t="shared" si="93"/>
        <v>-0.96325598335067264</v>
      </c>
      <c r="G1199" s="2">
        <f t="shared" si="94"/>
        <v>0.92786208946087134</v>
      </c>
    </row>
    <row r="1200" spans="1:7" x14ac:dyDescent="0.35">
      <c r="A1200" s="2">
        <v>1440</v>
      </c>
      <c r="B1200" s="2">
        <f t="shared" si="90"/>
        <v>101.64793617759278</v>
      </c>
      <c r="C1200" s="2">
        <f t="shared" si="91"/>
        <v>10332.302929163976</v>
      </c>
      <c r="D1200" s="2">
        <v>22125</v>
      </c>
      <c r="E1200" s="2">
        <f t="shared" si="92"/>
        <v>2.2124999999999999</v>
      </c>
      <c r="F1200" s="2">
        <f t="shared" si="93"/>
        <v>-1.1673559833506726</v>
      </c>
      <c r="G1200" s="2">
        <f t="shared" si="94"/>
        <v>1.3627199918646158</v>
      </c>
    </row>
    <row r="1201" spans="1:7" x14ac:dyDescent="0.35">
      <c r="A1201" s="2">
        <v>1440</v>
      </c>
      <c r="B1201" s="2">
        <f t="shared" si="90"/>
        <v>101.64793617759278</v>
      </c>
      <c r="C1201" s="2">
        <f t="shared" si="91"/>
        <v>10332.302929163976</v>
      </c>
      <c r="D1201" s="2">
        <v>21122</v>
      </c>
      <c r="E1201" s="2">
        <f t="shared" si="92"/>
        <v>2.1122000000000001</v>
      </c>
      <c r="F1201" s="2">
        <f t="shared" si="93"/>
        <v>-1.2676559833506724</v>
      </c>
      <c r="G1201" s="2">
        <f t="shared" si="94"/>
        <v>1.6069516921247602</v>
      </c>
    </row>
    <row r="1202" spans="1:7" x14ac:dyDescent="0.35">
      <c r="A1202" s="2">
        <v>1440</v>
      </c>
      <c r="B1202" s="2">
        <f t="shared" si="90"/>
        <v>101.64793617759278</v>
      </c>
      <c r="C1202" s="2">
        <f t="shared" si="91"/>
        <v>10332.302929163976</v>
      </c>
      <c r="D1202" s="2">
        <v>20000</v>
      </c>
      <c r="E1202" s="2">
        <f t="shared" si="92"/>
        <v>2</v>
      </c>
      <c r="F1202" s="2">
        <f t="shared" si="93"/>
        <v>-1.3798559833506725</v>
      </c>
      <c r="G1202" s="2">
        <f t="shared" si="94"/>
        <v>1.9040025347886513</v>
      </c>
    </row>
    <row r="1203" spans="1:7" x14ac:dyDescent="0.35">
      <c r="A1203" s="2">
        <v>1440</v>
      </c>
      <c r="B1203" s="2">
        <f t="shared" si="90"/>
        <v>101.64793617759278</v>
      </c>
      <c r="C1203" s="2">
        <f t="shared" si="91"/>
        <v>10332.302929163976</v>
      </c>
      <c r="D1203" s="2">
        <v>21586</v>
      </c>
      <c r="E1203" s="2">
        <f t="shared" si="92"/>
        <v>2.1585999999999999</v>
      </c>
      <c r="F1203" s="2">
        <f t="shared" si="93"/>
        <v>-1.2212559833506726</v>
      </c>
      <c r="G1203" s="2">
        <f t="shared" si="94"/>
        <v>1.4914661768698185</v>
      </c>
    </row>
    <row r="1204" spans="1:7" x14ac:dyDescent="0.35">
      <c r="A1204" s="2">
        <v>1440</v>
      </c>
      <c r="B1204" s="2">
        <f t="shared" si="90"/>
        <v>101.64793617759278</v>
      </c>
      <c r="C1204" s="2">
        <f t="shared" si="91"/>
        <v>10332.302929163976</v>
      </c>
      <c r="D1204" s="2">
        <v>20000</v>
      </c>
      <c r="E1204" s="2">
        <f t="shared" si="92"/>
        <v>2</v>
      </c>
      <c r="F1204" s="2">
        <f t="shared" si="93"/>
        <v>-1.3798559833506725</v>
      </c>
      <c r="G1204" s="2">
        <f t="shared" si="94"/>
        <v>1.9040025347886513</v>
      </c>
    </row>
    <row r="1205" spans="1:7" x14ac:dyDescent="0.35">
      <c r="A1205" s="2">
        <v>1440</v>
      </c>
      <c r="B1205" s="2">
        <f t="shared" si="90"/>
        <v>101.64793617759278</v>
      </c>
      <c r="C1205" s="2">
        <f t="shared" si="91"/>
        <v>10332.302929163976</v>
      </c>
      <c r="D1205" s="2">
        <v>19811</v>
      </c>
      <c r="E1205" s="2">
        <f t="shared" si="92"/>
        <v>1.9811000000000001</v>
      </c>
      <c r="F1205" s="2">
        <f t="shared" si="93"/>
        <v>-1.3987559833506724</v>
      </c>
      <c r="G1205" s="2">
        <f t="shared" si="94"/>
        <v>1.9565183009593066</v>
      </c>
    </row>
    <row r="1206" spans="1:7" x14ac:dyDescent="0.35">
      <c r="A1206" s="2">
        <v>1440</v>
      </c>
      <c r="B1206" s="2">
        <f t="shared" si="90"/>
        <v>101.64793617759278</v>
      </c>
      <c r="C1206" s="2">
        <f t="shared" si="91"/>
        <v>10332.302929163976</v>
      </c>
      <c r="D1206" s="2">
        <v>20000</v>
      </c>
      <c r="E1206" s="2">
        <f t="shared" si="92"/>
        <v>2</v>
      </c>
      <c r="F1206" s="2">
        <f t="shared" si="93"/>
        <v>-1.3798559833506725</v>
      </c>
      <c r="G1206" s="2">
        <f t="shared" si="94"/>
        <v>1.9040025347886513</v>
      </c>
    </row>
    <row r="1207" spans="1:7" x14ac:dyDescent="0.35">
      <c r="A1207" s="2">
        <v>1440</v>
      </c>
      <c r="B1207" s="2">
        <f t="shared" si="90"/>
        <v>101.64793617759278</v>
      </c>
      <c r="C1207" s="2">
        <f t="shared" si="91"/>
        <v>10332.302929163976</v>
      </c>
      <c r="D1207" s="2">
        <v>24896</v>
      </c>
      <c r="E1207" s="2">
        <f t="shared" si="92"/>
        <v>2.4895999999999998</v>
      </c>
      <c r="F1207" s="2">
        <f t="shared" si="93"/>
        <v>-0.89025598335067269</v>
      </c>
      <c r="G1207" s="2">
        <f t="shared" si="94"/>
        <v>0.79255571589167317</v>
      </c>
    </row>
    <row r="1208" spans="1:7" x14ac:dyDescent="0.35">
      <c r="A1208" s="2">
        <v>1440</v>
      </c>
      <c r="B1208" s="2">
        <f t="shared" si="90"/>
        <v>101.64793617759278</v>
      </c>
      <c r="C1208" s="2">
        <f t="shared" si="91"/>
        <v>10332.302929163976</v>
      </c>
      <c r="D1208" s="2">
        <v>22857</v>
      </c>
      <c r="E1208" s="2">
        <f t="shared" si="92"/>
        <v>2.2856999999999998</v>
      </c>
      <c r="F1208" s="2">
        <f t="shared" si="93"/>
        <v>-1.0941559833506727</v>
      </c>
      <c r="G1208" s="2">
        <f t="shared" si="94"/>
        <v>1.1971773159020775</v>
      </c>
    </row>
    <row r="1209" spans="1:7" x14ac:dyDescent="0.35">
      <c r="A1209" s="2">
        <v>1440</v>
      </c>
      <c r="B1209" s="2">
        <f t="shared" si="90"/>
        <v>101.64793617759278</v>
      </c>
      <c r="C1209" s="2">
        <f t="shared" si="91"/>
        <v>10332.302929163976</v>
      </c>
      <c r="D1209" s="2">
        <v>19800</v>
      </c>
      <c r="E1209" s="2">
        <f t="shared" si="92"/>
        <v>1.98</v>
      </c>
      <c r="F1209" s="2">
        <f t="shared" si="93"/>
        <v>-1.3998559833506725</v>
      </c>
      <c r="G1209" s="2">
        <f t="shared" si="94"/>
        <v>1.9595967741226783</v>
      </c>
    </row>
    <row r="1210" spans="1:7" x14ac:dyDescent="0.35">
      <c r="A1210" s="2">
        <v>1440</v>
      </c>
      <c r="B1210" s="2">
        <f t="shared" si="90"/>
        <v>101.64793617759278</v>
      </c>
      <c r="C1210" s="2">
        <f t="shared" si="91"/>
        <v>10332.302929163976</v>
      </c>
      <c r="D1210" s="2">
        <v>20833</v>
      </c>
      <c r="E1210" s="2">
        <f t="shared" si="92"/>
        <v>2.0832999999999999</v>
      </c>
      <c r="F1210" s="2">
        <f t="shared" si="93"/>
        <v>-1.2965559833506726</v>
      </c>
      <c r="G1210" s="2">
        <f t="shared" si="94"/>
        <v>1.6810574179624296</v>
      </c>
    </row>
    <row r="1211" spans="1:7" x14ac:dyDescent="0.35">
      <c r="A1211" s="2">
        <v>1440</v>
      </c>
      <c r="B1211" s="2">
        <f t="shared" si="90"/>
        <v>101.64793617759278</v>
      </c>
      <c r="C1211" s="2">
        <f t="shared" si="91"/>
        <v>10332.302929163976</v>
      </c>
      <c r="D1211" s="2">
        <v>25000</v>
      </c>
      <c r="E1211" s="2">
        <f t="shared" si="92"/>
        <v>2.5</v>
      </c>
      <c r="F1211" s="2">
        <f t="shared" si="93"/>
        <v>-0.8798559833506725</v>
      </c>
      <c r="G1211" s="2">
        <f t="shared" si="94"/>
        <v>0.77414655143797884</v>
      </c>
    </row>
    <row r="1212" spans="1:7" x14ac:dyDescent="0.35">
      <c r="A1212" s="2">
        <v>1440</v>
      </c>
      <c r="B1212" s="2">
        <f t="shared" si="90"/>
        <v>101.64793617759278</v>
      </c>
      <c r="C1212" s="2">
        <f t="shared" si="91"/>
        <v>10332.302929163976</v>
      </c>
      <c r="D1212" s="2">
        <v>20117</v>
      </c>
      <c r="E1212" s="2">
        <f t="shared" si="92"/>
        <v>2.0116999999999998</v>
      </c>
      <c r="F1212" s="2">
        <f t="shared" si="93"/>
        <v>-1.3681559833506727</v>
      </c>
      <c r="G1212" s="2">
        <f t="shared" si="94"/>
        <v>1.8718507947782461</v>
      </c>
    </row>
    <row r="1213" spans="1:7" x14ac:dyDescent="0.35">
      <c r="A1213" s="2">
        <v>1440</v>
      </c>
      <c r="B1213" s="2">
        <f t="shared" si="90"/>
        <v>101.64793617759278</v>
      </c>
      <c r="C1213" s="2">
        <f t="shared" si="91"/>
        <v>10332.302929163976</v>
      </c>
      <c r="D1213" s="2">
        <v>20000</v>
      </c>
      <c r="E1213" s="2">
        <f t="shared" si="92"/>
        <v>2</v>
      </c>
      <c r="F1213" s="2">
        <f t="shared" si="93"/>
        <v>-1.3798559833506725</v>
      </c>
      <c r="G1213" s="2">
        <f t="shared" si="94"/>
        <v>1.9040025347886513</v>
      </c>
    </row>
    <row r="1214" spans="1:7" x14ac:dyDescent="0.35">
      <c r="A1214" s="2">
        <v>1440</v>
      </c>
      <c r="B1214" s="2">
        <f t="shared" si="90"/>
        <v>101.64793617759278</v>
      </c>
      <c r="C1214" s="2">
        <f t="shared" si="91"/>
        <v>10332.302929163976</v>
      </c>
      <c r="D1214" s="2">
        <v>20508</v>
      </c>
      <c r="E1214" s="2">
        <f t="shared" si="92"/>
        <v>2.0508000000000002</v>
      </c>
      <c r="F1214" s="2">
        <f t="shared" si="93"/>
        <v>-1.3290559833506723</v>
      </c>
      <c r="G1214" s="2">
        <f t="shared" si="94"/>
        <v>1.7663898068802226</v>
      </c>
    </row>
    <row r="1215" spans="1:7" x14ac:dyDescent="0.35">
      <c r="A1215" s="2">
        <v>1440</v>
      </c>
      <c r="B1215" s="2">
        <f t="shared" si="90"/>
        <v>101.64793617759278</v>
      </c>
      <c r="C1215" s="2">
        <f t="shared" si="91"/>
        <v>10332.302929163976</v>
      </c>
      <c r="D1215" s="2">
        <v>20270</v>
      </c>
      <c r="E1215" s="2">
        <f t="shared" si="92"/>
        <v>2.0270000000000001</v>
      </c>
      <c r="F1215" s="2">
        <f t="shared" si="93"/>
        <v>-1.3528559833506724</v>
      </c>
      <c r="G1215" s="2">
        <f t="shared" si="94"/>
        <v>1.8302193116877148</v>
      </c>
    </row>
    <row r="1216" spans="1:7" x14ac:dyDescent="0.35">
      <c r="A1216" s="2">
        <v>1440</v>
      </c>
      <c r="B1216" s="2">
        <f t="shared" si="90"/>
        <v>101.64793617759278</v>
      </c>
      <c r="C1216" s="2">
        <f t="shared" si="91"/>
        <v>10332.302929163976</v>
      </c>
      <c r="D1216" s="2">
        <v>20755</v>
      </c>
      <c r="E1216" s="2">
        <f t="shared" si="92"/>
        <v>2.0754999999999999</v>
      </c>
      <c r="F1216" s="2">
        <f t="shared" si="93"/>
        <v>-1.3043559833506726</v>
      </c>
      <c r="G1216" s="2">
        <f t="shared" si="94"/>
        <v>1.7013445313027</v>
      </c>
    </row>
    <row r="1217" spans="1:7" x14ac:dyDescent="0.35">
      <c r="A1217" s="2">
        <v>1440</v>
      </c>
      <c r="B1217" s="2">
        <f t="shared" si="90"/>
        <v>101.64793617759278</v>
      </c>
      <c r="C1217" s="2">
        <f t="shared" si="91"/>
        <v>10332.302929163976</v>
      </c>
      <c r="D1217" s="2">
        <v>22491</v>
      </c>
      <c r="E1217" s="2">
        <f t="shared" si="92"/>
        <v>2.2490999999999999</v>
      </c>
      <c r="F1217" s="2">
        <f t="shared" si="93"/>
        <v>-1.1307559833506726</v>
      </c>
      <c r="G1217" s="2">
        <f t="shared" si="94"/>
        <v>1.2786090938833465</v>
      </c>
    </row>
    <row r="1218" spans="1:7" x14ac:dyDescent="0.35">
      <c r="A1218" s="2">
        <v>1440</v>
      </c>
      <c r="B1218" s="2">
        <f t="shared" si="90"/>
        <v>101.64793617759278</v>
      </c>
      <c r="C1218" s="2">
        <f t="shared" si="91"/>
        <v>10332.302929163976</v>
      </c>
      <c r="D1218" s="2">
        <v>20755</v>
      </c>
      <c r="E1218" s="2">
        <f t="shared" si="92"/>
        <v>2.0754999999999999</v>
      </c>
      <c r="F1218" s="2">
        <f t="shared" si="93"/>
        <v>-1.3043559833506726</v>
      </c>
      <c r="G1218" s="2">
        <f t="shared" si="94"/>
        <v>1.7013445313027</v>
      </c>
    </row>
    <row r="1219" spans="1:7" x14ac:dyDescent="0.35">
      <c r="A1219" s="2">
        <v>1440</v>
      </c>
      <c r="B1219" s="2">
        <f t="shared" ref="B1219:B1282" si="95">A1219-$J$1</f>
        <v>101.64793617759278</v>
      </c>
      <c r="C1219" s="2">
        <f t="shared" ref="C1219:C1282" si="96">B1219^2</f>
        <v>10332.302929163976</v>
      </c>
      <c r="D1219" s="2">
        <v>22313</v>
      </c>
      <c r="E1219" s="2">
        <f t="shared" ref="E1219:E1282" si="97">D1219/10000</f>
        <v>2.2313000000000001</v>
      </c>
      <c r="F1219" s="2">
        <f t="shared" ref="F1219:F1282" si="98">E1219-$J$2</f>
        <v>-1.1485559833506724</v>
      </c>
      <c r="G1219" s="2">
        <f t="shared" ref="G1219:G1282" si="99">F1219^2</f>
        <v>1.3191808468906301</v>
      </c>
    </row>
    <row r="1220" spans="1:7" x14ac:dyDescent="0.35">
      <c r="A1220" s="2">
        <v>1440</v>
      </c>
      <c r="B1220" s="2">
        <f t="shared" si="95"/>
        <v>101.64793617759278</v>
      </c>
      <c r="C1220" s="2">
        <f t="shared" si="96"/>
        <v>10332.302929163976</v>
      </c>
      <c r="D1220" s="2">
        <v>23321</v>
      </c>
      <c r="E1220" s="2">
        <f t="shared" si="97"/>
        <v>2.3321000000000001</v>
      </c>
      <c r="F1220" s="2">
        <f t="shared" si="98"/>
        <v>-1.0477559833506724</v>
      </c>
      <c r="G1220" s="2">
        <f t="shared" si="99"/>
        <v>1.0977926006471346</v>
      </c>
    </row>
    <row r="1221" spans="1:7" x14ac:dyDescent="0.35">
      <c r="A1221" s="2">
        <v>1440</v>
      </c>
      <c r="B1221" s="2">
        <f t="shared" si="95"/>
        <v>101.64793617759278</v>
      </c>
      <c r="C1221" s="2">
        <f t="shared" si="96"/>
        <v>10332.302929163976</v>
      </c>
      <c r="D1221" s="2">
        <v>24043</v>
      </c>
      <c r="E1221" s="2">
        <f t="shared" si="97"/>
        <v>2.4043000000000001</v>
      </c>
      <c r="F1221" s="2">
        <f t="shared" si="98"/>
        <v>-0.9755559833506724</v>
      </c>
      <c r="G1221" s="2">
        <f t="shared" si="99"/>
        <v>0.95170947665129735</v>
      </c>
    </row>
    <row r="1222" spans="1:7" x14ac:dyDescent="0.35">
      <c r="A1222" s="2">
        <v>1440</v>
      </c>
      <c r="B1222" s="2">
        <f t="shared" si="95"/>
        <v>101.64793617759278</v>
      </c>
      <c r="C1222" s="2">
        <f t="shared" si="96"/>
        <v>10332.302929163976</v>
      </c>
      <c r="D1222" s="2">
        <v>24722</v>
      </c>
      <c r="E1222" s="2">
        <f t="shared" si="97"/>
        <v>2.4722</v>
      </c>
      <c r="F1222" s="2">
        <f t="shared" si="98"/>
        <v>-0.90765598335067255</v>
      </c>
      <c r="G1222" s="2">
        <f t="shared" si="99"/>
        <v>0.82383938411227631</v>
      </c>
    </row>
    <row r="1223" spans="1:7" x14ac:dyDescent="0.35">
      <c r="A1223" s="2">
        <v>1440</v>
      </c>
      <c r="B1223" s="2">
        <f t="shared" si="95"/>
        <v>101.64793617759278</v>
      </c>
      <c r="C1223" s="2">
        <f t="shared" si="96"/>
        <v>10332.302929163976</v>
      </c>
      <c r="D1223" s="2">
        <v>28789</v>
      </c>
      <c r="E1223" s="2">
        <f t="shared" si="97"/>
        <v>2.8788999999999998</v>
      </c>
      <c r="F1223" s="2">
        <f t="shared" si="98"/>
        <v>-0.50095598335067271</v>
      </c>
      <c r="G1223" s="2">
        <f t="shared" si="99"/>
        <v>0.25095689725483949</v>
      </c>
    </row>
    <row r="1224" spans="1:7" x14ac:dyDescent="0.35">
      <c r="A1224" s="2">
        <v>1440</v>
      </c>
      <c r="B1224" s="2">
        <f t="shared" si="95"/>
        <v>101.64793617759278</v>
      </c>
      <c r="C1224" s="2">
        <f t="shared" si="96"/>
        <v>10332.302929163976</v>
      </c>
      <c r="D1224" s="2">
        <v>25821</v>
      </c>
      <c r="E1224" s="2">
        <f t="shared" si="97"/>
        <v>2.5821000000000001</v>
      </c>
      <c r="F1224" s="2">
        <f t="shared" si="98"/>
        <v>-0.79775598335067244</v>
      </c>
      <c r="G1224" s="2">
        <f t="shared" si="99"/>
        <v>0.63641460897179836</v>
      </c>
    </row>
    <row r="1225" spans="1:7" x14ac:dyDescent="0.35">
      <c r="A1225" s="2">
        <v>1440</v>
      </c>
      <c r="B1225" s="2">
        <f t="shared" si="95"/>
        <v>101.64793617759278</v>
      </c>
      <c r="C1225" s="2">
        <f t="shared" si="96"/>
        <v>10332.302929163976</v>
      </c>
      <c r="D1225" s="2">
        <v>24690</v>
      </c>
      <c r="E1225" s="2">
        <f t="shared" si="97"/>
        <v>2.4689999999999999</v>
      </c>
      <c r="F1225" s="2">
        <f t="shared" si="98"/>
        <v>-0.91085598335067264</v>
      </c>
      <c r="G1225" s="2">
        <f t="shared" si="99"/>
        <v>0.82965862240572086</v>
      </c>
    </row>
    <row r="1226" spans="1:7" x14ac:dyDescent="0.35">
      <c r="A1226" s="2">
        <v>1440</v>
      </c>
      <c r="B1226" s="2">
        <f t="shared" si="95"/>
        <v>101.64793617759278</v>
      </c>
      <c r="C1226" s="2">
        <f t="shared" si="96"/>
        <v>10332.302929163976</v>
      </c>
      <c r="D1226" s="2">
        <v>25240</v>
      </c>
      <c r="E1226" s="2">
        <f t="shared" si="97"/>
        <v>2.524</v>
      </c>
      <c r="F1226" s="2">
        <f t="shared" si="98"/>
        <v>-0.85585598335067248</v>
      </c>
      <c r="G1226" s="2">
        <f t="shared" si="99"/>
        <v>0.73248946423714656</v>
      </c>
    </row>
    <row r="1227" spans="1:7" x14ac:dyDescent="0.35">
      <c r="A1227" s="2">
        <v>1976</v>
      </c>
      <c r="B1227" s="2">
        <f t="shared" si="95"/>
        <v>637.64793617759278</v>
      </c>
      <c r="C1227" s="2">
        <f t="shared" si="96"/>
        <v>406594.89051154343</v>
      </c>
      <c r="D1227" s="2">
        <v>25983</v>
      </c>
      <c r="E1227" s="2">
        <f t="shared" si="97"/>
        <v>2.5983000000000001</v>
      </c>
      <c r="F1227" s="2">
        <f t="shared" si="98"/>
        <v>-0.78155598335067245</v>
      </c>
      <c r="G1227" s="2">
        <f t="shared" si="99"/>
        <v>0.61082975511123661</v>
      </c>
    </row>
    <row r="1228" spans="1:7" x14ac:dyDescent="0.35">
      <c r="A1228" s="2">
        <v>1976</v>
      </c>
      <c r="B1228" s="2">
        <f t="shared" si="95"/>
        <v>637.64793617759278</v>
      </c>
      <c r="C1228" s="2">
        <f t="shared" si="96"/>
        <v>406594.89051154343</v>
      </c>
      <c r="D1228" s="2">
        <v>24971</v>
      </c>
      <c r="E1228" s="2">
        <f t="shared" si="97"/>
        <v>2.4971000000000001</v>
      </c>
      <c r="F1228" s="2">
        <f t="shared" si="98"/>
        <v>-0.8827559833506724</v>
      </c>
      <c r="G1228" s="2">
        <f t="shared" si="99"/>
        <v>0.77925812614141265</v>
      </c>
    </row>
    <row r="1229" spans="1:7" x14ac:dyDescent="0.35">
      <c r="A1229" s="2">
        <v>1976</v>
      </c>
      <c r="B1229" s="2">
        <f t="shared" si="95"/>
        <v>637.64793617759278</v>
      </c>
      <c r="C1229" s="2">
        <f t="shared" si="96"/>
        <v>406594.89051154343</v>
      </c>
      <c r="D1229" s="2">
        <v>28557</v>
      </c>
      <c r="E1229" s="2">
        <f t="shared" si="97"/>
        <v>2.8557000000000001</v>
      </c>
      <c r="F1229" s="2">
        <f t="shared" si="98"/>
        <v>-0.52415598335067237</v>
      </c>
      <c r="G1229" s="2">
        <f t="shared" si="99"/>
        <v>0.27473949488231031</v>
      </c>
    </row>
    <row r="1230" spans="1:7" x14ac:dyDescent="0.35">
      <c r="A1230" s="2">
        <v>1976</v>
      </c>
      <c r="B1230" s="2">
        <f t="shared" si="95"/>
        <v>637.64793617759278</v>
      </c>
      <c r="C1230" s="2">
        <f t="shared" si="96"/>
        <v>406594.89051154343</v>
      </c>
      <c r="D1230" s="2">
        <v>27542</v>
      </c>
      <c r="E1230" s="2">
        <f t="shared" si="97"/>
        <v>2.7542</v>
      </c>
      <c r="F1230" s="2">
        <f t="shared" si="98"/>
        <v>-0.62565598335067252</v>
      </c>
      <c r="G1230" s="2">
        <f t="shared" si="99"/>
        <v>0.39144540950249701</v>
      </c>
    </row>
    <row r="1231" spans="1:7" x14ac:dyDescent="0.35">
      <c r="A1231" s="2">
        <v>1976</v>
      </c>
      <c r="B1231" s="2">
        <f t="shared" si="95"/>
        <v>637.64793617759278</v>
      </c>
      <c r="C1231" s="2">
        <f t="shared" si="96"/>
        <v>406594.89051154343</v>
      </c>
      <c r="D1231" s="2">
        <v>25026</v>
      </c>
      <c r="E1231" s="2">
        <f t="shared" si="97"/>
        <v>2.5026000000000002</v>
      </c>
      <c r="F1231" s="2">
        <f t="shared" si="98"/>
        <v>-0.87725598335067234</v>
      </c>
      <c r="G1231" s="2">
        <f t="shared" si="99"/>
        <v>0.76957806032455511</v>
      </c>
    </row>
    <row r="1232" spans="1:7" x14ac:dyDescent="0.35">
      <c r="A1232" s="2">
        <v>1976</v>
      </c>
      <c r="B1232" s="2">
        <f t="shared" si="95"/>
        <v>637.64793617759278</v>
      </c>
      <c r="C1232" s="2">
        <f t="shared" si="96"/>
        <v>406594.89051154343</v>
      </c>
      <c r="D1232" s="2">
        <v>25924</v>
      </c>
      <c r="E1232" s="2">
        <f t="shared" si="97"/>
        <v>2.5924</v>
      </c>
      <c r="F1232" s="2">
        <f t="shared" si="98"/>
        <v>-0.78745598335067246</v>
      </c>
      <c r="G1232" s="2">
        <f t="shared" si="99"/>
        <v>0.62008692571477453</v>
      </c>
    </row>
    <row r="1233" spans="1:7" x14ac:dyDescent="0.35">
      <c r="A1233" s="2">
        <v>1976</v>
      </c>
      <c r="B1233" s="2">
        <f t="shared" si="95"/>
        <v>637.64793617759278</v>
      </c>
      <c r="C1233" s="2">
        <f t="shared" si="96"/>
        <v>406594.89051154343</v>
      </c>
      <c r="D1233" s="2">
        <v>26931</v>
      </c>
      <c r="E1233" s="2">
        <f t="shared" si="97"/>
        <v>2.6930999999999998</v>
      </c>
      <c r="F1233" s="2">
        <f t="shared" si="98"/>
        <v>-0.68675598335067267</v>
      </c>
      <c r="G1233" s="2">
        <f t="shared" si="99"/>
        <v>0.47163378066794942</v>
      </c>
    </row>
    <row r="1234" spans="1:7" x14ac:dyDescent="0.35">
      <c r="A1234" s="2">
        <v>1976</v>
      </c>
      <c r="B1234" s="2">
        <f t="shared" si="95"/>
        <v>637.64793617759278</v>
      </c>
      <c r="C1234" s="2">
        <f t="shared" si="96"/>
        <v>406594.89051154343</v>
      </c>
      <c r="D1234" s="2">
        <v>26536</v>
      </c>
      <c r="E1234" s="2">
        <f t="shared" si="97"/>
        <v>2.6536</v>
      </c>
      <c r="F1234" s="2">
        <f t="shared" si="98"/>
        <v>-0.72625598335067254</v>
      </c>
      <c r="G1234" s="2">
        <f t="shared" si="99"/>
        <v>0.52744775335265237</v>
      </c>
    </row>
    <row r="1235" spans="1:7" x14ac:dyDescent="0.35">
      <c r="A1235" s="2">
        <v>1976</v>
      </c>
      <c r="B1235" s="2">
        <f t="shared" si="95"/>
        <v>637.64793617759278</v>
      </c>
      <c r="C1235" s="2">
        <f t="shared" si="96"/>
        <v>406594.89051154343</v>
      </c>
      <c r="D1235" s="2">
        <v>24906</v>
      </c>
      <c r="E1235" s="2">
        <f t="shared" si="97"/>
        <v>2.4906000000000001</v>
      </c>
      <c r="F1235" s="2">
        <f t="shared" si="98"/>
        <v>-0.88925598335067235</v>
      </c>
      <c r="G1235" s="2">
        <f t="shared" si="99"/>
        <v>0.79077620392497128</v>
      </c>
    </row>
    <row r="1236" spans="1:7" x14ac:dyDescent="0.35">
      <c r="A1236" s="2">
        <v>1976</v>
      </c>
      <c r="B1236" s="2">
        <f t="shared" si="95"/>
        <v>637.64793617759278</v>
      </c>
      <c r="C1236" s="2">
        <f t="shared" si="96"/>
        <v>406594.89051154343</v>
      </c>
      <c r="D1236" s="2">
        <v>26103</v>
      </c>
      <c r="E1236" s="2">
        <f t="shared" si="97"/>
        <v>2.6103000000000001</v>
      </c>
      <c r="F1236" s="2">
        <f t="shared" si="98"/>
        <v>-0.76955598335067243</v>
      </c>
      <c r="G1236" s="2">
        <f t="shared" si="99"/>
        <v>0.59221641151082038</v>
      </c>
    </row>
    <row r="1237" spans="1:7" x14ac:dyDescent="0.35">
      <c r="A1237" s="2">
        <v>1976</v>
      </c>
      <c r="B1237" s="2">
        <f t="shared" si="95"/>
        <v>637.64793617759278</v>
      </c>
      <c r="C1237" s="2">
        <f t="shared" si="96"/>
        <v>406594.89051154343</v>
      </c>
      <c r="D1237" s="2">
        <v>26768</v>
      </c>
      <c r="E1237" s="2">
        <f t="shared" si="97"/>
        <v>2.6768000000000001</v>
      </c>
      <c r="F1237" s="2">
        <f t="shared" si="98"/>
        <v>-0.70305598335067243</v>
      </c>
      <c r="G1237" s="2">
        <f t="shared" si="99"/>
        <v>0.49428771572518099</v>
      </c>
    </row>
    <row r="1238" spans="1:7" x14ac:dyDescent="0.35">
      <c r="A1238" s="2">
        <v>1976</v>
      </c>
      <c r="B1238" s="2">
        <f t="shared" si="95"/>
        <v>637.64793617759278</v>
      </c>
      <c r="C1238" s="2">
        <f t="shared" si="96"/>
        <v>406594.89051154343</v>
      </c>
      <c r="D1238" s="2">
        <v>31028</v>
      </c>
      <c r="E1238" s="2">
        <f t="shared" si="97"/>
        <v>3.1027999999999998</v>
      </c>
      <c r="F1238" s="2">
        <f t="shared" si="98"/>
        <v>-0.27705598335067272</v>
      </c>
      <c r="G1238" s="2">
        <f t="shared" si="99"/>
        <v>7.6760017910408235E-2</v>
      </c>
    </row>
    <row r="1239" spans="1:7" x14ac:dyDescent="0.35">
      <c r="A1239" s="2">
        <v>1976</v>
      </c>
      <c r="B1239" s="2">
        <f t="shared" si="95"/>
        <v>637.64793617759278</v>
      </c>
      <c r="C1239" s="2">
        <f t="shared" si="96"/>
        <v>406594.89051154343</v>
      </c>
      <c r="D1239" s="2">
        <v>25468</v>
      </c>
      <c r="E1239" s="2">
        <f t="shared" si="97"/>
        <v>2.5468000000000002</v>
      </c>
      <c r="F1239" s="2">
        <f t="shared" si="98"/>
        <v>-0.83305598335067232</v>
      </c>
      <c r="G1239" s="2">
        <f t="shared" si="99"/>
        <v>0.6939822713963556</v>
      </c>
    </row>
    <row r="1240" spans="1:7" x14ac:dyDescent="0.35">
      <c r="A1240" s="2">
        <v>1976</v>
      </c>
      <c r="B1240" s="2">
        <f t="shared" si="95"/>
        <v>637.64793617759278</v>
      </c>
      <c r="C1240" s="2">
        <f t="shared" si="96"/>
        <v>406594.89051154343</v>
      </c>
      <c r="D1240" s="2">
        <v>21850</v>
      </c>
      <c r="E1240" s="2">
        <f t="shared" si="97"/>
        <v>2.1850000000000001</v>
      </c>
      <c r="F1240" s="2">
        <f t="shared" si="98"/>
        <v>-1.1948559833506724</v>
      </c>
      <c r="G1240" s="2">
        <f t="shared" si="99"/>
        <v>1.4276808209489025</v>
      </c>
    </row>
    <row r="1241" spans="1:7" x14ac:dyDescent="0.35">
      <c r="A1241" s="2">
        <v>1976</v>
      </c>
      <c r="B1241" s="2">
        <f t="shared" si="95"/>
        <v>637.64793617759278</v>
      </c>
      <c r="C1241" s="2">
        <f t="shared" si="96"/>
        <v>406594.89051154343</v>
      </c>
      <c r="D1241" s="2">
        <v>22923</v>
      </c>
      <c r="E1241" s="2">
        <f t="shared" si="97"/>
        <v>2.2923</v>
      </c>
      <c r="F1241" s="2">
        <f t="shared" si="98"/>
        <v>-1.0875559833506725</v>
      </c>
      <c r="G1241" s="2">
        <f t="shared" si="99"/>
        <v>1.1827780169218483</v>
      </c>
    </row>
    <row r="1242" spans="1:7" x14ac:dyDescent="0.35">
      <c r="A1242" s="2">
        <v>1976</v>
      </c>
      <c r="B1242" s="2">
        <f t="shared" si="95"/>
        <v>637.64793617759278</v>
      </c>
      <c r="C1242" s="2">
        <f t="shared" si="96"/>
        <v>406594.89051154343</v>
      </c>
      <c r="D1242" s="2">
        <v>34989</v>
      </c>
      <c r="E1242" s="2">
        <f t="shared" si="97"/>
        <v>3.4988999999999999</v>
      </c>
      <c r="F1242" s="2">
        <f t="shared" si="98"/>
        <v>0.1190440166493274</v>
      </c>
      <c r="G1242" s="2">
        <f t="shared" si="99"/>
        <v>1.4171477900005339E-2</v>
      </c>
    </row>
    <row r="1243" spans="1:7" x14ac:dyDescent="0.35">
      <c r="A1243" s="2">
        <v>1976</v>
      </c>
      <c r="B1243" s="2">
        <f t="shared" si="95"/>
        <v>637.64793617759278</v>
      </c>
      <c r="C1243" s="2">
        <f t="shared" si="96"/>
        <v>406594.89051154343</v>
      </c>
      <c r="D1243" s="2">
        <v>23573</v>
      </c>
      <c r="E1243" s="2">
        <f t="shared" si="97"/>
        <v>2.3573</v>
      </c>
      <c r="F1243" s="2">
        <f t="shared" si="98"/>
        <v>-1.0225559833506725</v>
      </c>
      <c r="G1243" s="2">
        <f t="shared" si="99"/>
        <v>1.0456207390862609</v>
      </c>
    </row>
    <row r="1244" spans="1:7" x14ac:dyDescent="0.35">
      <c r="A1244" s="2">
        <v>1976</v>
      </c>
      <c r="B1244" s="2">
        <f t="shared" si="95"/>
        <v>637.64793617759278</v>
      </c>
      <c r="C1244" s="2">
        <f t="shared" si="96"/>
        <v>406594.89051154343</v>
      </c>
      <c r="D1244" s="2">
        <v>41050</v>
      </c>
      <c r="E1244" s="2">
        <f t="shared" si="97"/>
        <v>4.1050000000000004</v>
      </c>
      <c r="F1244" s="2">
        <f t="shared" si="98"/>
        <v>0.72514401664932793</v>
      </c>
      <c r="G1244" s="2">
        <f t="shared" si="99"/>
        <v>0.52583384488232077</v>
      </c>
    </row>
    <row r="1245" spans="1:7" x14ac:dyDescent="0.35">
      <c r="A1245" s="2">
        <v>1976</v>
      </c>
      <c r="B1245" s="2">
        <f t="shared" si="95"/>
        <v>637.64793617759278</v>
      </c>
      <c r="C1245" s="2">
        <f t="shared" si="96"/>
        <v>406594.89051154343</v>
      </c>
      <c r="D1245" s="2">
        <v>37417</v>
      </c>
      <c r="E1245" s="2">
        <f t="shared" si="97"/>
        <v>3.7416999999999998</v>
      </c>
      <c r="F1245" s="2">
        <f t="shared" si="98"/>
        <v>0.3618440166493273</v>
      </c>
      <c r="G1245" s="2">
        <f t="shared" si="99"/>
        <v>0.13093109238491865</v>
      </c>
    </row>
    <row r="1246" spans="1:7" x14ac:dyDescent="0.35">
      <c r="A1246" s="2">
        <v>1976</v>
      </c>
      <c r="B1246" s="2">
        <f t="shared" si="95"/>
        <v>637.64793617759278</v>
      </c>
      <c r="C1246" s="2">
        <f t="shared" si="96"/>
        <v>406594.89051154343</v>
      </c>
      <c r="D1246" s="2">
        <v>49229</v>
      </c>
      <c r="E1246" s="2">
        <f t="shared" si="97"/>
        <v>4.9229000000000003</v>
      </c>
      <c r="F1246" s="2">
        <f t="shared" si="98"/>
        <v>1.5430440166493278</v>
      </c>
      <c r="G1246" s="2">
        <f t="shared" si="99"/>
        <v>2.3809848373172908</v>
      </c>
    </row>
    <row r="1247" spans="1:7" x14ac:dyDescent="0.35">
      <c r="A1247" s="2">
        <v>1976</v>
      </c>
      <c r="B1247" s="2">
        <f t="shared" si="95"/>
        <v>637.64793617759278</v>
      </c>
      <c r="C1247" s="2">
        <f t="shared" si="96"/>
        <v>406594.89051154343</v>
      </c>
      <c r="D1247" s="2">
        <v>50483</v>
      </c>
      <c r="E1247" s="2">
        <f t="shared" si="97"/>
        <v>5.0483000000000002</v>
      </c>
      <c r="F1247" s="2">
        <f t="shared" si="98"/>
        <v>1.6684440166493277</v>
      </c>
      <c r="G1247" s="2">
        <f t="shared" si="99"/>
        <v>2.7837054366929421</v>
      </c>
    </row>
    <row r="1248" spans="1:7" x14ac:dyDescent="0.35">
      <c r="A1248" s="2">
        <v>1976</v>
      </c>
      <c r="B1248" s="2">
        <f t="shared" si="95"/>
        <v>637.64793617759278</v>
      </c>
      <c r="C1248" s="2">
        <f t="shared" si="96"/>
        <v>406594.89051154343</v>
      </c>
      <c r="D1248" s="2">
        <v>51911</v>
      </c>
      <c r="E1248" s="2">
        <f t="shared" si="97"/>
        <v>5.1910999999999996</v>
      </c>
      <c r="F1248" s="2">
        <f t="shared" si="98"/>
        <v>1.8112440166493271</v>
      </c>
      <c r="G1248" s="2">
        <f t="shared" si="99"/>
        <v>3.2806048878479879</v>
      </c>
    </row>
    <row r="1249" spans="1:7" x14ac:dyDescent="0.35">
      <c r="A1249" s="2">
        <v>1976</v>
      </c>
      <c r="B1249" s="2">
        <f t="shared" si="95"/>
        <v>637.64793617759278</v>
      </c>
      <c r="C1249" s="2">
        <f t="shared" si="96"/>
        <v>406594.89051154343</v>
      </c>
      <c r="D1249" s="2">
        <v>49376</v>
      </c>
      <c r="E1249" s="2">
        <f t="shared" si="97"/>
        <v>4.9375999999999998</v>
      </c>
      <c r="F1249" s="2">
        <f t="shared" si="98"/>
        <v>1.5577440166493273</v>
      </c>
      <c r="G1249" s="2">
        <f t="shared" si="99"/>
        <v>2.4265664214067795</v>
      </c>
    </row>
    <row r="1250" spans="1:7" x14ac:dyDescent="0.35">
      <c r="A1250" s="2">
        <v>1976</v>
      </c>
      <c r="B1250" s="2">
        <f t="shared" si="95"/>
        <v>637.64793617759278</v>
      </c>
      <c r="C1250" s="2">
        <f t="shared" si="96"/>
        <v>406594.89051154343</v>
      </c>
      <c r="D1250" s="2">
        <v>57287</v>
      </c>
      <c r="E1250" s="2">
        <f t="shared" si="97"/>
        <v>5.7286999999999999</v>
      </c>
      <c r="F1250" s="2">
        <f t="shared" si="98"/>
        <v>2.3488440166493274</v>
      </c>
      <c r="G1250" s="2">
        <f t="shared" si="99"/>
        <v>5.5170682145493455</v>
      </c>
    </row>
    <row r="1251" spans="1:7" x14ac:dyDescent="0.35">
      <c r="A1251" s="2">
        <v>1976</v>
      </c>
      <c r="B1251" s="2">
        <f t="shared" si="95"/>
        <v>637.64793617759278</v>
      </c>
      <c r="C1251" s="2">
        <f t="shared" si="96"/>
        <v>406594.89051154343</v>
      </c>
      <c r="D1251" s="2">
        <v>57761</v>
      </c>
      <c r="E1251" s="2">
        <f t="shared" si="97"/>
        <v>5.7760999999999996</v>
      </c>
      <c r="F1251" s="2">
        <f t="shared" si="98"/>
        <v>2.3962440166493271</v>
      </c>
      <c r="G1251" s="2">
        <f t="shared" si="99"/>
        <v>5.7419853873277003</v>
      </c>
    </row>
    <row r="1252" spans="1:7" x14ac:dyDescent="0.35">
      <c r="A1252" s="2">
        <v>1976</v>
      </c>
      <c r="B1252" s="2">
        <f t="shared" si="95"/>
        <v>637.64793617759278</v>
      </c>
      <c r="C1252" s="2">
        <f t="shared" si="96"/>
        <v>406594.89051154343</v>
      </c>
      <c r="D1252" s="2">
        <v>59734</v>
      </c>
      <c r="E1252" s="2">
        <f t="shared" si="97"/>
        <v>5.9733999999999998</v>
      </c>
      <c r="F1252" s="2">
        <f t="shared" si="98"/>
        <v>2.5935440166493273</v>
      </c>
      <c r="G1252" s="2">
        <f t="shared" si="99"/>
        <v>6.7264705662975262</v>
      </c>
    </row>
    <row r="1253" spans="1:7" x14ac:dyDescent="0.35">
      <c r="A1253" s="2">
        <v>1976</v>
      </c>
      <c r="B1253" s="2">
        <f t="shared" si="95"/>
        <v>637.64793617759278</v>
      </c>
      <c r="C1253" s="2">
        <f t="shared" si="96"/>
        <v>406594.89051154343</v>
      </c>
      <c r="D1253" s="2">
        <v>61214</v>
      </c>
      <c r="E1253" s="2">
        <f t="shared" si="97"/>
        <v>6.1214000000000004</v>
      </c>
      <c r="F1253" s="2">
        <f t="shared" si="98"/>
        <v>2.7415440166493279</v>
      </c>
      <c r="G1253" s="2">
        <f t="shared" si="99"/>
        <v>7.51606359522573</v>
      </c>
    </row>
    <row r="1254" spans="1:7" x14ac:dyDescent="0.35">
      <c r="A1254" s="2">
        <v>1976</v>
      </c>
      <c r="B1254" s="2">
        <f t="shared" si="95"/>
        <v>637.64793617759278</v>
      </c>
      <c r="C1254" s="2">
        <f t="shared" si="96"/>
        <v>406594.89051154343</v>
      </c>
      <c r="D1254" s="2">
        <v>64530</v>
      </c>
      <c r="E1254" s="2">
        <f t="shared" si="97"/>
        <v>6.4530000000000003</v>
      </c>
      <c r="F1254" s="2">
        <f t="shared" si="98"/>
        <v>3.0731440166493278</v>
      </c>
      <c r="G1254" s="2">
        <f t="shared" si="99"/>
        <v>9.444214147067564</v>
      </c>
    </row>
    <row r="1255" spans="1:7" x14ac:dyDescent="0.35">
      <c r="A1255" s="2">
        <v>1976</v>
      </c>
      <c r="B1255" s="2">
        <f t="shared" si="95"/>
        <v>637.64793617759278</v>
      </c>
      <c r="C1255" s="2">
        <f t="shared" si="96"/>
        <v>406594.89051154343</v>
      </c>
      <c r="D1255" s="2">
        <v>67386</v>
      </c>
      <c r="E1255" s="2">
        <f t="shared" si="97"/>
        <v>6.7385999999999999</v>
      </c>
      <c r="F1255" s="2">
        <f t="shared" si="98"/>
        <v>3.3587440166493274</v>
      </c>
      <c r="G1255" s="2">
        <f t="shared" si="99"/>
        <v>11.281161369377658</v>
      </c>
    </row>
    <row r="1256" spans="1:7" x14ac:dyDescent="0.35">
      <c r="A1256" s="2">
        <v>1976</v>
      </c>
      <c r="B1256" s="2">
        <f t="shared" si="95"/>
        <v>637.64793617759278</v>
      </c>
      <c r="C1256" s="2">
        <f t="shared" si="96"/>
        <v>406594.89051154343</v>
      </c>
      <c r="D1256" s="2">
        <v>69716</v>
      </c>
      <c r="E1256" s="2">
        <f t="shared" si="97"/>
        <v>6.9715999999999996</v>
      </c>
      <c r="F1256" s="2">
        <f t="shared" si="98"/>
        <v>3.5917440166493271</v>
      </c>
      <c r="G1256" s="2">
        <f t="shared" si="99"/>
        <v>12.900625081136242</v>
      </c>
    </row>
    <row r="1257" spans="1:7" x14ac:dyDescent="0.35">
      <c r="A1257" s="2">
        <v>589</v>
      </c>
      <c r="B1257" s="2">
        <f t="shared" si="95"/>
        <v>-749.35206382240722</v>
      </c>
      <c r="C1257" s="2">
        <f t="shared" si="96"/>
        <v>561528.5155549011</v>
      </c>
      <c r="D1257" s="2">
        <v>33871</v>
      </c>
      <c r="E1257" s="2">
        <f t="shared" si="97"/>
        <v>3.3871000000000002</v>
      </c>
      <c r="F1257" s="2">
        <f t="shared" si="98"/>
        <v>7.2440166493277225E-3</v>
      </c>
      <c r="G1257" s="2">
        <f t="shared" si="99"/>
        <v>5.2475777215737246E-5</v>
      </c>
    </row>
    <row r="1258" spans="1:7" x14ac:dyDescent="0.35">
      <c r="A1258" s="2">
        <v>589</v>
      </c>
      <c r="B1258" s="2">
        <f t="shared" si="95"/>
        <v>-749.35206382240722</v>
      </c>
      <c r="C1258" s="2">
        <f t="shared" si="96"/>
        <v>561528.5155549011</v>
      </c>
      <c r="D1258" s="2">
        <v>39930</v>
      </c>
      <c r="E1258" s="2">
        <f t="shared" si="97"/>
        <v>3.9929999999999999</v>
      </c>
      <c r="F1258" s="2">
        <f t="shared" si="98"/>
        <v>0.61314401664932738</v>
      </c>
      <c r="G1258" s="2">
        <f t="shared" si="99"/>
        <v>0.37594558515287063</v>
      </c>
    </row>
    <row r="1259" spans="1:7" x14ac:dyDescent="0.35">
      <c r="A1259" s="2">
        <v>589</v>
      </c>
      <c r="B1259" s="2">
        <f t="shared" si="95"/>
        <v>-749.35206382240722</v>
      </c>
      <c r="C1259" s="2">
        <f t="shared" si="96"/>
        <v>561528.5155549011</v>
      </c>
      <c r="D1259" s="2">
        <v>30073</v>
      </c>
      <c r="E1259" s="2">
        <f t="shared" si="97"/>
        <v>3.0072999999999999</v>
      </c>
      <c r="F1259" s="2">
        <f t="shared" si="98"/>
        <v>-0.37255598335067264</v>
      </c>
      <c r="G1259" s="2">
        <f t="shared" si="99"/>
        <v>0.13879796073038667</v>
      </c>
    </row>
    <row r="1260" spans="1:7" x14ac:dyDescent="0.35">
      <c r="A1260" s="2">
        <v>589</v>
      </c>
      <c r="B1260" s="2">
        <f t="shared" si="95"/>
        <v>-749.35206382240722</v>
      </c>
      <c r="C1260" s="2">
        <f t="shared" si="96"/>
        <v>561528.5155549011</v>
      </c>
      <c r="D1260" s="2">
        <v>23713</v>
      </c>
      <c r="E1260" s="2">
        <f t="shared" si="97"/>
        <v>2.3713000000000002</v>
      </c>
      <c r="F1260" s="2">
        <f t="shared" si="98"/>
        <v>-1.0085559833506723</v>
      </c>
      <c r="G1260" s="2">
        <f t="shared" si="99"/>
        <v>1.0171851715524416</v>
      </c>
    </row>
    <row r="1261" spans="1:7" x14ac:dyDescent="0.35">
      <c r="A1261" s="2">
        <v>589</v>
      </c>
      <c r="B1261" s="2">
        <f t="shared" si="95"/>
        <v>-749.35206382240722</v>
      </c>
      <c r="C1261" s="2">
        <f t="shared" si="96"/>
        <v>561528.5155549011</v>
      </c>
      <c r="D1261" s="2">
        <v>33520</v>
      </c>
      <c r="E1261" s="2">
        <f t="shared" si="97"/>
        <v>3.3519999999999999</v>
      </c>
      <c r="F1261" s="2">
        <f t="shared" si="98"/>
        <v>-2.7855983350672631E-2</v>
      </c>
      <c r="G1261" s="2">
        <f t="shared" si="99"/>
        <v>7.7595580843295084E-4</v>
      </c>
    </row>
    <row r="1262" spans="1:7" x14ac:dyDescent="0.35">
      <c r="A1262" s="2">
        <v>589</v>
      </c>
      <c r="B1262" s="2">
        <f t="shared" si="95"/>
        <v>-749.35206382240722</v>
      </c>
      <c r="C1262" s="2">
        <f t="shared" si="96"/>
        <v>561528.5155549011</v>
      </c>
      <c r="D1262" s="2">
        <v>23696</v>
      </c>
      <c r="E1262" s="2">
        <f t="shared" si="97"/>
        <v>2.3696000000000002</v>
      </c>
      <c r="F1262" s="2">
        <f t="shared" si="98"/>
        <v>-1.0102559833506723</v>
      </c>
      <c r="G1262" s="2">
        <f t="shared" si="99"/>
        <v>1.020617151895834</v>
      </c>
    </row>
    <row r="1263" spans="1:7" x14ac:dyDescent="0.35">
      <c r="A1263" s="2">
        <v>589</v>
      </c>
      <c r="B1263" s="2">
        <f t="shared" si="95"/>
        <v>-749.35206382240722</v>
      </c>
      <c r="C1263" s="2">
        <f t="shared" si="96"/>
        <v>561528.5155549011</v>
      </c>
      <c r="D1263" s="2">
        <v>30702</v>
      </c>
      <c r="E1263" s="2">
        <f t="shared" si="97"/>
        <v>3.0701999999999998</v>
      </c>
      <c r="F1263" s="2">
        <f t="shared" si="98"/>
        <v>-0.30965598335067268</v>
      </c>
      <c r="G1263" s="2">
        <f t="shared" si="99"/>
        <v>9.588682802487207E-2</v>
      </c>
    </row>
    <row r="1264" spans="1:7" x14ac:dyDescent="0.35">
      <c r="A1264" s="2">
        <v>589</v>
      </c>
      <c r="B1264" s="2">
        <f t="shared" si="95"/>
        <v>-749.35206382240722</v>
      </c>
      <c r="C1264" s="2">
        <f t="shared" si="96"/>
        <v>561528.5155549011</v>
      </c>
      <c r="D1264" s="2">
        <v>26519</v>
      </c>
      <c r="E1264" s="2">
        <f t="shared" si="97"/>
        <v>2.6518999999999999</v>
      </c>
      <c r="F1264" s="2">
        <f t="shared" si="98"/>
        <v>-0.72795598335067258</v>
      </c>
      <c r="G1264" s="2">
        <f t="shared" si="99"/>
        <v>0.52991991369604474</v>
      </c>
    </row>
    <row r="1265" spans="1:7" x14ac:dyDescent="0.35">
      <c r="A1265" s="2">
        <v>589</v>
      </c>
      <c r="B1265" s="2">
        <f t="shared" si="95"/>
        <v>-749.35206382240722</v>
      </c>
      <c r="C1265" s="2">
        <f t="shared" si="96"/>
        <v>561528.5155549011</v>
      </c>
      <c r="D1265" s="2">
        <v>31308</v>
      </c>
      <c r="E1265" s="2">
        <f t="shared" si="97"/>
        <v>3.1307999999999998</v>
      </c>
      <c r="F1265" s="2">
        <f t="shared" si="98"/>
        <v>-0.24905598335067269</v>
      </c>
      <c r="G1265" s="2">
        <f t="shared" si="99"/>
        <v>6.2028882842770555E-2</v>
      </c>
    </row>
    <row r="1266" spans="1:7" x14ac:dyDescent="0.35">
      <c r="A1266" s="2">
        <v>589</v>
      </c>
      <c r="B1266" s="2">
        <f t="shared" si="95"/>
        <v>-749.35206382240722</v>
      </c>
      <c r="C1266" s="2">
        <f t="shared" si="96"/>
        <v>561528.5155549011</v>
      </c>
      <c r="D1266" s="2">
        <v>31606</v>
      </c>
      <c r="E1266" s="2">
        <f t="shared" si="97"/>
        <v>3.1606000000000001</v>
      </c>
      <c r="F1266" s="2">
        <f t="shared" si="98"/>
        <v>-0.21925598335067242</v>
      </c>
      <c r="G1266" s="2">
        <f t="shared" si="99"/>
        <v>4.8073186235070342E-2</v>
      </c>
    </row>
    <row r="1267" spans="1:7" x14ac:dyDescent="0.35">
      <c r="A1267" s="2">
        <v>589</v>
      </c>
      <c r="B1267" s="2">
        <f t="shared" si="95"/>
        <v>-749.35206382240722</v>
      </c>
      <c r="C1267" s="2">
        <f t="shared" si="96"/>
        <v>561528.5155549011</v>
      </c>
      <c r="D1267" s="2">
        <v>22508</v>
      </c>
      <c r="E1267" s="2">
        <f t="shared" si="97"/>
        <v>2.2507999999999999</v>
      </c>
      <c r="F1267" s="2">
        <f t="shared" si="98"/>
        <v>-1.1290559833506726</v>
      </c>
      <c r="G1267" s="2">
        <f t="shared" si="99"/>
        <v>1.2747674135399543</v>
      </c>
    </row>
    <row r="1268" spans="1:7" x14ac:dyDescent="0.35">
      <c r="A1268" s="2">
        <v>589</v>
      </c>
      <c r="B1268" s="2">
        <f t="shared" si="95"/>
        <v>-749.35206382240722</v>
      </c>
      <c r="C1268" s="2">
        <f t="shared" si="96"/>
        <v>561528.5155549011</v>
      </c>
      <c r="D1268" s="2">
        <v>33286</v>
      </c>
      <c r="E1268" s="2">
        <f t="shared" si="97"/>
        <v>3.3285999999999998</v>
      </c>
      <c r="F1268" s="2">
        <f t="shared" si="98"/>
        <v>-5.1255983350672718E-2</v>
      </c>
      <c r="G1268" s="2">
        <f t="shared" si="99"/>
        <v>2.627175829244439E-3</v>
      </c>
    </row>
    <row r="1269" spans="1:7" x14ac:dyDescent="0.35">
      <c r="A1269" s="2">
        <v>589</v>
      </c>
      <c r="B1269" s="2">
        <f t="shared" si="95"/>
        <v>-749.35206382240722</v>
      </c>
      <c r="C1269" s="2">
        <f t="shared" si="96"/>
        <v>561528.5155549011</v>
      </c>
      <c r="D1269" s="2">
        <v>27031</v>
      </c>
      <c r="E1269" s="2">
        <f t="shared" si="97"/>
        <v>2.7031000000000001</v>
      </c>
      <c r="F1269" s="2">
        <f t="shared" si="98"/>
        <v>-0.67675598335067244</v>
      </c>
      <c r="G1269" s="2">
        <f t="shared" si="99"/>
        <v>0.45799866100093561</v>
      </c>
    </row>
    <row r="1270" spans="1:7" x14ac:dyDescent="0.35">
      <c r="A1270" s="2">
        <v>589</v>
      </c>
      <c r="B1270" s="2">
        <f t="shared" si="95"/>
        <v>-749.35206382240722</v>
      </c>
      <c r="C1270" s="2">
        <f t="shared" si="96"/>
        <v>561528.5155549011</v>
      </c>
      <c r="D1270" s="2">
        <v>33158</v>
      </c>
      <c r="E1270" s="2">
        <f t="shared" si="97"/>
        <v>3.3157999999999999</v>
      </c>
      <c r="F1270" s="2">
        <f t="shared" si="98"/>
        <v>-6.4055983350672641E-2</v>
      </c>
      <c r="G1270" s="2">
        <f t="shared" si="99"/>
        <v>4.1031690030216509E-3</v>
      </c>
    </row>
    <row r="1271" spans="1:7" x14ac:dyDescent="0.35">
      <c r="A1271" s="2">
        <v>589</v>
      </c>
      <c r="B1271" s="2">
        <f t="shared" si="95"/>
        <v>-749.35206382240722</v>
      </c>
      <c r="C1271" s="2">
        <f t="shared" si="96"/>
        <v>561528.5155549011</v>
      </c>
      <c r="D1271" s="2">
        <v>34932</v>
      </c>
      <c r="E1271" s="2">
        <f t="shared" si="97"/>
        <v>3.4931999999999999</v>
      </c>
      <c r="F1271" s="2">
        <f t="shared" si="98"/>
        <v>0.11334401664932736</v>
      </c>
      <c r="G1271" s="2">
        <f t="shared" si="99"/>
        <v>1.2846866110202998E-2</v>
      </c>
    </row>
    <row r="1272" spans="1:7" x14ac:dyDescent="0.35">
      <c r="A1272" s="2">
        <v>589</v>
      </c>
      <c r="B1272" s="2">
        <f t="shared" si="95"/>
        <v>-749.35206382240722</v>
      </c>
      <c r="C1272" s="2">
        <f t="shared" si="96"/>
        <v>561528.5155549011</v>
      </c>
      <c r="D1272" s="2">
        <v>32950</v>
      </c>
      <c r="E1272" s="2">
        <f t="shared" si="97"/>
        <v>3.2949999999999999</v>
      </c>
      <c r="F1272" s="2">
        <f t="shared" si="98"/>
        <v>-8.485598335067257E-2</v>
      </c>
      <c r="G1272" s="2">
        <f t="shared" si="99"/>
        <v>7.2005379104096209E-3</v>
      </c>
    </row>
    <row r="1273" spans="1:7" x14ac:dyDescent="0.35">
      <c r="A1273" s="2">
        <v>589</v>
      </c>
      <c r="B1273" s="2">
        <f t="shared" si="95"/>
        <v>-749.35206382240722</v>
      </c>
      <c r="C1273" s="2">
        <f t="shared" si="96"/>
        <v>561528.5155549011</v>
      </c>
      <c r="D1273" s="2">
        <v>46448</v>
      </c>
      <c r="E1273" s="2">
        <f t="shared" si="97"/>
        <v>4.6448</v>
      </c>
      <c r="F1273" s="2">
        <f t="shared" si="98"/>
        <v>1.2649440166493275</v>
      </c>
      <c r="G1273" s="2">
        <f t="shared" si="99"/>
        <v>1.6000833652569342</v>
      </c>
    </row>
    <row r="1274" spans="1:7" x14ac:dyDescent="0.35">
      <c r="A1274" s="2">
        <v>589</v>
      </c>
      <c r="B1274" s="2">
        <f t="shared" si="95"/>
        <v>-749.35206382240722</v>
      </c>
      <c r="C1274" s="2">
        <f t="shared" si="96"/>
        <v>561528.5155549011</v>
      </c>
      <c r="D1274" s="2">
        <v>34097</v>
      </c>
      <c r="E1274" s="2">
        <f t="shared" si="97"/>
        <v>3.4097</v>
      </c>
      <c r="F1274" s="2">
        <f t="shared" si="98"/>
        <v>2.9844016649327454E-2</v>
      </c>
      <c r="G1274" s="2">
        <f t="shared" si="99"/>
        <v>8.906653297653343E-4</v>
      </c>
    </row>
    <row r="1275" spans="1:7" x14ac:dyDescent="0.35">
      <c r="A1275" s="2">
        <v>589</v>
      </c>
      <c r="B1275" s="2">
        <f t="shared" si="95"/>
        <v>-749.35206382240722</v>
      </c>
      <c r="C1275" s="2">
        <f t="shared" si="96"/>
        <v>561528.5155549011</v>
      </c>
      <c r="D1275" s="2">
        <v>35426</v>
      </c>
      <c r="E1275" s="2">
        <f t="shared" si="97"/>
        <v>3.5426000000000002</v>
      </c>
      <c r="F1275" s="2">
        <f t="shared" si="98"/>
        <v>0.16274401664932769</v>
      </c>
      <c r="G1275" s="2">
        <f t="shared" si="99"/>
        <v>2.6485614955156649E-2</v>
      </c>
    </row>
    <row r="1276" spans="1:7" x14ac:dyDescent="0.35">
      <c r="A1276" s="2">
        <v>589</v>
      </c>
      <c r="B1276" s="2">
        <f t="shared" si="95"/>
        <v>-749.35206382240722</v>
      </c>
      <c r="C1276" s="2">
        <f t="shared" si="96"/>
        <v>561528.5155549011</v>
      </c>
      <c r="D1276" s="2">
        <v>32342</v>
      </c>
      <c r="E1276" s="2">
        <f t="shared" si="97"/>
        <v>3.2342</v>
      </c>
      <c r="F1276" s="2">
        <f t="shared" si="98"/>
        <v>-0.14565598335067254</v>
      </c>
      <c r="G1276" s="2">
        <f t="shared" si="99"/>
        <v>2.1215665485851395E-2</v>
      </c>
    </row>
    <row r="1277" spans="1:7" x14ac:dyDescent="0.35">
      <c r="A1277" s="2">
        <v>589</v>
      </c>
      <c r="B1277" s="2">
        <f t="shared" si="95"/>
        <v>-749.35206382240722</v>
      </c>
      <c r="C1277" s="2">
        <f t="shared" si="96"/>
        <v>561528.5155549011</v>
      </c>
      <c r="D1277" s="2">
        <v>37891</v>
      </c>
      <c r="E1277" s="2">
        <f t="shared" si="97"/>
        <v>3.7890999999999999</v>
      </c>
      <c r="F1277" s="2">
        <f t="shared" si="98"/>
        <v>0.40924401664932741</v>
      </c>
      <c r="G1277" s="2">
        <f t="shared" si="99"/>
        <v>0.16748066516327498</v>
      </c>
    </row>
    <row r="1278" spans="1:7" x14ac:dyDescent="0.35">
      <c r="A1278" s="2">
        <v>589</v>
      </c>
      <c r="B1278" s="2">
        <f t="shared" si="95"/>
        <v>-749.35206382240722</v>
      </c>
      <c r="C1278" s="2">
        <f t="shared" si="96"/>
        <v>561528.5155549011</v>
      </c>
      <c r="D1278" s="2">
        <v>39404</v>
      </c>
      <c r="E1278" s="2">
        <f t="shared" si="97"/>
        <v>3.9403999999999999</v>
      </c>
      <c r="F1278" s="2">
        <f t="shared" si="98"/>
        <v>0.5605440166493274</v>
      </c>
      <c r="G1278" s="2">
        <f t="shared" si="99"/>
        <v>0.31420959460136144</v>
      </c>
    </row>
    <row r="1279" spans="1:7" x14ac:dyDescent="0.35">
      <c r="A1279" s="2">
        <v>589</v>
      </c>
      <c r="B1279" s="2">
        <f t="shared" si="95"/>
        <v>-749.35206382240722</v>
      </c>
      <c r="C1279" s="2">
        <f t="shared" si="96"/>
        <v>561528.5155549011</v>
      </c>
      <c r="D1279" s="2">
        <v>43223</v>
      </c>
      <c r="E1279" s="2">
        <f t="shared" si="97"/>
        <v>4.3223000000000003</v>
      </c>
      <c r="F1279" s="2">
        <f t="shared" si="98"/>
        <v>0.94244401664932775</v>
      </c>
      <c r="G1279" s="2">
        <f t="shared" si="99"/>
        <v>0.88820072451811838</v>
      </c>
    </row>
    <row r="1280" spans="1:7" x14ac:dyDescent="0.35">
      <c r="A1280" s="2">
        <v>589</v>
      </c>
      <c r="B1280" s="2">
        <f t="shared" si="95"/>
        <v>-749.35206382240722</v>
      </c>
      <c r="C1280" s="2">
        <f t="shared" si="96"/>
        <v>561528.5155549011</v>
      </c>
      <c r="D1280" s="2">
        <v>29465</v>
      </c>
      <c r="E1280" s="2">
        <f t="shared" si="97"/>
        <v>2.9464999999999999</v>
      </c>
      <c r="F1280" s="2">
        <f t="shared" si="98"/>
        <v>-0.4333559833506726</v>
      </c>
      <c r="G1280" s="2">
        <f t="shared" si="99"/>
        <v>0.18779740830582842</v>
      </c>
    </row>
    <row r="1281" spans="1:7" x14ac:dyDescent="0.35">
      <c r="A1281" s="2">
        <v>589</v>
      </c>
      <c r="B1281" s="2">
        <f t="shared" si="95"/>
        <v>-749.35206382240722</v>
      </c>
      <c r="C1281" s="2">
        <f t="shared" si="96"/>
        <v>561528.5155549011</v>
      </c>
      <c r="D1281" s="2">
        <v>32411</v>
      </c>
      <c r="E1281" s="2">
        <f t="shared" si="97"/>
        <v>3.2410999999999999</v>
      </c>
      <c r="F1281" s="2">
        <f t="shared" si="98"/>
        <v>-0.13875598335067263</v>
      </c>
      <c r="G1281" s="2">
        <f t="shared" si="99"/>
        <v>1.9253222915612139E-2</v>
      </c>
    </row>
    <row r="1282" spans="1:7" x14ac:dyDescent="0.35">
      <c r="A1282" s="2">
        <v>589</v>
      </c>
      <c r="B1282" s="2">
        <f t="shared" si="95"/>
        <v>-749.35206382240722</v>
      </c>
      <c r="C1282" s="2">
        <f t="shared" si="96"/>
        <v>561528.5155549011</v>
      </c>
      <c r="D1282" s="2">
        <v>38074</v>
      </c>
      <c r="E1282" s="2">
        <f t="shared" si="97"/>
        <v>3.8073999999999999</v>
      </c>
      <c r="F1282" s="2">
        <f t="shared" si="98"/>
        <v>0.4275440166493274</v>
      </c>
      <c r="G1282" s="2">
        <f t="shared" si="99"/>
        <v>0.18279388617264034</v>
      </c>
    </row>
    <row r="1283" spans="1:7" x14ac:dyDescent="0.35">
      <c r="A1283" s="2">
        <v>589</v>
      </c>
      <c r="B1283" s="2">
        <f t="shared" ref="B1283:B1346" si="100">A1283-$J$1</f>
        <v>-749.35206382240722</v>
      </c>
      <c r="C1283" s="2">
        <f t="shared" ref="C1283:C1346" si="101">B1283^2</f>
        <v>561528.5155549011</v>
      </c>
      <c r="D1283" s="2">
        <v>32727</v>
      </c>
      <c r="E1283" s="2">
        <f t="shared" ref="E1283:E1346" si="102">D1283/10000</f>
        <v>3.2726999999999999</v>
      </c>
      <c r="F1283" s="2">
        <f t="shared" ref="F1283:F1346" si="103">E1283-$J$2</f>
        <v>-0.10715598335067256</v>
      </c>
      <c r="G1283" s="2">
        <f t="shared" ref="G1283:G1346" si="104">F1283^2</f>
        <v>1.1482404767849614E-2</v>
      </c>
    </row>
    <row r="1284" spans="1:7" x14ac:dyDescent="0.35">
      <c r="A1284" s="2">
        <v>589</v>
      </c>
      <c r="B1284" s="2">
        <f t="shared" si="100"/>
        <v>-749.35206382240722</v>
      </c>
      <c r="C1284" s="2">
        <f t="shared" si="101"/>
        <v>561528.5155549011</v>
      </c>
      <c r="D1284" s="2">
        <v>32958</v>
      </c>
      <c r="E1284" s="2">
        <f t="shared" si="102"/>
        <v>3.2957999999999998</v>
      </c>
      <c r="F1284" s="2">
        <f t="shared" si="103"/>
        <v>-8.4055983350672658E-2</v>
      </c>
      <c r="G1284" s="2">
        <f t="shared" si="104"/>
        <v>7.0654083370485588E-3</v>
      </c>
    </row>
    <row r="1285" spans="1:7" x14ac:dyDescent="0.35">
      <c r="A1285" s="2">
        <v>589</v>
      </c>
      <c r="B1285" s="2">
        <f t="shared" si="100"/>
        <v>-749.35206382240722</v>
      </c>
      <c r="C1285" s="2">
        <f t="shared" si="101"/>
        <v>561528.5155549011</v>
      </c>
      <c r="D1285" s="2">
        <v>33578</v>
      </c>
      <c r="E1285" s="2">
        <f t="shared" si="102"/>
        <v>3.3578000000000001</v>
      </c>
      <c r="F1285" s="2">
        <f t="shared" si="103"/>
        <v>-2.2055983350672381E-2</v>
      </c>
      <c r="G1285" s="2">
        <f t="shared" si="104"/>
        <v>4.8646640156513728E-4</v>
      </c>
    </row>
    <row r="1286" spans="1:7" x14ac:dyDescent="0.35">
      <c r="A1286" s="2">
        <v>589</v>
      </c>
      <c r="B1286" s="2">
        <f t="shared" si="100"/>
        <v>-749.35206382240722</v>
      </c>
      <c r="C1286" s="2">
        <f t="shared" si="101"/>
        <v>561528.5155549011</v>
      </c>
      <c r="D1286" s="2">
        <v>34518</v>
      </c>
      <c r="E1286" s="2">
        <f t="shared" si="102"/>
        <v>3.4518</v>
      </c>
      <c r="F1286" s="2">
        <f t="shared" si="103"/>
        <v>7.194401664932748E-2</v>
      </c>
      <c r="G1286" s="2">
        <f t="shared" si="104"/>
        <v>5.1759415316387095E-3</v>
      </c>
    </row>
    <row r="1287" spans="1:7" x14ac:dyDescent="0.35">
      <c r="A1287" s="2">
        <v>1940</v>
      </c>
      <c r="B1287" s="2">
        <f t="shared" si="100"/>
        <v>601.64793617759278</v>
      </c>
      <c r="C1287" s="2">
        <f t="shared" si="101"/>
        <v>361980.23910675675</v>
      </c>
      <c r="D1287" s="2">
        <v>23292</v>
      </c>
      <c r="E1287" s="2">
        <f t="shared" si="102"/>
        <v>2.3292000000000002</v>
      </c>
      <c r="F1287" s="2">
        <f t="shared" si="103"/>
        <v>-1.0506559833506723</v>
      </c>
      <c r="G1287" s="2">
        <f t="shared" si="104"/>
        <v>1.1038779953505682</v>
      </c>
    </row>
    <row r="1288" spans="1:7" x14ac:dyDescent="0.35">
      <c r="A1288" s="2">
        <v>1083</v>
      </c>
      <c r="B1288" s="2">
        <f t="shared" si="100"/>
        <v>-255.35206382240722</v>
      </c>
      <c r="C1288" s="2">
        <f t="shared" si="101"/>
        <v>65204.676498362729</v>
      </c>
      <c r="D1288" s="2">
        <v>22052</v>
      </c>
      <c r="E1288" s="2">
        <f t="shared" si="102"/>
        <v>2.2052</v>
      </c>
      <c r="F1288" s="2">
        <f t="shared" si="103"/>
        <v>-1.1746559833506725</v>
      </c>
      <c r="G1288" s="2">
        <f t="shared" si="104"/>
        <v>1.3798166792215352</v>
      </c>
    </row>
    <row r="1289" spans="1:7" x14ac:dyDescent="0.35">
      <c r="A1289" s="2">
        <v>1083</v>
      </c>
      <c r="B1289" s="2">
        <f t="shared" si="100"/>
        <v>-255.35206382240722</v>
      </c>
      <c r="C1289" s="2">
        <f t="shared" si="101"/>
        <v>65204.676498362729</v>
      </c>
      <c r="D1289" s="2">
        <v>21991</v>
      </c>
      <c r="E1289" s="2">
        <f t="shared" si="102"/>
        <v>2.1991000000000001</v>
      </c>
      <c r="F1289" s="2">
        <f t="shared" si="103"/>
        <v>-1.1807559833506724</v>
      </c>
      <c r="G1289" s="2">
        <f t="shared" si="104"/>
        <v>1.3941846922184136</v>
      </c>
    </row>
    <row r="1290" spans="1:7" x14ac:dyDescent="0.35">
      <c r="A1290" s="2">
        <v>1083</v>
      </c>
      <c r="B1290" s="2">
        <f t="shared" si="100"/>
        <v>-255.35206382240722</v>
      </c>
      <c r="C1290" s="2">
        <f t="shared" si="101"/>
        <v>65204.676498362729</v>
      </c>
      <c r="D1290" s="2">
        <v>26160</v>
      </c>
      <c r="E1290" s="2">
        <f t="shared" si="102"/>
        <v>2.6160000000000001</v>
      </c>
      <c r="F1290" s="2">
        <f t="shared" si="103"/>
        <v>-0.7638559833506724</v>
      </c>
      <c r="G1290" s="2">
        <f t="shared" si="104"/>
        <v>0.58347596330062268</v>
      </c>
    </row>
    <row r="1291" spans="1:7" x14ac:dyDescent="0.35">
      <c r="A1291" s="2">
        <v>1083</v>
      </c>
      <c r="B1291" s="2">
        <f t="shared" si="100"/>
        <v>-255.35206382240722</v>
      </c>
      <c r="C1291" s="2">
        <f t="shared" si="101"/>
        <v>65204.676498362729</v>
      </c>
      <c r="D1291" s="2">
        <v>26125</v>
      </c>
      <c r="E1291" s="2">
        <f t="shared" si="102"/>
        <v>2.6124999999999998</v>
      </c>
      <c r="F1291" s="2">
        <f t="shared" si="103"/>
        <v>-0.76735598335067268</v>
      </c>
      <c r="G1291" s="2">
        <f t="shared" si="104"/>
        <v>0.58883520518407784</v>
      </c>
    </row>
    <row r="1292" spans="1:7" x14ac:dyDescent="0.35">
      <c r="A1292" s="2">
        <v>1083</v>
      </c>
      <c r="B1292" s="2">
        <f t="shared" si="100"/>
        <v>-255.35206382240722</v>
      </c>
      <c r="C1292" s="2">
        <f t="shared" si="101"/>
        <v>65204.676498362729</v>
      </c>
      <c r="D1292" s="2">
        <v>26271</v>
      </c>
      <c r="E1292" s="2">
        <f t="shared" si="102"/>
        <v>2.6271</v>
      </c>
      <c r="F1292" s="2">
        <f t="shared" si="103"/>
        <v>-0.75275598335067251</v>
      </c>
      <c r="G1292" s="2">
        <f t="shared" si="104"/>
        <v>0.566641570470238</v>
      </c>
    </row>
    <row r="1293" spans="1:7" x14ac:dyDescent="0.35">
      <c r="A1293" s="2">
        <v>1083</v>
      </c>
      <c r="B1293" s="2">
        <f t="shared" si="100"/>
        <v>-255.35206382240722</v>
      </c>
      <c r="C1293" s="2">
        <f t="shared" si="101"/>
        <v>65204.676498362729</v>
      </c>
      <c r="D1293" s="2">
        <v>26092</v>
      </c>
      <c r="E1293" s="2">
        <f t="shared" si="102"/>
        <v>2.6092</v>
      </c>
      <c r="F1293" s="2">
        <f t="shared" si="103"/>
        <v>-0.77065598335067254</v>
      </c>
      <c r="G1293" s="2">
        <f t="shared" si="104"/>
        <v>0.59391064467419208</v>
      </c>
    </row>
    <row r="1294" spans="1:7" x14ac:dyDescent="0.35">
      <c r="A1294" s="2">
        <v>1083</v>
      </c>
      <c r="B1294" s="2">
        <f t="shared" si="100"/>
        <v>-255.35206382240722</v>
      </c>
      <c r="C1294" s="2">
        <f t="shared" si="101"/>
        <v>65204.676498362729</v>
      </c>
      <c r="D1294" s="2">
        <v>28303</v>
      </c>
      <c r="E1294" s="2">
        <f t="shared" si="102"/>
        <v>2.8302999999999998</v>
      </c>
      <c r="F1294" s="2">
        <f t="shared" si="103"/>
        <v>-0.54955598335067268</v>
      </c>
      <c r="G1294" s="2">
        <f t="shared" si="104"/>
        <v>0.30201177883652486</v>
      </c>
    </row>
    <row r="1295" spans="1:7" x14ac:dyDescent="0.35">
      <c r="A1295" s="2">
        <v>1083</v>
      </c>
      <c r="B1295" s="2">
        <f t="shared" si="100"/>
        <v>-255.35206382240722</v>
      </c>
      <c r="C1295" s="2">
        <f t="shared" si="101"/>
        <v>65204.676498362729</v>
      </c>
      <c r="D1295" s="2">
        <v>28645</v>
      </c>
      <c r="E1295" s="2">
        <f t="shared" si="102"/>
        <v>2.8645</v>
      </c>
      <c r="F1295" s="2">
        <f t="shared" si="103"/>
        <v>-0.51535598335067245</v>
      </c>
      <c r="G1295" s="2">
        <f t="shared" si="104"/>
        <v>0.26559178957533858</v>
      </c>
    </row>
    <row r="1296" spans="1:7" x14ac:dyDescent="0.35">
      <c r="A1296" s="2">
        <v>1083</v>
      </c>
      <c r="B1296" s="2">
        <f t="shared" si="100"/>
        <v>-255.35206382240722</v>
      </c>
      <c r="C1296" s="2">
        <f t="shared" si="101"/>
        <v>65204.676498362729</v>
      </c>
      <c r="D1296" s="2">
        <v>26972</v>
      </c>
      <c r="E1296" s="2">
        <f t="shared" si="102"/>
        <v>2.6972</v>
      </c>
      <c r="F1296" s="2">
        <f t="shared" si="103"/>
        <v>-0.68265598335067246</v>
      </c>
      <c r="G1296" s="2">
        <f t="shared" si="104"/>
        <v>0.46601919160447358</v>
      </c>
    </row>
    <row r="1297" spans="1:7" x14ac:dyDescent="0.35">
      <c r="A1297" s="2">
        <v>1083</v>
      </c>
      <c r="B1297" s="2">
        <f t="shared" si="100"/>
        <v>-255.35206382240722</v>
      </c>
      <c r="C1297" s="2">
        <f t="shared" si="101"/>
        <v>65204.676498362729</v>
      </c>
      <c r="D1297" s="2">
        <v>28226</v>
      </c>
      <c r="E1297" s="2">
        <f t="shared" si="102"/>
        <v>2.8226</v>
      </c>
      <c r="F1297" s="2">
        <f t="shared" si="103"/>
        <v>-0.5572559833506725</v>
      </c>
      <c r="G1297" s="2">
        <f t="shared" si="104"/>
        <v>0.310534230980125</v>
      </c>
    </row>
    <row r="1298" spans="1:7" x14ac:dyDescent="0.35">
      <c r="A1298" s="2">
        <v>1083</v>
      </c>
      <c r="B1298" s="2">
        <f t="shared" si="100"/>
        <v>-255.35206382240722</v>
      </c>
      <c r="C1298" s="2">
        <f t="shared" si="101"/>
        <v>65204.676498362729</v>
      </c>
      <c r="D1298" s="2">
        <v>28457</v>
      </c>
      <c r="E1298" s="2">
        <f t="shared" si="102"/>
        <v>2.8456999999999999</v>
      </c>
      <c r="F1298" s="2">
        <f t="shared" si="103"/>
        <v>-0.5341559833506726</v>
      </c>
      <c r="G1298" s="2">
        <f t="shared" si="104"/>
        <v>0.28532261454932401</v>
      </c>
    </row>
    <row r="1299" spans="1:7" x14ac:dyDescent="0.35">
      <c r="A1299" s="2">
        <v>1083</v>
      </c>
      <c r="B1299" s="2">
        <f t="shared" si="100"/>
        <v>-255.35206382240722</v>
      </c>
      <c r="C1299" s="2">
        <f t="shared" si="101"/>
        <v>65204.676498362729</v>
      </c>
      <c r="D1299" s="2">
        <v>28805</v>
      </c>
      <c r="E1299" s="2">
        <f t="shared" si="102"/>
        <v>2.8805000000000001</v>
      </c>
      <c r="F1299" s="2">
        <f t="shared" si="103"/>
        <v>-0.49935598335067244</v>
      </c>
      <c r="G1299" s="2">
        <f t="shared" si="104"/>
        <v>0.24935639810811705</v>
      </c>
    </row>
    <row r="1300" spans="1:7" x14ac:dyDescent="0.35">
      <c r="A1300" s="2">
        <v>1083</v>
      </c>
      <c r="B1300" s="2">
        <f t="shared" si="100"/>
        <v>-255.35206382240722</v>
      </c>
      <c r="C1300" s="2">
        <f t="shared" si="101"/>
        <v>65204.676498362729</v>
      </c>
      <c r="D1300" s="2">
        <v>29782</v>
      </c>
      <c r="E1300" s="2">
        <f t="shared" si="102"/>
        <v>2.9782000000000002</v>
      </c>
      <c r="F1300" s="2">
        <f t="shared" si="103"/>
        <v>-0.40165598335067232</v>
      </c>
      <c r="G1300" s="2">
        <f t="shared" si="104"/>
        <v>0.16132752896139557</v>
      </c>
    </row>
    <row r="1301" spans="1:7" x14ac:dyDescent="0.35">
      <c r="A1301" s="2">
        <v>1083</v>
      </c>
      <c r="B1301" s="2">
        <f t="shared" si="100"/>
        <v>-255.35206382240722</v>
      </c>
      <c r="C1301" s="2">
        <f t="shared" si="101"/>
        <v>65204.676498362729</v>
      </c>
      <c r="D1301" s="2">
        <v>28508</v>
      </c>
      <c r="E1301" s="2">
        <f t="shared" si="102"/>
        <v>2.8508</v>
      </c>
      <c r="F1301" s="2">
        <f t="shared" si="103"/>
        <v>-0.5290559833506725</v>
      </c>
      <c r="G1301" s="2">
        <f t="shared" si="104"/>
        <v>0.27990023351914706</v>
      </c>
    </row>
    <row r="1302" spans="1:7" x14ac:dyDescent="0.35">
      <c r="A1302" s="2">
        <v>1083</v>
      </c>
      <c r="B1302" s="2">
        <f t="shared" si="100"/>
        <v>-255.35206382240722</v>
      </c>
      <c r="C1302" s="2">
        <f t="shared" si="101"/>
        <v>65204.676498362729</v>
      </c>
      <c r="D1302" s="2">
        <v>31158</v>
      </c>
      <c r="E1302" s="2">
        <f t="shared" si="102"/>
        <v>3.1158000000000001</v>
      </c>
      <c r="F1302" s="2">
        <f t="shared" si="103"/>
        <v>-0.26405598335067237</v>
      </c>
      <c r="G1302" s="2">
        <f t="shared" si="104"/>
        <v>6.9725562343290567E-2</v>
      </c>
    </row>
    <row r="1303" spans="1:7" x14ac:dyDescent="0.35">
      <c r="A1303" s="2">
        <v>1083</v>
      </c>
      <c r="B1303" s="2">
        <f t="shared" si="100"/>
        <v>-255.35206382240722</v>
      </c>
      <c r="C1303" s="2">
        <f t="shared" si="101"/>
        <v>65204.676498362729</v>
      </c>
      <c r="D1303" s="2">
        <v>26163</v>
      </c>
      <c r="E1303" s="2">
        <f t="shared" si="102"/>
        <v>2.6162999999999998</v>
      </c>
      <c r="F1303" s="2">
        <f t="shared" si="103"/>
        <v>-0.76355598335067265</v>
      </c>
      <c r="G1303" s="2">
        <f t="shared" si="104"/>
        <v>0.58301773971061266</v>
      </c>
    </row>
    <row r="1304" spans="1:7" x14ac:dyDescent="0.35">
      <c r="A1304" s="2">
        <v>1083</v>
      </c>
      <c r="B1304" s="2">
        <f t="shared" si="100"/>
        <v>-255.35206382240722</v>
      </c>
      <c r="C1304" s="2">
        <f t="shared" si="101"/>
        <v>65204.676498362729</v>
      </c>
      <c r="D1304" s="2">
        <v>29756</v>
      </c>
      <c r="E1304" s="2">
        <f t="shared" si="102"/>
        <v>2.9756</v>
      </c>
      <c r="F1304" s="2">
        <f t="shared" si="103"/>
        <v>-0.40425598335067248</v>
      </c>
      <c r="G1304" s="2">
        <f t="shared" si="104"/>
        <v>0.16342290007481919</v>
      </c>
    </row>
    <row r="1305" spans="1:7" x14ac:dyDescent="0.35">
      <c r="A1305" s="2">
        <v>1083</v>
      </c>
      <c r="B1305" s="2">
        <f t="shared" si="100"/>
        <v>-255.35206382240722</v>
      </c>
      <c r="C1305" s="2">
        <f t="shared" si="101"/>
        <v>65204.676498362729</v>
      </c>
      <c r="D1305" s="2">
        <v>31537</v>
      </c>
      <c r="E1305" s="2">
        <f t="shared" si="102"/>
        <v>3.1537000000000002</v>
      </c>
      <c r="F1305" s="2">
        <f t="shared" si="103"/>
        <v>-0.22615598335067233</v>
      </c>
      <c r="G1305" s="2">
        <f t="shared" si="104"/>
        <v>5.114652880530958E-2</v>
      </c>
    </row>
    <row r="1306" spans="1:7" x14ac:dyDescent="0.35">
      <c r="A1306" s="2">
        <v>1083</v>
      </c>
      <c r="B1306" s="2">
        <f t="shared" si="100"/>
        <v>-255.35206382240722</v>
      </c>
      <c r="C1306" s="2">
        <f t="shared" si="101"/>
        <v>65204.676498362729</v>
      </c>
      <c r="D1306" s="2">
        <v>31759</v>
      </c>
      <c r="E1306" s="2">
        <f t="shared" si="102"/>
        <v>3.1758999999999999</v>
      </c>
      <c r="F1306" s="2">
        <f t="shared" si="103"/>
        <v>-0.20395598335067255</v>
      </c>
      <c r="G1306" s="2">
        <f t="shared" si="104"/>
        <v>4.1598043144539819E-2</v>
      </c>
    </row>
    <row r="1307" spans="1:7" x14ac:dyDescent="0.35">
      <c r="A1307" s="2">
        <v>1083</v>
      </c>
      <c r="B1307" s="2">
        <f t="shared" si="100"/>
        <v>-255.35206382240722</v>
      </c>
      <c r="C1307" s="2">
        <f t="shared" si="101"/>
        <v>65204.676498362729</v>
      </c>
      <c r="D1307" s="2">
        <v>32924</v>
      </c>
      <c r="E1307" s="2">
        <f t="shared" si="102"/>
        <v>3.2924000000000002</v>
      </c>
      <c r="F1307" s="2">
        <f t="shared" si="103"/>
        <v>-8.7455983350672284E-2</v>
      </c>
      <c r="G1307" s="2">
        <f t="shared" si="104"/>
        <v>7.6485490238330676E-3</v>
      </c>
    </row>
    <row r="1308" spans="1:7" x14ac:dyDescent="0.35">
      <c r="A1308" s="2">
        <v>1083</v>
      </c>
      <c r="B1308" s="2">
        <f t="shared" si="100"/>
        <v>-255.35206382240722</v>
      </c>
      <c r="C1308" s="2">
        <f t="shared" si="101"/>
        <v>65204.676498362729</v>
      </c>
      <c r="D1308" s="2">
        <v>32509</v>
      </c>
      <c r="E1308" s="2">
        <f t="shared" si="102"/>
        <v>3.2509000000000001</v>
      </c>
      <c r="F1308" s="2">
        <f t="shared" si="103"/>
        <v>-0.12895598335067238</v>
      </c>
      <c r="G1308" s="2">
        <f t="shared" si="104"/>
        <v>1.6629645641938889E-2</v>
      </c>
    </row>
    <row r="1309" spans="1:7" x14ac:dyDescent="0.35">
      <c r="A1309" s="2">
        <v>1083</v>
      </c>
      <c r="B1309" s="2">
        <f t="shared" si="100"/>
        <v>-255.35206382240722</v>
      </c>
      <c r="C1309" s="2">
        <f t="shared" si="101"/>
        <v>65204.676498362729</v>
      </c>
      <c r="D1309" s="2">
        <v>32366</v>
      </c>
      <c r="E1309" s="2">
        <f t="shared" si="102"/>
        <v>3.2366000000000001</v>
      </c>
      <c r="F1309" s="2">
        <f t="shared" si="103"/>
        <v>-0.14325598335067236</v>
      </c>
      <c r="G1309" s="2">
        <f t="shared" si="104"/>
        <v>2.0522276765768115E-2</v>
      </c>
    </row>
    <row r="1310" spans="1:7" x14ac:dyDescent="0.35">
      <c r="A1310" s="2">
        <v>1083</v>
      </c>
      <c r="B1310" s="2">
        <f t="shared" si="100"/>
        <v>-255.35206382240722</v>
      </c>
      <c r="C1310" s="2">
        <f t="shared" si="101"/>
        <v>65204.676498362729</v>
      </c>
      <c r="D1310" s="2">
        <v>33587</v>
      </c>
      <c r="E1310" s="2">
        <f t="shared" si="102"/>
        <v>3.3586999999999998</v>
      </c>
      <c r="F1310" s="2">
        <f t="shared" si="103"/>
        <v>-2.1155983350672702E-2</v>
      </c>
      <c r="G1310" s="2">
        <f t="shared" si="104"/>
        <v>4.4757563153394056E-4</v>
      </c>
    </row>
    <row r="1311" spans="1:7" x14ac:dyDescent="0.35">
      <c r="A1311" s="2">
        <v>1083</v>
      </c>
      <c r="B1311" s="2">
        <f t="shared" si="100"/>
        <v>-255.35206382240722</v>
      </c>
      <c r="C1311" s="2">
        <f t="shared" si="101"/>
        <v>65204.676498362729</v>
      </c>
      <c r="D1311" s="2">
        <v>35878</v>
      </c>
      <c r="E1311" s="2">
        <f t="shared" si="102"/>
        <v>3.5878000000000001</v>
      </c>
      <c r="F1311" s="2">
        <f t="shared" si="103"/>
        <v>0.2079440166493276</v>
      </c>
      <c r="G1311" s="2">
        <f t="shared" si="104"/>
        <v>4.3240714060255835E-2</v>
      </c>
    </row>
    <row r="1312" spans="1:7" x14ac:dyDescent="0.35">
      <c r="A1312" s="2">
        <v>1083</v>
      </c>
      <c r="B1312" s="2">
        <f t="shared" si="100"/>
        <v>-255.35206382240722</v>
      </c>
      <c r="C1312" s="2">
        <f t="shared" si="101"/>
        <v>65204.676498362729</v>
      </c>
      <c r="D1312" s="2">
        <v>36909</v>
      </c>
      <c r="E1312" s="2">
        <f t="shared" si="102"/>
        <v>3.6909000000000001</v>
      </c>
      <c r="F1312" s="2">
        <f t="shared" si="103"/>
        <v>0.31104401664932757</v>
      </c>
      <c r="G1312" s="2">
        <f t="shared" si="104"/>
        <v>9.6748380293347161E-2</v>
      </c>
    </row>
    <row r="1313" spans="1:7" x14ac:dyDescent="0.35">
      <c r="A1313" s="2">
        <v>1083</v>
      </c>
      <c r="B1313" s="2">
        <f t="shared" si="100"/>
        <v>-255.35206382240722</v>
      </c>
      <c r="C1313" s="2">
        <f t="shared" si="101"/>
        <v>65204.676498362729</v>
      </c>
      <c r="D1313" s="2">
        <v>36070</v>
      </c>
      <c r="E1313" s="2">
        <f t="shared" si="102"/>
        <v>3.6070000000000002</v>
      </c>
      <c r="F1313" s="2">
        <f t="shared" si="103"/>
        <v>0.22714401664932771</v>
      </c>
      <c r="G1313" s="2">
        <f t="shared" si="104"/>
        <v>5.1594404299590065E-2</v>
      </c>
    </row>
    <row r="1314" spans="1:7" x14ac:dyDescent="0.35">
      <c r="A1314" s="2">
        <v>1083</v>
      </c>
      <c r="B1314" s="2">
        <f t="shared" si="100"/>
        <v>-255.35206382240722</v>
      </c>
      <c r="C1314" s="2">
        <f t="shared" si="101"/>
        <v>65204.676498362729</v>
      </c>
      <c r="D1314" s="2">
        <v>35638</v>
      </c>
      <c r="E1314" s="2">
        <f t="shared" si="102"/>
        <v>3.5638000000000001</v>
      </c>
      <c r="F1314" s="2">
        <f t="shared" si="103"/>
        <v>0.18394401664932758</v>
      </c>
      <c r="G1314" s="2">
        <f t="shared" si="104"/>
        <v>3.3835401261088104E-2</v>
      </c>
    </row>
    <row r="1315" spans="1:7" x14ac:dyDescent="0.35">
      <c r="A1315" s="2">
        <v>1083</v>
      </c>
      <c r="B1315" s="2">
        <f t="shared" si="100"/>
        <v>-255.35206382240722</v>
      </c>
      <c r="C1315" s="2">
        <f t="shared" si="101"/>
        <v>65204.676498362729</v>
      </c>
      <c r="D1315" s="2">
        <v>36077</v>
      </c>
      <c r="E1315" s="2">
        <f t="shared" si="102"/>
        <v>3.6076999999999999</v>
      </c>
      <c r="F1315" s="2">
        <f t="shared" si="103"/>
        <v>0.22784401664932741</v>
      </c>
      <c r="G1315" s="2">
        <f t="shared" si="104"/>
        <v>5.1912895922898987E-2</v>
      </c>
    </row>
    <row r="1316" spans="1:7" x14ac:dyDescent="0.35">
      <c r="A1316" s="2">
        <v>1083</v>
      </c>
      <c r="B1316" s="2">
        <f t="shared" si="100"/>
        <v>-255.35206382240722</v>
      </c>
      <c r="C1316" s="2">
        <f t="shared" si="101"/>
        <v>65204.676498362729</v>
      </c>
      <c r="D1316" s="2">
        <v>36950</v>
      </c>
      <c r="E1316" s="2">
        <f t="shared" si="102"/>
        <v>3.6949999999999998</v>
      </c>
      <c r="F1316" s="2">
        <f t="shared" si="103"/>
        <v>0.31514401664932734</v>
      </c>
      <c r="G1316" s="2">
        <f t="shared" si="104"/>
        <v>9.9315751229871505E-2</v>
      </c>
    </row>
    <row r="1317" spans="1:7" x14ac:dyDescent="0.35">
      <c r="A1317" s="2">
        <v>2702</v>
      </c>
      <c r="B1317" s="2">
        <f t="shared" si="100"/>
        <v>1363.6479361775928</v>
      </c>
      <c r="C1317" s="2">
        <f t="shared" si="101"/>
        <v>1859535.6938414082</v>
      </c>
      <c r="D1317" s="2">
        <v>39418</v>
      </c>
      <c r="E1317" s="2">
        <f t="shared" si="102"/>
        <v>3.9418000000000002</v>
      </c>
      <c r="F1317" s="2">
        <f t="shared" si="103"/>
        <v>0.56194401664932769</v>
      </c>
      <c r="G1317" s="2">
        <f t="shared" si="104"/>
        <v>0.31578107784797987</v>
      </c>
    </row>
    <row r="1318" spans="1:7" x14ac:dyDescent="0.35">
      <c r="A1318" s="2">
        <v>2702</v>
      </c>
      <c r="B1318" s="2">
        <f t="shared" si="100"/>
        <v>1363.6479361775928</v>
      </c>
      <c r="C1318" s="2">
        <f t="shared" si="101"/>
        <v>1859535.6938414082</v>
      </c>
      <c r="D1318" s="2">
        <v>39773</v>
      </c>
      <c r="E1318" s="2">
        <f t="shared" si="102"/>
        <v>3.9773000000000001</v>
      </c>
      <c r="F1318" s="2">
        <f t="shared" si="103"/>
        <v>0.59744401664932756</v>
      </c>
      <c r="G1318" s="2">
        <f t="shared" si="104"/>
        <v>0.35693935303008201</v>
      </c>
    </row>
    <row r="1319" spans="1:7" x14ac:dyDescent="0.35">
      <c r="A1319" s="2">
        <v>2702</v>
      </c>
      <c r="B1319" s="2">
        <f t="shared" si="100"/>
        <v>1363.6479361775928</v>
      </c>
      <c r="C1319" s="2">
        <f t="shared" si="101"/>
        <v>1859535.6938414082</v>
      </c>
      <c r="D1319" s="2">
        <v>40391</v>
      </c>
      <c r="E1319" s="2">
        <f t="shared" si="102"/>
        <v>4.0391000000000004</v>
      </c>
      <c r="F1319" s="2">
        <f t="shared" si="103"/>
        <v>0.65924401664932786</v>
      </c>
      <c r="G1319" s="2">
        <f t="shared" si="104"/>
        <v>0.43460267348793924</v>
      </c>
    </row>
    <row r="1320" spans="1:7" x14ac:dyDescent="0.35">
      <c r="A1320" s="2">
        <v>2702</v>
      </c>
      <c r="B1320" s="2">
        <f t="shared" si="100"/>
        <v>1363.6479361775928</v>
      </c>
      <c r="C1320" s="2">
        <f t="shared" si="101"/>
        <v>1859535.6938414082</v>
      </c>
      <c r="D1320" s="2">
        <v>42470</v>
      </c>
      <c r="E1320" s="2">
        <f t="shared" si="102"/>
        <v>4.2469999999999999</v>
      </c>
      <c r="F1320" s="2">
        <f t="shared" si="103"/>
        <v>0.86714401664932739</v>
      </c>
      <c r="G1320" s="2">
        <f t="shared" si="104"/>
        <v>0.75193874561072893</v>
      </c>
    </row>
    <row r="1321" spans="1:7" x14ac:dyDescent="0.35">
      <c r="A1321" s="2">
        <v>2702</v>
      </c>
      <c r="B1321" s="2">
        <f t="shared" si="100"/>
        <v>1363.6479361775928</v>
      </c>
      <c r="C1321" s="2">
        <f t="shared" si="101"/>
        <v>1859535.6938414082</v>
      </c>
      <c r="D1321" s="2">
        <v>43018</v>
      </c>
      <c r="E1321" s="2">
        <f t="shared" si="102"/>
        <v>4.3018000000000001</v>
      </c>
      <c r="F1321" s="2">
        <f t="shared" si="103"/>
        <v>0.92194401664932757</v>
      </c>
      <c r="G1321" s="2">
        <f t="shared" si="104"/>
        <v>0.84998076983549564</v>
      </c>
    </row>
    <row r="1322" spans="1:7" x14ac:dyDescent="0.35">
      <c r="A1322" s="2">
        <v>2702</v>
      </c>
      <c r="B1322" s="2">
        <f t="shared" si="100"/>
        <v>1363.6479361775928</v>
      </c>
      <c r="C1322" s="2">
        <f t="shared" si="101"/>
        <v>1859535.6938414082</v>
      </c>
      <c r="D1322" s="2">
        <v>43465</v>
      </c>
      <c r="E1322" s="2">
        <f t="shared" si="102"/>
        <v>4.3464999999999998</v>
      </c>
      <c r="F1322" s="2">
        <f t="shared" si="103"/>
        <v>0.96664401664932731</v>
      </c>
      <c r="G1322" s="2">
        <f t="shared" si="104"/>
        <v>0.93440065492394497</v>
      </c>
    </row>
    <row r="1323" spans="1:7" x14ac:dyDescent="0.35">
      <c r="A1323" s="2">
        <v>2702</v>
      </c>
      <c r="B1323" s="2">
        <f t="shared" si="100"/>
        <v>1363.6479361775928</v>
      </c>
      <c r="C1323" s="2">
        <f t="shared" si="101"/>
        <v>1859535.6938414082</v>
      </c>
      <c r="D1323" s="2">
        <v>43446</v>
      </c>
      <c r="E1323" s="2">
        <f t="shared" si="102"/>
        <v>4.3445999999999998</v>
      </c>
      <c r="F1323" s="2">
        <f t="shared" si="103"/>
        <v>0.9647440166493273</v>
      </c>
      <c r="G1323" s="2">
        <f t="shared" si="104"/>
        <v>0.93073101766067745</v>
      </c>
    </row>
    <row r="1324" spans="1:7" x14ac:dyDescent="0.35">
      <c r="A1324" s="2">
        <v>2702</v>
      </c>
      <c r="B1324" s="2">
        <f t="shared" si="100"/>
        <v>1363.6479361775928</v>
      </c>
      <c r="C1324" s="2">
        <f t="shared" si="101"/>
        <v>1859535.6938414082</v>
      </c>
      <c r="D1324" s="2">
        <v>43750</v>
      </c>
      <c r="E1324" s="2">
        <f t="shared" si="102"/>
        <v>4.375</v>
      </c>
      <c r="F1324" s="2">
        <f t="shared" si="103"/>
        <v>0.9951440166493275</v>
      </c>
      <c r="G1324" s="2">
        <f t="shared" si="104"/>
        <v>0.99031161387295696</v>
      </c>
    </row>
    <row r="1325" spans="1:7" x14ac:dyDescent="0.35">
      <c r="A1325" s="2">
        <v>2702</v>
      </c>
      <c r="B1325" s="2">
        <f t="shared" si="100"/>
        <v>1363.6479361775928</v>
      </c>
      <c r="C1325" s="2">
        <f t="shared" si="101"/>
        <v>1859535.6938414082</v>
      </c>
      <c r="D1325" s="2">
        <v>43453</v>
      </c>
      <c r="E1325" s="2">
        <f t="shared" si="102"/>
        <v>4.3452999999999999</v>
      </c>
      <c r="F1325" s="2">
        <f t="shared" si="103"/>
        <v>0.96544401664932744</v>
      </c>
      <c r="G1325" s="2">
        <f t="shared" si="104"/>
        <v>0.9320821492839868</v>
      </c>
    </row>
    <row r="1326" spans="1:7" x14ac:dyDescent="0.35">
      <c r="A1326" s="2">
        <v>2702</v>
      </c>
      <c r="B1326" s="2">
        <f t="shared" si="100"/>
        <v>1363.6479361775928</v>
      </c>
      <c r="C1326" s="2">
        <f t="shared" si="101"/>
        <v>1859535.6938414082</v>
      </c>
      <c r="D1326" s="2">
        <v>43487</v>
      </c>
      <c r="E1326" s="2">
        <f t="shared" si="102"/>
        <v>4.3487</v>
      </c>
      <c r="F1326" s="2">
        <f t="shared" si="103"/>
        <v>0.96884401664932751</v>
      </c>
      <c r="G1326" s="2">
        <f t="shared" si="104"/>
        <v>0.93865872859720245</v>
      </c>
    </row>
    <row r="1327" spans="1:7" x14ac:dyDescent="0.35">
      <c r="A1327" s="2">
        <v>2702</v>
      </c>
      <c r="B1327" s="2">
        <f t="shared" si="100"/>
        <v>1363.6479361775928</v>
      </c>
      <c r="C1327" s="2">
        <f t="shared" si="101"/>
        <v>1859535.6938414082</v>
      </c>
      <c r="D1327" s="2">
        <v>44168</v>
      </c>
      <c r="E1327" s="2">
        <f t="shared" si="102"/>
        <v>4.4168000000000003</v>
      </c>
      <c r="F1327" s="2">
        <f t="shared" si="103"/>
        <v>1.0369440166493278</v>
      </c>
      <c r="G1327" s="2">
        <f t="shared" si="104"/>
        <v>1.0752528936648413</v>
      </c>
    </row>
    <row r="1328" spans="1:7" x14ac:dyDescent="0.35">
      <c r="A1328" s="2">
        <v>2702</v>
      </c>
      <c r="B1328" s="2">
        <f t="shared" si="100"/>
        <v>1363.6479361775928</v>
      </c>
      <c r="C1328" s="2">
        <f t="shared" si="101"/>
        <v>1859535.6938414082</v>
      </c>
      <c r="D1328" s="2">
        <v>44322</v>
      </c>
      <c r="E1328" s="2">
        <f t="shared" si="102"/>
        <v>4.4321999999999999</v>
      </c>
      <c r="F1328" s="2">
        <f t="shared" si="103"/>
        <v>1.0523440166493274</v>
      </c>
      <c r="G1328" s="2">
        <f t="shared" si="104"/>
        <v>1.1074279293776399</v>
      </c>
    </row>
    <row r="1329" spans="1:7" x14ac:dyDescent="0.35">
      <c r="A1329" s="2">
        <v>2702</v>
      </c>
      <c r="B1329" s="2">
        <f t="shared" si="100"/>
        <v>1363.6479361775928</v>
      </c>
      <c r="C1329" s="2">
        <f t="shared" si="101"/>
        <v>1859535.6938414082</v>
      </c>
      <c r="D1329" s="2">
        <v>41974</v>
      </c>
      <c r="E1329" s="2">
        <f t="shared" si="102"/>
        <v>4.1974</v>
      </c>
      <c r="F1329" s="2">
        <f t="shared" si="103"/>
        <v>0.81754401664932752</v>
      </c>
      <c r="G1329" s="2">
        <f t="shared" si="104"/>
        <v>0.66837821915911588</v>
      </c>
    </row>
    <row r="1330" spans="1:7" x14ac:dyDescent="0.35">
      <c r="A1330" s="2">
        <v>2702</v>
      </c>
      <c r="B1330" s="2">
        <f t="shared" si="100"/>
        <v>1363.6479361775928</v>
      </c>
      <c r="C1330" s="2">
        <f t="shared" si="101"/>
        <v>1859535.6938414082</v>
      </c>
      <c r="D1330" s="2">
        <v>42519</v>
      </c>
      <c r="E1330" s="2">
        <f t="shared" si="102"/>
        <v>4.2519</v>
      </c>
      <c r="F1330" s="2">
        <f t="shared" si="103"/>
        <v>0.87204401664932751</v>
      </c>
      <c r="G1330" s="2">
        <f t="shared" si="104"/>
        <v>0.76046076697389264</v>
      </c>
    </row>
    <row r="1331" spans="1:7" x14ac:dyDescent="0.35">
      <c r="A1331" s="2">
        <v>2702</v>
      </c>
      <c r="B1331" s="2">
        <f t="shared" si="100"/>
        <v>1363.6479361775928</v>
      </c>
      <c r="C1331" s="2">
        <f t="shared" si="101"/>
        <v>1859535.6938414082</v>
      </c>
      <c r="D1331" s="2">
        <v>44007</v>
      </c>
      <c r="E1331" s="2">
        <f t="shared" si="102"/>
        <v>4.4006999999999996</v>
      </c>
      <c r="F1331" s="2">
        <f t="shared" si="103"/>
        <v>1.0208440166493271</v>
      </c>
      <c r="G1331" s="2">
        <f t="shared" si="104"/>
        <v>1.0421225063287316</v>
      </c>
    </row>
    <row r="1332" spans="1:7" x14ac:dyDescent="0.35">
      <c r="A1332" s="2">
        <v>2702</v>
      </c>
      <c r="B1332" s="2">
        <f t="shared" si="100"/>
        <v>1363.6479361775928</v>
      </c>
      <c r="C1332" s="2">
        <f t="shared" si="101"/>
        <v>1859535.6938414082</v>
      </c>
      <c r="D1332" s="2">
        <v>43879</v>
      </c>
      <c r="E1332" s="2">
        <f t="shared" si="102"/>
        <v>4.3879000000000001</v>
      </c>
      <c r="F1332" s="2">
        <f t="shared" si="103"/>
        <v>1.0080440166493276</v>
      </c>
      <c r="G1332" s="2">
        <f t="shared" si="104"/>
        <v>1.0161527395025098</v>
      </c>
    </row>
    <row r="1333" spans="1:7" x14ac:dyDescent="0.35">
      <c r="A1333" s="2">
        <v>2702</v>
      </c>
      <c r="B1333" s="2">
        <f t="shared" si="100"/>
        <v>1363.6479361775928</v>
      </c>
      <c r="C1333" s="2">
        <f t="shared" si="101"/>
        <v>1859535.6938414082</v>
      </c>
      <c r="D1333" s="2">
        <v>44691</v>
      </c>
      <c r="E1333" s="2">
        <f t="shared" si="102"/>
        <v>4.4691000000000001</v>
      </c>
      <c r="F1333" s="2">
        <f t="shared" si="103"/>
        <v>1.0892440166493276</v>
      </c>
      <c r="G1333" s="2">
        <f t="shared" si="104"/>
        <v>1.1864525278063607</v>
      </c>
    </row>
    <row r="1334" spans="1:7" x14ac:dyDescent="0.35">
      <c r="A1334" s="2">
        <v>2702</v>
      </c>
      <c r="B1334" s="2">
        <f t="shared" si="100"/>
        <v>1363.6479361775928</v>
      </c>
      <c r="C1334" s="2">
        <f t="shared" si="101"/>
        <v>1859535.6938414082</v>
      </c>
      <c r="D1334" s="2">
        <v>45365</v>
      </c>
      <c r="E1334" s="2">
        <f t="shared" si="102"/>
        <v>4.5365000000000002</v>
      </c>
      <c r="F1334" s="2">
        <f t="shared" si="103"/>
        <v>1.1566440166493277</v>
      </c>
      <c r="G1334" s="2">
        <f t="shared" si="104"/>
        <v>1.3378253812506902</v>
      </c>
    </row>
    <row r="1335" spans="1:7" x14ac:dyDescent="0.35">
      <c r="A1335" s="2">
        <v>2702</v>
      </c>
      <c r="B1335" s="2">
        <f t="shared" si="100"/>
        <v>1363.6479361775928</v>
      </c>
      <c r="C1335" s="2">
        <f t="shared" si="101"/>
        <v>1859535.6938414082</v>
      </c>
      <c r="D1335" s="2">
        <v>45739</v>
      </c>
      <c r="E1335" s="2">
        <f t="shared" si="102"/>
        <v>4.5739000000000001</v>
      </c>
      <c r="F1335" s="2">
        <f t="shared" si="103"/>
        <v>1.1940440166493276</v>
      </c>
      <c r="G1335" s="2">
        <f t="shared" si="104"/>
        <v>1.4257411136960596</v>
      </c>
    </row>
    <row r="1336" spans="1:7" x14ac:dyDescent="0.35">
      <c r="A1336" s="2">
        <v>2702</v>
      </c>
      <c r="B1336" s="2">
        <f t="shared" si="100"/>
        <v>1363.6479361775928</v>
      </c>
      <c r="C1336" s="2">
        <f t="shared" si="101"/>
        <v>1859535.6938414082</v>
      </c>
      <c r="D1336" s="2">
        <v>46201</v>
      </c>
      <c r="E1336" s="2">
        <f t="shared" si="102"/>
        <v>4.6200999999999999</v>
      </c>
      <c r="F1336" s="2">
        <f t="shared" si="103"/>
        <v>1.2402440166493274</v>
      </c>
      <c r="G1336" s="2">
        <f t="shared" si="104"/>
        <v>1.538205220834457</v>
      </c>
    </row>
    <row r="1337" spans="1:7" x14ac:dyDescent="0.35">
      <c r="A1337" s="2">
        <v>2702</v>
      </c>
      <c r="B1337" s="2">
        <f t="shared" si="100"/>
        <v>1363.6479361775928</v>
      </c>
      <c r="C1337" s="2">
        <f t="shared" si="101"/>
        <v>1859535.6938414082</v>
      </c>
      <c r="D1337" s="2">
        <v>47052</v>
      </c>
      <c r="E1337" s="2">
        <f t="shared" si="102"/>
        <v>4.7051999999999996</v>
      </c>
      <c r="F1337" s="2">
        <f t="shared" si="103"/>
        <v>1.3253440166493271</v>
      </c>
      <c r="G1337" s="2">
        <f t="shared" si="104"/>
        <v>1.7565367624681718</v>
      </c>
    </row>
    <row r="1338" spans="1:7" x14ac:dyDescent="0.35">
      <c r="A1338" s="2">
        <v>2702</v>
      </c>
      <c r="B1338" s="2">
        <f t="shared" si="100"/>
        <v>1363.6479361775928</v>
      </c>
      <c r="C1338" s="2">
        <f t="shared" si="101"/>
        <v>1859535.6938414082</v>
      </c>
      <c r="D1338" s="2">
        <v>48948</v>
      </c>
      <c r="E1338" s="2">
        <f t="shared" si="102"/>
        <v>4.8948</v>
      </c>
      <c r="F1338" s="2">
        <f t="shared" si="103"/>
        <v>1.5149440166493275</v>
      </c>
      <c r="G1338" s="2">
        <f t="shared" si="104"/>
        <v>2.2950553735815982</v>
      </c>
    </row>
    <row r="1339" spans="1:7" x14ac:dyDescent="0.35">
      <c r="A1339" s="2">
        <v>2702</v>
      </c>
      <c r="B1339" s="2">
        <f t="shared" si="100"/>
        <v>1363.6479361775928</v>
      </c>
      <c r="C1339" s="2">
        <f t="shared" si="101"/>
        <v>1859535.6938414082</v>
      </c>
      <c r="D1339" s="2">
        <v>49985</v>
      </c>
      <c r="E1339" s="2">
        <f t="shared" si="102"/>
        <v>4.9984999999999999</v>
      </c>
      <c r="F1339" s="2">
        <f t="shared" si="103"/>
        <v>1.6186440166493274</v>
      </c>
      <c r="G1339" s="2">
        <f t="shared" si="104"/>
        <v>2.6200084526346683</v>
      </c>
    </row>
    <row r="1340" spans="1:7" x14ac:dyDescent="0.35">
      <c r="A1340" s="2">
        <v>2702</v>
      </c>
      <c r="B1340" s="2">
        <f t="shared" si="100"/>
        <v>1363.6479361775928</v>
      </c>
      <c r="C1340" s="2">
        <f t="shared" si="101"/>
        <v>1859535.6938414082</v>
      </c>
      <c r="D1340" s="2">
        <v>50153</v>
      </c>
      <c r="E1340" s="2">
        <f t="shared" si="102"/>
        <v>5.0152999999999999</v>
      </c>
      <c r="F1340" s="2">
        <f t="shared" si="103"/>
        <v>1.6354440166493274</v>
      </c>
      <c r="G1340" s="2">
        <f t="shared" si="104"/>
        <v>2.6746771315940854</v>
      </c>
    </row>
    <row r="1341" spans="1:7" x14ac:dyDescent="0.35">
      <c r="A1341" s="2">
        <v>2702</v>
      </c>
      <c r="B1341" s="2">
        <f t="shared" si="100"/>
        <v>1363.6479361775928</v>
      </c>
      <c r="C1341" s="2">
        <f t="shared" si="101"/>
        <v>1859535.6938414082</v>
      </c>
      <c r="D1341" s="2">
        <v>49802</v>
      </c>
      <c r="E1341" s="2">
        <f t="shared" si="102"/>
        <v>4.9802</v>
      </c>
      <c r="F1341" s="2">
        <f t="shared" si="103"/>
        <v>1.6003440166493275</v>
      </c>
      <c r="G1341" s="2">
        <f t="shared" si="104"/>
        <v>2.561100971625303</v>
      </c>
    </row>
    <row r="1342" spans="1:7" x14ac:dyDescent="0.35">
      <c r="A1342" s="2">
        <v>2702</v>
      </c>
      <c r="B1342" s="2">
        <f t="shared" si="100"/>
        <v>1363.6479361775928</v>
      </c>
      <c r="C1342" s="2">
        <f t="shared" si="101"/>
        <v>1859535.6938414082</v>
      </c>
      <c r="D1342" s="2">
        <v>51360</v>
      </c>
      <c r="E1342" s="2">
        <f t="shared" si="102"/>
        <v>5.1360000000000001</v>
      </c>
      <c r="F1342" s="2">
        <f t="shared" si="103"/>
        <v>1.7561440166493276</v>
      </c>
      <c r="G1342" s="2">
        <f t="shared" si="104"/>
        <v>3.0840418072132341</v>
      </c>
    </row>
    <row r="1343" spans="1:7" x14ac:dyDescent="0.35">
      <c r="A1343" s="2">
        <v>2702</v>
      </c>
      <c r="B1343" s="2">
        <f t="shared" si="100"/>
        <v>1363.6479361775928</v>
      </c>
      <c r="C1343" s="2">
        <f t="shared" si="101"/>
        <v>1859535.6938414082</v>
      </c>
      <c r="D1343" s="2">
        <v>51520</v>
      </c>
      <c r="E1343" s="2">
        <f t="shared" si="102"/>
        <v>5.1520000000000001</v>
      </c>
      <c r="F1343" s="2">
        <f t="shared" si="103"/>
        <v>1.7721440166493276</v>
      </c>
      <c r="G1343" s="2">
        <f t="shared" si="104"/>
        <v>3.1404944157460126</v>
      </c>
    </row>
    <row r="1344" spans="1:7" x14ac:dyDescent="0.35">
      <c r="A1344" s="2">
        <v>2702</v>
      </c>
      <c r="B1344" s="2">
        <f t="shared" si="100"/>
        <v>1363.6479361775928</v>
      </c>
      <c r="C1344" s="2">
        <f t="shared" si="101"/>
        <v>1859535.6938414082</v>
      </c>
      <c r="D1344" s="2">
        <v>51348</v>
      </c>
      <c r="E1344" s="2">
        <f t="shared" si="102"/>
        <v>5.1348000000000003</v>
      </c>
      <c r="F1344" s="2">
        <f t="shared" si="103"/>
        <v>1.7549440166493278</v>
      </c>
      <c r="G1344" s="2">
        <f t="shared" si="104"/>
        <v>3.0798285015732758</v>
      </c>
    </row>
    <row r="1345" spans="1:7" x14ac:dyDescent="0.35">
      <c r="A1345" s="2">
        <v>2702</v>
      </c>
      <c r="B1345" s="2">
        <f t="shared" si="100"/>
        <v>1363.6479361775928</v>
      </c>
      <c r="C1345" s="2">
        <f t="shared" si="101"/>
        <v>1859535.6938414082</v>
      </c>
      <c r="D1345" s="2">
        <v>53411</v>
      </c>
      <c r="E1345" s="2">
        <f t="shared" si="102"/>
        <v>5.3411</v>
      </c>
      <c r="F1345" s="2">
        <f t="shared" si="103"/>
        <v>1.9612440166493275</v>
      </c>
      <c r="G1345" s="2">
        <f t="shared" si="104"/>
        <v>3.8464780928427875</v>
      </c>
    </row>
    <row r="1346" spans="1:7" x14ac:dyDescent="0.35">
      <c r="A1346" s="2">
        <v>2702</v>
      </c>
      <c r="B1346" s="2">
        <f t="shared" si="100"/>
        <v>1363.6479361775928</v>
      </c>
      <c r="C1346" s="2">
        <f t="shared" si="101"/>
        <v>1859535.6938414082</v>
      </c>
      <c r="D1346" s="2">
        <v>54148</v>
      </c>
      <c r="E1346" s="2">
        <f t="shared" si="102"/>
        <v>5.4147999999999996</v>
      </c>
      <c r="F1346" s="2">
        <f t="shared" si="103"/>
        <v>2.0349440166493271</v>
      </c>
      <c r="G1346" s="2">
        <f t="shared" si="104"/>
        <v>4.1409971508968972</v>
      </c>
    </row>
    <row r="1347" spans="1:7" x14ac:dyDescent="0.35">
      <c r="A1347" s="2">
        <v>216</v>
      </c>
      <c r="B1347" s="2">
        <f t="shared" ref="B1347:B1410" si="105">A1347-$J$1</f>
        <v>-1122.3520638224072</v>
      </c>
      <c r="C1347" s="2">
        <f t="shared" ref="C1347:C1410" si="106">B1347^2</f>
        <v>1259674.1551664169</v>
      </c>
      <c r="D1347" s="2">
        <v>28348</v>
      </c>
      <c r="E1347" s="2">
        <f t="shared" ref="E1347:E1410" si="107">D1347/10000</f>
        <v>2.8348</v>
      </c>
      <c r="F1347" s="2">
        <f t="shared" ref="F1347:F1410" si="108">E1347-$J$2</f>
        <v>-0.54505598335067251</v>
      </c>
      <c r="G1347" s="2">
        <f t="shared" ref="G1347:G1410" si="109">F1347^2</f>
        <v>0.2970860249863686</v>
      </c>
    </row>
    <row r="1348" spans="1:7" x14ac:dyDescent="0.35">
      <c r="A1348" s="2">
        <v>216</v>
      </c>
      <c r="B1348" s="2">
        <f t="shared" si="105"/>
        <v>-1122.3520638224072</v>
      </c>
      <c r="C1348" s="2">
        <f t="shared" si="106"/>
        <v>1259674.1551664169</v>
      </c>
      <c r="D1348" s="2">
        <v>28127</v>
      </c>
      <c r="E1348" s="2">
        <f t="shared" si="107"/>
        <v>2.8127</v>
      </c>
      <c r="F1348" s="2">
        <f t="shared" si="108"/>
        <v>-0.56715598335067252</v>
      </c>
      <c r="G1348" s="2">
        <f t="shared" si="109"/>
        <v>0.3216659094504683</v>
      </c>
    </row>
    <row r="1349" spans="1:7" x14ac:dyDescent="0.35">
      <c r="A1349" s="2">
        <v>216</v>
      </c>
      <c r="B1349" s="2">
        <f t="shared" si="105"/>
        <v>-1122.3520638224072</v>
      </c>
      <c r="C1349" s="2">
        <f t="shared" si="106"/>
        <v>1259674.1551664169</v>
      </c>
      <c r="D1349" s="2">
        <v>27986</v>
      </c>
      <c r="E1349" s="2">
        <f t="shared" si="107"/>
        <v>2.7986</v>
      </c>
      <c r="F1349" s="2">
        <f t="shared" si="108"/>
        <v>-0.58125598335067252</v>
      </c>
      <c r="G1349" s="2">
        <f t="shared" si="109"/>
        <v>0.3378585181809573</v>
      </c>
    </row>
    <row r="1350" spans="1:7" x14ac:dyDescent="0.35">
      <c r="A1350" s="2">
        <v>216</v>
      </c>
      <c r="B1350" s="2">
        <f t="shared" si="105"/>
        <v>-1122.3520638224072</v>
      </c>
      <c r="C1350" s="2">
        <f t="shared" si="106"/>
        <v>1259674.1551664169</v>
      </c>
      <c r="D1350" s="2">
        <v>31863</v>
      </c>
      <c r="E1350" s="2">
        <f t="shared" si="107"/>
        <v>3.1863000000000001</v>
      </c>
      <c r="F1350" s="2">
        <f t="shared" si="108"/>
        <v>-0.19355598335067237</v>
      </c>
      <c r="G1350" s="2">
        <f t="shared" si="109"/>
        <v>3.7463918690845761E-2</v>
      </c>
    </row>
    <row r="1351" spans="1:7" x14ac:dyDescent="0.35">
      <c r="A1351" s="2">
        <v>216</v>
      </c>
      <c r="B1351" s="2">
        <f t="shared" si="105"/>
        <v>-1122.3520638224072</v>
      </c>
      <c r="C1351" s="2">
        <f t="shared" si="106"/>
        <v>1259674.1551664169</v>
      </c>
      <c r="D1351" s="2">
        <v>28889</v>
      </c>
      <c r="E1351" s="2">
        <f t="shared" si="107"/>
        <v>2.8889</v>
      </c>
      <c r="F1351" s="2">
        <f t="shared" si="108"/>
        <v>-0.49095598335067248</v>
      </c>
      <c r="G1351" s="2">
        <f t="shared" si="109"/>
        <v>0.2410377775878258</v>
      </c>
    </row>
    <row r="1352" spans="1:7" x14ac:dyDescent="0.35">
      <c r="A1352" s="2">
        <v>216</v>
      </c>
      <c r="B1352" s="2">
        <f t="shared" si="105"/>
        <v>-1122.3520638224072</v>
      </c>
      <c r="C1352" s="2">
        <f t="shared" si="106"/>
        <v>1259674.1551664169</v>
      </c>
      <c r="D1352" s="2">
        <v>22008</v>
      </c>
      <c r="E1352" s="2">
        <f t="shared" si="107"/>
        <v>2.2008000000000001</v>
      </c>
      <c r="F1352" s="2">
        <f t="shared" si="108"/>
        <v>-1.1790559833506724</v>
      </c>
      <c r="G1352" s="2">
        <f t="shared" si="109"/>
        <v>1.3901730118750211</v>
      </c>
    </row>
    <row r="1353" spans="1:7" x14ac:dyDescent="0.35">
      <c r="A1353" s="2">
        <v>216</v>
      </c>
      <c r="B1353" s="2">
        <f t="shared" si="105"/>
        <v>-1122.3520638224072</v>
      </c>
      <c r="C1353" s="2">
        <f t="shared" si="106"/>
        <v>1259674.1551664169</v>
      </c>
      <c r="D1353" s="2">
        <v>18947</v>
      </c>
      <c r="E1353" s="2">
        <f t="shared" si="107"/>
        <v>1.8947000000000001</v>
      </c>
      <c r="F1353" s="2">
        <f t="shared" si="108"/>
        <v>-1.4851559833506724</v>
      </c>
      <c r="G1353" s="2">
        <f t="shared" si="109"/>
        <v>2.2056882948823029</v>
      </c>
    </row>
    <row r="1354" spans="1:7" x14ac:dyDescent="0.35">
      <c r="A1354" s="2">
        <v>216</v>
      </c>
      <c r="B1354" s="2">
        <f t="shared" si="105"/>
        <v>-1122.3520638224072</v>
      </c>
      <c r="C1354" s="2">
        <f t="shared" si="106"/>
        <v>1259674.1551664169</v>
      </c>
      <c r="D1354" s="2">
        <v>18727</v>
      </c>
      <c r="E1354" s="2">
        <f t="shared" si="107"/>
        <v>1.8727</v>
      </c>
      <c r="F1354" s="2">
        <f t="shared" si="108"/>
        <v>-1.5071559833506725</v>
      </c>
      <c r="G1354" s="2">
        <f t="shared" si="109"/>
        <v>2.2715191581497325</v>
      </c>
    </row>
    <row r="1355" spans="1:7" x14ac:dyDescent="0.35">
      <c r="A1355" s="2">
        <v>216</v>
      </c>
      <c r="B1355" s="2">
        <f t="shared" si="105"/>
        <v>-1122.3520638224072</v>
      </c>
      <c r="C1355" s="2">
        <f t="shared" si="106"/>
        <v>1259674.1551664169</v>
      </c>
      <c r="D1355" s="2">
        <v>23497</v>
      </c>
      <c r="E1355" s="2">
        <f t="shared" si="107"/>
        <v>2.3496999999999999</v>
      </c>
      <c r="F1355" s="2">
        <f t="shared" si="108"/>
        <v>-1.0301559833506726</v>
      </c>
      <c r="G1355" s="2">
        <f t="shared" si="109"/>
        <v>1.0612213500331913</v>
      </c>
    </row>
    <row r="1356" spans="1:7" x14ac:dyDescent="0.35">
      <c r="A1356" s="2">
        <v>216</v>
      </c>
      <c r="B1356" s="2">
        <f t="shared" si="105"/>
        <v>-1122.3520638224072</v>
      </c>
      <c r="C1356" s="2">
        <f t="shared" si="106"/>
        <v>1259674.1551664169</v>
      </c>
      <c r="D1356" s="2">
        <v>18000</v>
      </c>
      <c r="E1356" s="2">
        <f t="shared" si="107"/>
        <v>1.8</v>
      </c>
      <c r="F1356" s="2">
        <f t="shared" si="108"/>
        <v>-1.5798559833506725</v>
      </c>
      <c r="G1356" s="2">
        <f t="shared" si="109"/>
        <v>2.4959449281289201</v>
      </c>
    </row>
    <row r="1357" spans="1:7" x14ac:dyDescent="0.35">
      <c r="A1357" s="2">
        <v>216</v>
      </c>
      <c r="B1357" s="2">
        <f t="shared" si="105"/>
        <v>-1122.3520638224072</v>
      </c>
      <c r="C1357" s="2">
        <f t="shared" si="106"/>
        <v>1259674.1551664169</v>
      </c>
      <c r="D1357" s="2">
        <v>22500</v>
      </c>
      <c r="E1357" s="2">
        <f t="shared" si="107"/>
        <v>2.25</v>
      </c>
      <c r="F1357" s="2">
        <f t="shared" si="108"/>
        <v>-1.1298559833506725</v>
      </c>
      <c r="G1357" s="2">
        <f t="shared" si="109"/>
        <v>1.2765745431133151</v>
      </c>
    </row>
    <row r="1358" spans="1:7" x14ac:dyDescent="0.35">
      <c r="A1358" s="2">
        <v>216</v>
      </c>
      <c r="B1358" s="2">
        <f t="shared" si="105"/>
        <v>-1122.3520638224072</v>
      </c>
      <c r="C1358" s="2">
        <f t="shared" si="106"/>
        <v>1259674.1551664169</v>
      </c>
      <c r="D1358" s="2">
        <v>20165</v>
      </c>
      <c r="E1358" s="2">
        <f t="shared" si="107"/>
        <v>2.0165000000000002</v>
      </c>
      <c r="F1358" s="2">
        <f t="shared" si="108"/>
        <v>-1.3633559833506723</v>
      </c>
      <c r="G1358" s="2">
        <f t="shared" si="109"/>
        <v>1.8587395373380786</v>
      </c>
    </row>
    <row r="1359" spans="1:7" x14ac:dyDescent="0.35">
      <c r="A1359" s="2">
        <v>216</v>
      </c>
      <c r="B1359" s="2">
        <f t="shared" si="105"/>
        <v>-1122.3520638224072</v>
      </c>
      <c r="C1359" s="2">
        <f t="shared" si="106"/>
        <v>1259674.1551664169</v>
      </c>
      <c r="D1359" s="2">
        <v>23438</v>
      </c>
      <c r="E1359" s="2">
        <f t="shared" si="107"/>
        <v>2.3437999999999999</v>
      </c>
      <c r="F1359" s="2">
        <f t="shared" si="108"/>
        <v>-1.0360559833506726</v>
      </c>
      <c r="G1359" s="2">
        <f t="shared" si="109"/>
        <v>1.0734120006367291</v>
      </c>
    </row>
    <row r="1360" spans="1:7" x14ac:dyDescent="0.35">
      <c r="A1360" s="2">
        <v>216</v>
      </c>
      <c r="B1360" s="2">
        <f t="shared" si="105"/>
        <v>-1122.3520638224072</v>
      </c>
      <c r="C1360" s="2">
        <f t="shared" si="106"/>
        <v>1259674.1551664169</v>
      </c>
      <c r="D1360" s="2">
        <v>13846</v>
      </c>
      <c r="E1360" s="2">
        <f t="shared" si="107"/>
        <v>1.3846000000000001</v>
      </c>
      <c r="F1360" s="2">
        <f t="shared" si="108"/>
        <v>-1.9952559833506724</v>
      </c>
      <c r="G1360" s="2">
        <f t="shared" si="109"/>
        <v>3.9810464390966587</v>
      </c>
    </row>
    <row r="1361" spans="1:7" x14ac:dyDescent="0.35">
      <c r="A1361" s="2">
        <v>216</v>
      </c>
      <c r="B1361" s="2">
        <f t="shared" si="105"/>
        <v>-1122.3520638224072</v>
      </c>
      <c r="C1361" s="2">
        <f t="shared" si="106"/>
        <v>1259674.1551664169</v>
      </c>
      <c r="D1361" s="2">
        <v>6000</v>
      </c>
      <c r="E1361" s="2">
        <f t="shared" si="107"/>
        <v>0.6</v>
      </c>
      <c r="F1361" s="2">
        <f t="shared" si="108"/>
        <v>-2.7798559833506724</v>
      </c>
      <c r="G1361" s="2">
        <f t="shared" si="109"/>
        <v>7.7275992881705342</v>
      </c>
    </row>
    <row r="1362" spans="1:7" x14ac:dyDescent="0.35">
      <c r="A1362" s="2">
        <v>216</v>
      </c>
      <c r="B1362" s="2">
        <f t="shared" si="105"/>
        <v>-1122.3520638224072</v>
      </c>
      <c r="C1362" s="2">
        <f t="shared" si="106"/>
        <v>1259674.1551664169</v>
      </c>
      <c r="D1362" s="2">
        <v>12800</v>
      </c>
      <c r="E1362" s="2">
        <f t="shared" si="107"/>
        <v>1.28</v>
      </c>
      <c r="F1362" s="2">
        <f t="shared" si="108"/>
        <v>-2.0998559833506727</v>
      </c>
      <c r="G1362" s="2">
        <f t="shared" si="109"/>
        <v>4.4093951508136202</v>
      </c>
    </row>
    <row r="1363" spans="1:7" x14ac:dyDescent="0.35">
      <c r="A1363" s="2">
        <v>216</v>
      </c>
      <c r="B1363" s="2">
        <f t="shared" si="105"/>
        <v>-1122.3520638224072</v>
      </c>
      <c r="C1363" s="2">
        <f t="shared" si="106"/>
        <v>1259674.1551664169</v>
      </c>
      <c r="D1363" s="2">
        <v>25000</v>
      </c>
      <c r="E1363" s="2">
        <f t="shared" si="107"/>
        <v>2.5</v>
      </c>
      <c r="F1363" s="2">
        <f t="shared" si="108"/>
        <v>-0.8798559833506725</v>
      </c>
      <c r="G1363" s="2">
        <f t="shared" si="109"/>
        <v>0.77414655143797884</v>
      </c>
    </row>
    <row r="1364" spans="1:7" x14ac:dyDescent="0.35">
      <c r="A1364" s="2">
        <v>216</v>
      </c>
      <c r="B1364" s="2">
        <f t="shared" si="105"/>
        <v>-1122.3520638224072</v>
      </c>
      <c r="C1364" s="2">
        <f t="shared" si="106"/>
        <v>1259674.1551664169</v>
      </c>
      <c r="D1364" s="2">
        <v>28409</v>
      </c>
      <c r="E1364" s="2">
        <f t="shared" si="107"/>
        <v>2.8409</v>
      </c>
      <c r="F1364" s="2">
        <f t="shared" si="108"/>
        <v>-0.53895598335067252</v>
      </c>
      <c r="G1364" s="2">
        <f t="shared" si="109"/>
        <v>0.29047355198949038</v>
      </c>
    </row>
    <row r="1365" spans="1:7" x14ac:dyDescent="0.35">
      <c r="A1365" s="2">
        <v>216</v>
      </c>
      <c r="B1365" s="2">
        <f t="shared" si="105"/>
        <v>-1122.3520638224072</v>
      </c>
      <c r="C1365" s="2">
        <f t="shared" si="106"/>
        <v>1259674.1551664169</v>
      </c>
      <c r="D1365" s="2">
        <v>28879</v>
      </c>
      <c r="E1365" s="2">
        <f t="shared" si="107"/>
        <v>2.8879000000000001</v>
      </c>
      <c r="F1365" s="2">
        <f t="shared" si="108"/>
        <v>-0.49195598335067237</v>
      </c>
      <c r="G1365" s="2">
        <f t="shared" si="109"/>
        <v>0.24202068955452702</v>
      </c>
    </row>
    <row r="1366" spans="1:7" x14ac:dyDescent="0.35">
      <c r="A1366" s="2">
        <v>216</v>
      </c>
      <c r="B1366" s="2">
        <f t="shared" si="105"/>
        <v>-1122.3520638224072</v>
      </c>
      <c r="C1366" s="2">
        <f t="shared" si="106"/>
        <v>1259674.1551664169</v>
      </c>
      <c r="D1366" s="2">
        <v>28867</v>
      </c>
      <c r="E1366" s="2">
        <f t="shared" si="107"/>
        <v>2.8866999999999998</v>
      </c>
      <c r="F1366" s="2">
        <f t="shared" si="108"/>
        <v>-0.49315598335067268</v>
      </c>
      <c r="G1366" s="2">
        <f t="shared" si="109"/>
        <v>0.24320282391456896</v>
      </c>
    </row>
    <row r="1367" spans="1:7" x14ac:dyDescent="0.35">
      <c r="A1367" s="2">
        <v>216</v>
      </c>
      <c r="B1367" s="2">
        <f t="shared" si="105"/>
        <v>-1122.3520638224072</v>
      </c>
      <c r="C1367" s="2">
        <f t="shared" si="106"/>
        <v>1259674.1551664169</v>
      </c>
      <c r="D1367" s="2">
        <v>31630</v>
      </c>
      <c r="E1367" s="2">
        <f t="shared" si="107"/>
        <v>3.1629999999999998</v>
      </c>
      <c r="F1367" s="2">
        <f t="shared" si="108"/>
        <v>-0.21685598335067269</v>
      </c>
      <c r="G1367" s="2">
        <f t="shared" si="109"/>
        <v>4.702651751498723E-2</v>
      </c>
    </row>
    <row r="1368" spans="1:7" x14ac:dyDescent="0.35">
      <c r="A1368" s="2">
        <v>216</v>
      </c>
      <c r="B1368" s="2">
        <f t="shared" si="105"/>
        <v>-1122.3520638224072</v>
      </c>
      <c r="C1368" s="2">
        <f t="shared" si="106"/>
        <v>1259674.1551664169</v>
      </c>
      <c r="D1368" s="2">
        <v>29281</v>
      </c>
      <c r="E1368" s="2">
        <f t="shared" si="107"/>
        <v>2.9281000000000001</v>
      </c>
      <c r="F1368" s="2">
        <f t="shared" si="108"/>
        <v>-0.45175598335067235</v>
      </c>
      <c r="G1368" s="2">
        <f t="shared" si="109"/>
        <v>0.20408346849313297</v>
      </c>
    </row>
    <row r="1369" spans="1:7" x14ac:dyDescent="0.35">
      <c r="A1369" s="2">
        <v>216</v>
      </c>
      <c r="B1369" s="2">
        <f t="shared" si="105"/>
        <v>-1122.3520638224072</v>
      </c>
      <c r="C1369" s="2">
        <f t="shared" si="106"/>
        <v>1259674.1551664169</v>
      </c>
      <c r="D1369" s="2">
        <v>31511</v>
      </c>
      <c r="E1369" s="2">
        <f t="shared" si="107"/>
        <v>3.1511</v>
      </c>
      <c r="F1369" s="2">
        <f t="shared" si="108"/>
        <v>-0.22875598335067249</v>
      </c>
      <c r="G1369" s="2">
        <f t="shared" si="109"/>
        <v>5.2329299918733148E-2</v>
      </c>
    </row>
    <row r="1370" spans="1:7" x14ac:dyDescent="0.35">
      <c r="A1370" s="2">
        <v>216</v>
      </c>
      <c r="B1370" s="2">
        <f t="shared" si="105"/>
        <v>-1122.3520638224072</v>
      </c>
      <c r="C1370" s="2">
        <f t="shared" si="106"/>
        <v>1259674.1551664169</v>
      </c>
      <c r="D1370" s="2">
        <v>32482</v>
      </c>
      <c r="E1370" s="2">
        <f t="shared" si="107"/>
        <v>3.2482000000000002</v>
      </c>
      <c r="F1370" s="2">
        <f t="shared" si="108"/>
        <v>-0.1316559833506723</v>
      </c>
      <c r="G1370" s="2">
        <f t="shared" si="109"/>
        <v>1.7333297952032502E-2</v>
      </c>
    </row>
    <row r="1371" spans="1:7" x14ac:dyDescent="0.35">
      <c r="A1371" s="2">
        <v>216</v>
      </c>
      <c r="B1371" s="2">
        <f t="shared" si="105"/>
        <v>-1122.3520638224072</v>
      </c>
      <c r="C1371" s="2">
        <f t="shared" si="106"/>
        <v>1259674.1551664169</v>
      </c>
      <c r="D1371" s="2">
        <v>35762</v>
      </c>
      <c r="E1371" s="2">
        <f t="shared" si="107"/>
        <v>3.5762</v>
      </c>
      <c r="F1371" s="2">
        <f t="shared" si="108"/>
        <v>0.19634401664932755</v>
      </c>
      <c r="G1371" s="2">
        <f t="shared" si="109"/>
        <v>3.855097287399141E-2</v>
      </c>
    </row>
    <row r="1372" spans="1:7" x14ac:dyDescent="0.35">
      <c r="A1372" s="2">
        <v>216</v>
      </c>
      <c r="B1372" s="2">
        <f t="shared" si="105"/>
        <v>-1122.3520638224072</v>
      </c>
      <c r="C1372" s="2">
        <f t="shared" si="106"/>
        <v>1259674.1551664169</v>
      </c>
      <c r="D1372" s="2">
        <v>45468</v>
      </c>
      <c r="E1372" s="2">
        <f t="shared" si="107"/>
        <v>4.5468000000000002</v>
      </c>
      <c r="F1372" s="2">
        <f t="shared" si="108"/>
        <v>1.1669440166493277</v>
      </c>
      <c r="G1372" s="2">
        <f t="shared" si="109"/>
        <v>1.3617583379936664</v>
      </c>
    </row>
    <row r="1373" spans="1:7" x14ac:dyDescent="0.35">
      <c r="A1373" s="2">
        <v>216</v>
      </c>
      <c r="B1373" s="2">
        <f t="shared" si="105"/>
        <v>-1122.3520638224072</v>
      </c>
      <c r="C1373" s="2">
        <f t="shared" si="106"/>
        <v>1259674.1551664169</v>
      </c>
      <c r="D1373" s="2">
        <v>47162</v>
      </c>
      <c r="E1373" s="2">
        <f t="shared" si="107"/>
        <v>4.7161999999999997</v>
      </c>
      <c r="F1373" s="2">
        <f t="shared" si="108"/>
        <v>1.3363440166493272</v>
      </c>
      <c r="G1373" s="2">
        <f t="shared" si="109"/>
        <v>1.7858153308344573</v>
      </c>
    </row>
    <row r="1374" spans="1:7" x14ac:dyDescent="0.35">
      <c r="A1374" s="2">
        <v>216</v>
      </c>
      <c r="B1374" s="2">
        <f t="shared" si="105"/>
        <v>-1122.3520638224072</v>
      </c>
      <c r="C1374" s="2">
        <f t="shared" si="106"/>
        <v>1259674.1551664169</v>
      </c>
      <c r="D1374" s="2">
        <v>51049</v>
      </c>
      <c r="E1374" s="2">
        <f t="shared" si="107"/>
        <v>5.1048999999999998</v>
      </c>
      <c r="F1374" s="2">
        <f t="shared" si="108"/>
        <v>1.7250440166493273</v>
      </c>
      <c r="G1374" s="2">
        <f t="shared" si="109"/>
        <v>2.9757768593776444</v>
      </c>
    </row>
    <row r="1375" spans="1:7" x14ac:dyDescent="0.35">
      <c r="A1375" s="2">
        <v>216</v>
      </c>
      <c r="B1375" s="2">
        <f t="shared" si="105"/>
        <v>-1122.3520638224072</v>
      </c>
      <c r="C1375" s="2">
        <f t="shared" si="106"/>
        <v>1259674.1551664169</v>
      </c>
      <c r="D1375" s="2">
        <v>44776</v>
      </c>
      <c r="E1375" s="2">
        <f t="shared" si="107"/>
        <v>4.4775999999999998</v>
      </c>
      <c r="F1375" s="2">
        <f t="shared" si="108"/>
        <v>1.0977440166493273</v>
      </c>
      <c r="G1375" s="2">
        <f t="shared" si="109"/>
        <v>1.2050419260893985</v>
      </c>
    </row>
    <row r="1376" spans="1:7" x14ac:dyDescent="0.35">
      <c r="A1376" s="2">
        <v>216</v>
      </c>
      <c r="B1376" s="2">
        <f t="shared" si="105"/>
        <v>-1122.3520638224072</v>
      </c>
      <c r="C1376" s="2">
        <f t="shared" si="106"/>
        <v>1259674.1551664169</v>
      </c>
      <c r="D1376" s="2">
        <v>48056</v>
      </c>
      <c r="E1376" s="2">
        <f t="shared" si="107"/>
        <v>4.8056000000000001</v>
      </c>
      <c r="F1376" s="2">
        <f t="shared" si="108"/>
        <v>1.4257440166493276</v>
      </c>
      <c r="G1376" s="2">
        <f t="shared" si="109"/>
        <v>2.0327460010113581</v>
      </c>
    </row>
    <row r="1377" spans="1:7" x14ac:dyDescent="0.35">
      <c r="A1377" s="2">
        <v>832</v>
      </c>
      <c r="B1377" s="2">
        <f t="shared" si="105"/>
        <v>-506.35206382240722</v>
      </c>
      <c r="C1377" s="2">
        <f t="shared" si="106"/>
        <v>256392.41253721114</v>
      </c>
      <c r="D1377" s="2">
        <v>60520</v>
      </c>
      <c r="E1377" s="2">
        <f t="shared" si="107"/>
        <v>6.0519999999999996</v>
      </c>
      <c r="F1377" s="2">
        <f t="shared" si="108"/>
        <v>2.6721440166493271</v>
      </c>
      <c r="G1377" s="2">
        <f t="shared" si="109"/>
        <v>7.1403536457147991</v>
      </c>
    </row>
    <row r="1378" spans="1:7" x14ac:dyDescent="0.35">
      <c r="A1378" s="2">
        <v>832</v>
      </c>
      <c r="B1378" s="2">
        <f t="shared" si="105"/>
        <v>-506.35206382240722</v>
      </c>
      <c r="C1378" s="2">
        <f t="shared" si="106"/>
        <v>256392.41253721114</v>
      </c>
      <c r="D1378" s="2">
        <v>59344</v>
      </c>
      <c r="E1378" s="2">
        <f t="shared" si="107"/>
        <v>5.9344000000000001</v>
      </c>
      <c r="F1378" s="2">
        <f t="shared" si="108"/>
        <v>2.5545440166493276</v>
      </c>
      <c r="G1378" s="2">
        <f t="shared" si="109"/>
        <v>6.5256951329988802</v>
      </c>
    </row>
    <row r="1379" spans="1:7" x14ac:dyDescent="0.35">
      <c r="A1379" s="2">
        <v>832</v>
      </c>
      <c r="B1379" s="2">
        <f t="shared" si="105"/>
        <v>-506.35206382240722</v>
      </c>
      <c r="C1379" s="2">
        <f t="shared" si="106"/>
        <v>256392.41253721114</v>
      </c>
      <c r="D1379" s="2">
        <v>56128</v>
      </c>
      <c r="E1379" s="2">
        <f t="shared" si="107"/>
        <v>5.6128</v>
      </c>
      <c r="F1379" s="2">
        <f t="shared" si="108"/>
        <v>2.2329440166493275</v>
      </c>
      <c r="G1379" s="2">
        <f t="shared" si="109"/>
        <v>4.9860389814900321</v>
      </c>
    </row>
    <row r="1380" spans="1:7" x14ac:dyDescent="0.35">
      <c r="A1380" s="2">
        <v>832</v>
      </c>
      <c r="B1380" s="2">
        <f t="shared" si="105"/>
        <v>-506.35206382240722</v>
      </c>
      <c r="C1380" s="2">
        <f t="shared" si="106"/>
        <v>256392.41253721114</v>
      </c>
      <c r="D1380" s="2">
        <v>60461</v>
      </c>
      <c r="E1380" s="2">
        <f t="shared" si="107"/>
        <v>6.0461</v>
      </c>
      <c r="F1380" s="2">
        <f t="shared" si="108"/>
        <v>2.6662440166493275</v>
      </c>
      <c r="G1380" s="2">
        <f t="shared" si="109"/>
        <v>7.1088571563183391</v>
      </c>
    </row>
    <row r="1381" spans="1:7" x14ac:dyDescent="0.35">
      <c r="A1381" s="2">
        <v>832</v>
      </c>
      <c r="B1381" s="2">
        <f t="shared" si="105"/>
        <v>-506.35206382240722</v>
      </c>
      <c r="C1381" s="2">
        <f t="shared" si="106"/>
        <v>256392.41253721114</v>
      </c>
      <c r="D1381" s="2">
        <v>60278</v>
      </c>
      <c r="E1381" s="2">
        <f t="shared" si="107"/>
        <v>6.0278</v>
      </c>
      <c r="F1381" s="2">
        <f t="shared" si="108"/>
        <v>2.6479440166493275</v>
      </c>
      <c r="G1381" s="2">
        <f t="shared" si="109"/>
        <v>7.0116075153089739</v>
      </c>
    </row>
    <row r="1382" spans="1:7" x14ac:dyDescent="0.35">
      <c r="A1382" s="2">
        <v>832</v>
      </c>
      <c r="B1382" s="2">
        <f t="shared" si="105"/>
        <v>-506.35206382240722</v>
      </c>
      <c r="C1382" s="2">
        <f t="shared" si="106"/>
        <v>256392.41253721114</v>
      </c>
      <c r="D1382" s="2">
        <v>60274</v>
      </c>
      <c r="E1382" s="2">
        <f t="shared" si="107"/>
        <v>6.0274000000000001</v>
      </c>
      <c r="F1382" s="2">
        <f t="shared" si="108"/>
        <v>2.6475440166493276</v>
      </c>
      <c r="G1382" s="2">
        <f t="shared" si="109"/>
        <v>7.0094893200956552</v>
      </c>
    </row>
    <row r="1383" spans="1:7" x14ac:dyDescent="0.35">
      <c r="A1383" s="2">
        <v>832</v>
      </c>
      <c r="B1383" s="2">
        <f t="shared" si="105"/>
        <v>-506.35206382240722</v>
      </c>
      <c r="C1383" s="2">
        <f t="shared" si="106"/>
        <v>256392.41253721114</v>
      </c>
      <c r="D1383" s="2">
        <v>58758</v>
      </c>
      <c r="E1383" s="2">
        <f t="shared" si="107"/>
        <v>5.8757999999999999</v>
      </c>
      <c r="F1383" s="2">
        <f t="shared" si="108"/>
        <v>2.4959440166493274</v>
      </c>
      <c r="G1383" s="2">
        <f t="shared" si="109"/>
        <v>6.2297365342475777</v>
      </c>
    </row>
    <row r="1384" spans="1:7" x14ac:dyDescent="0.35">
      <c r="A1384" s="2">
        <v>832</v>
      </c>
      <c r="B1384" s="2">
        <f t="shared" si="105"/>
        <v>-506.35206382240722</v>
      </c>
      <c r="C1384" s="2">
        <f t="shared" si="106"/>
        <v>256392.41253721114</v>
      </c>
      <c r="D1384" s="2">
        <v>56317</v>
      </c>
      <c r="E1384" s="2">
        <f t="shared" si="107"/>
        <v>5.6317000000000004</v>
      </c>
      <c r="F1384" s="2">
        <f t="shared" si="108"/>
        <v>2.2518440166493279</v>
      </c>
      <c r="G1384" s="2">
        <f t="shared" si="109"/>
        <v>5.0708014753193789</v>
      </c>
    </row>
    <row r="1385" spans="1:7" x14ac:dyDescent="0.35">
      <c r="A1385" s="2">
        <v>832</v>
      </c>
      <c r="B1385" s="2">
        <f t="shared" si="105"/>
        <v>-506.35206382240722</v>
      </c>
      <c r="C1385" s="2">
        <f t="shared" si="106"/>
        <v>256392.41253721114</v>
      </c>
      <c r="D1385" s="2">
        <v>57661</v>
      </c>
      <c r="E1385" s="2">
        <f t="shared" si="107"/>
        <v>5.7660999999999998</v>
      </c>
      <c r="F1385" s="2">
        <f t="shared" si="108"/>
        <v>2.3862440166493273</v>
      </c>
      <c r="G1385" s="2">
        <f t="shared" si="109"/>
        <v>5.6941605069947148</v>
      </c>
    </row>
    <row r="1386" spans="1:7" x14ac:dyDescent="0.35">
      <c r="A1386" s="2">
        <v>832</v>
      </c>
      <c r="B1386" s="2">
        <f t="shared" si="105"/>
        <v>-506.35206382240722</v>
      </c>
      <c r="C1386" s="2">
        <f t="shared" si="106"/>
        <v>256392.41253721114</v>
      </c>
      <c r="D1386" s="2">
        <v>55206</v>
      </c>
      <c r="E1386" s="2">
        <f t="shared" si="107"/>
        <v>5.5206</v>
      </c>
      <c r="F1386" s="2">
        <f t="shared" si="108"/>
        <v>2.1407440166493275</v>
      </c>
      <c r="G1386" s="2">
        <f t="shared" si="109"/>
        <v>4.5827849448198963</v>
      </c>
    </row>
    <row r="1387" spans="1:7" x14ac:dyDescent="0.35">
      <c r="A1387" s="2">
        <v>832</v>
      </c>
      <c r="B1387" s="2">
        <f t="shared" si="105"/>
        <v>-506.35206382240722</v>
      </c>
      <c r="C1387" s="2">
        <f t="shared" si="106"/>
        <v>256392.41253721114</v>
      </c>
      <c r="D1387" s="2">
        <v>58122</v>
      </c>
      <c r="E1387" s="2">
        <f t="shared" si="107"/>
        <v>5.8121999999999998</v>
      </c>
      <c r="F1387" s="2">
        <f t="shared" si="108"/>
        <v>2.4323440166493273</v>
      </c>
      <c r="G1387" s="2">
        <f t="shared" si="109"/>
        <v>5.9162974153297831</v>
      </c>
    </row>
    <row r="1388" spans="1:7" x14ac:dyDescent="0.35">
      <c r="A1388" s="2">
        <v>832</v>
      </c>
      <c r="B1388" s="2">
        <f t="shared" si="105"/>
        <v>-506.35206382240722</v>
      </c>
      <c r="C1388" s="2">
        <f t="shared" si="106"/>
        <v>256392.41253721114</v>
      </c>
      <c r="D1388" s="2">
        <v>61950</v>
      </c>
      <c r="E1388" s="2">
        <f t="shared" si="107"/>
        <v>6.1950000000000003</v>
      </c>
      <c r="F1388" s="2">
        <f t="shared" si="108"/>
        <v>2.8151440166493278</v>
      </c>
      <c r="G1388" s="2">
        <f t="shared" si="109"/>
        <v>7.9250358344765104</v>
      </c>
    </row>
    <row r="1389" spans="1:7" x14ac:dyDescent="0.35">
      <c r="A1389" s="2">
        <v>832</v>
      </c>
      <c r="B1389" s="2">
        <f t="shared" si="105"/>
        <v>-506.35206382240722</v>
      </c>
      <c r="C1389" s="2">
        <f t="shared" si="106"/>
        <v>256392.41253721114</v>
      </c>
      <c r="D1389" s="2">
        <v>62573</v>
      </c>
      <c r="E1389" s="2">
        <f t="shared" si="107"/>
        <v>6.2572999999999999</v>
      </c>
      <c r="F1389" s="2">
        <f t="shared" si="108"/>
        <v>2.8774440166493274</v>
      </c>
      <c r="G1389" s="2">
        <f t="shared" si="109"/>
        <v>8.2796840689510152</v>
      </c>
    </row>
    <row r="1390" spans="1:7" x14ac:dyDescent="0.35">
      <c r="A1390" s="2">
        <v>832</v>
      </c>
      <c r="B1390" s="2">
        <f t="shared" si="105"/>
        <v>-506.35206382240722</v>
      </c>
      <c r="C1390" s="2">
        <f t="shared" si="106"/>
        <v>256392.41253721114</v>
      </c>
      <c r="D1390" s="2">
        <v>64635</v>
      </c>
      <c r="E1390" s="2">
        <f t="shared" si="107"/>
        <v>6.4634999999999998</v>
      </c>
      <c r="F1390" s="2">
        <f t="shared" si="108"/>
        <v>3.0836440166493273</v>
      </c>
      <c r="G1390" s="2">
        <f t="shared" si="109"/>
        <v>9.5088604214171966</v>
      </c>
    </row>
    <row r="1391" spans="1:7" x14ac:dyDescent="0.35">
      <c r="A1391" s="2">
        <v>832</v>
      </c>
      <c r="B1391" s="2">
        <f t="shared" si="105"/>
        <v>-506.35206382240722</v>
      </c>
      <c r="C1391" s="2">
        <f t="shared" si="106"/>
        <v>256392.41253721114</v>
      </c>
      <c r="D1391" s="2">
        <v>55810</v>
      </c>
      <c r="E1391" s="2">
        <f t="shared" si="107"/>
        <v>5.5810000000000004</v>
      </c>
      <c r="F1391" s="2">
        <f t="shared" si="108"/>
        <v>2.2011440166493279</v>
      </c>
      <c r="G1391" s="2">
        <f t="shared" si="109"/>
        <v>4.8450349820311365</v>
      </c>
    </row>
    <row r="1392" spans="1:7" x14ac:dyDescent="0.35">
      <c r="A1392" s="2">
        <v>832</v>
      </c>
      <c r="B1392" s="2">
        <f t="shared" si="105"/>
        <v>-506.35206382240722</v>
      </c>
      <c r="C1392" s="2">
        <f t="shared" si="106"/>
        <v>256392.41253721114</v>
      </c>
      <c r="D1392" s="2">
        <v>58494</v>
      </c>
      <c r="E1392" s="2">
        <f t="shared" si="107"/>
        <v>5.8494000000000002</v>
      </c>
      <c r="F1392" s="2">
        <f t="shared" si="108"/>
        <v>2.4695440166493277</v>
      </c>
      <c r="G1392" s="2">
        <f t="shared" si="109"/>
        <v>6.0986476501684947</v>
      </c>
    </row>
    <row r="1393" spans="1:7" x14ac:dyDescent="0.35">
      <c r="A1393" s="2">
        <v>832</v>
      </c>
      <c r="B1393" s="2">
        <f t="shared" si="105"/>
        <v>-506.35206382240722</v>
      </c>
      <c r="C1393" s="2">
        <f t="shared" si="106"/>
        <v>256392.41253721114</v>
      </c>
      <c r="D1393" s="2">
        <v>62700</v>
      </c>
      <c r="E1393" s="2">
        <f t="shared" si="107"/>
        <v>6.27</v>
      </c>
      <c r="F1393" s="2">
        <f t="shared" si="108"/>
        <v>2.8901440166493271</v>
      </c>
      <c r="G1393" s="2">
        <f t="shared" si="109"/>
        <v>8.3529324369739051</v>
      </c>
    </row>
    <row r="1394" spans="1:7" x14ac:dyDescent="0.35">
      <c r="A1394" s="2">
        <v>832</v>
      </c>
      <c r="B1394" s="2">
        <f t="shared" si="105"/>
        <v>-506.35206382240722</v>
      </c>
      <c r="C1394" s="2">
        <f t="shared" si="106"/>
        <v>256392.41253721114</v>
      </c>
      <c r="D1394" s="2">
        <v>66317</v>
      </c>
      <c r="E1394" s="2">
        <f t="shared" si="107"/>
        <v>6.6317000000000004</v>
      </c>
      <c r="F1394" s="2">
        <f t="shared" si="108"/>
        <v>3.2518440166493279</v>
      </c>
      <c r="G1394" s="2">
        <f t="shared" si="109"/>
        <v>10.574489508618035</v>
      </c>
    </row>
    <row r="1395" spans="1:7" x14ac:dyDescent="0.35">
      <c r="A1395" s="2">
        <v>832</v>
      </c>
      <c r="B1395" s="2">
        <f t="shared" si="105"/>
        <v>-506.35206382240722</v>
      </c>
      <c r="C1395" s="2">
        <f t="shared" si="106"/>
        <v>256392.41253721114</v>
      </c>
      <c r="D1395" s="2">
        <v>63074</v>
      </c>
      <c r="E1395" s="2">
        <f t="shared" si="107"/>
        <v>6.3074000000000003</v>
      </c>
      <c r="F1395" s="2">
        <f t="shared" si="108"/>
        <v>2.9275440166493278</v>
      </c>
      <c r="G1395" s="2">
        <f t="shared" si="109"/>
        <v>8.5705139694192791</v>
      </c>
    </row>
    <row r="1396" spans="1:7" x14ac:dyDescent="0.35">
      <c r="A1396" s="2">
        <v>832</v>
      </c>
      <c r="B1396" s="2">
        <f t="shared" si="105"/>
        <v>-506.35206382240722</v>
      </c>
      <c r="C1396" s="2">
        <f t="shared" si="106"/>
        <v>256392.41253721114</v>
      </c>
      <c r="D1396" s="2">
        <v>62772</v>
      </c>
      <c r="E1396" s="2">
        <f t="shared" si="107"/>
        <v>6.2771999999999997</v>
      </c>
      <c r="F1396" s="2">
        <f t="shared" si="108"/>
        <v>2.8973440166493272</v>
      </c>
      <c r="G1396" s="2">
        <f t="shared" si="109"/>
        <v>8.3946023508136562</v>
      </c>
    </row>
    <row r="1397" spans="1:7" x14ac:dyDescent="0.35">
      <c r="A1397" s="2">
        <v>832</v>
      </c>
      <c r="B1397" s="2">
        <f t="shared" si="105"/>
        <v>-506.35206382240722</v>
      </c>
      <c r="C1397" s="2">
        <f t="shared" si="106"/>
        <v>256392.41253721114</v>
      </c>
      <c r="D1397" s="2">
        <v>66240</v>
      </c>
      <c r="E1397" s="2">
        <f t="shared" si="107"/>
        <v>6.6239999999999997</v>
      </c>
      <c r="F1397" s="2">
        <f t="shared" si="108"/>
        <v>3.2441440166493272</v>
      </c>
      <c r="G1397" s="2">
        <f t="shared" si="109"/>
        <v>10.524470400761629</v>
      </c>
    </row>
    <row r="1398" spans="1:7" x14ac:dyDescent="0.35">
      <c r="A1398" s="2">
        <v>832</v>
      </c>
      <c r="B1398" s="2">
        <f t="shared" si="105"/>
        <v>-506.35206382240722</v>
      </c>
      <c r="C1398" s="2">
        <f t="shared" si="106"/>
        <v>256392.41253721114</v>
      </c>
      <c r="D1398" s="2">
        <v>61949</v>
      </c>
      <c r="E1398" s="2">
        <f t="shared" si="107"/>
        <v>6.1948999999999996</v>
      </c>
      <c r="F1398" s="2">
        <f t="shared" si="108"/>
        <v>2.8150440166493271</v>
      </c>
      <c r="G1398" s="2">
        <f t="shared" si="109"/>
        <v>7.9244728156731767</v>
      </c>
    </row>
    <row r="1399" spans="1:7" x14ac:dyDescent="0.35">
      <c r="A1399" s="2">
        <v>832</v>
      </c>
      <c r="B1399" s="2">
        <f t="shared" si="105"/>
        <v>-506.35206382240722</v>
      </c>
      <c r="C1399" s="2">
        <f t="shared" si="106"/>
        <v>256392.41253721114</v>
      </c>
      <c r="D1399" s="2">
        <v>67941</v>
      </c>
      <c r="E1399" s="2">
        <f t="shared" si="107"/>
        <v>6.7941000000000003</v>
      </c>
      <c r="F1399" s="2">
        <f t="shared" si="108"/>
        <v>3.4142440166493278</v>
      </c>
      <c r="G1399" s="2">
        <f t="shared" si="109"/>
        <v>11.657062205225735</v>
      </c>
    </row>
    <row r="1400" spans="1:7" x14ac:dyDescent="0.35">
      <c r="A1400" s="2">
        <v>832</v>
      </c>
      <c r="B1400" s="2">
        <f t="shared" si="105"/>
        <v>-506.35206382240722</v>
      </c>
      <c r="C1400" s="2">
        <f t="shared" si="106"/>
        <v>256392.41253721114</v>
      </c>
      <c r="D1400" s="2">
        <v>61219</v>
      </c>
      <c r="E1400" s="2">
        <f t="shared" si="107"/>
        <v>6.1219000000000001</v>
      </c>
      <c r="F1400" s="2">
        <f t="shared" si="108"/>
        <v>2.7420440166493276</v>
      </c>
      <c r="G1400" s="2">
        <f t="shared" si="109"/>
        <v>7.5188053892423783</v>
      </c>
    </row>
    <row r="1401" spans="1:7" x14ac:dyDescent="0.35">
      <c r="A1401" s="2">
        <v>832</v>
      </c>
      <c r="B1401" s="2">
        <f t="shared" si="105"/>
        <v>-506.35206382240722</v>
      </c>
      <c r="C1401" s="2">
        <f t="shared" si="106"/>
        <v>256392.41253721114</v>
      </c>
      <c r="D1401" s="2">
        <v>60452</v>
      </c>
      <c r="E1401" s="2">
        <f t="shared" si="107"/>
        <v>6.0452000000000004</v>
      </c>
      <c r="F1401" s="2">
        <f t="shared" si="108"/>
        <v>2.6653440166493279</v>
      </c>
      <c r="G1401" s="2">
        <f t="shared" si="109"/>
        <v>7.1040587270883728</v>
      </c>
    </row>
    <row r="1402" spans="1:7" x14ac:dyDescent="0.35">
      <c r="A1402" s="2">
        <v>832</v>
      </c>
      <c r="B1402" s="2">
        <f t="shared" si="105"/>
        <v>-506.35206382240722</v>
      </c>
      <c r="C1402" s="2">
        <f t="shared" si="106"/>
        <v>256392.41253721114</v>
      </c>
      <c r="D1402" s="2">
        <v>68133</v>
      </c>
      <c r="E1402" s="2">
        <f t="shared" si="107"/>
        <v>6.8132999999999999</v>
      </c>
      <c r="F1402" s="2">
        <f t="shared" si="108"/>
        <v>3.4334440166493274</v>
      </c>
      <c r="G1402" s="2">
        <f t="shared" si="109"/>
        <v>11.788537815465068</v>
      </c>
    </row>
    <row r="1403" spans="1:7" x14ac:dyDescent="0.35">
      <c r="A1403" s="2">
        <v>832</v>
      </c>
      <c r="B1403" s="2">
        <f t="shared" si="105"/>
        <v>-506.35206382240722</v>
      </c>
      <c r="C1403" s="2">
        <f t="shared" si="106"/>
        <v>256392.41253721114</v>
      </c>
      <c r="D1403" s="2">
        <v>66342</v>
      </c>
      <c r="E1403" s="2">
        <f t="shared" si="107"/>
        <v>6.6341999999999999</v>
      </c>
      <c r="F1403" s="2">
        <f t="shared" si="108"/>
        <v>3.2543440166493274</v>
      </c>
      <c r="G1403" s="2">
        <f t="shared" si="109"/>
        <v>10.590754978701277</v>
      </c>
    </row>
    <row r="1404" spans="1:7" x14ac:dyDescent="0.35">
      <c r="A1404" s="2">
        <v>832</v>
      </c>
      <c r="B1404" s="2">
        <f t="shared" si="105"/>
        <v>-506.35206382240722</v>
      </c>
      <c r="C1404" s="2">
        <f t="shared" si="106"/>
        <v>256392.41253721114</v>
      </c>
      <c r="D1404" s="2">
        <v>63148</v>
      </c>
      <c r="E1404" s="2">
        <f t="shared" si="107"/>
        <v>6.3148</v>
      </c>
      <c r="F1404" s="2">
        <f t="shared" si="108"/>
        <v>2.9349440166493275</v>
      </c>
      <c r="G1404" s="2">
        <f t="shared" si="109"/>
        <v>8.6138963808656879</v>
      </c>
    </row>
    <row r="1405" spans="1:7" x14ac:dyDescent="0.35">
      <c r="A1405" s="2">
        <v>832</v>
      </c>
      <c r="B1405" s="2">
        <f t="shared" si="105"/>
        <v>-506.35206382240722</v>
      </c>
      <c r="C1405" s="2">
        <f t="shared" si="106"/>
        <v>256392.41253721114</v>
      </c>
      <c r="D1405" s="2">
        <v>66785</v>
      </c>
      <c r="E1405" s="2">
        <f t="shared" si="107"/>
        <v>6.6784999999999997</v>
      </c>
      <c r="F1405" s="2">
        <f t="shared" si="108"/>
        <v>3.2986440166493272</v>
      </c>
      <c r="G1405" s="2">
        <f t="shared" si="109"/>
        <v>10.881052348576407</v>
      </c>
    </row>
    <row r="1406" spans="1:7" x14ac:dyDescent="0.35">
      <c r="A1406" s="2">
        <v>832</v>
      </c>
      <c r="B1406" s="2">
        <f t="shared" si="105"/>
        <v>-506.35206382240722</v>
      </c>
      <c r="C1406" s="2">
        <f t="shared" si="106"/>
        <v>256392.41253721114</v>
      </c>
      <c r="D1406" s="2">
        <v>67797</v>
      </c>
      <c r="E1406" s="2">
        <f t="shared" si="107"/>
        <v>6.7797000000000001</v>
      </c>
      <c r="F1406" s="2">
        <f t="shared" si="108"/>
        <v>3.3998440166493276</v>
      </c>
      <c r="G1406" s="2">
        <f t="shared" si="109"/>
        <v>11.558939337546233</v>
      </c>
    </row>
    <row r="1407" spans="1:7" x14ac:dyDescent="0.35">
      <c r="A1407" s="2">
        <v>2051</v>
      </c>
      <c r="B1407" s="2">
        <f t="shared" si="105"/>
        <v>712.64793617759278</v>
      </c>
      <c r="C1407" s="2">
        <f t="shared" si="106"/>
        <v>507867.08093818236</v>
      </c>
      <c r="D1407" s="2">
        <v>30364</v>
      </c>
      <c r="E1407" s="2">
        <f t="shared" si="107"/>
        <v>3.0364</v>
      </c>
      <c r="F1407" s="2">
        <f t="shared" si="108"/>
        <v>-0.34345598335067251</v>
      </c>
      <c r="G1407" s="2">
        <f t="shared" si="109"/>
        <v>0.11796201249937743</v>
      </c>
    </row>
    <row r="1408" spans="1:7" x14ac:dyDescent="0.35">
      <c r="A1408" s="2">
        <v>2051</v>
      </c>
      <c r="B1408" s="2">
        <f t="shared" si="105"/>
        <v>712.64793617759278</v>
      </c>
      <c r="C1408" s="2">
        <f t="shared" si="106"/>
        <v>507867.08093818236</v>
      </c>
      <c r="D1408" s="2">
        <v>31802</v>
      </c>
      <c r="E1408" s="2">
        <f t="shared" si="107"/>
        <v>3.1802000000000001</v>
      </c>
      <c r="F1408" s="2">
        <f t="shared" si="108"/>
        <v>-0.19965598335067236</v>
      </c>
      <c r="G1408" s="2">
        <f t="shared" si="109"/>
        <v>3.9862511687723957E-2</v>
      </c>
    </row>
    <row r="1409" spans="1:7" x14ac:dyDescent="0.35">
      <c r="A1409" s="2">
        <v>2051</v>
      </c>
      <c r="B1409" s="2">
        <f t="shared" si="105"/>
        <v>712.64793617759278</v>
      </c>
      <c r="C1409" s="2">
        <f t="shared" si="106"/>
        <v>507867.08093818236</v>
      </c>
      <c r="D1409" s="2">
        <v>20668</v>
      </c>
      <c r="E1409" s="2">
        <f t="shared" si="107"/>
        <v>2.0668000000000002</v>
      </c>
      <c r="F1409" s="2">
        <f t="shared" si="108"/>
        <v>-1.3130559833506723</v>
      </c>
      <c r="G1409" s="2">
        <f t="shared" si="109"/>
        <v>1.7241160154130011</v>
      </c>
    </row>
    <row r="1410" spans="1:7" x14ac:dyDescent="0.35">
      <c r="A1410" s="2">
        <v>2051</v>
      </c>
      <c r="B1410" s="2">
        <f t="shared" si="105"/>
        <v>712.64793617759278</v>
      </c>
      <c r="C1410" s="2">
        <f t="shared" si="106"/>
        <v>507867.08093818236</v>
      </c>
      <c r="D1410" s="2">
        <v>33506</v>
      </c>
      <c r="E1410" s="2">
        <f t="shared" si="107"/>
        <v>3.3506</v>
      </c>
      <c r="F1410" s="2">
        <f t="shared" si="108"/>
        <v>-2.9255983350672476E-2</v>
      </c>
      <c r="G1410" s="2">
        <f t="shared" si="109"/>
        <v>8.5591256181482514E-4</v>
      </c>
    </row>
    <row r="1411" spans="1:7" x14ac:dyDescent="0.35">
      <c r="A1411" s="2">
        <v>2051</v>
      </c>
      <c r="B1411" s="2">
        <f t="shared" ref="B1411:B1474" si="110">A1411-$J$1</f>
        <v>712.64793617759278</v>
      </c>
      <c r="C1411" s="2">
        <f t="shared" ref="C1411:C1474" si="111">B1411^2</f>
        <v>507867.08093818236</v>
      </c>
      <c r="D1411" s="2">
        <v>23656</v>
      </c>
      <c r="E1411" s="2">
        <f t="shared" ref="E1411:E1474" si="112">D1411/10000</f>
        <v>2.3656000000000001</v>
      </c>
      <c r="F1411" s="2">
        <f t="shared" ref="F1411:F1474" si="113">E1411-$J$2</f>
        <v>-1.0142559833506724</v>
      </c>
      <c r="G1411" s="2">
        <f t="shared" ref="G1411:G1474" si="114">F1411^2</f>
        <v>1.0287151997626394</v>
      </c>
    </row>
    <row r="1412" spans="1:7" x14ac:dyDescent="0.35">
      <c r="A1412" s="2">
        <v>2051</v>
      </c>
      <c r="B1412" s="2">
        <f t="shared" si="110"/>
        <v>712.64793617759278</v>
      </c>
      <c r="C1412" s="2">
        <f t="shared" si="111"/>
        <v>507867.08093818236</v>
      </c>
      <c r="D1412" s="2">
        <v>27019</v>
      </c>
      <c r="E1412" s="2">
        <f t="shared" si="112"/>
        <v>2.7019000000000002</v>
      </c>
      <c r="F1412" s="2">
        <f t="shared" si="113"/>
        <v>-0.67795598335067231</v>
      </c>
      <c r="G1412" s="2">
        <f t="shared" si="114"/>
        <v>0.45962431536097709</v>
      </c>
    </row>
    <row r="1413" spans="1:7" x14ac:dyDescent="0.35">
      <c r="A1413" s="2">
        <v>2051</v>
      </c>
      <c r="B1413" s="2">
        <f t="shared" si="110"/>
        <v>712.64793617759278</v>
      </c>
      <c r="C1413" s="2">
        <f t="shared" si="111"/>
        <v>507867.08093818236</v>
      </c>
      <c r="D1413" s="2">
        <v>23981</v>
      </c>
      <c r="E1413" s="2">
        <f t="shared" si="112"/>
        <v>2.3980999999999999</v>
      </c>
      <c r="F1413" s="2">
        <f t="shared" si="113"/>
        <v>-0.9817559833506726</v>
      </c>
      <c r="G1413" s="2">
        <f t="shared" si="114"/>
        <v>0.96384481084484619</v>
      </c>
    </row>
    <row r="1414" spans="1:7" x14ac:dyDescent="0.35">
      <c r="A1414" s="2">
        <v>2051</v>
      </c>
      <c r="B1414" s="2">
        <f t="shared" si="110"/>
        <v>712.64793617759278</v>
      </c>
      <c r="C1414" s="2">
        <f t="shared" si="111"/>
        <v>507867.08093818236</v>
      </c>
      <c r="D1414" s="2">
        <v>31279</v>
      </c>
      <c r="E1414" s="2">
        <f t="shared" si="112"/>
        <v>3.1278999999999999</v>
      </c>
      <c r="F1414" s="2">
        <f t="shared" si="113"/>
        <v>-0.2519559833506726</v>
      </c>
      <c r="G1414" s="2">
        <f t="shared" si="114"/>
        <v>6.3481817546204411E-2</v>
      </c>
    </row>
    <row r="1415" spans="1:7" x14ac:dyDescent="0.35">
      <c r="A1415" s="2">
        <v>2051</v>
      </c>
      <c r="B1415" s="2">
        <f t="shared" si="110"/>
        <v>712.64793617759278</v>
      </c>
      <c r="C1415" s="2">
        <f t="shared" si="111"/>
        <v>507867.08093818236</v>
      </c>
      <c r="D1415" s="2">
        <v>29080</v>
      </c>
      <c r="E1415" s="2">
        <f t="shared" si="112"/>
        <v>2.9079999999999999</v>
      </c>
      <c r="F1415" s="2">
        <f t="shared" si="113"/>
        <v>-0.47185598335067258</v>
      </c>
      <c r="G1415" s="2">
        <f t="shared" si="114"/>
        <v>0.22264806902383019</v>
      </c>
    </row>
    <row r="1416" spans="1:7" x14ac:dyDescent="0.35">
      <c r="A1416" s="2">
        <v>2051</v>
      </c>
      <c r="B1416" s="2">
        <f t="shared" si="110"/>
        <v>712.64793617759278</v>
      </c>
      <c r="C1416" s="2">
        <f t="shared" si="111"/>
        <v>507867.08093818236</v>
      </c>
      <c r="D1416" s="2">
        <v>24308</v>
      </c>
      <c r="E1416" s="2">
        <f t="shared" si="112"/>
        <v>2.4308000000000001</v>
      </c>
      <c r="F1416" s="2">
        <f t="shared" si="113"/>
        <v>-0.94905598335067243</v>
      </c>
      <c r="G1416" s="2">
        <f t="shared" si="114"/>
        <v>0.90070725953371178</v>
      </c>
    </row>
    <row r="1417" spans="1:7" x14ac:dyDescent="0.35">
      <c r="A1417" s="2">
        <v>2051</v>
      </c>
      <c r="B1417" s="2">
        <f t="shared" si="110"/>
        <v>712.64793617759278</v>
      </c>
      <c r="C1417" s="2">
        <f t="shared" si="111"/>
        <v>507867.08093818236</v>
      </c>
      <c r="D1417" s="2">
        <v>14286</v>
      </c>
      <c r="E1417" s="2">
        <f t="shared" si="112"/>
        <v>1.4286000000000001</v>
      </c>
      <c r="F1417" s="2">
        <f t="shared" si="113"/>
        <v>-1.9512559833506724</v>
      </c>
      <c r="G1417" s="2">
        <f t="shared" si="114"/>
        <v>3.8073999125617997</v>
      </c>
    </row>
    <row r="1418" spans="1:7" x14ac:dyDescent="0.35">
      <c r="A1418" s="2">
        <v>2051</v>
      </c>
      <c r="B1418" s="2">
        <f t="shared" si="110"/>
        <v>712.64793617759278</v>
      </c>
      <c r="C1418" s="2">
        <f t="shared" si="111"/>
        <v>507867.08093818236</v>
      </c>
      <c r="D1418" s="2">
        <v>16111</v>
      </c>
      <c r="E1418" s="2">
        <f t="shared" si="112"/>
        <v>1.6111</v>
      </c>
      <c r="F1418" s="2">
        <f t="shared" si="113"/>
        <v>-1.7687559833506725</v>
      </c>
      <c r="G1418" s="2">
        <f t="shared" si="114"/>
        <v>3.1284977286388047</v>
      </c>
    </row>
    <row r="1419" spans="1:7" x14ac:dyDescent="0.35">
      <c r="A1419" s="2">
        <v>2051</v>
      </c>
      <c r="B1419" s="2">
        <f t="shared" si="110"/>
        <v>712.64793617759278</v>
      </c>
      <c r="C1419" s="2">
        <f t="shared" si="111"/>
        <v>507867.08093818236</v>
      </c>
      <c r="D1419" s="2">
        <v>18750</v>
      </c>
      <c r="E1419" s="2">
        <f t="shared" si="112"/>
        <v>1.875</v>
      </c>
      <c r="F1419" s="2">
        <f t="shared" si="113"/>
        <v>-1.5048559833506725</v>
      </c>
      <c r="G1419" s="2">
        <f t="shared" si="114"/>
        <v>2.2645915306263196</v>
      </c>
    </row>
    <row r="1420" spans="1:7" x14ac:dyDescent="0.35">
      <c r="A1420" s="2">
        <v>2051</v>
      </c>
      <c r="B1420" s="2">
        <f t="shared" si="110"/>
        <v>712.64793617759278</v>
      </c>
      <c r="C1420" s="2">
        <f t="shared" si="111"/>
        <v>507867.08093818236</v>
      </c>
      <c r="D1420" s="2">
        <v>10690</v>
      </c>
      <c r="E1420" s="2">
        <f t="shared" si="112"/>
        <v>1.069</v>
      </c>
      <c r="F1420" s="2">
        <f t="shared" si="113"/>
        <v>-2.3108559833506725</v>
      </c>
      <c r="G1420" s="2">
        <f t="shared" si="114"/>
        <v>5.3400553757876041</v>
      </c>
    </row>
    <row r="1421" spans="1:7" x14ac:dyDescent="0.35">
      <c r="A1421" s="2">
        <v>2051</v>
      </c>
      <c r="B1421" s="2">
        <f t="shared" si="110"/>
        <v>712.64793617759278</v>
      </c>
      <c r="C1421" s="2">
        <f t="shared" si="111"/>
        <v>507867.08093818236</v>
      </c>
      <c r="D1421" s="2">
        <v>9231</v>
      </c>
      <c r="E1421" s="2">
        <f t="shared" si="112"/>
        <v>0.92310000000000003</v>
      </c>
      <c r="F1421" s="2">
        <f t="shared" si="113"/>
        <v>-2.4567559833506722</v>
      </c>
      <c r="G1421" s="2">
        <f t="shared" si="114"/>
        <v>6.0356499617293284</v>
      </c>
    </row>
    <row r="1422" spans="1:7" x14ac:dyDescent="0.35">
      <c r="A1422" s="2">
        <v>2051</v>
      </c>
      <c r="B1422" s="2">
        <f t="shared" si="110"/>
        <v>712.64793617759278</v>
      </c>
      <c r="C1422" s="2">
        <f t="shared" si="111"/>
        <v>507867.08093818236</v>
      </c>
      <c r="D1422" s="2">
        <v>13750</v>
      </c>
      <c r="E1422" s="2">
        <f t="shared" si="112"/>
        <v>1.375</v>
      </c>
      <c r="F1422" s="2">
        <f t="shared" si="113"/>
        <v>-2.0048559833506725</v>
      </c>
      <c r="G1422" s="2">
        <f t="shared" si="114"/>
        <v>4.0194475139769921</v>
      </c>
    </row>
    <row r="1423" spans="1:7" x14ac:dyDescent="0.35">
      <c r="A1423" s="2">
        <v>2051</v>
      </c>
      <c r="B1423" s="2">
        <f t="shared" si="110"/>
        <v>712.64793617759278</v>
      </c>
      <c r="C1423" s="2">
        <f t="shared" si="111"/>
        <v>507867.08093818236</v>
      </c>
      <c r="D1423" s="2">
        <v>9091</v>
      </c>
      <c r="E1423" s="2">
        <f t="shared" si="112"/>
        <v>0.90910000000000002</v>
      </c>
      <c r="F1423" s="2">
        <f t="shared" si="113"/>
        <v>-2.4707559833506725</v>
      </c>
      <c r="G1423" s="2">
        <f t="shared" si="114"/>
        <v>6.1046351292631487</v>
      </c>
    </row>
    <row r="1424" spans="1:7" x14ac:dyDescent="0.35">
      <c r="A1424" s="2">
        <v>2051</v>
      </c>
      <c r="B1424" s="2">
        <f t="shared" si="110"/>
        <v>712.64793617759278</v>
      </c>
      <c r="C1424" s="2">
        <f t="shared" si="111"/>
        <v>507867.08093818236</v>
      </c>
      <c r="D1424" s="2">
        <v>14286</v>
      </c>
      <c r="E1424" s="2">
        <f t="shared" si="112"/>
        <v>1.4286000000000001</v>
      </c>
      <c r="F1424" s="2">
        <f t="shared" si="113"/>
        <v>-1.9512559833506724</v>
      </c>
      <c r="G1424" s="2">
        <f t="shared" si="114"/>
        <v>3.8073999125617997</v>
      </c>
    </row>
    <row r="1425" spans="1:7" x14ac:dyDescent="0.35">
      <c r="A1425" s="2">
        <v>2051</v>
      </c>
      <c r="B1425" s="2">
        <f t="shared" si="110"/>
        <v>712.64793617759278</v>
      </c>
      <c r="C1425" s="2">
        <f t="shared" si="111"/>
        <v>507867.08093818236</v>
      </c>
      <c r="D1425" s="2">
        <v>30000</v>
      </c>
      <c r="E1425" s="2">
        <f t="shared" si="112"/>
        <v>3</v>
      </c>
      <c r="F1425" s="2">
        <f t="shared" si="113"/>
        <v>-0.3798559833506725</v>
      </c>
      <c r="G1425" s="2">
        <f t="shared" si="114"/>
        <v>0.14429056808730639</v>
      </c>
    </row>
    <row r="1426" spans="1:7" x14ac:dyDescent="0.35">
      <c r="A1426" s="2">
        <v>2051</v>
      </c>
      <c r="B1426" s="2">
        <f t="shared" si="110"/>
        <v>712.64793617759278</v>
      </c>
      <c r="C1426" s="2">
        <f t="shared" si="111"/>
        <v>507867.08093818236</v>
      </c>
      <c r="D1426" s="2">
        <v>20000</v>
      </c>
      <c r="E1426" s="2">
        <f t="shared" si="112"/>
        <v>2</v>
      </c>
      <c r="F1426" s="2">
        <f t="shared" si="113"/>
        <v>-1.3798559833506725</v>
      </c>
      <c r="G1426" s="2">
        <f t="shared" si="114"/>
        <v>1.9040025347886513</v>
      </c>
    </row>
    <row r="1427" spans="1:7" x14ac:dyDescent="0.35">
      <c r="A1427" s="2">
        <v>2051</v>
      </c>
      <c r="B1427" s="2">
        <f t="shared" si="110"/>
        <v>712.64793617759278</v>
      </c>
      <c r="C1427" s="2">
        <f t="shared" si="111"/>
        <v>507867.08093818236</v>
      </c>
      <c r="D1427" s="2">
        <v>29545</v>
      </c>
      <c r="E1427" s="2">
        <f t="shared" si="112"/>
        <v>2.9544999999999999</v>
      </c>
      <c r="F1427" s="2">
        <f t="shared" si="113"/>
        <v>-0.4253559833506726</v>
      </c>
      <c r="G1427" s="2">
        <f t="shared" si="114"/>
        <v>0.18092771257221765</v>
      </c>
    </row>
    <row r="1428" spans="1:7" x14ac:dyDescent="0.35">
      <c r="A1428" s="2">
        <v>2051</v>
      </c>
      <c r="B1428" s="2">
        <f t="shared" si="110"/>
        <v>712.64793617759278</v>
      </c>
      <c r="C1428" s="2">
        <f t="shared" si="111"/>
        <v>507867.08093818236</v>
      </c>
      <c r="D1428" s="2">
        <v>33333</v>
      </c>
      <c r="E1428" s="2">
        <f t="shared" si="112"/>
        <v>3.3332999999999999</v>
      </c>
      <c r="F1428" s="2">
        <f t="shared" si="113"/>
        <v>-4.655598335067257E-2</v>
      </c>
      <c r="G1428" s="2">
        <f t="shared" si="114"/>
        <v>2.1674595857481016E-3</v>
      </c>
    </row>
    <row r="1429" spans="1:7" x14ac:dyDescent="0.35">
      <c r="A1429" s="2">
        <v>2051</v>
      </c>
      <c r="B1429" s="2">
        <f t="shared" si="110"/>
        <v>712.64793617759278</v>
      </c>
      <c r="C1429" s="2">
        <f t="shared" si="111"/>
        <v>507867.08093818236</v>
      </c>
      <c r="D1429" s="2">
        <v>40541</v>
      </c>
      <c r="E1429" s="2">
        <f t="shared" si="112"/>
        <v>4.0541</v>
      </c>
      <c r="F1429" s="2">
        <f t="shared" si="113"/>
        <v>0.67424401664932754</v>
      </c>
      <c r="G1429" s="2">
        <f t="shared" si="114"/>
        <v>0.45460499398741866</v>
      </c>
    </row>
    <row r="1430" spans="1:7" x14ac:dyDescent="0.35">
      <c r="A1430" s="2">
        <v>2051</v>
      </c>
      <c r="B1430" s="2">
        <f t="shared" si="110"/>
        <v>712.64793617759278</v>
      </c>
      <c r="C1430" s="2">
        <f t="shared" si="111"/>
        <v>507867.08093818236</v>
      </c>
      <c r="D1430" s="2">
        <v>47397</v>
      </c>
      <c r="E1430" s="2">
        <f t="shared" si="112"/>
        <v>4.7397</v>
      </c>
      <c r="F1430" s="2">
        <f t="shared" si="113"/>
        <v>1.3598440166493275</v>
      </c>
      <c r="G1430" s="2">
        <f t="shared" si="114"/>
        <v>1.8491757496169765</v>
      </c>
    </row>
    <row r="1431" spans="1:7" x14ac:dyDescent="0.35">
      <c r="A1431" s="2">
        <v>2051</v>
      </c>
      <c r="B1431" s="2">
        <f t="shared" si="110"/>
        <v>712.64793617759278</v>
      </c>
      <c r="C1431" s="2">
        <f t="shared" si="111"/>
        <v>507867.08093818236</v>
      </c>
      <c r="D1431" s="2">
        <v>53341</v>
      </c>
      <c r="E1431" s="2">
        <f t="shared" si="112"/>
        <v>5.3341000000000003</v>
      </c>
      <c r="F1431" s="2">
        <f t="shared" si="113"/>
        <v>1.9542440166493278</v>
      </c>
      <c r="G1431" s="2">
        <f t="shared" si="114"/>
        <v>3.8190696766096983</v>
      </c>
    </row>
    <row r="1432" spans="1:7" x14ac:dyDescent="0.35">
      <c r="A1432" s="2">
        <v>2051</v>
      </c>
      <c r="B1432" s="2">
        <f t="shared" si="110"/>
        <v>712.64793617759278</v>
      </c>
      <c r="C1432" s="2">
        <f t="shared" si="111"/>
        <v>507867.08093818236</v>
      </c>
      <c r="D1432" s="2">
        <v>49023</v>
      </c>
      <c r="E1432" s="2">
        <f t="shared" si="112"/>
        <v>4.9023000000000003</v>
      </c>
      <c r="F1432" s="2">
        <f t="shared" si="113"/>
        <v>1.5224440166493278</v>
      </c>
      <c r="G1432" s="2">
        <f t="shared" si="114"/>
        <v>2.3178357838313386</v>
      </c>
    </row>
    <row r="1433" spans="1:7" x14ac:dyDescent="0.35">
      <c r="A1433" s="2">
        <v>2051</v>
      </c>
      <c r="B1433" s="2">
        <f t="shared" si="110"/>
        <v>712.64793617759278</v>
      </c>
      <c r="C1433" s="2">
        <f t="shared" si="111"/>
        <v>507867.08093818236</v>
      </c>
      <c r="D1433" s="2">
        <v>42000</v>
      </c>
      <c r="E1433" s="2">
        <f t="shared" si="112"/>
        <v>4.2</v>
      </c>
      <c r="F1433" s="2">
        <f t="shared" si="113"/>
        <v>0.82014401664932768</v>
      </c>
      <c r="G1433" s="2">
        <f t="shared" si="114"/>
        <v>0.67263620804569269</v>
      </c>
    </row>
    <row r="1434" spans="1:7" x14ac:dyDescent="0.35">
      <c r="A1434" s="2">
        <v>2051</v>
      </c>
      <c r="B1434" s="2">
        <f t="shared" si="110"/>
        <v>712.64793617759278</v>
      </c>
      <c r="C1434" s="2">
        <f t="shared" si="111"/>
        <v>507867.08093818236</v>
      </c>
      <c r="D1434" s="2">
        <v>36667</v>
      </c>
      <c r="E1434" s="2">
        <f t="shared" si="112"/>
        <v>3.6667000000000001</v>
      </c>
      <c r="F1434" s="2">
        <f t="shared" si="113"/>
        <v>0.28684401664932757</v>
      </c>
      <c r="G1434" s="2">
        <f t="shared" si="114"/>
        <v>8.2279489887519708E-2</v>
      </c>
    </row>
    <row r="1435" spans="1:7" x14ac:dyDescent="0.35">
      <c r="A1435" s="2">
        <v>2051</v>
      </c>
      <c r="B1435" s="2">
        <f t="shared" si="110"/>
        <v>712.64793617759278</v>
      </c>
      <c r="C1435" s="2">
        <f t="shared" si="111"/>
        <v>507867.08093818236</v>
      </c>
      <c r="D1435" s="2">
        <v>45000</v>
      </c>
      <c r="E1435" s="2">
        <f t="shared" si="112"/>
        <v>4.5</v>
      </c>
      <c r="F1435" s="2">
        <f t="shared" si="113"/>
        <v>1.1201440166493275</v>
      </c>
      <c r="G1435" s="2">
        <f t="shared" si="114"/>
        <v>1.2547226180352888</v>
      </c>
    </row>
    <row r="1436" spans="1:7" x14ac:dyDescent="0.35">
      <c r="A1436" s="2">
        <v>2051</v>
      </c>
      <c r="B1436" s="2">
        <f t="shared" si="110"/>
        <v>712.64793617759278</v>
      </c>
      <c r="C1436" s="2">
        <f t="shared" si="111"/>
        <v>507867.08093818236</v>
      </c>
      <c r="D1436" s="2">
        <v>45333</v>
      </c>
      <c r="E1436" s="2">
        <f t="shared" si="112"/>
        <v>4.5332999999999997</v>
      </c>
      <c r="F1436" s="2">
        <f t="shared" si="113"/>
        <v>1.1534440166493272</v>
      </c>
      <c r="G1436" s="2">
        <f t="shared" si="114"/>
        <v>1.3304330995441334</v>
      </c>
    </row>
    <row r="1437" spans="1:7" x14ac:dyDescent="0.35">
      <c r="A1437" s="2">
        <v>1668</v>
      </c>
      <c r="B1437" s="2">
        <f t="shared" si="110"/>
        <v>329.64793617759278</v>
      </c>
      <c r="C1437" s="2">
        <f t="shared" si="111"/>
        <v>108667.76182614628</v>
      </c>
      <c r="D1437" s="2">
        <v>62246</v>
      </c>
      <c r="E1437" s="2">
        <f t="shared" si="112"/>
        <v>6.2245999999999997</v>
      </c>
      <c r="F1437" s="2">
        <f t="shared" si="113"/>
        <v>2.8447440166493272</v>
      </c>
      <c r="G1437" s="2">
        <f t="shared" si="114"/>
        <v>8.092568520262148</v>
      </c>
    </row>
    <row r="1438" spans="1:7" x14ac:dyDescent="0.35">
      <c r="A1438" s="2">
        <v>1668</v>
      </c>
      <c r="B1438" s="2">
        <f t="shared" si="110"/>
        <v>329.64793617759278</v>
      </c>
      <c r="C1438" s="2">
        <f t="shared" si="111"/>
        <v>108667.76182614628</v>
      </c>
      <c r="D1438" s="2">
        <v>63218</v>
      </c>
      <c r="E1438" s="2">
        <f t="shared" si="112"/>
        <v>6.3217999999999996</v>
      </c>
      <c r="F1438" s="2">
        <f t="shared" si="113"/>
        <v>2.9419440166493271</v>
      </c>
      <c r="G1438" s="2">
        <f t="shared" si="114"/>
        <v>8.6550345970987763</v>
      </c>
    </row>
    <row r="1439" spans="1:7" x14ac:dyDescent="0.35">
      <c r="A1439" s="2">
        <v>1668</v>
      </c>
      <c r="B1439" s="2">
        <f t="shared" si="110"/>
        <v>329.64793617759278</v>
      </c>
      <c r="C1439" s="2">
        <f t="shared" si="111"/>
        <v>108667.76182614628</v>
      </c>
      <c r="D1439" s="2">
        <v>61901</v>
      </c>
      <c r="E1439" s="2">
        <f t="shared" si="112"/>
        <v>6.1901000000000002</v>
      </c>
      <c r="F1439" s="2">
        <f t="shared" si="113"/>
        <v>2.8102440166493277</v>
      </c>
      <c r="G1439" s="2">
        <f t="shared" si="114"/>
        <v>7.8974714331133464</v>
      </c>
    </row>
    <row r="1440" spans="1:7" x14ac:dyDescent="0.35">
      <c r="A1440" s="2">
        <v>1668</v>
      </c>
      <c r="B1440" s="2">
        <f t="shared" si="110"/>
        <v>329.64793617759278</v>
      </c>
      <c r="C1440" s="2">
        <f t="shared" si="111"/>
        <v>108667.76182614628</v>
      </c>
      <c r="D1440" s="2">
        <v>61679</v>
      </c>
      <c r="E1440" s="2">
        <f t="shared" si="112"/>
        <v>6.1679000000000004</v>
      </c>
      <c r="F1440" s="2">
        <f t="shared" si="113"/>
        <v>2.7880440166493279</v>
      </c>
      <c r="G1440" s="2">
        <f t="shared" si="114"/>
        <v>7.7731894387741178</v>
      </c>
    </row>
    <row r="1441" spans="1:7" x14ac:dyDescent="0.35">
      <c r="A1441" s="2">
        <v>1668</v>
      </c>
      <c r="B1441" s="2">
        <f t="shared" si="110"/>
        <v>329.64793617759278</v>
      </c>
      <c r="C1441" s="2">
        <f t="shared" si="111"/>
        <v>108667.76182614628</v>
      </c>
      <c r="D1441" s="2">
        <v>63279</v>
      </c>
      <c r="E1441" s="2">
        <f t="shared" si="112"/>
        <v>6.3278999999999996</v>
      </c>
      <c r="F1441" s="2">
        <f t="shared" si="113"/>
        <v>2.9480440166493271</v>
      </c>
      <c r="G1441" s="2">
        <f t="shared" si="114"/>
        <v>8.6909635241018979</v>
      </c>
    </row>
    <row r="1442" spans="1:7" x14ac:dyDescent="0.35">
      <c r="A1442" s="2">
        <v>1668</v>
      </c>
      <c r="B1442" s="2">
        <f t="shared" si="110"/>
        <v>329.64793617759278</v>
      </c>
      <c r="C1442" s="2">
        <f t="shared" si="111"/>
        <v>108667.76182614628</v>
      </c>
      <c r="D1442" s="2">
        <v>58590</v>
      </c>
      <c r="E1442" s="2">
        <f t="shared" si="112"/>
        <v>5.859</v>
      </c>
      <c r="F1442" s="2">
        <f t="shared" si="113"/>
        <v>2.4791440166493275</v>
      </c>
      <c r="G1442" s="2">
        <f t="shared" si="114"/>
        <v>6.146155055288161</v>
      </c>
    </row>
    <row r="1443" spans="1:7" x14ac:dyDescent="0.35">
      <c r="A1443" s="2">
        <v>1668</v>
      </c>
      <c r="B1443" s="2">
        <f t="shared" si="110"/>
        <v>329.64793617759278</v>
      </c>
      <c r="C1443" s="2">
        <f t="shared" si="111"/>
        <v>108667.76182614628</v>
      </c>
      <c r="D1443" s="2">
        <v>62754</v>
      </c>
      <c r="E1443" s="2">
        <f t="shared" si="112"/>
        <v>6.2754000000000003</v>
      </c>
      <c r="F1443" s="2">
        <f t="shared" si="113"/>
        <v>2.8955440166493278</v>
      </c>
      <c r="G1443" s="2">
        <f t="shared" si="114"/>
        <v>8.3841751523537233</v>
      </c>
    </row>
    <row r="1444" spans="1:7" x14ac:dyDescent="0.35">
      <c r="A1444" s="2">
        <v>1668</v>
      </c>
      <c r="B1444" s="2">
        <f t="shared" si="110"/>
        <v>329.64793617759278</v>
      </c>
      <c r="C1444" s="2">
        <f t="shared" si="111"/>
        <v>108667.76182614628</v>
      </c>
      <c r="D1444" s="2">
        <v>45783</v>
      </c>
      <c r="E1444" s="2">
        <f t="shared" si="112"/>
        <v>4.5782999999999996</v>
      </c>
      <c r="F1444" s="2">
        <f t="shared" si="113"/>
        <v>1.1984440166493271</v>
      </c>
      <c r="G1444" s="2">
        <f t="shared" si="114"/>
        <v>1.4362680610425727</v>
      </c>
    </row>
    <row r="1445" spans="1:7" x14ac:dyDescent="0.35">
      <c r="A1445" s="2">
        <v>1668</v>
      </c>
      <c r="B1445" s="2">
        <f t="shared" si="110"/>
        <v>329.64793617759278</v>
      </c>
      <c r="C1445" s="2">
        <f t="shared" si="111"/>
        <v>108667.76182614628</v>
      </c>
      <c r="D1445" s="2">
        <v>67703</v>
      </c>
      <c r="E1445" s="2">
        <f t="shared" si="112"/>
        <v>6.7702999999999998</v>
      </c>
      <c r="F1445" s="2">
        <f t="shared" si="113"/>
        <v>3.3904440166493273</v>
      </c>
      <c r="G1445" s="2">
        <f t="shared" si="114"/>
        <v>11.495110630033224</v>
      </c>
    </row>
    <row r="1446" spans="1:7" x14ac:dyDescent="0.35">
      <c r="A1446" s="2">
        <v>1668</v>
      </c>
      <c r="B1446" s="2">
        <f t="shared" si="110"/>
        <v>329.64793617759278</v>
      </c>
      <c r="C1446" s="2">
        <f t="shared" si="111"/>
        <v>108667.76182614628</v>
      </c>
      <c r="D1446" s="2">
        <v>63432</v>
      </c>
      <c r="E1446" s="2">
        <f t="shared" si="112"/>
        <v>6.3432000000000004</v>
      </c>
      <c r="F1446" s="2">
        <f t="shared" si="113"/>
        <v>2.9633440166493279</v>
      </c>
      <c r="G1446" s="2">
        <f t="shared" si="114"/>
        <v>8.7814077610113728</v>
      </c>
    </row>
    <row r="1447" spans="1:7" x14ac:dyDescent="0.35">
      <c r="A1447" s="2">
        <v>1668</v>
      </c>
      <c r="B1447" s="2">
        <f t="shared" si="110"/>
        <v>329.64793617759278</v>
      </c>
      <c r="C1447" s="2">
        <f t="shared" si="111"/>
        <v>108667.76182614628</v>
      </c>
      <c r="D1447" s="2">
        <v>65402</v>
      </c>
      <c r="E1447" s="2">
        <f t="shared" si="112"/>
        <v>6.5401999999999996</v>
      </c>
      <c r="F1447" s="2">
        <f t="shared" si="113"/>
        <v>3.1603440166493271</v>
      </c>
      <c r="G1447" s="2">
        <f t="shared" si="114"/>
        <v>9.9877743035712019</v>
      </c>
    </row>
    <row r="1448" spans="1:7" x14ac:dyDescent="0.35">
      <c r="A1448" s="2">
        <v>1668</v>
      </c>
      <c r="B1448" s="2">
        <f t="shared" si="110"/>
        <v>329.64793617759278</v>
      </c>
      <c r="C1448" s="2">
        <f t="shared" si="111"/>
        <v>108667.76182614628</v>
      </c>
      <c r="D1448" s="2">
        <v>64163</v>
      </c>
      <c r="E1448" s="2">
        <f t="shared" si="112"/>
        <v>6.4162999999999997</v>
      </c>
      <c r="F1448" s="2">
        <f t="shared" si="113"/>
        <v>3.0364440166493272</v>
      </c>
      <c r="G1448" s="2">
        <f t="shared" si="114"/>
        <v>9.2199922662454998</v>
      </c>
    </row>
    <row r="1449" spans="1:7" x14ac:dyDescent="0.35">
      <c r="A1449" s="2">
        <v>1668</v>
      </c>
      <c r="B1449" s="2">
        <f t="shared" si="110"/>
        <v>329.64793617759278</v>
      </c>
      <c r="C1449" s="2">
        <f t="shared" si="111"/>
        <v>108667.76182614628</v>
      </c>
      <c r="D1449" s="2">
        <v>62188</v>
      </c>
      <c r="E1449" s="2">
        <f t="shared" si="112"/>
        <v>6.2187999999999999</v>
      </c>
      <c r="F1449" s="2">
        <f t="shared" si="113"/>
        <v>2.8389440166493274</v>
      </c>
      <c r="G1449" s="2">
        <f t="shared" si="114"/>
        <v>8.059603129669016</v>
      </c>
    </row>
    <row r="1450" spans="1:7" x14ac:dyDescent="0.35">
      <c r="A1450" s="2">
        <v>1668</v>
      </c>
      <c r="B1450" s="2">
        <f t="shared" si="110"/>
        <v>329.64793617759278</v>
      </c>
      <c r="C1450" s="2">
        <f t="shared" si="111"/>
        <v>108667.76182614628</v>
      </c>
      <c r="D1450" s="2">
        <v>64143</v>
      </c>
      <c r="E1450" s="2">
        <f t="shared" si="112"/>
        <v>6.4142999999999999</v>
      </c>
      <c r="F1450" s="2">
        <f t="shared" si="113"/>
        <v>3.0344440166493274</v>
      </c>
      <c r="G1450" s="2">
        <f t="shared" si="114"/>
        <v>9.2078504901789042</v>
      </c>
    </row>
    <row r="1451" spans="1:7" x14ac:dyDescent="0.35">
      <c r="A1451" s="2">
        <v>1668</v>
      </c>
      <c r="B1451" s="2">
        <f t="shared" si="110"/>
        <v>329.64793617759278</v>
      </c>
      <c r="C1451" s="2">
        <f t="shared" si="111"/>
        <v>108667.76182614628</v>
      </c>
      <c r="D1451" s="2">
        <v>67023</v>
      </c>
      <c r="E1451" s="2">
        <f t="shared" si="112"/>
        <v>6.7023000000000001</v>
      </c>
      <c r="F1451" s="2">
        <f t="shared" si="113"/>
        <v>3.3224440166493276</v>
      </c>
      <c r="G1451" s="2">
        <f t="shared" si="114"/>
        <v>11.038634243768918</v>
      </c>
    </row>
    <row r="1452" spans="1:7" x14ac:dyDescent="0.35">
      <c r="A1452" s="2">
        <v>1668</v>
      </c>
      <c r="B1452" s="2">
        <f t="shared" si="110"/>
        <v>329.64793617759278</v>
      </c>
      <c r="C1452" s="2">
        <f t="shared" si="111"/>
        <v>108667.76182614628</v>
      </c>
      <c r="D1452" s="2">
        <v>66354</v>
      </c>
      <c r="E1452" s="2">
        <f t="shared" si="112"/>
        <v>6.6353999999999997</v>
      </c>
      <c r="F1452" s="2">
        <f t="shared" si="113"/>
        <v>3.2555440166493272</v>
      </c>
      <c r="G1452" s="2">
        <f t="shared" si="114"/>
        <v>10.598566844341235</v>
      </c>
    </row>
    <row r="1453" spans="1:7" x14ac:dyDescent="0.35">
      <c r="A1453" s="2">
        <v>1668</v>
      </c>
      <c r="B1453" s="2">
        <f t="shared" si="110"/>
        <v>329.64793617759278</v>
      </c>
      <c r="C1453" s="2">
        <f t="shared" si="111"/>
        <v>108667.76182614628</v>
      </c>
      <c r="D1453" s="2">
        <v>65823</v>
      </c>
      <c r="E1453" s="2">
        <f t="shared" si="112"/>
        <v>6.5823</v>
      </c>
      <c r="F1453" s="2">
        <f t="shared" si="113"/>
        <v>3.2024440166493275</v>
      </c>
      <c r="G1453" s="2">
        <f t="shared" si="114"/>
        <v>10.255647679773078</v>
      </c>
    </row>
    <row r="1454" spans="1:7" x14ac:dyDescent="0.35">
      <c r="A1454" s="2">
        <v>1668</v>
      </c>
      <c r="B1454" s="2">
        <f t="shared" si="110"/>
        <v>329.64793617759278</v>
      </c>
      <c r="C1454" s="2">
        <f t="shared" si="111"/>
        <v>108667.76182614628</v>
      </c>
      <c r="D1454" s="2">
        <v>64150</v>
      </c>
      <c r="E1454" s="2">
        <f t="shared" si="112"/>
        <v>6.415</v>
      </c>
      <c r="F1454" s="2">
        <f t="shared" si="113"/>
        <v>3.0351440166493275</v>
      </c>
      <c r="G1454" s="2">
        <f t="shared" si="114"/>
        <v>9.2120992018022143</v>
      </c>
    </row>
    <row r="1455" spans="1:7" x14ac:dyDescent="0.35">
      <c r="A1455" s="2">
        <v>1668</v>
      </c>
      <c r="B1455" s="2">
        <f t="shared" si="110"/>
        <v>329.64793617759278</v>
      </c>
      <c r="C1455" s="2">
        <f t="shared" si="111"/>
        <v>108667.76182614628</v>
      </c>
      <c r="D1455" s="2">
        <v>66483</v>
      </c>
      <c r="E1455" s="2">
        <f t="shared" si="112"/>
        <v>6.6482999999999999</v>
      </c>
      <c r="F1455" s="2">
        <f t="shared" si="113"/>
        <v>3.2684440166493274</v>
      </c>
      <c r="G1455" s="2">
        <f t="shared" si="114"/>
        <v>10.682726289970789</v>
      </c>
    </row>
    <row r="1456" spans="1:7" x14ac:dyDescent="0.35">
      <c r="A1456" s="2">
        <v>1668</v>
      </c>
      <c r="B1456" s="2">
        <f t="shared" si="110"/>
        <v>329.64793617759278</v>
      </c>
      <c r="C1456" s="2">
        <f t="shared" si="111"/>
        <v>108667.76182614628</v>
      </c>
      <c r="D1456" s="2">
        <v>63359</v>
      </c>
      <c r="E1456" s="2">
        <f t="shared" si="112"/>
        <v>6.3358999999999996</v>
      </c>
      <c r="F1456" s="2">
        <f t="shared" si="113"/>
        <v>2.9560440166493271</v>
      </c>
      <c r="G1456" s="2">
        <f t="shared" si="114"/>
        <v>8.7381962283682881</v>
      </c>
    </row>
    <row r="1457" spans="1:7" x14ac:dyDescent="0.35">
      <c r="A1457" s="2">
        <v>1668</v>
      </c>
      <c r="B1457" s="2">
        <f t="shared" si="110"/>
        <v>329.64793617759278</v>
      </c>
      <c r="C1457" s="2">
        <f t="shared" si="111"/>
        <v>108667.76182614628</v>
      </c>
      <c r="D1457" s="2">
        <v>65111</v>
      </c>
      <c r="E1457" s="2">
        <f t="shared" si="112"/>
        <v>6.5110999999999999</v>
      </c>
      <c r="F1457" s="2">
        <f t="shared" si="113"/>
        <v>3.1312440166493274</v>
      </c>
      <c r="G1457" s="2">
        <f t="shared" si="114"/>
        <v>9.8046890918022136</v>
      </c>
    </row>
    <row r="1458" spans="1:7" x14ac:dyDescent="0.35">
      <c r="A1458" s="2">
        <v>1668</v>
      </c>
      <c r="B1458" s="2">
        <f t="shared" si="110"/>
        <v>329.64793617759278</v>
      </c>
      <c r="C1458" s="2">
        <f t="shared" si="111"/>
        <v>108667.76182614628</v>
      </c>
      <c r="D1458" s="2">
        <v>67786</v>
      </c>
      <c r="E1458" s="2">
        <f t="shared" si="112"/>
        <v>6.7786</v>
      </c>
      <c r="F1458" s="2">
        <f t="shared" si="113"/>
        <v>3.3987440166493275</v>
      </c>
      <c r="G1458" s="2">
        <f t="shared" si="114"/>
        <v>11.551460890709604</v>
      </c>
    </row>
    <row r="1459" spans="1:7" x14ac:dyDescent="0.35">
      <c r="A1459" s="2">
        <v>1668</v>
      </c>
      <c r="B1459" s="2">
        <f t="shared" si="110"/>
        <v>329.64793617759278</v>
      </c>
      <c r="C1459" s="2">
        <f t="shared" si="111"/>
        <v>108667.76182614628</v>
      </c>
      <c r="D1459" s="2">
        <v>65222</v>
      </c>
      <c r="E1459" s="2">
        <f t="shared" si="112"/>
        <v>6.5221999999999998</v>
      </c>
      <c r="F1459" s="2">
        <f t="shared" si="113"/>
        <v>3.1423440166493273</v>
      </c>
      <c r="G1459" s="2">
        <f t="shared" si="114"/>
        <v>9.8743259189718273</v>
      </c>
    </row>
    <row r="1460" spans="1:7" x14ac:dyDescent="0.35">
      <c r="A1460" s="2">
        <v>1668</v>
      </c>
      <c r="B1460" s="2">
        <f t="shared" si="110"/>
        <v>329.64793617759278</v>
      </c>
      <c r="C1460" s="2">
        <f t="shared" si="111"/>
        <v>108667.76182614628</v>
      </c>
      <c r="D1460" s="2">
        <v>65135</v>
      </c>
      <c r="E1460" s="2">
        <f t="shared" si="112"/>
        <v>6.5134999999999996</v>
      </c>
      <c r="F1460" s="2">
        <f t="shared" si="113"/>
        <v>3.1336440166493271</v>
      </c>
      <c r="G1460" s="2">
        <f t="shared" si="114"/>
        <v>9.8197248230821277</v>
      </c>
    </row>
    <row r="1461" spans="1:7" x14ac:dyDescent="0.35">
      <c r="A1461" s="2">
        <v>1668</v>
      </c>
      <c r="B1461" s="2">
        <f t="shared" si="110"/>
        <v>329.64793617759278</v>
      </c>
      <c r="C1461" s="2">
        <f t="shared" si="111"/>
        <v>108667.76182614628</v>
      </c>
      <c r="D1461" s="2">
        <v>66624</v>
      </c>
      <c r="E1461" s="2">
        <f t="shared" si="112"/>
        <v>6.6623999999999999</v>
      </c>
      <c r="F1461" s="2">
        <f t="shared" si="113"/>
        <v>3.2825440166493274</v>
      </c>
      <c r="G1461" s="2">
        <f t="shared" si="114"/>
        <v>10.775095221240299</v>
      </c>
    </row>
    <row r="1462" spans="1:7" x14ac:dyDescent="0.35">
      <c r="A1462" s="2">
        <v>1668</v>
      </c>
      <c r="B1462" s="2">
        <f t="shared" si="110"/>
        <v>329.64793617759278</v>
      </c>
      <c r="C1462" s="2">
        <f t="shared" si="111"/>
        <v>108667.76182614628</v>
      </c>
      <c r="D1462" s="2">
        <v>67388</v>
      </c>
      <c r="E1462" s="2">
        <f t="shared" si="112"/>
        <v>6.7388000000000003</v>
      </c>
      <c r="F1462" s="2">
        <f t="shared" si="113"/>
        <v>3.3589440166493278</v>
      </c>
      <c r="G1462" s="2">
        <f t="shared" si="114"/>
        <v>11.28250490698432</v>
      </c>
    </row>
    <row r="1463" spans="1:7" x14ac:dyDescent="0.35">
      <c r="A1463" s="2">
        <v>1668</v>
      </c>
      <c r="B1463" s="2">
        <f t="shared" si="110"/>
        <v>329.64793617759278</v>
      </c>
      <c r="C1463" s="2">
        <f t="shared" si="111"/>
        <v>108667.76182614628</v>
      </c>
      <c r="D1463" s="2">
        <v>67280</v>
      </c>
      <c r="E1463" s="2">
        <f t="shared" si="112"/>
        <v>6.7279999999999998</v>
      </c>
      <c r="F1463" s="2">
        <f t="shared" si="113"/>
        <v>3.3481440166493273</v>
      </c>
      <c r="G1463" s="2">
        <f t="shared" si="114"/>
        <v>11.21006835622469</v>
      </c>
    </row>
    <row r="1464" spans="1:7" x14ac:dyDescent="0.35">
      <c r="A1464" s="2">
        <v>1668</v>
      </c>
      <c r="B1464" s="2">
        <f t="shared" si="110"/>
        <v>329.64793617759278</v>
      </c>
      <c r="C1464" s="2">
        <f t="shared" si="111"/>
        <v>108667.76182614628</v>
      </c>
      <c r="D1464" s="2">
        <v>66978</v>
      </c>
      <c r="E1464" s="2">
        <f t="shared" si="112"/>
        <v>6.6978</v>
      </c>
      <c r="F1464" s="2">
        <f t="shared" si="113"/>
        <v>3.3179440166493275</v>
      </c>
      <c r="G1464" s="2">
        <f t="shared" si="114"/>
        <v>11.008752497619072</v>
      </c>
    </row>
    <row r="1465" spans="1:7" x14ac:dyDescent="0.35">
      <c r="A1465" s="2">
        <v>1668</v>
      </c>
      <c r="B1465" s="2">
        <f t="shared" si="110"/>
        <v>329.64793617759278</v>
      </c>
      <c r="C1465" s="2">
        <f t="shared" si="111"/>
        <v>108667.76182614628</v>
      </c>
      <c r="D1465" s="2">
        <v>66308</v>
      </c>
      <c r="E1465" s="2">
        <f t="shared" si="112"/>
        <v>6.6307999999999998</v>
      </c>
      <c r="F1465" s="2">
        <f t="shared" si="113"/>
        <v>3.2509440166493273</v>
      </c>
      <c r="G1465" s="2">
        <f t="shared" si="114"/>
        <v>10.568636999388062</v>
      </c>
    </row>
    <row r="1466" spans="1:7" x14ac:dyDescent="0.35">
      <c r="A1466" s="2">
        <v>1668</v>
      </c>
      <c r="B1466" s="2">
        <f t="shared" si="110"/>
        <v>329.64793617759278</v>
      </c>
      <c r="C1466" s="2">
        <f t="shared" si="111"/>
        <v>108667.76182614628</v>
      </c>
      <c r="D1466" s="2">
        <v>54388</v>
      </c>
      <c r="E1466" s="2">
        <f t="shared" si="112"/>
        <v>5.4387999999999996</v>
      </c>
      <c r="F1466" s="2">
        <f t="shared" si="113"/>
        <v>2.0589440166493271</v>
      </c>
      <c r="G1466" s="2">
        <f t="shared" si="114"/>
        <v>4.2392504636960648</v>
      </c>
    </row>
    <row r="1467" spans="1:7" x14ac:dyDescent="0.35">
      <c r="A1467" s="2">
        <v>250</v>
      </c>
      <c r="B1467" s="2">
        <f t="shared" si="110"/>
        <v>-1088.3520638224072</v>
      </c>
      <c r="C1467" s="2">
        <f t="shared" si="111"/>
        <v>1184510.2148264931</v>
      </c>
      <c r="D1467" s="2">
        <v>39915</v>
      </c>
      <c r="E1467" s="2">
        <f t="shared" si="112"/>
        <v>3.9914999999999998</v>
      </c>
      <c r="F1467" s="2">
        <f t="shared" si="113"/>
        <v>0.61164401664932733</v>
      </c>
      <c r="G1467" s="2">
        <f t="shared" si="114"/>
        <v>0.37410840310292259</v>
      </c>
    </row>
    <row r="1468" spans="1:7" x14ac:dyDescent="0.35">
      <c r="A1468" s="2">
        <v>250</v>
      </c>
      <c r="B1468" s="2">
        <f t="shared" si="110"/>
        <v>-1088.3520638224072</v>
      </c>
      <c r="C1468" s="2">
        <f t="shared" si="111"/>
        <v>1184510.2148264931</v>
      </c>
      <c r="D1468" s="2">
        <v>36871</v>
      </c>
      <c r="E1468" s="2">
        <f t="shared" si="112"/>
        <v>3.6871</v>
      </c>
      <c r="F1468" s="2">
        <f t="shared" si="113"/>
        <v>0.30724401664932754</v>
      </c>
      <c r="G1468" s="2">
        <f t="shared" si="114"/>
        <v>9.4398885766812268E-2</v>
      </c>
    </row>
    <row r="1469" spans="1:7" x14ac:dyDescent="0.35">
      <c r="A1469" s="2">
        <v>250</v>
      </c>
      <c r="B1469" s="2">
        <f t="shared" si="110"/>
        <v>-1088.3520638224072</v>
      </c>
      <c r="C1469" s="2">
        <f t="shared" si="111"/>
        <v>1184510.2148264931</v>
      </c>
      <c r="D1469" s="2">
        <v>27937</v>
      </c>
      <c r="E1469" s="2">
        <f t="shared" si="112"/>
        <v>2.7936999999999999</v>
      </c>
      <c r="F1469" s="2">
        <f t="shared" si="113"/>
        <v>-0.58615598335067265</v>
      </c>
      <c r="G1469" s="2">
        <f t="shared" si="114"/>
        <v>0.34357883681779405</v>
      </c>
    </row>
    <row r="1470" spans="1:7" x14ac:dyDescent="0.35">
      <c r="A1470" s="2">
        <v>250</v>
      </c>
      <c r="B1470" s="2">
        <f t="shared" si="110"/>
        <v>-1088.3520638224072</v>
      </c>
      <c r="C1470" s="2">
        <f t="shared" si="111"/>
        <v>1184510.2148264931</v>
      </c>
      <c r="D1470" s="2">
        <v>21932</v>
      </c>
      <c r="E1470" s="2">
        <f t="shared" si="112"/>
        <v>2.1932</v>
      </c>
      <c r="F1470" s="2">
        <f t="shared" si="113"/>
        <v>-1.1866559833506725</v>
      </c>
      <c r="G1470" s="2">
        <f t="shared" si="114"/>
        <v>1.4081524228219515</v>
      </c>
    </row>
    <row r="1471" spans="1:7" x14ac:dyDescent="0.35">
      <c r="A1471" s="2">
        <v>250</v>
      </c>
      <c r="B1471" s="2">
        <f t="shared" si="110"/>
        <v>-1088.3520638224072</v>
      </c>
      <c r="C1471" s="2">
        <f t="shared" si="111"/>
        <v>1184510.2148264931</v>
      </c>
      <c r="D1471" s="2">
        <v>26155</v>
      </c>
      <c r="E1471" s="2">
        <f t="shared" si="112"/>
        <v>2.6154999999999999</v>
      </c>
      <c r="F1471" s="2">
        <f t="shared" si="113"/>
        <v>-0.76435598335067256</v>
      </c>
      <c r="G1471" s="2">
        <f t="shared" si="114"/>
        <v>0.58424006928397365</v>
      </c>
    </row>
    <row r="1472" spans="1:7" x14ac:dyDescent="0.35">
      <c r="A1472" s="2">
        <v>250</v>
      </c>
      <c r="B1472" s="2">
        <f t="shared" si="110"/>
        <v>-1088.3520638224072</v>
      </c>
      <c r="C1472" s="2">
        <f t="shared" si="111"/>
        <v>1184510.2148264931</v>
      </c>
      <c r="D1472" s="2">
        <v>30765</v>
      </c>
      <c r="E1472" s="2">
        <f t="shared" si="112"/>
        <v>3.0764999999999998</v>
      </c>
      <c r="F1472" s="2">
        <f t="shared" si="113"/>
        <v>-0.30335598335067271</v>
      </c>
      <c r="G1472" s="2">
        <f t="shared" si="114"/>
        <v>9.2024852634653612E-2</v>
      </c>
    </row>
    <row r="1473" spans="1:7" x14ac:dyDescent="0.35">
      <c r="A1473" s="2">
        <v>250</v>
      </c>
      <c r="B1473" s="2">
        <f t="shared" si="110"/>
        <v>-1088.3520638224072</v>
      </c>
      <c r="C1473" s="2">
        <f t="shared" si="111"/>
        <v>1184510.2148264931</v>
      </c>
      <c r="D1473" s="2">
        <v>32162</v>
      </c>
      <c r="E1473" s="2">
        <f t="shared" si="112"/>
        <v>3.2162000000000002</v>
      </c>
      <c r="F1473" s="2">
        <f t="shared" si="113"/>
        <v>-0.16365598335067233</v>
      </c>
      <c r="G1473" s="2">
        <f t="shared" si="114"/>
        <v>2.6783280886475538E-2</v>
      </c>
    </row>
    <row r="1474" spans="1:7" x14ac:dyDescent="0.35">
      <c r="A1474" s="2">
        <v>250</v>
      </c>
      <c r="B1474" s="2">
        <f t="shared" si="110"/>
        <v>-1088.3520638224072</v>
      </c>
      <c r="C1474" s="2">
        <f t="shared" si="111"/>
        <v>1184510.2148264931</v>
      </c>
      <c r="D1474" s="2">
        <v>28070</v>
      </c>
      <c r="E1474" s="2">
        <f t="shared" si="112"/>
        <v>2.8069999999999999</v>
      </c>
      <c r="F1474" s="2">
        <f t="shared" si="113"/>
        <v>-0.57285598335067256</v>
      </c>
      <c r="G1474" s="2">
        <f t="shared" si="114"/>
        <v>0.32816397766066602</v>
      </c>
    </row>
    <row r="1475" spans="1:7" x14ac:dyDescent="0.35">
      <c r="A1475" s="2">
        <v>250</v>
      </c>
      <c r="B1475" s="2">
        <f t="shared" ref="B1475:B1538" si="115">A1475-$J$1</f>
        <v>-1088.3520638224072</v>
      </c>
      <c r="C1475" s="2">
        <f t="shared" ref="C1475:C1538" si="116">B1475^2</f>
        <v>1184510.2148264931</v>
      </c>
      <c r="D1475" s="2">
        <v>29723</v>
      </c>
      <c r="E1475" s="2">
        <f t="shared" ref="E1475:E1538" si="117">D1475/10000</f>
        <v>2.9723000000000002</v>
      </c>
      <c r="F1475" s="2">
        <f t="shared" ref="F1475:F1538" si="118">E1475-$J$2</f>
        <v>-0.40755598335067234</v>
      </c>
      <c r="G1475" s="2">
        <f t="shared" ref="G1475:G1538" si="119">F1475^2</f>
        <v>0.1661018795649335</v>
      </c>
    </row>
    <row r="1476" spans="1:7" x14ac:dyDescent="0.35">
      <c r="A1476" s="2">
        <v>250</v>
      </c>
      <c r="B1476" s="2">
        <f t="shared" si="115"/>
        <v>-1088.3520638224072</v>
      </c>
      <c r="C1476" s="2">
        <f t="shared" si="116"/>
        <v>1184510.2148264931</v>
      </c>
      <c r="D1476" s="2">
        <v>28714</v>
      </c>
      <c r="E1476" s="2">
        <f t="shared" si="117"/>
        <v>2.8714</v>
      </c>
      <c r="F1476" s="2">
        <f t="shared" si="118"/>
        <v>-0.50845598335067255</v>
      </c>
      <c r="G1476" s="2">
        <f t="shared" si="119"/>
        <v>0.25852748700509942</v>
      </c>
    </row>
    <row r="1477" spans="1:7" x14ac:dyDescent="0.35">
      <c r="A1477" s="2">
        <v>250</v>
      </c>
      <c r="B1477" s="2">
        <f t="shared" si="115"/>
        <v>-1088.3520638224072</v>
      </c>
      <c r="C1477" s="2">
        <f t="shared" si="116"/>
        <v>1184510.2148264931</v>
      </c>
      <c r="D1477" s="2">
        <v>30288</v>
      </c>
      <c r="E1477" s="2">
        <f t="shared" si="117"/>
        <v>3.0287999999999999</v>
      </c>
      <c r="F1477" s="2">
        <f t="shared" si="118"/>
        <v>-0.35105598335067256</v>
      </c>
      <c r="G1477" s="2">
        <f t="shared" si="119"/>
        <v>0.12324030344630769</v>
      </c>
    </row>
    <row r="1478" spans="1:7" x14ac:dyDescent="0.35">
      <c r="A1478" s="2">
        <v>250</v>
      </c>
      <c r="B1478" s="2">
        <f t="shared" si="115"/>
        <v>-1088.3520638224072</v>
      </c>
      <c r="C1478" s="2">
        <f t="shared" si="116"/>
        <v>1184510.2148264931</v>
      </c>
      <c r="D1478" s="2">
        <v>34182</v>
      </c>
      <c r="E1478" s="2">
        <f t="shared" si="117"/>
        <v>3.4182000000000001</v>
      </c>
      <c r="F1478" s="2">
        <f t="shared" si="118"/>
        <v>3.8344016649327628E-2</v>
      </c>
      <c r="G1478" s="2">
        <f t="shared" si="119"/>
        <v>1.4702636128039142E-3</v>
      </c>
    </row>
    <row r="1479" spans="1:7" x14ac:dyDescent="0.35">
      <c r="A1479" s="2">
        <v>250</v>
      </c>
      <c r="B1479" s="2">
        <f t="shared" si="115"/>
        <v>-1088.3520638224072</v>
      </c>
      <c r="C1479" s="2">
        <f t="shared" si="116"/>
        <v>1184510.2148264931</v>
      </c>
      <c r="D1479" s="2">
        <v>33518</v>
      </c>
      <c r="E1479" s="2">
        <f t="shared" si="117"/>
        <v>3.3517999999999999</v>
      </c>
      <c r="F1479" s="2">
        <f t="shared" si="118"/>
        <v>-2.8055983350672609E-2</v>
      </c>
      <c r="G1479" s="2">
        <f t="shared" si="119"/>
        <v>7.8713820177321863E-4</v>
      </c>
    </row>
    <row r="1480" spans="1:7" x14ac:dyDescent="0.35">
      <c r="A1480" s="2">
        <v>250</v>
      </c>
      <c r="B1480" s="2">
        <f t="shared" si="115"/>
        <v>-1088.3520638224072</v>
      </c>
      <c r="C1480" s="2">
        <f t="shared" si="116"/>
        <v>1184510.2148264931</v>
      </c>
      <c r="D1480" s="2">
        <v>32966</v>
      </c>
      <c r="E1480" s="2">
        <f t="shared" si="117"/>
        <v>3.2966000000000002</v>
      </c>
      <c r="F1480" s="2">
        <f t="shared" si="118"/>
        <v>-8.3255983350672302E-2</v>
      </c>
      <c r="G1480" s="2">
        <f t="shared" si="119"/>
        <v>6.9315587636874232E-3</v>
      </c>
    </row>
    <row r="1481" spans="1:7" x14ac:dyDescent="0.35">
      <c r="A1481" s="2">
        <v>250</v>
      </c>
      <c r="B1481" s="2">
        <f t="shared" si="115"/>
        <v>-1088.3520638224072</v>
      </c>
      <c r="C1481" s="2">
        <f t="shared" si="116"/>
        <v>1184510.2148264931</v>
      </c>
      <c r="D1481" s="2">
        <v>33678</v>
      </c>
      <c r="E1481" s="2">
        <f t="shared" si="117"/>
        <v>3.3677999999999999</v>
      </c>
      <c r="F1481" s="2">
        <f t="shared" si="118"/>
        <v>-1.2055983350672594E-2</v>
      </c>
      <c r="G1481" s="2">
        <f t="shared" si="119"/>
        <v>1.4534673455169481E-4</v>
      </c>
    </row>
    <row r="1482" spans="1:7" x14ac:dyDescent="0.35">
      <c r="A1482" s="2">
        <v>250</v>
      </c>
      <c r="B1482" s="2">
        <f t="shared" si="115"/>
        <v>-1088.3520638224072</v>
      </c>
      <c r="C1482" s="2">
        <f t="shared" si="116"/>
        <v>1184510.2148264931</v>
      </c>
      <c r="D1482" s="2">
        <v>33736</v>
      </c>
      <c r="E1482" s="2">
        <f t="shared" si="117"/>
        <v>3.3736000000000002</v>
      </c>
      <c r="F1482" s="2">
        <f t="shared" si="118"/>
        <v>-6.255983350672345E-3</v>
      </c>
      <c r="G1482" s="2">
        <f t="shared" si="119"/>
        <v>3.913732768388958E-5</v>
      </c>
    </row>
    <row r="1483" spans="1:7" x14ac:dyDescent="0.35">
      <c r="A1483" s="2">
        <v>250</v>
      </c>
      <c r="B1483" s="2">
        <f t="shared" si="115"/>
        <v>-1088.3520638224072</v>
      </c>
      <c r="C1483" s="2">
        <f t="shared" si="116"/>
        <v>1184510.2148264931</v>
      </c>
      <c r="D1483" s="2">
        <v>35323</v>
      </c>
      <c r="E1483" s="2">
        <f t="shared" si="117"/>
        <v>3.5323000000000002</v>
      </c>
      <c r="F1483" s="2">
        <f t="shared" si="118"/>
        <v>0.15244401664932772</v>
      </c>
      <c r="G1483" s="2">
        <f t="shared" si="119"/>
        <v>2.3239178212180505E-2</v>
      </c>
    </row>
    <row r="1484" spans="1:7" x14ac:dyDescent="0.35">
      <c r="A1484" s="2">
        <v>250</v>
      </c>
      <c r="B1484" s="2">
        <f t="shared" si="115"/>
        <v>-1088.3520638224072</v>
      </c>
      <c r="C1484" s="2">
        <f t="shared" si="116"/>
        <v>1184510.2148264931</v>
      </c>
      <c r="D1484" s="2">
        <v>39697</v>
      </c>
      <c r="E1484" s="2">
        <f t="shared" si="117"/>
        <v>3.9697</v>
      </c>
      <c r="F1484" s="2">
        <f t="shared" si="118"/>
        <v>0.58984401664932751</v>
      </c>
      <c r="G1484" s="2">
        <f t="shared" si="119"/>
        <v>0.34791596397701213</v>
      </c>
    </row>
    <row r="1485" spans="1:7" x14ac:dyDescent="0.35">
      <c r="A1485" s="2">
        <v>250</v>
      </c>
      <c r="B1485" s="2">
        <f t="shared" si="115"/>
        <v>-1088.3520638224072</v>
      </c>
      <c r="C1485" s="2">
        <f t="shared" si="116"/>
        <v>1184510.2148264931</v>
      </c>
      <c r="D1485" s="2">
        <v>37152</v>
      </c>
      <c r="E1485" s="2">
        <f t="shared" si="117"/>
        <v>3.7151999999999998</v>
      </c>
      <c r="F1485" s="2">
        <f t="shared" si="118"/>
        <v>0.33534401664932734</v>
      </c>
      <c r="G1485" s="2">
        <f t="shared" si="119"/>
        <v>0.11245560950250433</v>
      </c>
    </row>
    <row r="1486" spans="1:7" x14ac:dyDescent="0.35">
      <c r="A1486" s="2">
        <v>250</v>
      </c>
      <c r="B1486" s="2">
        <f t="shared" si="115"/>
        <v>-1088.3520638224072</v>
      </c>
      <c r="C1486" s="2">
        <f t="shared" si="116"/>
        <v>1184510.2148264931</v>
      </c>
      <c r="D1486" s="2">
        <v>37712</v>
      </c>
      <c r="E1486" s="2">
        <f t="shared" si="117"/>
        <v>3.7711999999999999</v>
      </c>
      <c r="F1486" s="2">
        <f t="shared" si="118"/>
        <v>0.39134401664932739</v>
      </c>
      <c r="G1486" s="2">
        <f t="shared" si="119"/>
        <v>0.15315013936722904</v>
      </c>
    </row>
    <row r="1487" spans="1:7" x14ac:dyDescent="0.35">
      <c r="A1487" s="2">
        <v>250</v>
      </c>
      <c r="B1487" s="2">
        <f t="shared" si="115"/>
        <v>-1088.3520638224072</v>
      </c>
      <c r="C1487" s="2">
        <f t="shared" si="116"/>
        <v>1184510.2148264931</v>
      </c>
      <c r="D1487" s="2">
        <v>38500</v>
      </c>
      <c r="E1487" s="2">
        <f t="shared" si="117"/>
        <v>3.85</v>
      </c>
      <c r="F1487" s="2">
        <f t="shared" si="118"/>
        <v>0.47014401664932759</v>
      </c>
      <c r="G1487" s="2">
        <f t="shared" si="119"/>
        <v>0.22103539639116321</v>
      </c>
    </row>
    <row r="1488" spans="1:7" x14ac:dyDescent="0.35">
      <c r="A1488" s="2">
        <v>250</v>
      </c>
      <c r="B1488" s="2">
        <f t="shared" si="115"/>
        <v>-1088.3520638224072</v>
      </c>
      <c r="C1488" s="2">
        <f t="shared" si="116"/>
        <v>1184510.2148264931</v>
      </c>
      <c r="D1488" s="2">
        <v>39573</v>
      </c>
      <c r="E1488" s="2">
        <f t="shared" si="117"/>
        <v>3.9573</v>
      </c>
      <c r="F1488" s="2">
        <f t="shared" si="118"/>
        <v>0.57744401664932754</v>
      </c>
      <c r="G1488" s="2">
        <f t="shared" si="119"/>
        <v>0.33344159236410886</v>
      </c>
    </row>
    <row r="1489" spans="1:7" x14ac:dyDescent="0.35">
      <c r="A1489" s="2">
        <v>250</v>
      </c>
      <c r="B1489" s="2">
        <f t="shared" si="115"/>
        <v>-1088.3520638224072</v>
      </c>
      <c r="C1489" s="2">
        <f t="shared" si="116"/>
        <v>1184510.2148264931</v>
      </c>
      <c r="D1489" s="2">
        <v>42756</v>
      </c>
      <c r="E1489" s="2">
        <f t="shared" si="117"/>
        <v>4.2755999999999998</v>
      </c>
      <c r="F1489" s="2">
        <f t="shared" si="118"/>
        <v>0.89574401664932735</v>
      </c>
      <c r="G1489" s="2">
        <f t="shared" si="119"/>
        <v>0.80235734336307041</v>
      </c>
    </row>
    <row r="1490" spans="1:7" x14ac:dyDescent="0.35">
      <c r="A1490" s="2">
        <v>250</v>
      </c>
      <c r="B1490" s="2">
        <f t="shared" si="115"/>
        <v>-1088.3520638224072</v>
      </c>
      <c r="C1490" s="2">
        <f t="shared" si="116"/>
        <v>1184510.2148264931</v>
      </c>
      <c r="D1490" s="2">
        <v>47480</v>
      </c>
      <c r="E1490" s="2">
        <f t="shared" si="117"/>
        <v>4.7480000000000002</v>
      </c>
      <c r="F1490" s="2">
        <f t="shared" si="118"/>
        <v>1.3681440166493277</v>
      </c>
      <c r="G1490" s="2">
        <f t="shared" si="119"/>
        <v>1.8718180502933559</v>
      </c>
    </row>
    <row r="1491" spans="1:7" x14ac:dyDescent="0.35">
      <c r="A1491" s="2">
        <v>630</v>
      </c>
      <c r="B1491" s="2">
        <f t="shared" si="115"/>
        <v>-708.35206382240722</v>
      </c>
      <c r="C1491" s="2">
        <f t="shared" si="116"/>
        <v>501762.64632146369</v>
      </c>
      <c r="D1491" s="2">
        <v>26700</v>
      </c>
      <c r="E1491" s="2">
        <f t="shared" si="117"/>
        <v>2.67</v>
      </c>
      <c r="F1491" s="2">
        <f t="shared" si="118"/>
        <v>-0.70985598335067257</v>
      </c>
      <c r="G1491" s="2">
        <f t="shared" si="119"/>
        <v>0.50389551709875036</v>
      </c>
    </row>
    <row r="1492" spans="1:7" x14ac:dyDescent="0.35">
      <c r="A1492" s="2">
        <v>630</v>
      </c>
      <c r="B1492" s="2">
        <f t="shared" si="115"/>
        <v>-708.35206382240722</v>
      </c>
      <c r="C1492" s="2">
        <f t="shared" si="116"/>
        <v>501762.64632146369</v>
      </c>
      <c r="D1492" s="2">
        <v>31491</v>
      </c>
      <c r="E1492" s="2">
        <f t="shared" si="117"/>
        <v>3.1490999999999998</v>
      </c>
      <c r="F1492" s="2">
        <f t="shared" si="118"/>
        <v>-0.23075598335067271</v>
      </c>
      <c r="G1492" s="2">
        <f t="shared" si="119"/>
        <v>5.3248323852135938E-2</v>
      </c>
    </row>
    <row r="1493" spans="1:7" x14ac:dyDescent="0.35">
      <c r="A1493" s="2">
        <v>630</v>
      </c>
      <c r="B1493" s="2">
        <f t="shared" si="115"/>
        <v>-708.35206382240722</v>
      </c>
      <c r="C1493" s="2">
        <f t="shared" si="116"/>
        <v>501762.64632146369</v>
      </c>
      <c r="D1493" s="2">
        <v>31034</v>
      </c>
      <c r="E1493" s="2">
        <f t="shared" si="117"/>
        <v>3.1034000000000002</v>
      </c>
      <c r="F1493" s="2">
        <f t="shared" si="118"/>
        <v>-0.27645598335067234</v>
      </c>
      <c r="G1493" s="2">
        <f t="shared" si="119"/>
        <v>7.6427910730387225E-2</v>
      </c>
    </row>
    <row r="1494" spans="1:7" x14ac:dyDescent="0.35">
      <c r="A1494" s="2">
        <v>630</v>
      </c>
      <c r="B1494" s="2">
        <f t="shared" si="115"/>
        <v>-708.35206382240722</v>
      </c>
      <c r="C1494" s="2">
        <f t="shared" si="116"/>
        <v>501762.64632146369</v>
      </c>
      <c r="D1494" s="2">
        <v>39859</v>
      </c>
      <c r="E1494" s="2">
        <f t="shared" si="117"/>
        <v>3.9859</v>
      </c>
      <c r="F1494" s="2">
        <f t="shared" si="118"/>
        <v>0.6060440166493275</v>
      </c>
      <c r="G1494" s="2">
        <f t="shared" si="119"/>
        <v>0.36728935011645036</v>
      </c>
    </row>
    <row r="1495" spans="1:7" x14ac:dyDescent="0.35">
      <c r="A1495" s="2">
        <v>630</v>
      </c>
      <c r="B1495" s="2">
        <f t="shared" si="115"/>
        <v>-708.35206382240722</v>
      </c>
      <c r="C1495" s="2">
        <f t="shared" si="116"/>
        <v>501762.64632146369</v>
      </c>
      <c r="D1495" s="2">
        <v>30984</v>
      </c>
      <c r="E1495" s="2">
        <f t="shared" si="117"/>
        <v>3.0983999999999998</v>
      </c>
      <c r="F1495" s="2">
        <f t="shared" si="118"/>
        <v>-0.28145598335067268</v>
      </c>
      <c r="G1495" s="2">
        <f t="shared" si="119"/>
        <v>7.9217470563894138E-2</v>
      </c>
    </row>
    <row r="1496" spans="1:7" x14ac:dyDescent="0.35">
      <c r="A1496" s="2">
        <v>630</v>
      </c>
      <c r="B1496" s="2">
        <f t="shared" si="115"/>
        <v>-708.35206382240722</v>
      </c>
      <c r="C1496" s="2">
        <f t="shared" si="116"/>
        <v>501762.64632146369</v>
      </c>
      <c r="D1496" s="2">
        <v>38846</v>
      </c>
      <c r="E1496" s="2">
        <f t="shared" si="117"/>
        <v>3.8845999999999998</v>
      </c>
      <c r="F1496" s="2">
        <f t="shared" si="118"/>
        <v>0.50474401664932733</v>
      </c>
      <c r="G1496" s="2">
        <f t="shared" si="119"/>
        <v>0.25476652234329644</v>
      </c>
    </row>
    <row r="1497" spans="1:7" x14ac:dyDescent="0.35">
      <c r="A1497" s="2">
        <v>630</v>
      </c>
      <c r="B1497" s="2">
        <f t="shared" si="115"/>
        <v>-708.35206382240722</v>
      </c>
      <c r="C1497" s="2">
        <f t="shared" si="116"/>
        <v>501762.64632146369</v>
      </c>
      <c r="D1497" s="2">
        <v>35362</v>
      </c>
      <c r="E1497" s="2">
        <f t="shared" si="117"/>
        <v>3.5362</v>
      </c>
      <c r="F1497" s="2">
        <f t="shared" si="118"/>
        <v>0.15634401664932751</v>
      </c>
      <c r="G1497" s="2">
        <f t="shared" si="119"/>
        <v>2.4443451542045198E-2</v>
      </c>
    </row>
    <row r="1498" spans="1:7" x14ac:dyDescent="0.35">
      <c r="A1498" s="2">
        <v>630</v>
      </c>
      <c r="B1498" s="2">
        <f t="shared" si="115"/>
        <v>-708.35206382240722</v>
      </c>
      <c r="C1498" s="2">
        <f t="shared" si="116"/>
        <v>501762.64632146369</v>
      </c>
      <c r="D1498" s="2">
        <v>41483</v>
      </c>
      <c r="E1498" s="2">
        <f t="shared" si="117"/>
        <v>4.1482999999999999</v>
      </c>
      <c r="F1498" s="2">
        <f t="shared" si="118"/>
        <v>0.76844401664932738</v>
      </c>
      <c r="G1498" s="2">
        <f t="shared" si="119"/>
        <v>0.59050620672415177</v>
      </c>
    </row>
    <row r="1499" spans="1:7" x14ac:dyDescent="0.35">
      <c r="A1499" s="2">
        <v>630</v>
      </c>
      <c r="B1499" s="2">
        <f t="shared" si="115"/>
        <v>-708.35206382240722</v>
      </c>
      <c r="C1499" s="2">
        <f t="shared" si="116"/>
        <v>501762.64632146369</v>
      </c>
      <c r="D1499" s="2">
        <v>43559</v>
      </c>
      <c r="E1499" s="2">
        <f t="shared" si="117"/>
        <v>4.3559000000000001</v>
      </c>
      <c r="F1499" s="2">
        <f t="shared" si="118"/>
        <v>0.97604401664932761</v>
      </c>
      <c r="G1499" s="2">
        <f t="shared" si="119"/>
        <v>0.95266192243695291</v>
      </c>
    </row>
    <row r="1500" spans="1:7" x14ac:dyDescent="0.35">
      <c r="A1500" s="2">
        <v>630</v>
      </c>
      <c r="B1500" s="2">
        <f t="shared" si="115"/>
        <v>-708.35206382240722</v>
      </c>
      <c r="C1500" s="2">
        <f t="shared" si="116"/>
        <v>501762.64632146369</v>
      </c>
      <c r="D1500" s="2">
        <v>40000</v>
      </c>
      <c r="E1500" s="2">
        <f t="shared" si="117"/>
        <v>4</v>
      </c>
      <c r="F1500" s="2">
        <f t="shared" si="118"/>
        <v>0.6201440166493275</v>
      </c>
      <c r="G1500" s="2">
        <f t="shared" si="119"/>
        <v>0.38457860138596139</v>
      </c>
    </row>
    <row r="1501" spans="1:7" x14ac:dyDescent="0.35">
      <c r="A1501" s="2">
        <v>630</v>
      </c>
      <c r="B1501" s="2">
        <f t="shared" si="115"/>
        <v>-708.35206382240722</v>
      </c>
      <c r="C1501" s="2">
        <f t="shared" si="116"/>
        <v>501762.64632146369</v>
      </c>
      <c r="D1501" s="2">
        <v>40000</v>
      </c>
      <c r="E1501" s="2">
        <f t="shared" si="117"/>
        <v>4</v>
      </c>
      <c r="F1501" s="2">
        <f t="shared" si="118"/>
        <v>0.6201440166493275</v>
      </c>
      <c r="G1501" s="2">
        <f t="shared" si="119"/>
        <v>0.38457860138596139</v>
      </c>
    </row>
    <row r="1502" spans="1:7" x14ac:dyDescent="0.35">
      <c r="A1502" s="2">
        <v>630</v>
      </c>
      <c r="B1502" s="2">
        <f t="shared" si="115"/>
        <v>-708.35206382240722</v>
      </c>
      <c r="C1502" s="2">
        <f t="shared" si="116"/>
        <v>501762.64632146369</v>
      </c>
      <c r="D1502" s="2">
        <v>39724</v>
      </c>
      <c r="E1502" s="2">
        <f t="shared" si="117"/>
        <v>3.9723999999999999</v>
      </c>
      <c r="F1502" s="2">
        <f t="shared" si="118"/>
        <v>0.59254401664932743</v>
      </c>
      <c r="G1502" s="2">
        <f t="shared" si="119"/>
        <v>0.35110841166691842</v>
      </c>
    </row>
    <row r="1503" spans="1:7" x14ac:dyDescent="0.35">
      <c r="A1503" s="2">
        <v>630</v>
      </c>
      <c r="B1503" s="2">
        <f t="shared" si="115"/>
        <v>-708.35206382240722</v>
      </c>
      <c r="C1503" s="2">
        <f t="shared" si="116"/>
        <v>501762.64632146369</v>
      </c>
      <c r="D1503" s="2">
        <v>48419</v>
      </c>
      <c r="E1503" s="2">
        <f t="shared" si="117"/>
        <v>4.8418999999999999</v>
      </c>
      <c r="F1503" s="2">
        <f t="shared" si="118"/>
        <v>1.4620440166493274</v>
      </c>
      <c r="G1503" s="2">
        <f t="shared" si="119"/>
        <v>2.1375727066200985</v>
      </c>
    </row>
    <row r="1504" spans="1:7" x14ac:dyDescent="0.35">
      <c r="A1504" s="2">
        <v>630</v>
      </c>
      <c r="B1504" s="2">
        <f t="shared" si="115"/>
        <v>-708.35206382240722</v>
      </c>
      <c r="C1504" s="2">
        <f t="shared" si="116"/>
        <v>501762.64632146369</v>
      </c>
      <c r="D1504" s="2">
        <v>39845</v>
      </c>
      <c r="E1504" s="2">
        <f t="shared" si="117"/>
        <v>3.9845000000000002</v>
      </c>
      <c r="F1504" s="2">
        <f t="shared" si="118"/>
        <v>0.60464401664932765</v>
      </c>
      <c r="G1504" s="2">
        <f t="shared" si="119"/>
        <v>0.36559438686983242</v>
      </c>
    </row>
    <row r="1505" spans="1:7" x14ac:dyDescent="0.35">
      <c r="A1505" s="2">
        <v>630</v>
      </c>
      <c r="B1505" s="2">
        <f t="shared" si="115"/>
        <v>-708.35206382240722</v>
      </c>
      <c r="C1505" s="2">
        <f t="shared" si="116"/>
        <v>501762.64632146369</v>
      </c>
      <c r="D1505" s="2">
        <v>37710</v>
      </c>
      <c r="E1505" s="2">
        <f t="shared" si="117"/>
        <v>3.7709999999999999</v>
      </c>
      <c r="F1505" s="2">
        <f t="shared" si="118"/>
        <v>0.39114401664932741</v>
      </c>
      <c r="G1505" s="2">
        <f t="shared" si="119"/>
        <v>0.15299364176056932</v>
      </c>
    </row>
    <row r="1506" spans="1:7" x14ac:dyDescent="0.35">
      <c r="A1506" s="2">
        <v>630</v>
      </c>
      <c r="B1506" s="2">
        <f t="shared" si="115"/>
        <v>-708.35206382240722</v>
      </c>
      <c r="C1506" s="2">
        <f t="shared" si="116"/>
        <v>501762.64632146369</v>
      </c>
      <c r="D1506" s="2">
        <v>34091</v>
      </c>
      <c r="E1506" s="2">
        <f t="shared" si="117"/>
        <v>3.4091</v>
      </c>
      <c r="F1506" s="2">
        <f t="shared" si="118"/>
        <v>2.924401664932752E-2</v>
      </c>
      <c r="G1506" s="2">
        <f t="shared" si="119"/>
        <v>8.5521250978614521E-4</v>
      </c>
    </row>
    <row r="1507" spans="1:7" x14ac:dyDescent="0.35">
      <c r="A1507" s="2">
        <v>630</v>
      </c>
      <c r="B1507" s="2">
        <f t="shared" si="115"/>
        <v>-708.35206382240722</v>
      </c>
      <c r="C1507" s="2">
        <f t="shared" si="116"/>
        <v>501762.64632146369</v>
      </c>
      <c r="D1507" s="2">
        <v>34615</v>
      </c>
      <c r="E1507" s="2">
        <f t="shared" si="117"/>
        <v>3.4615</v>
      </c>
      <c r="F1507" s="2">
        <f t="shared" si="118"/>
        <v>8.1644016649327522E-2</v>
      </c>
      <c r="G1507" s="2">
        <f t="shared" si="119"/>
        <v>6.6657454546356692E-3</v>
      </c>
    </row>
    <row r="1508" spans="1:7" x14ac:dyDescent="0.35">
      <c r="A1508" s="2">
        <v>630</v>
      </c>
      <c r="B1508" s="2">
        <f t="shared" si="115"/>
        <v>-708.35206382240722</v>
      </c>
      <c r="C1508" s="2">
        <f t="shared" si="116"/>
        <v>501762.64632146369</v>
      </c>
      <c r="D1508" s="2">
        <v>37280</v>
      </c>
      <c r="E1508" s="2">
        <f t="shared" si="117"/>
        <v>3.7280000000000002</v>
      </c>
      <c r="F1508" s="2">
        <f t="shared" si="118"/>
        <v>0.3481440166493277</v>
      </c>
      <c r="G1508" s="2">
        <f t="shared" si="119"/>
        <v>0.12120425632872736</v>
      </c>
    </row>
    <row r="1509" spans="1:7" x14ac:dyDescent="0.35">
      <c r="A1509" s="2">
        <v>630</v>
      </c>
      <c r="B1509" s="2">
        <f t="shared" si="115"/>
        <v>-708.35206382240722</v>
      </c>
      <c r="C1509" s="2">
        <f t="shared" si="116"/>
        <v>501762.64632146369</v>
      </c>
      <c r="D1509" s="2">
        <v>39321</v>
      </c>
      <c r="E1509" s="2">
        <f t="shared" si="117"/>
        <v>3.9321000000000002</v>
      </c>
      <c r="F1509" s="2">
        <f t="shared" si="118"/>
        <v>0.55224401664932765</v>
      </c>
      <c r="G1509" s="2">
        <f t="shared" si="119"/>
        <v>0.30497345392498287</v>
      </c>
    </row>
    <row r="1510" spans="1:7" x14ac:dyDescent="0.35">
      <c r="A1510" s="2">
        <v>630</v>
      </c>
      <c r="B1510" s="2">
        <f t="shared" si="115"/>
        <v>-708.35206382240722</v>
      </c>
      <c r="C1510" s="2">
        <f t="shared" si="116"/>
        <v>501762.64632146369</v>
      </c>
      <c r="D1510" s="2">
        <v>28062</v>
      </c>
      <c r="E1510" s="2">
        <f t="shared" si="117"/>
        <v>2.8062</v>
      </c>
      <c r="F1510" s="2">
        <f t="shared" si="118"/>
        <v>-0.57365598335067247</v>
      </c>
      <c r="G1510" s="2">
        <f t="shared" si="119"/>
        <v>0.32908118723402702</v>
      </c>
    </row>
    <row r="1511" spans="1:7" x14ac:dyDescent="0.35">
      <c r="A1511" s="2">
        <v>630</v>
      </c>
      <c r="B1511" s="2">
        <f t="shared" si="115"/>
        <v>-708.35206382240722</v>
      </c>
      <c r="C1511" s="2">
        <f t="shared" si="116"/>
        <v>501762.64632146369</v>
      </c>
      <c r="D1511" s="2">
        <v>28715</v>
      </c>
      <c r="E1511" s="2">
        <f t="shared" si="117"/>
        <v>2.8715000000000002</v>
      </c>
      <c r="F1511" s="2">
        <f t="shared" si="118"/>
        <v>-0.50835598335067234</v>
      </c>
      <c r="G1511" s="2">
        <f t="shared" si="119"/>
        <v>0.25842580580842905</v>
      </c>
    </row>
    <row r="1512" spans="1:7" x14ac:dyDescent="0.35">
      <c r="A1512" s="2">
        <v>630</v>
      </c>
      <c r="B1512" s="2">
        <f t="shared" si="115"/>
        <v>-708.35206382240722</v>
      </c>
      <c r="C1512" s="2">
        <f t="shared" si="116"/>
        <v>501762.64632146369</v>
      </c>
      <c r="D1512" s="2">
        <v>13076</v>
      </c>
      <c r="E1512" s="2">
        <f t="shared" si="117"/>
        <v>1.3076000000000001</v>
      </c>
      <c r="F1512" s="2">
        <f t="shared" si="118"/>
        <v>-2.0722559833506722</v>
      </c>
      <c r="G1512" s="2">
        <f t="shared" si="119"/>
        <v>4.2942448605326611</v>
      </c>
    </row>
    <row r="1513" spans="1:7" x14ac:dyDescent="0.35">
      <c r="A1513" s="2">
        <v>630</v>
      </c>
      <c r="B1513" s="2">
        <f t="shared" si="115"/>
        <v>-708.35206382240722</v>
      </c>
      <c r="C1513" s="2">
        <f t="shared" si="116"/>
        <v>501762.64632146369</v>
      </c>
      <c r="D1513" s="2">
        <v>19333</v>
      </c>
      <c r="E1513" s="2">
        <f t="shared" si="117"/>
        <v>1.9333</v>
      </c>
      <c r="F1513" s="2">
        <f t="shared" si="118"/>
        <v>-1.4465559833506725</v>
      </c>
      <c r="G1513" s="2">
        <f t="shared" si="119"/>
        <v>2.0925242129676311</v>
      </c>
    </row>
    <row r="1514" spans="1:7" x14ac:dyDescent="0.35">
      <c r="A1514" s="2">
        <v>630</v>
      </c>
      <c r="B1514" s="2">
        <f t="shared" si="115"/>
        <v>-708.35206382240722</v>
      </c>
      <c r="C1514" s="2">
        <f t="shared" si="116"/>
        <v>501762.64632146369</v>
      </c>
      <c r="D1514" s="2">
        <v>42384</v>
      </c>
      <c r="E1514" s="2">
        <f t="shared" si="117"/>
        <v>4.2384000000000004</v>
      </c>
      <c r="F1514" s="2">
        <f t="shared" si="118"/>
        <v>0.85854401664932789</v>
      </c>
      <c r="G1514" s="2">
        <f t="shared" si="119"/>
        <v>0.73709782852436145</v>
      </c>
    </row>
    <row r="1515" spans="1:7" x14ac:dyDescent="0.35">
      <c r="A1515" s="2">
        <v>630</v>
      </c>
      <c r="B1515" s="2">
        <f t="shared" si="115"/>
        <v>-708.35206382240722</v>
      </c>
      <c r="C1515" s="2">
        <f t="shared" si="116"/>
        <v>501762.64632146369</v>
      </c>
      <c r="D1515" s="2">
        <v>39676</v>
      </c>
      <c r="E1515" s="2">
        <f t="shared" si="117"/>
        <v>3.9676</v>
      </c>
      <c r="F1515" s="2">
        <f t="shared" si="118"/>
        <v>0.58774401664932752</v>
      </c>
      <c r="G1515" s="2">
        <f t="shared" si="119"/>
        <v>0.34544302910708496</v>
      </c>
    </row>
    <row r="1516" spans="1:7" x14ac:dyDescent="0.35">
      <c r="A1516" s="2">
        <v>630</v>
      </c>
      <c r="B1516" s="2">
        <f t="shared" si="115"/>
        <v>-708.35206382240722</v>
      </c>
      <c r="C1516" s="2">
        <f t="shared" si="116"/>
        <v>501762.64632146369</v>
      </c>
      <c r="D1516" s="2">
        <v>46643</v>
      </c>
      <c r="E1516" s="2">
        <f t="shared" si="117"/>
        <v>4.6642999999999999</v>
      </c>
      <c r="F1516" s="2">
        <f t="shared" si="118"/>
        <v>1.2844440166493274</v>
      </c>
      <c r="G1516" s="2">
        <f t="shared" si="119"/>
        <v>1.6497964319062577</v>
      </c>
    </row>
    <row r="1517" spans="1:7" x14ac:dyDescent="0.35">
      <c r="A1517" s="2">
        <v>630</v>
      </c>
      <c r="B1517" s="2">
        <f t="shared" si="115"/>
        <v>-708.35206382240722</v>
      </c>
      <c r="C1517" s="2">
        <f t="shared" si="116"/>
        <v>501762.64632146369</v>
      </c>
      <c r="D1517" s="2">
        <v>39955</v>
      </c>
      <c r="E1517" s="2">
        <f t="shared" si="117"/>
        <v>3.9954999999999998</v>
      </c>
      <c r="F1517" s="2">
        <f t="shared" si="118"/>
        <v>0.61564401664932733</v>
      </c>
      <c r="G1517" s="2">
        <f t="shared" si="119"/>
        <v>0.37901755523611724</v>
      </c>
    </row>
    <row r="1518" spans="1:7" x14ac:dyDescent="0.35">
      <c r="A1518" s="2">
        <v>630</v>
      </c>
      <c r="B1518" s="2">
        <f t="shared" si="115"/>
        <v>-708.35206382240722</v>
      </c>
      <c r="C1518" s="2">
        <f t="shared" si="116"/>
        <v>501762.64632146369</v>
      </c>
      <c r="D1518" s="2">
        <v>39543</v>
      </c>
      <c r="E1518" s="2">
        <f t="shared" si="117"/>
        <v>3.9542999999999999</v>
      </c>
      <c r="F1518" s="2">
        <f t="shared" si="118"/>
        <v>0.57444401664932743</v>
      </c>
      <c r="G1518" s="2">
        <f t="shared" si="119"/>
        <v>0.32998592826421275</v>
      </c>
    </row>
    <row r="1519" spans="1:7" x14ac:dyDescent="0.35">
      <c r="A1519" s="2">
        <v>630</v>
      </c>
      <c r="B1519" s="2">
        <f t="shared" si="115"/>
        <v>-708.35206382240722</v>
      </c>
      <c r="C1519" s="2">
        <f t="shared" si="116"/>
        <v>501762.64632146369</v>
      </c>
      <c r="D1519" s="2">
        <v>39566</v>
      </c>
      <c r="E1519" s="2">
        <f t="shared" si="117"/>
        <v>3.9565999999999999</v>
      </c>
      <c r="F1519" s="2">
        <f t="shared" si="118"/>
        <v>0.5767440166493274</v>
      </c>
      <c r="G1519" s="2">
        <f t="shared" si="119"/>
        <v>0.33263366074079964</v>
      </c>
    </row>
    <row r="1520" spans="1:7" x14ac:dyDescent="0.35">
      <c r="A1520" s="2">
        <v>630</v>
      </c>
      <c r="B1520" s="2">
        <f t="shared" si="115"/>
        <v>-708.35206382240722</v>
      </c>
      <c r="C1520" s="2">
        <f t="shared" si="116"/>
        <v>501762.64632146369</v>
      </c>
      <c r="D1520" s="2">
        <v>40273</v>
      </c>
      <c r="E1520" s="2">
        <f t="shared" si="117"/>
        <v>4.0273000000000003</v>
      </c>
      <c r="F1520" s="2">
        <f t="shared" si="118"/>
        <v>0.64744401664932782</v>
      </c>
      <c r="G1520" s="2">
        <f t="shared" si="119"/>
        <v>0.41918375469501507</v>
      </c>
    </row>
    <row r="1521" spans="1:7" x14ac:dyDescent="0.35">
      <c r="A1521" s="2">
        <v>2391</v>
      </c>
      <c r="B1521" s="2">
        <f t="shared" si="115"/>
        <v>1052.6479361775928</v>
      </c>
      <c r="C1521" s="2">
        <f t="shared" si="116"/>
        <v>1108067.6775389453</v>
      </c>
      <c r="D1521" s="2">
        <v>12525</v>
      </c>
      <c r="E1521" s="2">
        <f t="shared" si="117"/>
        <v>1.2524999999999999</v>
      </c>
      <c r="F1521" s="2">
        <f t="shared" si="118"/>
        <v>-2.1273559833506726</v>
      </c>
      <c r="G1521" s="2">
        <f t="shared" si="119"/>
        <v>4.5256434798979068</v>
      </c>
    </row>
    <row r="1522" spans="1:7" x14ac:dyDescent="0.35">
      <c r="A1522" s="2">
        <v>2391</v>
      </c>
      <c r="B1522" s="2">
        <f t="shared" si="115"/>
        <v>1052.6479361775928</v>
      </c>
      <c r="C1522" s="2">
        <f t="shared" si="116"/>
        <v>1108067.6775389453</v>
      </c>
      <c r="D1522" s="2">
        <v>12355</v>
      </c>
      <c r="E1522" s="2">
        <f t="shared" si="117"/>
        <v>1.2355</v>
      </c>
      <c r="F1522" s="2">
        <f t="shared" si="118"/>
        <v>-2.1443559833506725</v>
      </c>
      <c r="G1522" s="2">
        <f t="shared" si="119"/>
        <v>4.5982625833318291</v>
      </c>
    </row>
    <row r="1523" spans="1:7" x14ac:dyDescent="0.35">
      <c r="A1523" s="2">
        <v>2391</v>
      </c>
      <c r="B1523" s="2">
        <f t="shared" si="115"/>
        <v>1052.6479361775928</v>
      </c>
      <c r="C1523" s="2">
        <f t="shared" si="116"/>
        <v>1108067.6775389453</v>
      </c>
      <c r="D1523" s="2">
        <v>12623</v>
      </c>
      <c r="E1523" s="2">
        <f t="shared" si="117"/>
        <v>1.2623</v>
      </c>
      <c r="F1523" s="2">
        <f t="shared" si="118"/>
        <v>-2.1175559833506723</v>
      </c>
      <c r="G1523" s="2">
        <f t="shared" si="119"/>
        <v>4.4840433426242328</v>
      </c>
    </row>
    <row r="1524" spans="1:7" x14ac:dyDescent="0.35">
      <c r="A1524" s="2">
        <v>2391</v>
      </c>
      <c r="B1524" s="2">
        <f t="shared" si="115"/>
        <v>1052.6479361775928</v>
      </c>
      <c r="C1524" s="2">
        <f t="shared" si="116"/>
        <v>1108067.6775389453</v>
      </c>
      <c r="D1524" s="2">
        <v>11661</v>
      </c>
      <c r="E1524" s="2">
        <f t="shared" si="117"/>
        <v>1.1660999999999999</v>
      </c>
      <c r="F1524" s="2">
        <f t="shared" si="118"/>
        <v>-2.2137559833506728</v>
      </c>
      <c r="G1524" s="2">
        <f t="shared" si="119"/>
        <v>4.9007155538209046</v>
      </c>
    </row>
    <row r="1525" spans="1:7" x14ac:dyDescent="0.35">
      <c r="A1525" s="2">
        <v>2391</v>
      </c>
      <c r="B1525" s="2">
        <f t="shared" si="115"/>
        <v>1052.6479361775928</v>
      </c>
      <c r="C1525" s="2">
        <f t="shared" si="116"/>
        <v>1108067.6775389453</v>
      </c>
      <c r="D1525" s="2">
        <v>10286</v>
      </c>
      <c r="E1525" s="2">
        <f t="shared" si="117"/>
        <v>1.0286</v>
      </c>
      <c r="F1525" s="2">
        <f t="shared" si="118"/>
        <v>-2.3512559833506725</v>
      </c>
      <c r="G1525" s="2">
        <f t="shared" si="119"/>
        <v>5.5284046992423379</v>
      </c>
    </row>
    <row r="1526" spans="1:7" x14ac:dyDescent="0.35">
      <c r="A1526" s="2">
        <v>2391</v>
      </c>
      <c r="B1526" s="2">
        <f t="shared" si="115"/>
        <v>1052.6479361775928</v>
      </c>
      <c r="C1526" s="2">
        <f t="shared" si="116"/>
        <v>1108067.6775389453</v>
      </c>
      <c r="D1526" s="2">
        <v>9091</v>
      </c>
      <c r="E1526" s="2">
        <f t="shared" si="117"/>
        <v>0.90910000000000002</v>
      </c>
      <c r="F1526" s="2">
        <f t="shared" si="118"/>
        <v>-2.4707559833506725</v>
      </c>
      <c r="G1526" s="2">
        <f t="shared" si="119"/>
        <v>6.1046351292631487</v>
      </c>
    </row>
    <row r="1527" spans="1:7" x14ac:dyDescent="0.35">
      <c r="A1527" s="2">
        <v>2391</v>
      </c>
      <c r="B1527" s="2">
        <f t="shared" si="115"/>
        <v>1052.6479361775928</v>
      </c>
      <c r="C1527" s="2">
        <f t="shared" si="116"/>
        <v>1108067.6775389453</v>
      </c>
      <c r="D1527" s="2">
        <v>9167</v>
      </c>
      <c r="E1527" s="2">
        <f t="shared" si="117"/>
        <v>0.91669999999999996</v>
      </c>
      <c r="F1527" s="2">
        <f t="shared" si="118"/>
        <v>-2.4631559833506724</v>
      </c>
      <c r="G1527" s="2">
        <f t="shared" si="119"/>
        <v>6.067137398316218</v>
      </c>
    </row>
    <row r="1528" spans="1:7" x14ac:dyDescent="0.35">
      <c r="A1528" s="2">
        <v>2391</v>
      </c>
      <c r="B1528" s="2">
        <f t="shared" si="115"/>
        <v>1052.6479361775928</v>
      </c>
      <c r="C1528" s="2">
        <f t="shared" si="116"/>
        <v>1108067.6775389453</v>
      </c>
      <c r="D1528" s="2">
        <v>10833</v>
      </c>
      <c r="E1528" s="2">
        <f t="shared" si="117"/>
        <v>1.0832999999999999</v>
      </c>
      <c r="F1528" s="2">
        <f t="shared" si="118"/>
        <v>-2.2965559833506726</v>
      </c>
      <c r="G1528" s="2">
        <f t="shared" si="119"/>
        <v>5.2741693846637743</v>
      </c>
    </row>
    <row r="1529" spans="1:7" x14ac:dyDescent="0.35">
      <c r="A1529" s="2">
        <v>2391</v>
      </c>
      <c r="B1529" s="2">
        <f t="shared" si="115"/>
        <v>1052.6479361775928</v>
      </c>
      <c r="C1529" s="2">
        <f t="shared" si="116"/>
        <v>1108067.6775389453</v>
      </c>
      <c r="D1529" s="2">
        <v>11111</v>
      </c>
      <c r="E1529" s="2">
        <f t="shared" si="117"/>
        <v>1.1111</v>
      </c>
      <c r="F1529" s="2">
        <f t="shared" si="118"/>
        <v>-2.2687559833506725</v>
      </c>
      <c r="G1529" s="2">
        <f t="shared" si="119"/>
        <v>5.1472537119894772</v>
      </c>
    </row>
    <row r="1530" spans="1:7" x14ac:dyDescent="0.35">
      <c r="A1530" s="2">
        <v>2391</v>
      </c>
      <c r="B1530" s="2">
        <f t="shared" si="115"/>
        <v>1052.6479361775928</v>
      </c>
      <c r="C1530" s="2">
        <f t="shared" si="116"/>
        <v>1108067.6775389453</v>
      </c>
      <c r="D1530" s="2">
        <v>11240</v>
      </c>
      <c r="E1530" s="2">
        <f t="shared" si="117"/>
        <v>1.1240000000000001</v>
      </c>
      <c r="F1530" s="2">
        <f t="shared" si="118"/>
        <v>-2.2558559833506724</v>
      </c>
      <c r="G1530" s="2">
        <f t="shared" si="119"/>
        <v>5.088886217619029</v>
      </c>
    </row>
    <row r="1531" spans="1:7" x14ac:dyDescent="0.35">
      <c r="A1531" s="2">
        <v>2391</v>
      </c>
      <c r="B1531" s="2">
        <f t="shared" si="115"/>
        <v>1052.6479361775928</v>
      </c>
      <c r="C1531" s="2">
        <f t="shared" si="116"/>
        <v>1108067.6775389453</v>
      </c>
      <c r="D1531" s="2">
        <v>12493</v>
      </c>
      <c r="E1531" s="2">
        <f t="shared" si="117"/>
        <v>1.2493000000000001</v>
      </c>
      <c r="F1531" s="2">
        <f t="shared" si="118"/>
        <v>-2.1305559833506722</v>
      </c>
      <c r="G1531" s="2">
        <f t="shared" si="119"/>
        <v>4.5392687981913502</v>
      </c>
    </row>
    <row r="1532" spans="1:7" x14ac:dyDescent="0.35">
      <c r="A1532" s="2">
        <v>2391</v>
      </c>
      <c r="B1532" s="2">
        <f t="shared" si="115"/>
        <v>1052.6479361775928</v>
      </c>
      <c r="C1532" s="2">
        <f t="shared" si="116"/>
        <v>1108067.6775389453</v>
      </c>
      <c r="D1532" s="2">
        <v>12456</v>
      </c>
      <c r="E1532" s="2">
        <f t="shared" si="117"/>
        <v>1.2456</v>
      </c>
      <c r="F1532" s="2">
        <f t="shared" si="118"/>
        <v>-2.1342559833506725</v>
      </c>
      <c r="G1532" s="2">
        <f t="shared" si="119"/>
        <v>4.5550486024681458</v>
      </c>
    </row>
    <row r="1533" spans="1:7" x14ac:dyDescent="0.35">
      <c r="A1533" s="2">
        <v>2391</v>
      </c>
      <c r="B1533" s="2">
        <f t="shared" si="115"/>
        <v>1052.6479361775928</v>
      </c>
      <c r="C1533" s="2">
        <f t="shared" si="116"/>
        <v>1108067.6775389453</v>
      </c>
      <c r="D1533" s="2">
        <v>12934</v>
      </c>
      <c r="E1533" s="2">
        <f t="shared" si="117"/>
        <v>1.2934000000000001</v>
      </c>
      <c r="F1533" s="2">
        <f t="shared" si="118"/>
        <v>-2.0864559833506724</v>
      </c>
      <c r="G1533" s="2">
        <f t="shared" si="119"/>
        <v>4.3532985704598213</v>
      </c>
    </row>
    <row r="1534" spans="1:7" x14ac:dyDescent="0.35">
      <c r="A1534" s="2">
        <v>2391</v>
      </c>
      <c r="B1534" s="2">
        <f t="shared" si="115"/>
        <v>1052.6479361775928</v>
      </c>
      <c r="C1534" s="2">
        <f t="shared" si="116"/>
        <v>1108067.6775389453</v>
      </c>
      <c r="D1534" s="2">
        <v>12772</v>
      </c>
      <c r="E1534" s="2">
        <f t="shared" si="117"/>
        <v>1.2771999999999999</v>
      </c>
      <c r="F1534" s="2">
        <f t="shared" si="118"/>
        <v>-2.1026559833506724</v>
      </c>
      <c r="G1534" s="2">
        <f t="shared" si="119"/>
        <v>4.4211621843203828</v>
      </c>
    </row>
    <row r="1535" spans="1:7" x14ac:dyDescent="0.35">
      <c r="A1535" s="2">
        <v>2391</v>
      </c>
      <c r="B1535" s="2">
        <f t="shared" si="115"/>
        <v>1052.6479361775928</v>
      </c>
      <c r="C1535" s="2">
        <f t="shared" si="116"/>
        <v>1108067.6775389453</v>
      </c>
      <c r="D1535" s="2">
        <v>12780</v>
      </c>
      <c r="E1535" s="2">
        <f t="shared" si="117"/>
        <v>1.278</v>
      </c>
      <c r="F1535" s="2">
        <f t="shared" si="118"/>
        <v>-2.1018559833506725</v>
      </c>
      <c r="G1535" s="2">
        <f t="shared" si="119"/>
        <v>4.4177985747470228</v>
      </c>
    </row>
    <row r="1536" spans="1:7" x14ac:dyDescent="0.35">
      <c r="A1536" s="2">
        <v>2391</v>
      </c>
      <c r="B1536" s="2">
        <f t="shared" si="115"/>
        <v>1052.6479361775928</v>
      </c>
      <c r="C1536" s="2">
        <f t="shared" si="116"/>
        <v>1108067.6775389453</v>
      </c>
      <c r="D1536" s="2">
        <v>11154</v>
      </c>
      <c r="E1536" s="2">
        <f t="shared" si="117"/>
        <v>1.1153999999999999</v>
      </c>
      <c r="F1536" s="2">
        <f t="shared" si="118"/>
        <v>-2.2644559833506728</v>
      </c>
      <c r="G1536" s="2">
        <f t="shared" si="119"/>
        <v>5.1277609005326621</v>
      </c>
    </row>
    <row r="1537" spans="1:7" x14ac:dyDescent="0.35">
      <c r="A1537" s="2">
        <v>2391</v>
      </c>
      <c r="B1537" s="2">
        <f t="shared" si="115"/>
        <v>1052.6479361775928</v>
      </c>
      <c r="C1537" s="2">
        <f t="shared" si="116"/>
        <v>1108067.6775389453</v>
      </c>
      <c r="D1537" s="2">
        <v>9167</v>
      </c>
      <c r="E1537" s="2">
        <f t="shared" si="117"/>
        <v>0.91669999999999996</v>
      </c>
      <c r="F1537" s="2">
        <f t="shared" si="118"/>
        <v>-2.4631559833506724</v>
      </c>
      <c r="G1537" s="2">
        <f t="shared" si="119"/>
        <v>6.067137398316218</v>
      </c>
    </row>
    <row r="1538" spans="1:7" x14ac:dyDescent="0.35">
      <c r="A1538" s="2">
        <v>2391</v>
      </c>
      <c r="B1538" s="2">
        <f t="shared" si="115"/>
        <v>1052.6479361775928</v>
      </c>
      <c r="C1538" s="2">
        <f t="shared" si="116"/>
        <v>1108067.6775389453</v>
      </c>
      <c r="D1538" s="2">
        <v>9167</v>
      </c>
      <c r="E1538" s="2">
        <f t="shared" si="117"/>
        <v>0.91669999999999996</v>
      </c>
      <c r="F1538" s="2">
        <f t="shared" si="118"/>
        <v>-2.4631559833506724</v>
      </c>
      <c r="G1538" s="2">
        <f t="shared" si="119"/>
        <v>6.067137398316218</v>
      </c>
    </row>
    <row r="1539" spans="1:7" x14ac:dyDescent="0.35">
      <c r="A1539" s="2">
        <v>2391</v>
      </c>
      <c r="B1539" s="2">
        <f t="shared" ref="B1539:B1602" si="120">A1539-$J$1</f>
        <v>1052.6479361775928</v>
      </c>
      <c r="C1539" s="2">
        <f t="shared" ref="C1539:C1602" si="121">B1539^2</f>
        <v>1108067.6775389453</v>
      </c>
      <c r="D1539" s="2">
        <v>12900</v>
      </c>
      <c r="E1539" s="2">
        <f t="shared" ref="E1539:E1602" si="122">D1539/10000</f>
        <v>1.29</v>
      </c>
      <c r="F1539" s="2">
        <f t="shared" ref="F1539:F1602" si="123">E1539-$J$2</f>
        <v>-2.0898559833506725</v>
      </c>
      <c r="G1539" s="2">
        <f t="shared" ref="G1539:G1602" si="124">F1539^2</f>
        <v>4.3674980311466065</v>
      </c>
    </row>
    <row r="1540" spans="1:7" x14ac:dyDescent="0.35">
      <c r="A1540" s="2">
        <v>2391</v>
      </c>
      <c r="B1540" s="2">
        <f t="shared" si="120"/>
        <v>1052.6479361775928</v>
      </c>
      <c r="C1540" s="2">
        <f t="shared" si="121"/>
        <v>1108067.6775389453</v>
      </c>
      <c r="D1540" s="2">
        <v>12615</v>
      </c>
      <c r="E1540" s="2">
        <f t="shared" si="122"/>
        <v>1.2615000000000001</v>
      </c>
      <c r="F1540" s="2">
        <f t="shared" si="123"/>
        <v>-2.1183559833506722</v>
      </c>
      <c r="G1540" s="2">
        <f t="shared" si="124"/>
        <v>4.4874320721975938</v>
      </c>
    </row>
    <row r="1541" spans="1:7" x14ac:dyDescent="0.35">
      <c r="A1541" s="2">
        <v>2391</v>
      </c>
      <c r="B1541" s="2">
        <f t="shared" si="120"/>
        <v>1052.6479361775928</v>
      </c>
      <c r="C1541" s="2">
        <f t="shared" si="121"/>
        <v>1108067.6775389453</v>
      </c>
      <c r="D1541" s="2">
        <v>14488</v>
      </c>
      <c r="E1541" s="2">
        <f t="shared" si="122"/>
        <v>1.4488000000000001</v>
      </c>
      <c r="F1541" s="2">
        <f t="shared" si="123"/>
        <v>-1.9310559833506724</v>
      </c>
      <c r="G1541" s="2">
        <f t="shared" si="124"/>
        <v>3.7289772108344326</v>
      </c>
    </row>
    <row r="1542" spans="1:7" x14ac:dyDescent="0.35">
      <c r="A1542" s="2">
        <v>2391</v>
      </c>
      <c r="B1542" s="2">
        <f t="shared" si="120"/>
        <v>1052.6479361775928</v>
      </c>
      <c r="C1542" s="2">
        <f t="shared" si="121"/>
        <v>1108067.6775389453</v>
      </c>
      <c r="D1542" s="2">
        <v>15534</v>
      </c>
      <c r="E1542" s="2">
        <f t="shared" si="122"/>
        <v>1.5533999999999999</v>
      </c>
      <c r="F1542" s="2">
        <f t="shared" si="123"/>
        <v>-1.8264559833506726</v>
      </c>
      <c r="G1542" s="2">
        <f t="shared" si="124"/>
        <v>3.3359414591174725</v>
      </c>
    </row>
    <row r="1543" spans="1:7" x14ac:dyDescent="0.35">
      <c r="A1543" s="2">
        <v>2391</v>
      </c>
      <c r="B1543" s="2">
        <f t="shared" si="120"/>
        <v>1052.6479361775928</v>
      </c>
      <c r="C1543" s="2">
        <f t="shared" si="121"/>
        <v>1108067.6775389453</v>
      </c>
      <c r="D1543" s="2">
        <v>11835</v>
      </c>
      <c r="E1543" s="2">
        <f t="shared" si="122"/>
        <v>1.1835</v>
      </c>
      <c r="F1543" s="2">
        <f t="shared" si="123"/>
        <v>-2.1963559833506725</v>
      </c>
      <c r="G1543" s="2">
        <f t="shared" si="124"/>
        <v>4.8239796056002993</v>
      </c>
    </row>
    <row r="1544" spans="1:7" x14ac:dyDescent="0.35">
      <c r="A1544" s="2">
        <v>2391</v>
      </c>
      <c r="B1544" s="2">
        <f t="shared" si="120"/>
        <v>1052.6479361775928</v>
      </c>
      <c r="C1544" s="2">
        <f t="shared" si="121"/>
        <v>1108067.6775389453</v>
      </c>
      <c r="D1544" s="2">
        <v>11786</v>
      </c>
      <c r="E1544" s="2">
        <f t="shared" si="122"/>
        <v>1.1786000000000001</v>
      </c>
      <c r="F1544" s="2">
        <f t="shared" si="123"/>
        <v>-2.2012559833506726</v>
      </c>
      <c r="G1544" s="2">
        <f t="shared" si="124"/>
        <v>4.8455279042371364</v>
      </c>
    </row>
    <row r="1545" spans="1:7" x14ac:dyDescent="0.35">
      <c r="A1545" s="2">
        <v>2391</v>
      </c>
      <c r="B1545" s="2">
        <f t="shared" si="120"/>
        <v>1052.6479361775928</v>
      </c>
      <c r="C1545" s="2">
        <f t="shared" si="121"/>
        <v>1108067.6775389453</v>
      </c>
      <c r="D1545" s="2">
        <v>11993</v>
      </c>
      <c r="E1545" s="2">
        <f t="shared" si="122"/>
        <v>1.1993</v>
      </c>
      <c r="F1545" s="2">
        <f t="shared" si="123"/>
        <v>-2.1805559833506725</v>
      </c>
      <c r="G1545" s="2">
        <f t="shared" si="124"/>
        <v>4.7548243965264181</v>
      </c>
    </row>
    <row r="1546" spans="1:7" x14ac:dyDescent="0.35">
      <c r="A1546" s="2">
        <v>2391</v>
      </c>
      <c r="B1546" s="2">
        <f t="shared" si="120"/>
        <v>1052.6479361775928</v>
      </c>
      <c r="C1546" s="2">
        <f t="shared" si="121"/>
        <v>1108067.6775389453</v>
      </c>
      <c r="D1546" s="2">
        <v>12853</v>
      </c>
      <c r="E1546" s="2">
        <f t="shared" si="122"/>
        <v>1.2853000000000001</v>
      </c>
      <c r="F1546" s="2">
        <f t="shared" si="123"/>
        <v>-2.0945559833506726</v>
      </c>
      <c r="G1546" s="2">
        <f t="shared" si="124"/>
        <v>4.3871647673901029</v>
      </c>
    </row>
    <row r="1547" spans="1:7" x14ac:dyDescent="0.35">
      <c r="A1547" s="2">
        <v>2391</v>
      </c>
      <c r="B1547" s="2">
        <f t="shared" si="120"/>
        <v>1052.6479361775928</v>
      </c>
      <c r="C1547" s="2">
        <f t="shared" si="121"/>
        <v>1108067.6775389453</v>
      </c>
      <c r="D1547" s="2">
        <v>12892</v>
      </c>
      <c r="E1547" s="2">
        <f t="shared" si="122"/>
        <v>1.2891999999999999</v>
      </c>
      <c r="F1547" s="2">
        <f t="shared" si="123"/>
        <v>-2.0906559833506728</v>
      </c>
      <c r="G1547" s="2">
        <f t="shared" si="124"/>
        <v>4.3708424407199686</v>
      </c>
    </row>
    <row r="1548" spans="1:7" x14ac:dyDescent="0.35">
      <c r="A1548" s="2">
        <v>2391</v>
      </c>
      <c r="B1548" s="2">
        <f t="shared" si="120"/>
        <v>1052.6479361775928</v>
      </c>
      <c r="C1548" s="2">
        <f t="shared" si="121"/>
        <v>1108067.6775389453</v>
      </c>
      <c r="D1548" s="2">
        <v>12989</v>
      </c>
      <c r="E1548" s="2">
        <f t="shared" si="122"/>
        <v>1.2988999999999999</v>
      </c>
      <c r="F1548" s="2">
        <f t="shared" si="123"/>
        <v>-2.0809559833506723</v>
      </c>
      <c r="G1548" s="2">
        <f t="shared" si="124"/>
        <v>4.3303778046429633</v>
      </c>
    </row>
    <row r="1549" spans="1:7" x14ac:dyDescent="0.35">
      <c r="A1549" s="2">
        <v>2391</v>
      </c>
      <c r="B1549" s="2">
        <f t="shared" si="120"/>
        <v>1052.6479361775928</v>
      </c>
      <c r="C1549" s="2">
        <f t="shared" si="121"/>
        <v>1108067.6775389453</v>
      </c>
      <c r="D1549" s="2">
        <v>13101</v>
      </c>
      <c r="E1549" s="2">
        <f t="shared" si="122"/>
        <v>1.3101</v>
      </c>
      <c r="F1549" s="2">
        <f t="shared" si="123"/>
        <v>-2.0697559833506727</v>
      </c>
      <c r="G1549" s="2">
        <f t="shared" si="124"/>
        <v>4.2838898306159097</v>
      </c>
    </row>
    <row r="1550" spans="1:7" x14ac:dyDescent="0.35">
      <c r="A1550" s="2">
        <v>2391</v>
      </c>
      <c r="B1550" s="2">
        <f t="shared" si="120"/>
        <v>1052.6479361775928</v>
      </c>
      <c r="C1550" s="2">
        <f t="shared" si="121"/>
        <v>1108067.6775389453</v>
      </c>
      <c r="D1550" s="2">
        <v>13223</v>
      </c>
      <c r="E1550" s="2">
        <f t="shared" si="122"/>
        <v>1.3223</v>
      </c>
      <c r="F1550" s="2">
        <f t="shared" si="123"/>
        <v>-2.0575559833506727</v>
      </c>
      <c r="G1550" s="2">
        <f t="shared" si="124"/>
        <v>4.233536624622154</v>
      </c>
    </row>
    <row r="1551" spans="1:7" x14ac:dyDescent="0.35">
      <c r="A1551" s="2">
        <v>1513</v>
      </c>
      <c r="B1551" s="2">
        <f t="shared" si="120"/>
        <v>174.64793617759278</v>
      </c>
      <c r="C1551" s="2">
        <f t="shared" si="121"/>
        <v>30501.901611092522</v>
      </c>
      <c r="D1551" s="2">
        <v>18400</v>
      </c>
      <c r="E1551" s="2">
        <f t="shared" si="122"/>
        <v>1.84</v>
      </c>
      <c r="F1551" s="2">
        <f t="shared" si="123"/>
        <v>-1.5398559833506724</v>
      </c>
      <c r="G1551" s="2">
        <f t="shared" si="124"/>
        <v>2.3711564494608663</v>
      </c>
    </row>
    <row r="1552" spans="1:7" x14ac:dyDescent="0.35">
      <c r="A1552" s="2">
        <v>1513</v>
      </c>
      <c r="B1552" s="2">
        <f t="shared" si="120"/>
        <v>174.64793617759278</v>
      </c>
      <c r="C1552" s="2">
        <f t="shared" si="121"/>
        <v>30501.901611092522</v>
      </c>
      <c r="D1552" s="2">
        <v>18780</v>
      </c>
      <c r="E1552" s="2">
        <f t="shared" si="122"/>
        <v>1.8779999999999999</v>
      </c>
      <c r="F1552" s="2">
        <f t="shared" si="123"/>
        <v>-1.5018559833506726</v>
      </c>
      <c r="G1552" s="2">
        <f t="shared" si="124"/>
        <v>2.2555713947262159</v>
      </c>
    </row>
    <row r="1553" spans="1:7" x14ac:dyDescent="0.35">
      <c r="A1553" s="2">
        <v>1513</v>
      </c>
      <c r="B1553" s="2">
        <f t="shared" si="120"/>
        <v>174.64793617759278</v>
      </c>
      <c r="C1553" s="2">
        <f t="shared" si="121"/>
        <v>30501.901611092522</v>
      </c>
      <c r="D1553" s="2">
        <v>19836</v>
      </c>
      <c r="E1553" s="2">
        <f t="shared" si="122"/>
        <v>1.9836</v>
      </c>
      <c r="F1553" s="2">
        <f t="shared" si="123"/>
        <v>-1.3962559833506725</v>
      </c>
      <c r="G1553" s="2">
        <f t="shared" si="124"/>
        <v>1.9495307710425533</v>
      </c>
    </row>
    <row r="1554" spans="1:7" x14ac:dyDescent="0.35">
      <c r="A1554" s="2">
        <v>1513</v>
      </c>
      <c r="B1554" s="2">
        <f t="shared" si="120"/>
        <v>174.64793617759278</v>
      </c>
      <c r="C1554" s="2">
        <f t="shared" si="121"/>
        <v>30501.901611092522</v>
      </c>
      <c r="D1554" s="2">
        <v>20768</v>
      </c>
      <c r="E1554" s="2">
        <f t="shared" si="122"/>
        <v>2.0768</v>
      </c>
      <c r="F1554" s="2">
        <f t="shared" si="123"/>
        <v>-1.3030559833506725</v>
      </c>
      <c r="G1554" s="2">
        <f t="shared" si="124"/>
        <v>1.6979548957459882</v>
      </c>
    </row>
    <row r="1555" spans="1:7" x14ac:dyDescent="0.35">
      <c r="A1555" s="2">
        <v>1513</v>
      </c>
      <c r="B1555" s="2">
        <f t="shared" si="120"/>
        <v>174.64793617759278</v>
      </c>
      <c r="C1555" s="2">
        <f t="shared" si="121"/>
        <v>30501.901611092522</v>
      </c>
      <c r="D1555" s="2">
        <v>20773</v>
      </c>
      <c r="E1555" s="2">
        <f t="shared" si="122"/>
        <v>2.0773000000000001</v>
      </c>
      <c r="F1555" s="2">
        <f t="shared" si="123"/>
        <v>-1.3025559833506724</v>
      </c>
      <c r="G1555" s="2">
        <f t="shared" si="124"/>
        <v>1.6966520897626369</v>
      </c>
    </row>
    <row r="1556" spans="1:7" x14ac:dyDescent="0.35">
      <c r="A1556" s="2">
        <v>1513</v>
      </c>
      <c r="B1556" s="2">
        <f t="shared" si="120"/>
        <v>174.64793617759278</v>
      </c>
      <c r="C1556" s="2">
        <f t="shared" si="121"/>
        <v>30501.901611092522</v>
      </c>
      <c r="D1556" s="2">
        <v>20546</v>
      </c>
      <c r="E1556" s="2">
        <f t="shared" si="122"/>
        <v>2.0546000000000002</v>
      </c>
      <c r="F1556" s="2">
        <f t="shared" si="123"/>
        <v>-1.3252559833506723</v>
      </c>
      <c r="G1556" s="2">
        <f t="shared" si="124"/>
        <v>1.7563034214067574</v>
      </c>
    </row>
    <row r="1557" spans="1:7" x14ac:dyDescent="0.35">
      <c r="A1557" s="2">
        <v>1513</v>
      </c>
      <c r="B1557" s="2">
        <f t="shared" si="120"/>
        <v>174.64793617759278</v>
      </c>
      <c r="C1557" s="2">
        <f t="shared" si="121"/>
        <v>30501.901611092522</v>
      </c>
      <c r="D1557" s="2">
        <v>20869</v>
      </c>
      <c r="E1557" s="2">
        <f t="shared" si="122"/>
        <v>2.0869</v>
      </c>
      <c r="F1557" s="2">
        <f t="shared" si="123"/>
        <v>-1.2929559833506725</v>
      </c>
      <c r="G1557" s="2">
        <f t="shared" si="124"/>
        <v>1.6717351748823046</v>
      </c>
    </row>
    <row r="1558" spans="1:7" x14ac:dyDescent="0.35">
      <c r="A1558" s="2">
        <v>1513</v>
      </c>
      <c r="B1558" s="2">
        <f t="shared" si="120"/>
        <v>174.64793617759278</v>
      </c>
      <c r="C1558" s="2">
        <f t="shared" si="121"/>
        <v>30501.901611092522</v>
      </c>
      <c r="D1558" s="2">
        <v>20782</v>
      </c>
      <c r="E1558" s="2">
        <f t="shared" si="122"/>
        <v>2.0781999999999998</v>
      </c>
      <c r="F1558" s="2">
        <f t="shared" si="123"/>
        <v>-1.3016559833506727</v>
      </c>
      <c r="G1558" s="2">
        <f t="shared" si="124"/>
        <v>1.6943082989926066</v>
      </c>
    </row>
    <row r="1559" spans="1:7" x14ac:dyDescent="0.35">
      <c r="A1559" s="2">
        <v>1513</v>
      </c>
      <c r="B1559" s="2">
        <f t="shared" si="120"/>
        <v>174.64793617759278</v>
      </c>
      <c r="C1559" s="2">
        <f t="shared" si="121"/>
        <v>30501.901611092522</v>
      </c>
      <c r="D1559" s="2">
        <v>20694</v>
      </c>
      <c r="E1559" s="2">
        <f t="shared" si="122"/>
        <v>2.0693999999999999</v>
      </c>
      <c r="F1559" s="2">
        <f t="shared" si="123"/>
        <v>-1.3104559833506726</v>
      </c>
      <c r="G1559" s="2">
        <f t="shared" si="124"/>
        <v>1.7172948842995783</v>
      </c>
    </row>
    <row r="1560" spans="1:7" x14ac:dyDescent="0.35">
      <c r="A1560" s="2">
        <v>1513</v>
      </c>
      <c r="B1560" s="2">
        <f t="shared" si="120"/>
        <v>174.64793617759278</v>
      </c>
      <c r="C1560" s="2">
        <f t="shared" si="121"/>
        <v>30501.901611092522</v>
      </c>
      <c r="D1560" s="2">
        <v>21304</v>
      </c>
      <c r="E1560" s="2">
        <f t="shared" si="122"/>
        <v>2.1303999999999998</v>
      </c>
      <c r="F1560" s="2">
        <f t="shared" si="123"/>
        <v>-1.2494559833506726</v>
      </c>
      <c r="G1560" s="2">
        <f t="shared" si="124"/>
        <v>1.5611402543307964</v>
      </c>
    </row>
    <row r="1561" spans="1:7" x14ac:dyDescent="0.35">
      <c r="A1561" s="2">
        <v>1513</v>
      </c>
      <c r="B1561" s="2">
        <f t="shared" si="120"/>
        <v>174.64793617759278</v>
      </c>
      <c r="C1561" s="2">
        <f t="shared" si="121"/>
        <v>30501.901611092522</v>
      </c>
      <c r="D1561" s="2">
        <v>21930</v>
      </c>
      <c r="E1561" s="2">
        <f t="shared" si="122"/>
        <v>2.1930000000000001</v>
      </c>
      <c r="F1561" s="2">
        <f t="shared" si="123"/>
        <v>-1.1868559833506724</v>
      </c>
      <c r="G1561" s="2">
        <f t="shared" si="124"/>
        <v>1.4086271252152915</v>
      </c>
    </row>
    <row r="1562" spans="1:7" x14ac:dyDescent="0.35">
      <c r="A1562" s="2">
        <v>1513</v>
      </c>
      <c r="B1562" s="2">
        <f t="shared" si="120"/>
        <v>174.64793617759278</v>
      </c>
      <c r="C1562" s="2">
        <f t="shared" si="121"/>
        <v>30501.901611092522</v>
      </c>
      <c r="D1562" s="2">
        <v>21737</v>
      </c>
      <c r="E1562" s="2">
        <f t="shared" si="122"/>
        <v>2.1737000000000002</v>
      </c>
      <c r="F1562" s="2">
        <f t="shared" si="123"/>
        <v>-1.2061559833506723</v>
      </c>
      <c r="G1562" s="2">
        <f t="shared" si="124"/>
        <v>1.4548122561726273</v>
      </c>
    </row>
    <row r="1563" spans="1:7" x14ac:dyDescent="0.35">
      <c r="A1563" s="2">
        <v>1513</v>
      </c>
      <c r="B1563" s="2">
        <f t="shared" si="120"/>
        <v>174.64793617759278</v>
      </c>
      <c r="C1563" s="2">
        <f t="shared" si="121"/>
        <v>30501.901611092522</v>
      </c>
      <c r="D1563" s="2">
        <v>20341</v>
      </c>
      <c r="E1563" s="2">
        <f t="shared" si="122"/>
        <v>2.0341</v>
      </c>
      <c r="F1563" s="2">
        <f t="shared" si="123"/>
        <v>-1.3457559833506725</v>
      </c>
      <c r="G1563" s="2">
        <f t="shared" si="124"/>
        <v>1.8110591667241354</v>
      </c>
    </row>
    <row r="1564" spans="1:7" x14ac:dyDescent="0.35">
      <c r="A1564" s="2">
        <v>1513</v>
      </c>
      <c r="B1564" s="2">
        <f t="shared" si="120"/>
        <v>174.64793617759278</v>
      </c>
      <c r="C1564" s="2">
        <f t="shared" si="121"/>
        <v>30501.901611092522</v>
      </c>
      <c r="D1564" s="2">
        <v>21284</v>
      </c>
      <c r="E1564" s="2">
        <f t="shared" si="122"/>
        <v>2.1284000000000001</v>
      </c>
      <c r="F1564" s="2">
        <f t="shared" si="123"/>
        <v>-1.2514559833506724</v>
      </c>
      <c r="G1564" s="2">
        <f t="shared" si="124"/>
        <v>1.5661420782641986</v>
      </c>
    </row>
    <row r="1565" spans="1:7" x14ac:dyDescent="0.35">
      <c r="A1565" s="2">
        <v>1513</v>
      </c>
      <c r="B1565" s="2">
        <f t="shared" si="120"/>
        <v>174.64793617759278</v>
      </c>
      <c r="C1565" s="2">
        <f t="shared" si="121"/>
        <v>30501.901611092522</v>
      </c>
      <c r="D1565" s="2">
        <v>20512</v>
      </c>
      <c r="E1565" s="2">
        <f t="shared" si="122"/>
        <v>2.0512000000000001</v>
      </c>
      <c r="F1565" s="2">
        <f t="shared" si="123"/>
        <v>-1.3286559833506724</v>
      </c>
      <c r="G1565" s="2">
        <f t="shared" si="124"/>
        <v>1.7653267220935422</v>
      </c>
    </row>
    <row r="1566" spans="1:7" x14ac:dyDescent="0.35">
      <c r="A1566" s="2">
        <v>1513</v>
      </c>
      <c r="B1566" s="2">
        <f t="shared" si="120"/>
        <v>174.64793617759278</v>
      </c>
      <c r="C1566" s="2">
        <f t="shared" si="121"/>
        <v>30501.901611092522</v>
      </c>
      <c r="D1566" s="2">
        <v>21956</v>
      </c>
      <c r="E1566" s="2">
        <f t="shared" si="122"/>
        <v>2.1956000000000002</v>
      </c>
      <c r="F1566" s="2">
        <f t="shared" si="123"/>
        <v>-1.1842559833506723</v>
      </c>
      <c r="G1566" s="2">
        <f t="shared" si="124"/>
        <v>1.4024622341018678</v>
      </c>
    </row>
    <row r="1567" spans="1:7" x14ac:dyDescent="0.35">
      <c r="A1567" s="2">
        <v>1513</v>
      </c>
      <c r="B1567" s="2">
        <f t="shared" si="120"/>
        <v>174.64793617759278</v>
      </c>
      <c r="C1567" s="2">
        <f t="shared" si="121"/>
        <v>30501.901611092522</v>
      </c>
      <c r="D1567" s="2">
        <v>21414</v>
      </c>
      <c r="E1567" s="2">
        <f t="shared" si="122"/>
        <v>2.1414</v>
      </c>
      <c r="F1567" s="2">
        <f t="shared" si="123"/>
        <v>-1.2384559833506725</v>
      </c>
      <c r="G1567" s="2">
        <f t="shared" si="124"/>
        <v>1.5337732226970813</v>
      </c>
    </row>
    <row r="1568" spans="1:7" x14ac:dyDescent="0.35">
      <c r="A1568" s="2">
        <v>1513</v>
      </c>
      <c r="B1568" s="2">
        <f t="shared" si="120"/>
        <v>174.64793617759278</v>
      </c>
      <c r="C1568" s="2">
        <f t="shared" si="121"/>
        <v>30501.901611092522</v>
      </c>
      <c r="D1568" s="2">
        <v>24475</v>
      </c>
      <c r="E1568" s="2">
        <f t="shared" si="122"/>
        <v>2.4474999999999998</v>
      </c>
      <c r="F1568" s="2">
        <f t="shared" si="123"/>
        <v>-0.93235598335067271</v>
      </c>
      <c r="G1568" s="2">
        <f t="shared" si="124"/>
        <v>0.86928767968979992</v>
      </c>
    </row>
    <row r="1569" spans="1:7" x14ac:dyDescent="0.35">
      <c r="A1569" s="2">
        <v>1513</v>
      </c>
      <c r="B1569" s="2">
        <f t="shared" si="120"/>
        <v>174.64793617759278</v>
      </c>
      <c r="C1569" s="2">
        <f t="shared" si="121"/>
        <v>30501.901611092522</v>
      </c>
      <c r="D1569" s="2">
        <v>27140</v>
      </c>
      <c r="E1569" s="2">
        <f t="shared" si="122"/>
        <v>2.714</v>
      </c>
      <c r="F1569" s="2">
        <f t="shared" si="123"/>
        <v>-0.66585598335067253</v>
      </c>
      <c r="G1569" s="2">
        <f t="shared" si="124"/>
        <v>0.44336419056389109</v>
      </c>
    </row>
    <row r="1570" spans="1:7" x14ac:dyDescent="0.35">
      <c r="A1570" s="2">
        <v>1513</v>
      </c>
      <c r="B1570" s="2">
        <f t="shared" si="120"/>
        <v>174.64793617759278</v>
      </c>
      <c r="C1570" s="2">
        <f t="shared" si="121"/>
        <v>30501.901611092522</v>
      </c>
      <c r="D1570" s="2">
        <v>27667</v>
      </c>
      <c r="E1570" s="2">
        <f t="shared" si="122"/>
        <v>2.7667000000000002</v>
      </c>
      <c r="F1570" s="2">
        <f t="shared" si="123"/>
        <v>-0.61315598335067234</v>
      </c>
      <c r="G1570" s="2">
        <f t="shared" si="124"/>
        <v>0.37596025991873</v>
      </c>
    </row>
    <row r="1571" spans="1:7" x14ac:dyDescent="0.35">
      <c r="A1571" s="2">
        <v>1513</v>
      </c>
      <c r="B1571" s="2">
        <f t="shared" si="120"/>
        <v>174.64793617759278</v>
      </c>
      <c r="C1571" s="2">
        <f t="shared" si="121"/>
        <v>30501.901611092522</v>
      </c>
      <c r="D1571" s="2">
        <v>28268</v>
      </c>
      <c r="E1571" s="2">
        <f t="shared" si="122"/>
        <v>2.8268</v>
      </c>
      <c r="F1571" s="2">
        <f t="shared" si="123"/>
        <v>-0.55305598335067252</v>
      </c>
      <c r="G1571" s="2">
        <f t="shared" si="124"/>
        <v>0.30587092071997934</v>
      </c>
    </row>
    <row r="1572" spans="1:7" x14ac:dyDescent="0.35">
      <c r="A1572" s="2">
        <v>1513</v>
      </c>
      <c r="B1572" s="2">
        <f t="shared" si="120"/>
        <v>174.64793617759278</v>
      </c>
      <c r="C1572" s="2">
        <f t="shared" si="121"/>
        <v>30501.901611092522</v>
      </c>
      <c r="D1572" s="2">
        <v>30495</v>
      </c>
      <c r="E1572" s="2">
        <f t="shared" si="122"/>
        <v>3.0495000000000001</v>
      </c>
      <c r="F1572" s="2">
        <f t="shared" si="123"/>
        <v>-0.3303559833506724</v>
      </c>
      <c r="G1572" s="2">
        <f t="shared" si="124"/>
        <v>0.10913507573558974</v>
      </c>
    </row>
    <row r="1573" spans="1:7" x14ac:dyDescent="0.35">
      <c r="A1573" s="2">
        <v>1513</v>
      </c>
      <c r="B1573" s="2">
        <f t="shared" si="120"/>
        <v>174.64793617759278</v>
      </c>
      <c r="C1573" s="2">
        <f t="shared" si="121"/>
        <v>30501.901611092522</v>
      </c>
      <c r="D1573" s="2">
        <v>35056</v>
      </c>
      <c r="E1573" s="2">
        <f t="shared" si="122"/>
        <v>3.5055999999999998</v>
      </c>
      <c r="F1573" s="2">
        <f t="shared" si="123"/>
        <v>0.12574401664932733</v>
      </c>
      <c r="G1573" s="2">
        <f t="shared" si="124"/>
        <v>1.5811557723106308E-2</v>
      </c>
    </row>
    <row r="1574" spans="1:7" x14ac:dyDescent="0.35">
      <c r="A1574" s="2">
        <v>1513</v>
      </c>
      <c r="B1574" s="2">
        <f t="shared" si="120"/>
        <v>174.64793617759278</v>
      </c>
      <c r="C1574" s="2">
        <f t="shared" si="121"/>
        <v>30501.901611092522</v>
      </c>
      <c r="D1574" s="2">
        <v>36249</v>
      </c>
      <c r="E1574" s="2">
        <f t="shared" si="122"/>
        <v>3.6248999999999998</v>
      </c>
      <c r="F1574" s="2">
        <f t="shared" si="123"/>
        <v>0.24504401664932729</v>
      </c>
      <c r="G1574" s="2">
        <f t="shared" si="124"/>
        <v>6.0046570095635791E-2</v>
      </c>
    </row>
    <row r="1575" spans="1:7" x14ac:dyDescent="0.35">
      <c r="A1575" s="2">
        <v>1513</v>
      </c>
      <c r="B1575" s="2">
        <f t="shared" si="120"/>
        <v>174.64793617759278</v>
      </c>
      <c r="C1575" s="2">
        <f t="shared" si="121"/>
        <v>30501.901611092522</v>
      </c>
      <c r="D1575" s="2">
        <v>37806</v>
      </c>
      <c r="E1575" s="2">
        <f t="shared" si="122"/>
        <v>3.7806000000000002</v>
      </c>
      <c r="F1575" s="2">
        <f t="shared" si="123"/>
        <v>0.40074401664932768</v>
      </c>
      <c r="G1575" s="2">
        <f t="shared" si="124"/>
        <v>0.16059576688023663</v>
      </c>
    </row>
    <row r="1576" spans="1:7" x14ac:dyDescent="0.35">
      <c r="A1576" s="2">
        <v>1513</v>
      </c>
      <c r="B1576" s="2">
        <f t="shared" si="120"/>
        <v>174.64793617759278</v>
      </c>
      <c r="C1576" s="2">
        <f t="shared" si="121"/>
        <v>30501.901611092522</v>
      </c>
      <c r="D1576" s="2">
        <v>37661</v>
      </c>
      <c r="E1576" s="2">
        <f t="shared" si="122"/>
        <v>3.7660999999999998</v>
      </c>
      <c r="F1576" s="2">
        <f t="shared" si="123"/>
        <v>0.38624401664932728</v>
      </c>
      <c r="G1576" s="2">
        <f t="shared" si="124"/>
        <v>0.1491844403974058</v>
      </c>
    </row>
    <row r="1577" spans="1:7" x14ac:dyDescent="0.35">
      <c r="A1577" s="2">
        <v>1513</v>
      </c>
      <c r="B1577" s="2">
        <f t="shared" si="120"/>
        <v>174.64793617759278</v>
      </c>
      <c r="C1577" s="2">
        <f t="shared" si="121"/>
        <v>30501.901611092522</v>
      </c>
      <c r="D1577" s="2">
        <v>39449</v>
      </c>
      <c r="E1577" s="2">
        <f t="shared" si="122"/>
        <v>3.9449000000000001</v>
      </c>
      <c r="F1577" s="2">
        <f t="shared" si="123"/>
        <v>0.56504401664932757</v>
      </c>
      <c r="G1577" s="2">
        <f t="shared" si="124"/>
        <v>0.3192747407512056</v>
      </c>
    </row>
    <row r="1578" spans="1:7" x14ac:dyDescent="0.35">
      <c r="A1578" s="2">
        <v>1513</v>
      </c>
      <c r="B1578" s="2">
        <f t="shared" si="120"/>
        <v>174.64793617759278</v>
      </c>
      <c r="C1578" s="2">
        <f t="shared" si="121"/>
        <v>30501.901611092522</v>
      </c>
      <c r="D1578" s="2">
        <v>41062</v>
      </c>
      <c r="E1578" s="2">
        <f t="shared" si="122"/>
        <v>4.1062000000000003</v>
      </c>
      <c r="F1578" s="2">
        <f t="shared" si="123"/>
        <v>0.72634401664932779</v>
      </c>
      <c r="G1578" s="2">
        <f t="shared" si="124"/>
        <v>0.52757563052227896</v>
      </c>
    </row>
    <row r="1579" spans="1:7" x14ac:dyDescent="0.35">
      <c r="A1579" s="2">
        <v>1513</v>
      </c>
      <c r="B1579" s="2">
        <f t="shared" si="120"/>
        <v>174.64793617759278</v>
      </c>
      <c r="C1579" s="2">
        <f t="shared" si="121"/>
        <v>30501.901611092522</v>
      </c>
      <c r="D1579" s="2">
        <v>42674</v>
      </c>
      <c r="E1579" s="2">
        <f t="shared" si="122"/>
        <v>4.2674000000000003</v>
      </c>
      <c r="F1579" s="2">
        <f t="shared" si="123"/>
        <v>0.8875440166493278</v>
      </c>
      <c r="G1579" s="2">
        <f t="shared" si="124"/>
        <v>0.78773438149002228</v>
      </c>
    </row>
    <row r="1580" spans="1:7" x14ac:dyDescent="0.35">
      <c r="A1580" s="2">
        <v>1513</v>
      </c>
      <c r="B1580" s="2">
        <f t="shared" si="120"/>
        <v>174.64793617759278</v>
      </c>
      <c r="C1580" s="2">
        <f t="shared" si="121"/>
        <v>30501.901611092522</v>
      </c>
      <c r="D1580" s="2">
        <v>44287</v>
      </c>
      <c r="E1580" s="2">
        <f t="shared" si="122"/>
        <v>4.4287000000000001</v>
      </c>
      <c r="F1580" s="2">
        <f t="shared" si="123"/>
        <v>1.0488440166493276</v>
      </c>
      <c r="G1580" s="2">
        <f t="shared" si="124"/>
        <v>1.1000737712610948</v>
      </c>
    </row>
    <row r="1581" spans="1:7" x14ac:dyDescent="0.35">
      <c r="A1581" s="2">
        <v>1181</v>
      </c>
      <c r="B1581" s="2">
        <f t="shared" si="120"/>
        <v>-157.35206382240722</v>
      </c>
      <c r="C1581" s="2">
        <f t="shared" si="121"/>
        <v>24759.671989170914</v>
      </c>
      <c r="D1581" s="2">
        <v>16468</v>
      </c>
      <c r="E1581" s="2">
        <f t="shared" si="122"/>
        <v>1.6468</v>
      </c>
      <c r="F1581" s="2">
        <f t="shared" si="123"/>
        <v>-1.7330559833506725</v>
      </c>
      <c r="G1581" s="2">
        <f t="shared" si="124"/>
        <v>3.0034830414275664</v>
      </c>
    </row>
    <row r="1582" spans="1:7" x14ac:dyDescent="0.35">
      <c r="A1582" s="2">
        <v>1181</v>
      </c>
      <c r="B1582" s="2">
        <f t="shared" si="120"/>
        <v>-157.35206382240722</v>
      </c>
      <c r="C1582" s="2">
        <f t="shared" si="121"/>
        <v>24759.671989170914</v>
      </c>
      <c r="D1582" s="2">
        <v>16354</v>
      </c>
      <c r="E1582" s="2">
        <f t="shared" si="122"/>
        <v>1.6354</v>
      </c>
      <c r="F1582" s="2">
        <f t="shared" si="123"/>
        <v>-1.7444559833506725</v>
      </c>
      <c r="G1582" s="2">
        <f t="shared" si="124"/>
        <v>3.0431266778479618</v>
      </c>
    </row>
    <row r="1583" spans="1:7" x14ac:dyDescent="0.35">
      <c r="A1583" s="2">
        <v>1181</v>
      </c>
      <c r="B1583" s="2">
        <f t="shared" si="120"/>
        <v>-157.35206382240722</v>
      </c>
      <c r="C1583" s="2">
        <f t="shared" si="121"/>
        <v>24759.671989170914</v>
      </c>
      <c r="D1583" s="2">
        <v>14905</v>
      </c>
      <c r="E1583" s="2">
        <f t="shared" si="122"/>
        <v>1.4904999999999999</v>
      </c>
      <c r="F1583" s="2">
        <f t="shared" si="123"/>
        <v>-1.8893559833506726</v>
      </c>
      <c r="G1583" s="2">
        <f t="shared" si="124"/>
        <v>3.5696660318229867</v>
      </c>
    </row>
    <row r="1584" spans="1:7" x14ac:dyDescent="0.35">
      <c r="A1584" s="2">
        <v>1181</v>
      </c>
      <c r="B1584" s="2">
        <f t="shared" si="120"/>
        <v>-157.35206382240722</v>
      </c>
      <c r="C1584" s="2">
        <f t="shared" si="121"/>
        <v>24759.671989170914</v>
      </c>
      <c r="D1584" s="2">
        <v>17866</v>
      </c>
      <c r="E1584" s="2">
        <f t="shared" si="122"/>
        <v>1.7866</v>
      </c>
      <c r="F1584" s="2">
        <f t="shared" si="123"/>
        <v>-1.5932559833506725</v>
      </c>
      <c r="G1584" s="2">
        <f t="shared" si="124"/>
        <v>2.5384646284827186</v>
      </c>
    </row>
    <row r="1585" spans="1:7" x14ac:dyDescent="0.35">
      <c r="A1585" s="2">
        <v>1181</v>
      </c>
      <c r="B1585" s="2">
        <f t="shared" si="120"/>
        <v>-157.35206382240722</v>
      </c>
      <c r="C1585" s="2">
        <f t="shared" si="121"/>
        <v>24759.671989170914</v>
      </c>
      <c r="D1585" s="2">
        <v>14903</v>
      </c>
      <c r="E1585" s="2">
        <f t="shared" si="122"/>
        <v>1.4903</v>
      </c>
      <c r="F1585" s="2">
        <f t="shared" si="123"/>
        <v>-1.8895559833506725</v>
      </c>
      <c r="G1585" s="2">
        <f t="shared" si="124"/>
        <v>3.5704218142163269</v>
      </c>
    </row>
    <row r="1586" spans="1:7" x14ac:dyDescent="0.35">
      <c r="A1586" s="2">
        <v>1181</v>
      </c>
      <c r="B1586" s="2">
        <f t="shared" si="120"/>
        <v>-157.35206382240722</v>
      </c>
      <c r="C1586" s="2">
        <f t="shared" si="121"/>
        <v>24759.671989170914</v>
      </c>
      <c r="D1586" s="2">
        <v>19237</v>
      </c>
      <c r="E1586" s="2">
        <f t="shared" si="122"/>
        <v>1.9237</v>
      </c>
      <c r="F1586" s="2">
        <f t="shared" si="123"/>
        <v>-1.4561559833506725</v>
      </c>
      <c r="G1586" s="2">
        <f t="shared" si="124"/>
        <v>2.1203902478479639</v>
      </c>
    </row>
    <row r="1587" spans="1:7" x14ac:dyDescent="0.35">
      <c r="A1587" s="2">
        <v>1181</v>
      </c>
      <c r="B1587" s="2">
        <f t="shared" si="120"/>
        <v>-157.35206382240722</v>
      </c>
      <c r="C1587" s="2">
        <f t="shared" si="121"/>
        <v>24759.671989170914</v>
      </c>
      <c r="D1587" s="2">
        <v>13046</v>
      </c>
      <c r="E1587" s="2">
        <f t="shared" si="122"/>
        <v>1.3046</v>
      </c>
      <c r="F1587" s="2">
        <f t="shared" si="123"/>
        <v>-2.0752559833506723</v>
      </c>
      <c r="G1587" s="2">
        <f t="shared" si="124"/>
        <v>4.3066873964327659</v>
      </c>
    </row>
    <row r="1588" spans="1:7" x14ac:dyDescent="0.35">
      <c r="A1588" s="2">
        <v>1181</v>
      </c>
      <c r="B1588" s="2">
        <f t="shared" si="120"/>
        <v>-157.35206382240722</v>
      </c>
      <c r="C1588" s="2">
        <f t="shared" si="121"/>
        <v>24759.671989170914</v>
      </c>
      <c r="D1588" s="2">
        <v>16834</v>
      </c>
      <c r="E1588" s="2">
        <f t="shared" si="122"/>
        <v>1.6834</v>
      </c>
      <c r="F1588" s="2">
        <f t="shared" si="123"/>
        <v>-1.6964559833506725</v>
      </c>
      <c r="G1588" s="2">
        <f t="shared" si="124"/>
        <v>2.877962903446297</v>
      </c>
    </row>
    <row r="1589" spans="1:7" x14ac:dyDescent="0.35">
      <c r="A1589" s="2">
        <v>1181</v>
      </c>
      <c r="B1589" s="2">
        <f t="shared" si="120"/>
        <v>-157.35206382240722</v>
      </c>
      <c r="C1589" s="2">
        <f t="shared" si="121"/>
        <v>24759.671989170914</v>
      </c>
      <c r="D1589" s="2">
        <v>15195</v>
      </c>
      <c r="E1589" s="2">
        <f t="shared" si="122"/>
        <v>1.5195000000000001</v>
      </c>
      <c r="F1589" s="2">
        <f t="shared" si="123"/>
        <v>-1.8603559833506724</v>
      </c>
      <c r="G1589" s="2">
        <f t="shared" si="124"/>
        <v>3.4609243847886475</v>
      </c>
    </row>
    <row r="1590" spans="1:7" x14ac:dyDescent="0.35">
      <c r="A1590" s="2">
        <v>1181</v>
      </c>
      <c r="B1590" s="2">
        <f t="shared" si="120"/>
        <v>-157.35206382240722</v>
      </c>
      <c r="C1590" s="2">
        <f t="shared" si="121"/>
        <v>24759.671989170914</v>
      </c>
      <c r="D1590" s="2">
        <v>15635</v>
      </c>
      <c r="E1590" s="2">
        <f t="shared" si="122"/>
        <v>1.5634999999999999</v>
      </c>
      <c r="F1590" s="2">
        <f t="shared" si="123"/>
        <v>-1.8163559833506726</v>
      </c>
      <c r="G1590" s="2">
        <f t="shared" si="124"/>
        <v>3.2991490582537888</v>
      </c>
    </row>
    <row r="1591" spans="1:7" x14ac:dyDescent="0.35">
      <c r="A1591" s="2">
        <v>1181</v>
      </c>
      <c r="B1591" s="2">
        <f t="shared" si="120"/>
        <v>-157.35206382240722</v>
      </c>
      <c r="C1591" s="2">
        <f t="shared" si="121"/>
        <v>24759.671989170914</v>
      </c>
      <c r="D1591" s="2">
        <v>17619</v>
      </c>
      <c r="E1591" s="2">
        <f t="shared" si="122"/>
        <v>1.7619</v>
      </c>
      <c r="F1591" s="2">
        <f t="shared" si="123"/>
        <v>-1.6179559833506725</v>
      </c>
      <c r="G1591" s="2">
        <f t="shared" si="124"/>
        <v>2.6177815640602415</v>
      </c>
    </row>
    <row r="1592" spans="1:7" x14ac:dyDescent="0.35">
      <c r="A1592" s="2">
        <v>1181</v>
      </c>
      <c r="B1592" s="2">
        <f t="shared" si="120"/>
        <v>-157.35206382240722</v>
      </c>
      <c r="C1592" s="2">
        <f t="shared" si="121"/>
        <v>24759.671989170914</v>
      </c>
      <c r="D1592" s="2">
        <v>16273</v>
      </c>
      <c r="E1592" s="2">
        <f t="shared" si="122"/>
        <v>1.6273</v>
      </c>
      <c r="F1592" s="2">
        <f t="shared" si="123"/>
        <v>-1.7525559833506725</v>
      </c>
      <c r="G1592" s="2">
        <f t="shared" si="124"/>
        <v>3.0714524747782428</v>
      </c>
    </row>
    <row r="1593" spans="1:7" x14ac:dyDescent="0.35">
      <c r="A1593" s="2">
        <v>1181</v>
      </c>
      <c r="B1593" s="2">
        <f t="shared" si="120"/>
        <v>-157.35206382240722</v>
      </c>
      <c r="C1593" s="2">
        <f t="shared" si="121"/>
        <v>24759.671989170914</v>
      </c>
      <c r="D1593" s="2">
        <v>16409</v>
      </c>
      <c r="E1593" s="2">
        <f t="shared" si="122"/>
        <v>1.6409</v>
      </c>
      <c r="F1593" s="2">
        <f t="shared" si="123"/>
        <v>-1.7389559833506725</v>
      </c>
      <c r="G1593" s="2">
        <f t="shared" si="124"/>
        <v>3.0239679120311043</v>
      </c>
    </row>
    <row r="1594" spans="1:7" x14ac:dyDescent="0.35">
      <c r="A1594" s="2">
        <v>1181</v>
      </c>
      <c r="B1594" s="2">
        <f t="shared" si="120"/>
        <v>-157.35206382240722</v>
      </c>
      <c r="C1594" s="2">
        <f t="shared" si="121"/>
        <v>24759.671989170914</v>
      </c>
      <c r="D1594" s="2">
        <v>20279</v>
      </c>
      <c r="E1594" s="2">
        <f t="shared" si="122"/>
        <v>2.0278999999999998</v>
      </c>
      <c r="F1594" s="2">
        <f t="shared" si="123"/>
        <v>-1.3519559833506727</v>
      </c>
      <c r="G1594" s="2">
        <f t="shared" si="124"/>
        <v>1.8277849809176843</v>
      </c>
    </row>
    <row r="1595" spans="1:7" x14ac:dyDescent="0.35">
      <c r="A1595" s="2">
        <v>1181</v>
      </c>
      <c r="B1595" s="2">
        <f t="shared" si="120"/>
        <v>-157.35206382240722</v>
      </c>
      <c r="C1595" s="2">
        <f t="shared" si="121"/>
        <v>24759.671989170914</v>
      </c>
      <c r="D1595" s="2">
        <v>16451</v>
      </c>
      <c r="E1595" s="2">
        <f t="shared" si="122"/>
        <v>1.6451</v>
      </c>
      <c r="F1595" s="2">
        <f t="shared" si="123"/>
        <v>-1.7347559833506725</v>
      </c>
      <c r="G1595" s="2">
        <f t="shared" si="124"/>
        <v>3.0093783217709587</v>
      </c>
    </row>
    <row r="1596" spans="1:7" x14ac:dyDescent="0.35">
      <c r="A1596" s="2">
        <v>1181</v>
      </c>
      <c r="B1596" s="2">
        <f t="shared" si="120"/>
        <v>-157.35206382240722</v>
      </c>
      <c r="C1596" s="2">
        <f t="shared" si="121"/>
        <v>24759.671989170914</v>
      </c>
      <c r="D1596" s="2">
        <v>18576</v>
      </c>
      <c r="E1596" s="2">
        <f t="shared" si="122"/>
        <v>1.8575999999999999</v>
      </c>
      <c r="F1596" s="2">
        <f t="shared" si="123"/>
        <v>-1.5222559833506726</v>
      </c>
      <c r="G1596" s="2">
        <f t="shared" si="124"/>
        <v>2.317263278846923</v>
      </c>
    </row>
    <row r="1597" spans="1:7" x14ac:dyDescent="0.35">
      <c r="A1597" s="2">
        <v>1181</v>
      </c>
      <c r="B1597" s="2">
        <f t="shared" si="120"/>
        <v>-157.35206382240722</v>
      </c>
      <c r="C1597" s="2">
        <f t="shared" si="121"/>
        <v>24759.671989170914</v>
      </c>
      <c r="D1597" s="2">
        <v>16425</v>
      </c>
      <c r="E1597" s="2">
        <f t="shared" si="122"/>
        <v>1.6425000000000001</v>
      </c>
      <c r="F1597" s="2">
        <f t="shared" si="123"/>
        <v>-1.7373559833506724</v>
      </c>
      <c r="G1597" s="2">
        <f t="shared" si="124"/>
        <v>3.018405812884382</v>
      </c>
    </row>
    <row r="1598" spans="1:7" x14ac:dyDescent="0.35">
      <c r="A1598" s="2">
        <v>1181</v>
      </c>
      <c r="B1598" s="2">
        <f t="shared" si="120"/>
        <v>-157.35206382240722</v>
      </c>
      <c r="C1598" s="2">
        <f t="shared" si="121"/>
        <v>24759.671989170914</v>
      </c>
      <c r="D1598" s="2">
        <v>11681</v>
      </c>
      <c r="E1598" s="2">
        <f t="shared" si="122"/>
        <v>1.1680999999999999</v>
      </c>
      <c r="F1598" s="2">
        <f t="shared" si="123"/>
        <v>-2.2117559833506726</v>
      </c>
      <c r="G1598" s="2">
        <f t="shared" si="124"/>
        <v>4.891864529887501</v>
      </c>
    </row>
    <row r="1599" spans="1:7" x14ac:dyDescent="0.35">
      <c r="A1599" s="2">
        <v>1181</v>
      </c>
      <c r="B1599" s="2">
        <f t="shared" si="120"/>
        <v>-157.35206382240722</v>
      </c>
      <c r="C1599" s="2">
        <f t="shared" si="121"/>
        <v>24759.671989170914</v>
      </c>
      <c r="D1599" s="2">
        <v>8424</v>
      </c>
      <c r="E1599" s="2">
        <f t="shared" si="122"/>
        <v>0.84240000000000004</v>
      </c>
      <c r="F1599" s="2">
        <f t="shared" si="123"/>
        <v>-2.5374559833506725</v>
      </c>
      <c r="G1599" s="2">
        <f t="shared" si="124"/>
        <v>6.4386828674421279</v>
      </c>
    </row>
    <row r="1600" spans="1:7" x14ac:dyDescent="0.35">
      <c r="A1600" s="2">
        <v>1181</v>
      </c>
      <c r="B1600" s="2">
        <f t="shared" si="120"/>
        <v>-157.35206382240722</v>
      </c>
      <c r="C1600" s="2">
        <f t="shared" si="121"/>
        <v>24759.671989170914</v>
      </c>
      <c r="D1600" s="2">
        <v>17576</v>
      </c>
      <c r="E1600" s="2">
        <f t="shared" si="122"/>
        <v>1.7576000000000001</v>
      </c>
      <c r="F1600" s="2">
        <f t="shared" si="123"/>
        <v>-1.6222559833506724</v>
      </c>
      <c r="G1600" s="2">
        <f t="shared" si="124"/>
        <v>2.6317144755170574</v>
      </c>
    </row>
    <row r="1601" spans="1:7" x14ac:dyDescent="0.35">
      <c r="A1601" s="2">
        <v>1181</v>
      </c>
      <c r="B1601" s="2">
        <f t="shared" si="120"/>
        <v>-157.35206382240722</v>
      </c>
      <c r="C1601" s="2">
        <f t="shared" si="121"/>
        <v>24759.671989170914</v>
      </c>
      <c r="D1601" s="2">
        <v>19481</v>
      </c>
      <c r="E1601" s="2">
        <f t="shared" si="122"/>
        <v>1.9480999999999999</v>
      </c>
      <c r="F1601" s="2">
        <f t="shared" si="123"/>
        <v>-1.4317559833506726</v>
      </c>
      <c r="G1601" s="2">
        <f t="shared" si="124"/>
        <v>2.0499251958604514</v>
      </c>
    </row>
    <row r="1602" spans="1:7" x14ac:dyDescent="0.35">
      <c r="A1602" s="2">
        <v>1181</v>
      </c>
      <c r="B1602" s="2">
        <f t="shared" si="120"/>
        <v>-157.35206382240722</v>
      </c>
      <c r="C1602" s="2">
        <f t="shared" si="121"/>
        <v>24759.671989170914</v>
      </c>
      <c r="D1602" s="2">
        <v>18200</v>
      </c>
      <c r="E1602" s="2">
        <f t="shared" si="122"/>
        <v>1.82</v>
      </c>
      <c r="F1602" s="2">
        <f t="shared" si="123"/>
        <v>-1.5598559833506724</v>
      </c>
      <c r="G1602" s="2">
        <f t="shared" si="124"/>
        <v>2.4331506887948935</v>
      </c>
    </row>
    <row r="1603" spans="1:7" x14ac:dyDescent="0.35">
      <c r="A1603" s="2">
        <v>1181</v>
      </c>
      <c r="B1603" s="2">
        <f t="shared" ref="B1603:B1666" si="125">A1603-$J$1</f>
        <v>-157.35206382240722</v>
      </c>
      <c r="C1603" s="2">
        <f t="shared" ref="C1603:C1666" si="126">B1603^2</f>
        <v>24759.671989170914</v>
      </c>
      <c r="D1603" s="2">
        <v>21259</v>
      </c>
      <c r="E1603" s="2">
        <f t="shared" ref="E1603:E1666" si="127">D1603/10000</f>
        <v>2.1259000000000001</v>
      </c>
      <c r="F1603" s="2">
        <f t="shared" ref="F1603:F1666" si="128">E1603-$J$2</f>
        <v>-1.2539559833506724</v>
      </c>
      <c r="G1603" s="2">
        <f t="shared" ref="G1603:G1666" si="129">F1603^2</f>
        <v>1.5724056081809517</v>
      </c>
    </row>
    <row r="1604" spans="1:7" x14ac:dyDescent="0.35">
      <c r="A1604" s="2">
        <v>1181</v>
      </c>
      <c r="B1604" s="2">
        <f t="shared" si="125"/>
        <v>-157.35206382240722</v>
      </c>
      <c r="C1604" s="2">
        <f t="shared" si="126"/>
        <v>24759.671989170914</v>
      </c>
      <c r="D1604" s="2">
        <v>18631</v>
      </c>
      <c r="E1604" s="2">
        <f t="shared" si="127"/>
        <v>1.8631</v>
      </c>
      <c r="F1604" s="2">
        <f t="shared" si="128"/>
        <v>-1.5167559833506725</v>
      </c>
      <c r="G1604" s="2">
        <f t="shared" si="129"/>
        <v>2.3005487130300657</v>
      </c>
    </row>
    <row r="1605" spans="1:7" x14ac:dyDescent="0.35">
      <c r="A1605" s="2">
        <v>1181</v>
      </c>
      <c r="B1605" s="2">
        <f t="shared" si="125"/>
        <v>-157.35206382240722</v>
      </c>
      <c r="C1605" s="2">
        <f t="shared" si="126"/>
        <v>24759.671989170914</v>
      </c>
      <c r="D1605" s="2">
        <v>19125</v>
      </c>
      <c r="E1605" s="2">
        <f t="shared" si="127"/>
        <v>1.9125000000000001</v>
      </c>
      <c r="F1605" s="2">
        <f t="shared" si="128"/>
        <v>-1.4673559833506724</v>
      </c>
      <c r="G1605" s="2">
        <f t="shared" si="129"/>
        <v>2.1531335818750188</v>
      </c>
    </row>
    <row r="1606" spans="1:7" x14ac:dyDescent="0.35">
      <c r="A1606" s="2">
        <v>1181</v>
      </c>
      <c r="B1606" s="2">
        <f t="shared" si="125"/>
        <v>-157.35206382240722</v>
      </c>
      <c r="C1606" s="2">
        <f t="shared" si="126"/>
        <v>24759.671989170914</v>
      </c>
      <c r="D1606" s="2">
        <v>18453</v>
      </c>
      <c r="E1606" s="2">
        <f t="shared" si="127"/>
        <v>1.8452999999999999</v>
      </c>
      <c r="F1606" s="2">
        <f t="shared" si="128"/>
        <v>-1.5345559833506726</v>
      </c>
      <c r="G1606" s="2">
        <f t="shared" si="129"/>
        <v>2.3548620660373496</v>
      </c>
    </row>
    <row r="1607" spans="1:7" x14ac:dyDescent="0.35">
      <c r="A1607" s="2">
        <v>1181</v>
      </c>
      <c r="B1607" s="2">
        <f t="shared" si="125"/>
        <v>-157.35206382240722</v>
      </c>
      <c r="C1607" s="2">
        <f t="shared" si="126"/>
        <v>24759.671989170914</v>
      </c>
      <c r="D1607" s="2">
        <v>19174</v>
      </c>
      <c r="E1607" s="2">
        <f t="shared" si="127"/>
        <v>1.9174</v>
      </c>
      <c r="F1607" s="2">
        <f t="shared" si="128"/>
        <v>-1.4624559833506725</v>
      </c>
      <c r="G1607" s="2">
        <f t="shared" si="129"/>
        <v>2.1387775032381824</v>
      </c>
    </row>
    <row r="1608" spans="1:7" x14ac:dyDescent="0.35">
      <c r="A1608" s="2">
        <v>1181</v>
      </c>
      <c r="B1608" s="2">
        <f t="shared" si="125"/>
        <v>-157.35206382240722</v>
      </c>
      <c r="C1608" s="2">
        <f t="shared" si="126"/>
        <v>24759.671989170914</v>
      </c>
      <c r="D1608" s="2">
        <v>19585</v>
      </c>
      <c r="E1608" s="2">
        <f t="shared" si="127"/>
        <v>1.9584999999999999</v>
      </c>
      <c r="F1608" s="2">
        <f t="shared" si="128"/>
        <v>-1.4213559833506726</v>
      </c>
      <c r="G1608" s="2">
        <f t="shared" si="129"/>
        <v>2.0202528314067574</v>
      </c>
    </row>
    <row r="1609" spans="1:7" x14ac:dyDescent="0.35">
      <c r="A1609" s="2">
        <v>1181</v>
      </c>
      <c r="B1609" s="2">
        <f t="shared" si="125"/>
        <v>-157.35206382240722</v>
      </c>
      <c r="C1609" s="2">
        <f t="shared" si="126"/>
        <v>24759.671989170914</v>
      </c>
      <c r="D1609" s="2">
        <v>16946</v>
      </c>
      <c r="E1609" s="2">
        <f t="shared" si="127"/>
        <v>1.6946000000000001</v>
      </c>
      <c r="F1609" s="2">
        <f t="shared" si="128"/>
        <v>-1.6852559833506724</v>
      </c>
      <c r="G1609" s="2">
        <f t="shared" si="129"/>
        <v>2.8400877294192419</v>
      </c>
    </row>
    <row r="1610" spans="1:7" x14ac:dyDescent="0.35">
      <c r="A1610" s="2">
        <v>1181</v>
      </c>
      <c r="B1610" s="2">
        <f t="shared" si="125"/>
        <v>-157.35206382240722</v>
      </c>
      <c r="C1610" s="2">
        <f t="shared" si="126"/>
        <v>24759.671989170914</v>
      </c>
      <c r="D1610" s="2">
        <v>15604</v>
      </c>
      <c r="E1610" s="2">
        <f t="shared" si="127"/>
        <v>1.5604</v>
      </c>
      <c r="F1610" s="2">
        <f t="shared" si="128"/>
        <v>-1.8194559833506725</v>
      </c>
      <c r="G1610" s="2">
        <f t="shared" si="129"/>
        <v>3.3104200753505628</v>
      </c>
    </row>
    <row r="1611" spans="1:7" x14ac:dyDescent="0.35">
      <c r="A1611" s="2">
        <v>2875</v>
      </c>
      <c r="B1611" s="2">
        <f t="shared" si="125"/>
        <v>1536.6479361775928</v>
      </c>
      <c r="C1611" s="2">
        <f t="shared" si="126"/>
        <v>2361286.8797588553</v>
      </c>
      <c r="D1611" s="2">
        <v>26648</v>
      </c>
      <c r="E1611" s="2">
        <f t="shared" si="127"/>
        <v>2.6648000000000001</v>
      </c>
      <c r="F1611" s="2">
        <f t="shared" si="128"/>
        <v>-0.71505598335067244</v>
      </c>
      <c r="G1611" s="2">
        <f t="shared" si="129"/>
        <v>0.51130505932559711</v>
      </c>
    </row>
    <row r="1612" spans="1:7" x14ac:dyDescent="0.35">
      <c r="A1612" s="2">
        <v>2875</v>
      </c>
      <c r="B1612" s="2">
        <f t="shared" si="125"/>
        <v>1536.6479361775928</v>
      </c>
      <c r="C1612" s="2">
        <f t="shared" si="126"/>
        <v>2361286.8797588553</v>
      </c>
      <c r="D1612" s="2">
        <v>26399</v>
      </c>
      <c r="E1612" s="2">
        <f t="shared" si="127"/>
        <v>2.6398999999999999</v>
      </c>
      <c r="F1612" s="2">
        <f t="shared" si="128"/>
        <v>-0.73995598335067259</v>
      </c>
      <c r="G1612" s="2">
        <f t="shared" si="129"/>
        <v>0.5475348572964609</v>
      </c>
    </row>
    <row r="1613" spans="1:7" x14ac:dyDescent="0.35">
      <c r="A1613" s="2">
        <v>2875</v>
      </c>
      <c r="B1613" s="2">
        <f t="shared" si="125"/>
        <v>1536.6479361775928</v>
      </c>
      <c r="C1613" s="2">
        <f t="shared" si="126"/>
        <v>2361286.8797588553</v>
      </c>
      <c r="D1613" s="2">
        <v>24686</v>
      </c>
      <c r="E1613" s="2">
        <f t="shared" si="127"/>
        <v>2.4685999999999999</v>
      </c>
      <c r="F1613" s="2">
        <f t="shared" si="128"/>
        <v>-0.91125598335067259</v>
      </c>
      <c r="G1613" s="2">
        <f t="shared" si="129"/>
        <v>0.83038746719240131</v>
      </c>
    </row>
    <row r="1614" spans="1:7" x14ac:dyDescent="0.35">
      <c r="A1614" s="2">
        <v>2875</v>
      </c>
      <c r="B1614" s="2">
        <f t="shared" si="125"/>
        <v>1536.6479361775928</v>
      </c>
      <c r="C1614" s="2">
        <f t="shared" si="126"/>
        <v>2361286.8797588553</v>
      </c>
      <c r="D1614" s="2">
        <v>26251</v>
      </c>
      <c r="E1614" s="2">
        <f t="shared" si="127"/>
        <v>2.6251000000000002</v>
      </c>
      <c r="F1614" s="2">
        <f t="shared" si="128"/>
        <v>-0.75475598335067229</v>
      </c>
      <c r="G1614" s="2">
        <f t="shared" si="129"/>
        <v>0.56965659440364036</v>
      </c>
    </row>
    <row r="1615" spans="1:7" x14ac:dyDescent="0.35">
      <c r="A1615" s="2">
        <v>2875</v>
      </c>
      <c r="B1615" s="2">
        <f t="shared" si="125"/>
        <v>1536.6479361775928</v>
      </c>
      <c r="C1615" s="2">
        <f t="shared" si="126"/>
        <v>2361286.8797588553</v>
      </c>
      <c r="D1615" s="2">
        <v>27694</v>
      </c>
      <c r="E1615" s="2">
        <f t="shared" si="127"/>
        <v>2.7694000000000001</v>
      </c>
      <c r="F1615" s="2">
        <f t="shared" si="128"/>
        <v>-0.61045598335067242</v>
      </c>
      <c r="G1615" s="2">
        <f t="shared" si="129"/>
        <v>0.37265650760863644</v>
      </c>
    </row>
    <row r="1616" spans="1:7" x14ac:dyDescent="0.35">
      <c r="A1616" s="2">
        <v>2875</v>
      </c>
      <c r="B1616" s="2">
        <f t="shared" si="125"/>
        <v>1536.6479361775928</v>
      </c>
      <c r="C1616" s="2">
        <f t="shared" si="126"/>
        <v>2361286.8797588553</v>
      </c>
      <c r="D1616" s="2">
        <v>28178</v>
      </c>
      <c r="E1616" s="2">
        <f t="shared" si="127"/>
        <v>2.8178000000000001</v>
      </c>
      <c r="F1616" s="2">
        <f t="shared" si="128"/>
        <v>-0.56205598335067242</v>
      </c>
      <c r="G1616" s="2">
        <f t="shared" si="129"/>
        <v>0.31590692842029133</v>
      </c>
    </row>
    <row r="1617" spans="1:7" x14ac:dyDescent="0.35">
      <c r="A1617" s="2">
        <v>2875</v>
      </c>
      <c r="B1617" s="2">
        <f t="shared" si="125"/>
        <v>1536.6479361775928</v>
      </c>
      <c r="C1617" s="2">
        <f t="shared" si="126"/>
        <v>2361286.8797588553</v>
      </c>
      <c r="D1617" s="2">
        <v>29918</v>
      </c>
      <c r="E1617" s="2">
        <f t="shared" si="127"/>
        <v>2.9918</v>
      </c>
      <c r="F1617" s="2">
        <f t="shared" si="128"/>
        <v>-0.38805598335067248</v>
      </c>
      <c r="G1617" s="2">
        <f t="shared" si="129"/>
        <v>0.1505874462142574</v>
      </c>
    </row>
    <row r="1618" spans="1:7" x14ac:dyDescent="0.35">
      <c r="A1618" s="2">
        <v>2875</v>
      </c>
      <c r="B1618" s="2">
        <f t="shared" si="125"/>
        <v>1536.6479361775928</v>
      </c>
      <c r="C1618" s="2">
        <f t="shared" si="126"/>
        <v>2361286.8797588553</v>
      </c>
      <c r="D1618" s="2">
        <v>30348</v>
      </c>
      <c r="E1618" s="2">
        <f t="shared" si="127"/>
        <v>3.0348000000000002</v>
      </c>
      <c r="F1618" s="2">
        <f t="shared" si="128"/>
        <v>-0.34505598335067234</v>
      </c>
      <c r="G1618" s="2">
        <f t="shared" si="129"/>
        <v>0.11906363164609947</v>
      </c>
    </row>
    <row r="1619" spans="1:7" x14ac:dyDescent="0.35">
      <c r="A1619" s="2">
        <v>2875</v>
      </c>
      <c r="B1619" s="2">
        <f t="shared" si="125"/>
        <v>1536.6479361775928</v>
      </c>
      <c r="C1619" s="2">
        <f t="shared" si="126"/>
        <v>2361286.8797588553</v>
      </c>
      <c r="D1619" s="2">
        <v>30614</v>
      </c>
      <c r="E1619" s="2">
        <f t="shared" si="127"/>
        <v>3.0613999999999999</v>
      </c>
      <c r="F1619" s="2">
        <f t="shared" si="128"/>
        <v>-0.3184559833506726</v>
      </c>
      <c r="G1619" s="2">
        <f t="shared" si="129"/>
        <v>0.10141421333184386</v>
      </c>
    </row>
    <row r="1620" spans="1:7" x14ac:dyDescent="0.35">
      <c r="A1620" s="2">
        <v>2875</v>
      </c>
      <c r="B1620" s="2">
        <f t="shared" si="125"/>
        <v>1536.6479361775928</v>
      </c>
      <c r="C1620" s="2">
        <f t="shared" si="126"/>
        <v>2361286.8797588553</v>
      </c>
      <c r="D1620" s="2">
        <v>31619</v>
      </c>
      <c r="E1620" s="2">
        <f t="shared" si="127"/>
        <v>3.1619000000000002</v>
      </c>
      <c r="F1620" s="2">
        <f t="shared" si="128"/>
        <v>-0.21795598335067234</v>
      </c>
      <c r="G1620" s="2">
        <f t="shared" si="129"/>
        <v>4.7504810678358558E-2</v>
      </c>
    </row>
    <row r="1621" spans="1:7" x14ac:dyDescent="0.35">
      <c r="A1621" s="2">
        <v>2875</v>
      </c>
      <c r="B1621" s="2">
        <f t="shared" si="125"/>
        <v>1536.6479361775928</v>
      </c>
      <c r="C1621" s="2">
        <f t="shared" si="126"/>
        <v>2361286.8797588553</v>
      </c>
      <c r="D1621" s="2">
        <v>32510</v>
      </c>
      <c r="E1621" s="2">
        <f t="shared" si="127"/>
        <v>3.2509999999999999</v>
      </c>
      <c r="F1621" s="2">
        <f t="shared" si="128"/>
        <v>-0.12885598335067261</v>
      </c>
      <c r="G1621" s="2">
        <f t="shared" si="129"/>
        <v>1.6603864445268818E-2</v>
      </c>
    </row>
    <row r="1622" spans="1:7" x14ac:dyDescent="0.35">
      <c r="A1622" s="2">
        <v>2875</v>
      </c>
      <c r="B1622" s="2">
        <f t="shared" si="125"/>
        <v>1536.6479361775928</v>
      </c>
      <c r="C1622" s="2">
        <f t="shared" si="126"/>
        <v>2361286.8797588553</v>
      </c>
      <c r="D1622" s="2">
        <v>30676</v>
      </c>
      <c r="E1622" s="2">
        <f t="shared" si="127"/>
        <v>3.0676000000000001</v>
      </c>
      <c r="F1622" s="2">
        <f t="shared" si="128"/>
        <v>-0.31225598335067239</v>
      </c>
      <c r="G1622" s="2">
        <f t="shared" si="129"/>
        <v>9.7503799138295391E-2</v>
      </c>
    </row>
    <row r="1623" spans="1:7" x14ac:dyDescent="0.35">
      <c r="A1623" s="2">
        <v>2875</v>
      </c>
      <c r="B1623" s="2">
        <f t="shared" si="125"/>
        <v>1536.6479361775928</v>
      </c>
      <c r="C1623" s="2">
        <f t="shared" si="126"/>
        <v>2361286.8797588553</v>
      </c>
      <c r="D1623" s="2">
        <v>28829</v>
      </c>
      <c r="E1623" s="2">
        <f t="shared" si="127"/>
        <v>2.8828999999999998</v>
      </c>
      <c r="F1623" s="2">
        <f t="shared" si="128"/>
        <v>-0.4969559833506727</v>
      </c>
      <c r="G1623" s="2">
        <f t="shared" si="129"/>
        <v>0.24696524938803407</v>
      </c>
    </row>
    <row r="1624" spans="1:7" x14ac:dyDescent="0.35">
      <c r="A1624" s="2">
        <v>2875</v>
      </c>
      <c r="B1624" s="2">
        <f t="shared" si="125"/>
        <v>1536.6479361775928</v>
      </c>
      <c r="C1624" s="2">
        <f t="shared" si="126"/>
        <v>2361286.8797588553</v>
      </c>
      <c r="D1624" s="2">
        <v>29415</v>
      </c>
      <c r="E1624" s="2">
        <f t="shared" si="127"/>
        <v>2.9415</v>
      </c>
      <c r="F1624" s="2">
        <f t="shared" si="128"/>
        <v>-0.4383559833506725</v>
      </c>
      <c r="G1624" s="2">
        <f t="shared" si="129"/>
        <v>0.19215596813933505</v>
      </c>
    </row>
    <row r="1625" spans="1:7" x14ac:dyDescent="0.35">
      <c r="A1625" s="2">
        <v>2875</v>
      </c>
      <c r="B1625" s="2">
        <f t="shared" si="125"/>
        <v>1536.6479361775928</v>
      </c>
      <c r="C1625" s="2">
        <f t="shared" si="126"/>
        <v>2361286.8797588553</v>
      </c>
      <c r="D1625" s="2">
        <v>30640</v>
      </c>
      <c r="E1625" s="2">
        <f t="shared" si="127"/>
        <v>3.0640000000000001</v>
      </c>
      <c r="F1625" s="2">
        <f t="shared" si="128"/>
        <v>-0.31585598335067244</v>
      </c>
      <c r="G1625" s="2">
        <f t="shared" si="129"/>
        <v>9.9765002218420273E-2</v>
      </c>
    </row>
    <row r="1626" spans="1:7" x14ac:dyDescent="0.35">
      <c r="A1626" s="2">
        <v>2875</v>
      </c>
      <c r="B1626" s="2">
        <f t="shared" si="125"/>
        <v>1536.6479361775928</v>
      </c>
      <c r="C1626" s="2">
        <f t="shared" si="126"/>
        <v>2361286.8797588553</v>
      </c>
      <c r="D1626" s="2">
        <v>31101</v>
      </c>
      <c r="E1626" s="2">
        <f t="shared" si="127"/>
        <v>3.1101000000000001</v>
      </c>
      <c r="F1626" s="2">
        <f t="shared" si="128"/>
        <v>-0.26975598335067241</v>
      </c>
      <c r="G1626" s="2">
        <f t="shared" si="129"/>
        <v>7.2768290553488255E-2</v>
      </c>
    </row>
    <row r="1627" spans="1:7" x14ac:dyDescent="0.35">
      <c r="A1627" s="2">
        <v>2875</v>
      </c>
      <c r="B1627" s="2">
        <f t="shared" si="125"/>
        <v>1536.6479361775928</v>
      </c>
      <c r="C1627" s="2">
        <f t="shared" si="126"/>
        <v>2361286.8797588553</v>
      </c>
      <c r="D1627" s="2">
        <v>32385</v>
      </c>
      <c r="E1627" s="2">
        <f t="shared" si="127"/>
        <v>3.2385000000000002</v>
      </c>
      <c r="F1627" s="2">
        <f t="shared" si="128"/>
        <v>-0.14135598335067234</v>
      </c>
      <c r="G1627" s="2">
        <f t="shared" si="129"/>
        <v>1.9981514029035558E-2</v>
      </c>
    </row>
    <row r="1628" spans="1:7" x14ac:dyDescent="0.35">
      <c r="A1628" s="2">
        <v>2875</v>
      </c>
      <c r="B1628" s="2">
        <f t="shared" si="125"/>
        <v>1536.6479361775928</v>
      </c>
      <c r="C1628" s="2">
        <f t="shared" si="126"/>
        <v>2361286.8797588553</v>
      </c>
      <c r="D1628" s="2">
        <v>33260</v>
      </c>
      <c r="E1628" s="2">
        <f t="shared" si="127"/>
        <v>3.3260000000000001</v>
      </c>
      <c r="F1628" s="2">
        <f t="shared" si="128"/>
        <v>-5.3855983350672432E-2</v>
      </c>
      <c r="G1628" s="2">
        <f t="shared" si="129"/>
        <v>2.900466942667906E-3</v>
      </c>
    </row>
    <row r="1629" spans="1:7" x14ac:dyDescent="0.35">
      <c r="A1629" s="2">
        <v>2875</v>
      </c>
      <c r="B1629" s="2">
        <f t="shared" si="125"/>
        <v>1536.6479361775928</v>
      </c>
      <c r="C1629" s="2">
        <f t="shared" si="126"/>
        <v>2361286.8797588553</v>
      </c>
      <c r="D1629" s="2">
        <v>34221</v>
      </c>
      <c r="E1629" s="2">
        <f t="shared" si="127"/>
        <v>3.4220999999999999</v>
      </c>
      <c r="F1629" s="2">
        <f t="shared" si="128"/>
        <v>4.2244016649327421E-2</v>
      </c>
      <c r="G1629" s="2">
        <f t="shared" si="129"/>
        <v>1.7845569426686522E-3</v>
      </c>
    </row>
    <row r="1630" spans="1:7" x14ac:dyDescent="0.35">
      <c r="A1630" s="2">
        <v>2875</v>
      </c>
      <c r="B1630" s="2">
        <f t="shared" si="125"/>
        <v>1536.6479361775928</v>
      </c>
      <c r="C1630" s="2">
        <f t="shared" si="126"/>
        <v>2361286.8797588553</v>
      </c>
      <c r="D1630" s="2">
        <v>33907</v>
      </c>
      <c r="E1630" s="2">
        <f t="shared" si="127"/>
        <v>3.3906999999999998</v>
      </c>
      <c r="F1630" s="2">
        <f t="shared" si="128"/>
        <v>1.0844016649327326E-2</v>
      </c>
      <c r="G1630" s="2">
        <f t="shared" si="129"/>
        <v>1.1759269709088825E-4</v>
      </c>
    </row>
    <row r="1631" spans="1:7" x14ac:dyDescent="0.35">
      <c r="A1631" s="2">
        <v>2875</v>
      </c>
      <c r="B1631" s="2">
        <f t="shared" si="125"/>
        <v>1536.6479361775928</v>
      </c>
      <c r="C1631" s="2">
        <f t="shared" si="126"/>
        <v>2361286.8797588553</v>
      </c>
      <c r="D1631" s="2">
        <v>35277</v>
      </c>
      <c r="E1631" s="2">
        <f t="shared" si="127"/>
        <v>3.5276999999999998</v>
      </c>
      <c r="F1631" s="2">
        <f t="shared" si="128"/>
        <v>0.14784401664932734</v>
      </c>
      <c r="G1631" s="2">
        <f t="shared" si="129"/>
        <v>2.185785325900658E-2</v>
      </c>
    </row>
    <row r="1632" spans="1:7" x14ac:dyDescent="0.35">
      <c r="A1632" s="2">
        <v>2875</v>
      </c>
      <c r="B1632" s="2">
        <f t="shared" si="125"/>
        <v>1536.6479361775928</v>
      </c>
      <c r="C1632" s="2">
        <f t="shared" si="126"/>
        <v>2361286.8797588553</v>
      </c>
      <c r="D1632" s="2">
        <v>35836</v>
      </c>
      <c r="E1632" s="2">
        <f t="shared" si="127"/>
        <v>3.5836000000000001</v>
      </c>
      <c r="F1632" s="2">
        <f t="shared" si="128"/>
        <v>0.20374401664932762</v>
      </c>
      <c r="G1632" s="2">
        <f t="shared" si="129"/>
        <v>4.1511624320401487E-2</v>
      </c>
    </row>
    <row r="1633" spans="1:7" x14ac:dyDescent="0.35">
      <c r="A1633" s="2">
        <v>2875</v>
      </c>
      <c r="B1633" s="2">
        <f t="shared" si="125"/>
        <v>1536.6479361775928</v>
      </c>
      <c r="C1633" s="2">
        <f t="shared" si="126"/>
        <v>2361286.8797588553</v>
      </c>
      <c r="D1633" s="2">
        <v>37205</v>
      </c>
      <c r="E1633" s="2">
        <f t="shared" si="127"/>
        <v>3.7204999999999999</v>
      </c>
      <c r="F1633" s="2">
        <f t="shared" si="128"/>
        <v>0.34064401664932742</v>
      </c>
      <c r="G1633" s="2">
        <f t="shared" si="129"/>
        <v>0.11603834607898726</v>
      </c>
    </row>
    <row r="1634" spans="1:7" x14ac:dyDescent="0.35">
      <c r="A1634" s="2">
        <v>2875</v>
      </c>
      <c r="B1634" s="2">
        <f t="shared" si="125"/>
        <v>1536.6479361775928</v>
      </c>
      <c r="C1634" s="2">
        <f t="shared" si="126"/>
        <v>2361286.8797588553</v>
      </c>
      <c r="D1634" s="2">
        <v>36361</v>
      </c>
      <c r="E1634" s="2">
        <f t="shared" si="127"/>
        <v>3.6360999999999999</v>
      </c>
      <c r="F1634" s="2">
        <f t="shared" si="128"/>
        <v>0.25624401664932739</v>
      </c>
      <c r="G1634" s="2">
        <f t="shared" si="129"/>
        <v>6.5660996068580765E-2</v>
      </c>
    </row>
    <row r="1635" spans="1:7" x14ac:dyDescent="0.35">
      <c r="A1635" s="2">
        <v>2875</v>
      </c>
      <c r="B1635" s="2">
        <f t="shared" si="125"/>
        <v>1536.6479361775928</v>
      </c>
      <c r="C1635" s="2">
        <f t="shared" si="126"/>
        <v>2361286.8797588553</v>
      </c>
      <c r="D1635" s="2">
        <v>37468</v>
      </c>
      <c r="E1635" s="2">
        <f t="shared" si="127"/>
        <v>3.7467999999999999</v>
      </c>
      <c r="F1635" s="2">
        <f t="shared" si="128"/>
        <v>0.36694401664932741</v>
      </c>
      <c r="G1635" s="2">
        <f t="shared" si="129"/>
        <v>0.13464791135474188</v>
      </c>
    </row>
    <row r="1636" spans="1:7" x14ac:dyDescent="0.35">
      <c r="A1636" s="2">
        <v>2875</v>
      </c>
      <c r="B1636" s="2">
        <f t="shared" si="125"/>
        <v>1536.6479361775928</v>
      </c>
      <c r="C1636" s="2">
        <f t="shared" si="126"/>
        <v>2361286.8797588553</v>
      </c>
      <c r="D1636" s="2">
        <v>37972</v>
      </c>
      <c r="E1636" s="2">
        <f t="shared" si="127"/>
        <v>3.7972000000000001</v>
      </c>
      <c r="F1636" s="2">
        <f t="shared" si="128"/>
        <v>0.41734401664932763</v>
      </c>
      <c r="G1636" s="2">
        <f t="shared" si="129"/>
        <v>0.17417602823299425</v>
      </c>
    </row>
    <row r="1637" spans="1:7" x14ac:dyDescent="0.35">
      <c r="A1637" s="2">
        <v>2875</v>
      </c>
      <c r="B1637" s="2">
        <f t="shared" si="125"/>
        <v>1536.6479361775928</v>
      </c>
      <c r="C1637" s="2">
        <f t="shared" si="126"/>
        <v>2361286.8797588553</v>
      </c>
      <c r="D1637" s="2">
        <v>38763</v>
      </c>
      <c r="E1637" s="2">
        <f t="shared" si="127"/>
        <v>3.8763000000000001</v>
      </c>
      <c r="F1637" s="2">
        <f t="shared" si="128"/>
        <v>0.49644401664932758</v>
      </c>
      <c r="G1637" s="2">
        <f t="shared" si="129"/>
        <v>0.24645666166691785</v>
      </c>
    </row>
    <row r="1638" spans="1:7" x14ac:dyDescent="0.35">
      <c r="A1638" s="2">
        <v>2875</v>
      </c>
      <c r="B1638" s="2">
        <f t="shared" si="125"/>
        <v>1536.6479361775928</v>
      </c>
      <c r="C1638" s="2">
        <f t="shared" si="126"/>
        <v>2361286.8797588553</v>
      </c>
      <c r="D1638" s="2">
        <v>29855</v>
      </c>
      <c r="E1638" s="2">
        <f t="shared" si="127"/>
        <v>2.9855</v>
      </c>
      <c r="F1638" s="2">
        <f t="shared" si="128"/>
        <v>-0.39435598335067246</v>
      </c>
      <c r="G1638" s="2">
        <f t="shared" si="129"/>
        <v>0.15551664160447584</v>
      </c>
    </row>
    <row r="1639" spans="1:7" x14ac:dyDescent="0.35">
      <c r="A1639" s="2">
        <v>2875</v>
      </c>
      <c r="B1639" s="2">
        <f t="shared" si="125"/>
        <v>1536.6479361775928</v>
      </c>
      <c r="C1639" s="2">
        <f t="shared" si="126"/>
        <v>2361286.8797588553</v>
      </c>
      <c r="D1639" s="2">
        <v>28551</v>
      </c>
      <c r="E1639" s="2">
        <f t="shared" si="127"/>
        <v>2.8551000000000002</v>
      </c>
      <c r="F1639" s="2">
        <f t="shared" si="128"/>
        <v>-0.52475598335067231</v>
      </c>
      <c r="G1639" s="2">
        <f t="shared" si="129"/>
        <v>0.27536884206233109</v>
      </c>
    </row>
    <row r="1640" spans="1:7" x14ac:dyDescent="0.35">
      <c r="A1640" s="2">
        <v>2875</v>
      </c>
      <c r="B1640" s="2">
        <f t="shared" si="125"/>
        <v>1536.6479361775928</v>
      </c>
      <c r="C1640" s="2">
        <f t="shared" si="126"/>
        <v>2361286.8797588553</v>
      </c>
      <c r="D1640" s="2">
        <v>31807</v>
      </c>
      <c r="E1640" s="2">
        <f t="shared" si="127"/>
        <v>3.1806999999999999</v>
      </c>
      <c r="F1640" s="2">
        <f t="shared" si="128"/>
        <v>-0.19915598335067264</v>
      </c>
      <c r="G1640" s="2">
        <f t="shared" si="129"/>
        <v>3.9663105704373397E-2</v>
      </c>
    </row>
    <row r="1641" spans="1:7" x14ac:dyDescent="0.35">
      <c r="A1641" s="2">
        <v>282</v>
      </c>
      <c r="B1641" s="2">
        <f t="shared" si="125"/>
        <v>-1056.3520638224072</v>
      </c>
      <c r="C1641" s="2">
        <f t="shared" si="126"/>
        <v>1115879.682741859</v>
      </c>
      <c r="D1641" s="2">
        <v>11569</v>
      </c>
      <c r="E1641" s="2">
        <f t="shared" si="127"/>
        <v>1.1569</v>
      </c>
      <c r="F1641" s="2">
        <f t="shared" si="128"/>
        <v>-2.2229559833506727</v>
      </c>
      <c r="G1641" s="2">
        <f t="shared" si="129"/>
        <v>4.9415333039145564</v>
      </c>
    </row>
    <row r="1642" spans="1:7" x14ac:dyDescent="0.35">
      <c r="A1642" s="2">
        <v>282</v>
      </c>
      <c r="B1642" s="2">
        <f t="shared" si="125"/>
        <v>-1056.3520638224072</v>
      </c>
      <c r="C1642" s="2">
        <f t="shared" si="126"/>
        <v>1115879.682741859</v>
      </c>
      <c r="D1642" s="2">
        <v>11812</v>
      </c>
      <c r="E1642" s="2">
        <f t="shared" si="127"/>
        <v>1.1812</v>
      </c>
      <c r="F1642" s="2">
        <f t="shared" si="128"/>
        <v>-2.1986559833506725</v>
      </c>
      <c r="G1642" s="2">
        <f t="shared" si="129"/>
        <v>4.8340881331237124</v>
      </c>
    </row>
    <row r="1643" spans="1:7" x14ac:dyDescent="0.35">
      <c r="A1643" s="2">
        <v>282</v>
      </c>
      <c r="B1643" s="2">
        <f t="shared" si="125"/>
        <v>-1056.3520638224072</v>
      </c>
      <c r="C1643" s="2">
        <f t="shared" si="126"/>
        <v>1115879.682741859</v>
      </c>
      <c r="D1643" s="2">
        <v>14506</v>
      </c>
      <c r="E1643" s="2">
        <f t="shared" si="127"/>
        <v>1.4505999999999999</v>
      </c>
      <c r="F1643" s="2">
        <f t="shared" si="128"/>
        <v>-1.9292559833506726</v>
      </c>
      <c r="G1643" s="2">
        <f t="shared" si="129"/>
        <v>3.7220286492943706</v>
      </c>
    </row>
    <row r="1644" spans="1:7" x14ac:dyDescent="0.35">
      <c r="A1644" s="2">
        <v>282</v>
      </c>
      <c r="B1644" s="2">
        <f t="shared" si="125"/>
        <v>-1056.3520638224072</v>
      </c>
      <c r="C1644" s="2">
        <f t="shared" si="126"/>
        <v>1115879.682741859</v>
      </c>
      <c r="D1644" s="2">
        <v>14626</v>
      </c>
      <c r="E1644" s="2">
        <f t="shared" si="127"/>
        <v>1.4625999999999999</v>
      </c>
      <c r="F1644" s="2">
        <f t="shared" si="128"/>
        <v>-1.9172559833506726</v>
      </c>
      <c r="G1644" s="2">
        <f t="shared" si="129"/>
        <v>3.6758705056939545</v>
      </c>
    </row>
    <row r="1645" spans="1:7" x14ac:dyDescent="0.35">
      <c r="A1645" s="2">
        <v>282</v>
      </c>
      <c r="B1645" s="2">
        <f t="shared" si="125"/>
        <v>-1056.3520638224072</v>
      </c>
      <c r="C1645" s="2">
        <f t="shared" si="126"/>
        <v>1115879.682741859</v>
      </c>
      <c r="D1645" s="2">
        <v>14360</v>
      </c>
      <c r="E1645" s="2">
        <f t="shared" si="127"/>
        <v>1.4359999999999999</v>
      </c>
      <c r="F1645" s="2">
        <f t="shared" si="128"/>
        <v>-1.9438559833506726</v>
      </c>
      <c r="G1645" s="2">
        <f t="shared" si="129"/>
        <v>3.7785760840082103</v>
      </c>
    </row>
    <row r="1646" spans="1:7" x14ac:dyDescent="0.35">
      <c r="A1646" s="2">
        <v>282</v>
      </c>
      <c r="B1646" s="2">
        <f t="shared" si="125"/>
        <v>-1056.3520638224072</v>
      </c>
      <c r="C1646" s="2">
        <f t="shared" si="126"/>
        <v>1115879.682741859</v>
      </c>
      <c r="D1646" s="2">
        <v>17274</v>
      </c>
      <c r="E1646" s="2">
        <f t="shared" si="127"/>
        <v>1.7274</v>
      </c>
      <c r="F1646" s="2">
        <f t="shared" si="128"/>
        <v>-1.6524559833506725</v>
      </c>
      <c r="G1646" s="2">
        <f t="shared" si="129"/>
        <v>2.7306107769114378</v>
      </c>
    </row>
    <row r="1647" spans="1:7" x14ac:dyDescent="0.35">
      <c r="A1647" s="2">
        <v>282</v>
      </c>
      <c r="B1647" s="2">
        <f t="shared" si="125"/>
        <v>-1056.3520638224072</v>
      </c>
      <c r="C1647" s="2">
        <f t="shared" si="126"/>
        <v>1115879.682741859</v>
      </c>
      <c r="D1647" s="2">
        <v>17583</v>
      </c>
      <c r="E1647" s="2">
        <f t="shared" si="127"/>
        <v>1.7583</v>
      </c>
      <c r="F1647" s="2">
        <f t="shared" si="128"/>
        <v>-1.6215559833506725</v>
      </c>
      <c r="G1647" s="2">
        <f t="shared" si="129"/>
        <v>2.6294438071403667</v>
      </c>
    </row>
    <row r="1648" spans="1:7" x14ac:dyDescent="0.35">
      <c r="A1648" s="2">
        <v>282</v>
      </c>
      <c r="B1648" s="2">
        <f t="shared" si="125"/>
        <v>-1056.3520638224072</v>
      </c>
      <c r="C1648" s="2">
        <f t="shared" si="126"/>
        <v>1115879.682741859</v>
      </c>
      <c r="D1648" s="2">
        <v>17350</v>
      </c>
      <c r="E1648" s="2">
        <f t="shared" si="127"/>
        <v>1.7350000000000001</v>
      </c>
      <c r="F1648" s="2">
        <f t="shared" si="128"/>
        <v>-1.6448559833506724</v>
      </c>
      <c r="G1648" s="2">
        <f t="shared" si="129"/>
        <v>2.7055512059645075</v>
      </c>
    </row>
    <row r="1649" spans="1:7" x14ac:dyDescent="0.35">
      <c r="A1649" s="2">
        <v>282</v>
      </c>
      <c r="B1649" s="2">
        <f t="shared" si="125"/>
        <v>-1056.3520638224072</v>
      </c>
      <c r="C1649" s="2">
        <f t="shared" si="126"/>
        <v>1115879.682741859</v>
      </c>
      <c r="D1649" s="2">
        <v>16518</v>
      </c>
      <c r="E1649" s="2">
        <f t="shared" si="127"/>
        <v>1.6517999999999999</v>
      </c>
      <c r="F1649" s="2">
        <f t="shared" si="128"/>
        <v>-1.7280559833506726</v>
      </c>
      <c r="G1649" s="2">
        <f t="shared" si="129"/>
        <v>2.9861774815940598</v>
      </c>
    </row>
    <row r="1650" spans="1:7" x14ac:dyDescent="0.35">
      <c r="A1650" s="2">
        <v>282</v>
      </c>
      <c r="B1650" s="2">
        <f t="shared" si="125"/>
        <v>-1056.3520638224072</v>
      </c>
      <c r="C1650" s="2">
        <f t="shared" si="126"/>
        <v>1115879.682741859</v>
      </c>
      <c r="D1650" s="2">
        <v>15484</v>
      </c>
      <c r="E1650" s="2">
        <f t="shared" si="127"/>
        <v>1.5484</v>
      </c>
      <c r="F1650" s="2">
        <f t="shared" si="128"/>
        <v>-1.8314559833506725</v>
      </c>
      <c r="G1650" s="2">
        <f t="shared" si="129"/>
        <v>3.354231018950979</v>
      </c>
    </row>
    <row r="1651" spans="1:7" x14ac:dyDescent="0.35">
      <c r="A1651" s="2">
        <v>282</v>
      </c>
      <c r="B1651" s="2">
        <f t="shared" si="125"/>
        <v>-1056.3520638224072</v>
      </c>
      <c r="C1651" s="2">
        <f t="shared" si="126"/>
        <v>1115879.682741859</v>
      </c>
      <c r="D1651" s="2">
        <v>19140</v>
      </c>
      <c r="E1651" s="2">
        <f t="shared" si="127"/>
        <v>1.9139999999999999</v>
      </c>
      <c r="F1651" s="2">
        <f t="shared" si="128"/>
        <v>-1.4658559833506726</v>
      </c>
      <c r="G1651" s="2">
        <f t="shared" si="129"/>
        <v>2.1487337639249673</v>
      </c>
    </row>
    <row r="1652" spans="1:7" x14ac:dyDescent="0.35">
      <c r="A1652" s="2">
        <v>282</v>
      </c>
      <c r="B1652" s="2">
        <f t="shared" si="125"/>
        <v>-1056.3520638224072</v>
      </c>
      <c r="C1652" s="2">
        <f t="shared" si="126"/>
        <v>1115879.682741859</v>
      </c>
      <c r="D1652" s="2">
        <v>17554</v>
      </c>
      <c r="E1652" s="2">
        <f t="shared" si="127"/>
        <v>1.7554000000000001</v>
      </c>
      <c r="F1652" s="2">
        <f t="shared" si="128"/>
        <v>-1.6244559833506724</v>
      </c>
      <c r="G1652" s="2">
        <f t="shared" si="129"/>
        <v>2.6388572418438003</v>
      </c>
    </row>
    <row r="1653" spans="1:7" x14ac:dyDescent="0.35">
      <c r="A1653" s="2">
        <v>282</v>
      </c>
      <c r="B1653" s="2">
        <f t="shared" si="125"/>
        <v>-1056.3520638224072</v>
      </c>
      <c r="C1653" s="2">
        <f t="shared" si="126"/>
        <v>1115879.682741859</v>
      </c>
      <c r="D1653" s="2">
        <v>21991</v>
      </c>
      <c r="E1653" s="2">
        <f t="shared" si="127"/>
        <v>2.1991000000000001</v>
      </c>
      <c r="F1653" s="2">
        <f t="shared" si="128"/>
        <v>-1.1807559833506724</v>
      </c>
      <c r="G1653" s="2">
        <f t="shared" si="129"/>
        <v>1.3941846922184136</v>
      </c>
    </row>
    <row r="1654" spans="1:7" x14ac:dyDescent="0.35">
      <c r="A1654" s="2">
        <v>282</v>
      </c>
      <c r="B1654" s="2">
        <f t="shared" si="125"/>
        <v>-1056.3520638224072</v>
      </c>
      <c r="C1654" s="2">
        <f t="shared" si="126"/>
        <v>1115879.682741859</v>
      </c>
      <c r="D1654" s="2">
        <v>22366</v>
      </c>
      <c r="E1654" s="2">
        <f t="shared" si="127"/>
        <v>2.2366000000000001</v>
      </c>
      <c r="F1654" s="2">
        <f t="shared" si="128"/>
        <v>-1.1432559833506724</v>
      </c>
      <c r="G1654" s="2">
        <f t="shared" si="129"/>
        <v>1.3070342434671127</v>
      </c>
    </row>
    <row r="1655" spans="1:7" x14ac:dyDescent="0.35">
      <c r="A1655" s="2">
        <v>282</v>
      </c>
      <c r="B1655" s="2">
        <f t="shared" si="125"/>
        <v>-1056.3520638224072</v>
      </c>
      <c r="C1655" s="2">
        <f t="shared" si="126"/>
        <v>1115879.682741859</v>
      </c>
      <c r="D1655" s="2">
        <v>21058</v>
      </c>
      <c r="E1655" s="2">
        <f t="shared" si="127"/>
        <v>2.1057999999999999</v>
      </c>
      <c r="F1655" s="2">
        <f t="shared" si="128"/>
        <v>-1.2740559833506726</v>
      </c>
      <c r="G1655" s="2">
        <f t="shared" si="129"/>
        <v>1.6232186487116493</v>
      </c>
    </row>
    <row r="1656" spans="1:7" x14ac:dyDescent="0.35">
      <c r="A1656" s="2">
        <v>282</v>
      </c>
      <c r="B1656" s="2">
        <f t="shared" si="125"/>
        <v>-1056.3520638224072</v>
      </c>
      <c r="C1656" s="2">
        <f t="shared" si="126"/>
        <v>1115879.682741859</v>
      </c>
      <c r="D1656" s="2">
        <v>20095</v>
      </c>
      <c r="E1656" s="2">
        <f t="shared" si="127"/>
        <v>2.0095000000000001</v>
      </c>
      <c r="F1656" s="2">
        <f t="shared" si="128"/>
        <v>-1.3703559833506724</v>
      </c>
      <c r="G1656" s="2">
        <f t="shared" si="129"/>
        <v>1.8778755211049885</v>
      </c>
    </row>
    <row r="1657" spans="1:7" x14ac:dyDescent="0.35">
      <c r="A1657" s="2">
        <v>282</v>
      </c>
      <c r="B1657" s="2">
        <f t="shared" si="125"/>
        <v>-1056.3520638224072</v>
      </c>
      <c r="C1657" s="2">
        <f t="shared" si="126"/>
        <v>1115879.682741859</v>
      </c>
      <c r="D1657" s="2">
        <v>19439</v>
      </c>
      <c r="E1657" s="2">
        <f t="shared" si="127"/>
        <v>1.9439</v>
      </c>
      <c r="F1657" s="2">
        <f t="shared" si="128"/>
        <v>-1.4359559833506725</v>
      </c>
      <c r="G1657" s="2">
        <f t="shared" si="129"/>
        <v>2.0619695861205969</v>
      </c>
    </row>
    <row r="1658" spans="1:7" x14ac:dyDescent="0.35">
      <c r="A1658" s="2">
        <v>282</v>
      </c>
      <c r="B1658" s="2">
        <f t="shared" si="125"/>
        <v>-1056.3520638224072</v>
      </c>
      <c r="C1658" s="2">
        <f t="shared" si="126"/>
        <v>1115879.682741859</v>
      </c>
      <c r="D1658" s="2">
        <v>22803</v>
      </c>
      <c r="E1658" s="2">
        <f t="shared" si="127"/>
        <v>2.2803</v>
      </c>
      <c r="F1658" s="2">
        <f t="shared" si="128"/>
        <v>-1.0995559833506725</v>
      </c>
      <c r="G1658" s="2">
        <f t="shared" si="129"/>
        <v>1.2090233605222644</v>
      </c>
    </row>
    <row r="1659" spans="1:7" x14ac:dyDescent="0.35">
      <c r="A1659" s="2">
        <v>282</v>
      </c>
      <c r="B1659" s="2">
        <f t="shared" si="125"/>
        <v>-1056.3520638224072</v>
      </c>
      <c r="C1659" s="2">
        <f t="shared" si="126"/>
        <v>1115879.682741859</v>
      </c>
      <c r="D1659" s="2">
        <v>22845</v>
      </c>
      <c r="E1659" s="2">
        <f t="shared" si="127"/>
        <v>2.2845</v>
      </c>
      <c r="F1659" s="2">
        <f t="shared" si="128"/>
        <v>-1.0953559833506725</v>
      </c>
      <c r="G1659" s="2">
        <f t="shared" si="129"/>
        <v>1.1998047302621189</v>
      </c>
    </row>
    <row r="1660" spans="1:7" x14ac:dyDescent="0.35">
      <c r="A1660" s="2">
        <v>282</v>
      </c>
      <c r="B1660" s="2">
        <f t="shared" si="125"/>
        <v>-1056.3520638224072</v>
      </c>
      <c r="C1660" s="2">
        <f t="shared" si="126"/>
        <v>1115879.682741859</v>
      </c>
      <c r="D1660" s="2">
        <v>25783</v>
      </c>
      <c r="E1660" s="2">
        <f t="shared" si="127"/>
        <v>2.5783</v>
      </c>
      <c r="F1660" s="2">
        <f t="shared" si="128"/>
        <v>-0.80155598335067246</v>
      </c>
      <c r="G1660" s="2">
        <f t="shared" si="129"/>
        <v>0.6424919944452635</v>
      </c>
    </row>
    <row r="1661" spans="1:7" x14ac:dyDescent="0.35">
      <c r="A1661" s="2">
        <v>282</v>
      </c>
      <c r="B1661" s="2">
        <f t="shared" si="125"/>
        <v>-1056.3520638224072</v>
      </c>
      <c r="C1661" s="2">
        <f t="shared" si="126"/>
        <v>1115879.682741859</v>
      </c>
      <c r="D1661" s="2">
        <v>27621</v>
      </c>
      <c r="E1661" s="2">
        <f t="shared" si="127"/>
        <v>2.7621000000000002</v>
      </c>
      <c r="F1661" s="2">
        <f t="shared" si="128"/>
        <v>-0.61775598335067228</v>
      </c>
      <c r="G1661" s="2">
        <f t="shared" si="129"/>
        <v>0.38162245496555608</v>
      </c>
    </row>
    <row r="1662" spans="1:7" x14ac:dyDescent="0.35">
      <c r="A1662" s="2">
        <v>282</v>
      </c>
      <c r="B1662" s="2">
        <f t="shared" si="125"/>
        <v>-1056.3520638224072</v>
      </c>
      <c r="C1662" s="2">
        <f t="shared" si="126"/>
        <v>1115879.682741859</v>
      </c>
      <c r="D1662" s="2">
        <v>33660</v>
      </c>
      <c r="E1662" s="2">
        <f t="shared" si="127"/>
        <v>3.3660000000000001</v>
      </c>
      <c r="F1662" s="2">
        <f t="shared" si="128"/>
        <v>-1.3855983350672396E-2</v>
      </c>
      <c r="G1662" s="2">
        <f t="shared" si="129"/>
        <v>1.9198827461411065E-4</v>
      </c>
    </row>
    <row r="1663" spans="1:7" x14ac:dyDescent="0.35">
      <c r="A1663" s="2">
        <v>282</v>
      </c>
      <c r="B1663" s="2">
        <f t="shared" si="125"/>
        <v>-1056.3520638224072</v>
      </c>
      <c r="C1663" s="2">
        <f t="shared" si="126"/>
        <v>1115879.682741859</v>
      </c>
      <c r="D1663" s="2">
        <v>30646</v>
      </c>
      <c r="E1663" s="2">
        <f t="shared" si="127"/>
        <v>3.0646</v>
      </c>
      <c r="F1663" s="2">
        <f t="shared" si="128"/>
        <v>-0.31525598335067251</v>
      </c>
      <c r="G1663" s="2">
        <f t="shared" si="129"/>
        <v>9.9386335038399498E-2</v>
      </c>
    </row>
    <row r="1664" spans="1:7" x14ac:dyDescent="0.35">
      <c r="A1664" s="2">
        <v>282</v>
      </c>
      <c r="B1664" s="2">
        <f t="shared" si="125"/>
        <v>-1056.3520638224072</v>
      </c>
      <c r="C1664" s="2">
        <f t="shared" si="126"/>
        <v>1115879.682741859</v>
      </c>
      <c r="D1664" s="2">
        <v>21044</v>
      </c>
      <c r="E1664" s="2">
        <f t="shared" si="127"/>
        <v>2.1044</v>
      </c>
      <c r="F1664" s="2">
        <f t="shared" si="128"/>
        <v>-1.2754559833506725</v>
      </c>
      <c r="G1664" s="2">
        <f t="shared" si="129"/>
        <v>1.6267879654650308</v>
      </c>
    </row>
    <row r="1665" spans="1:7" x14ac:dyDescent="0.35">
      <c r="A1665" s="2">
        <v>282</v>
      </c>
      <c r="B1665" s="2">
        <f t="shared" si="125"/>
        <v>-1056.3520638224072</v>
      </c>
      <c r="C1665" s="2">
        <f t="shared" si="126"/>
        <v>1115879.682741859</v>
      </c>
      <c r="D1665" s="2">
        <v>30210</v>
      </c>
      <c r="E1665" s="2">
        <f t="shared" si="127"/>
        <v>3.0209999999999999</v>
      </c>
      <c r="F1665" s="2">
        <f t="shared" si="128"/>
        <v>-0.35885598335067259</v>
      </c>
      <c r="G1665" s="2">
        <f t="shared" si="129"/>
        <v>0.1287776167865782</v>
      </c>
    </row>
    <row r="1666" spans="1:7" x14ac:dyDescent="0.35">
      <c r="A1666" s="2">
        <v>282</v>
      </c>
      <c r="B1666" s="2">
        <f t="shared" si="125"/>
        <v>-1056.3520638224072</v>
      </c>
      <c r="C1666" s="2">
        <f t="shared" si="126"/>
        <v>1115879.682741859</v>
      </c>
      <c r="D1666" s="2">
        <v>34486</v>
      </c>
      <c r="E1666" s="2">
        <f t="shared" si="127"/>
        <v>3.4485999999999999</v>
      </c>
      <c r="F1666" s="2">
        <f t="shared" si="128"/>
        <v>6.8744016649327389E-2</v>
      </c>
      <c r="G1666" s="2">
        <f t="shared" si="129"/>
        <v>4.7257398250830016E-3</v>
      </c>
    </row>
    <row r="1667" spans="1:7" x14ac:dyDescent="0.35">
      <c r="A1667" s="2">
        <v>282</v>
      </c>
      <c r="B1667" s="2">
        <f t="shared" ref="B1667:B1730" si="130">A1667-$J$1</f>
        <v>-1056.3520638224072</v>
      </c>
      <c r="C1667" s="2">
        <f t="shared" ref="C1667:C1730" si="131">B1667^2</f>
        <v>1115879.682741859</v>
      </c>
      <c r="D1667" s="2">
        <v>30009</v>
      </c>
      <c r="E1667" s="2">
        <f t="shared" ref="E1667:E1730" si="132">D1667/10000</f>
        <v>3.0009000000000001</v>
      </c>
      <c r="F1667" s="2">
        <f t="shared" ref="F1667:F1730" si="133">E1667-$J$2</f>
        <v>-0.37895598335067238</v>
      </c>
      <c r="G1667" s="2">
        <f t="shared" ref="G1667:G1730" si="134">F1667^2</f>
        <v>0.14360763731727508</v>
      </c>
    </row>
    <row r="1668" spans="1:7" x14ac:dyDescent="0.35">
      <c r="A1668" s="2">
        <v>282</v>
      </c>
      <c r="B1668" s="2">
        <f t="shared" si="130"/>
        <v>-1056.3520638224072</v>
      </c>
      <c r="C1668" s="2">
        <f t="shared" si="131"/>
        <v>1115879.682741859</v>
      </c>
      <c r="D1668" s="2">
        <v>31670</v>
      </c>
      <c r="E1668" s="2">
        <f t="shared" si="132"/>
        <v>3.1669999999999998</v>
      </c>
      <c r="F1668" s="2">
        <f t="shared" si="133"/>
        <v>-0.21285598335067268</v>
      </c>
      <c r="G1668" s="2">
        <f t="shared" si="134"/>
        <v>4.530766964818185E-2</v>
      </c>
    </row>
    <row r="1669" spans="1:7" x14ac:dyDescent="0.35">
      <c r="A1669" s="2">
        <v>282</v>
      </c>
      <c r="B1669" s="2">
        <f t="shared" si="130"/>
        <v>-1056.3520638224072</v>
      </c>
      <c r="C1669" s="2">
        <f t="shared" si="131"/>
        <v>1115879.682741859</v>
      </c>
      <c r="D1669" s="2">
        <v>30586</v>
      </c>
      <c r="E1669" s="2">
        <f t="shared" si="132"/>
        <v>3.0586000000000002</v>
      </c>
      <c r="F1669" s="2">
        <f t="shared" si="133"/>
        <v>-0.32125598335067229</v>
      </c>
      <c r="G1669" s="2">
        <f t="shared" si="134"/>
        <v>0.10320540683860743</v>
      </c>
    </row>
    <row r="1670" spans="1:7" x14ac:dyDescent="0.35">
      <c r="A1670" s="2">
        <v>282</v>
      </c>
      <c r="B1670" s="2">
        <f t="shared" si="130"/>
        <v>-1056.3520638224072</v>
      </c>
      <c r="C1670" s="2">
        <f t="shared" si="131"/>
        <v>1115879.682741859</v>
      </c>
      <c r="D1670" s="2">
        <v>33318</v>
      </c>
      <c r="E1670" s="2">
        <f t="shared" si="132"/>
        <v>3.3317999999999999</v>
      </c>
      <c r="F1670" s="2">
        <f t="shared" si="133"/>
        <v>-4.8055983350672626E-2</v>
      </c>
      <c r="G1670" s="2">
        <f t="shared" si="134"/>
        <v>2.3093775358001248E-3</v>
      </c>
    </row>
    <row r="1671" spans="1:7" x14ac:dyDescent="0.35">
      <c r="A1671" s="2">
        <v>92</v>
      </c>
      <c r="B1671" s="2">
        <f t="shared" si="130"/>
        <v>-1246.3520638224072</v>
      </c>
      <c r="C1671" s="2">
        <f t="shared" si="131"/>
        <v>1553393.4669943738</v>
      </c>
      <c r="D1671" s="2">
        <v>50000</v>
      </c>
      <c r="E1671" s="2">
        <f t="shared" si="132"/>
        <v>5</v>
      </c>
      <c r="F1671" s="2">
        <f t="shared" si="133"/>
        <v>1.6201440166493275</v>
      </c>
      <c r="G1671" s="2">
        <f t="shared" si="134"/>
        <v>2.6248666346846163</v>
      </c>
    </row>
    <row r="1672" spans="1:7" x14ac:dyDescent="0.35">
      <c r="A1672" s="2">
        <v>92</v>
      </c>
      <c r="B1672" s="2">
        <f t="shared" si="130"/>
        <v>-1246.3520638224072</v>
      </c>
      <c r="C1672" s="2">
        <f t="shared" si="131"/>
        <v>1553393.4669943738</v>
      </c>
      <c r="D1672" s="2">
        <v>50000</v>
      </c>
      <c r="E1672" s="2">
        <f t="shared" si="132"/>
        <v>5</v>
      </c>
      <c r="F1672" s="2">
        <f t="shared" si="133"/>
        <v>1.6201440166493275</v>
      </c>
      <c r="G1672" s="2">
        <f t="shared" si="134"/>
        <v>2.6248666346846163</v>
      </c>
    </row>
    <row r="1673" spans="1:7" x14ac:dyDescent="0.35">
      <c r="A1673" s="2">
        <v>92</v>
      </c>
      <c r="B1673" s="2">
        <f t="shared" si="130"/>
        <v>-1246.3520638224072</v>
      </c>
      <c r="C1673" s="2">
        <f t="shared" si="131"/>
        <v>1553393.4669943738</v>
      </c>
      <c r="D1673" s="2">
        <v>46856</v>
      </c>
      <c r="E1673" s="2">
        <f t="shared" si="132"/>
        <v>4.6856</v>
      </c>
      <c r="F1673" s="2">
        <f t="shared" si="133"/>
        <v>1.3057440166493275</v>
      </c>
      <c r="G1673" s="2">
        <f t="shared" si="134"/>
        <v>1.7049674370155192</v>
      </c>
    </row>
    <row r="1674" spans="1:7" x14ac:dyDescent="0.35">
      <c r="A1674" s="2">
        <v>92</v>
      </c>
      <c r="B1674" s="2">
        <f t="shared" si="130"/>
        <v>-1246.3520638224072</v>
      </c>
      <c r="C1674" s="2">
        <f t="shared" si="131"/>
        <v>1553393.4669943738</v>
      </c>
      <c r="D1674" s="2">
        <v>40342</v>
      </c>
      <c r="E1674" s="2">
        <f t="shared" si="132"/>
        <v>4.0342000000000002</v>
      </c>
      <c r="F1674" s="2">
        <f t="shared" si="133"/>
        <v>0.65434401664932773</v>
      </c>
      <c r="G1674" s="2">
        <f t="shared" si="134"/>
        <v>0.42816609212477569</v>
      </c>
    </row>
    <row r="1675" spans="1:7" x14ac:dyDescent="0.35">
      <c r="A1675" s="2">
        <v>92</v>
      </c>
      <c r="B1675" s="2">
        <f t="shared" si="130"/>
        <v>-1246.3520638224072</v>
      </c>
      <c r="C1675" s="2">
        <f t="shared" si="131"/>
        <v>1553393.4669943738</v>
      </c>
      <c r="D1675" s="2">
        <v>33307</v>
      </c>
      <c r="E1675" s="2">
        <f t="shared" si="132"/>
        <v>3.3307000000000002</v>
      </c>
      <c r="F1675" s="2">
        <f t="shared" si="133"/>
        <v>-4.9155983350672283E-2</v>
      </c>
      <c r="G1675" s="2">
        <f t="shared" si="134"/>
        <v>2.4163106991715705E-3</v>
      </c>
    </row>
    <row r="1676" spans="1:7" x14ac:dyDescent="0.35">
      <c r="A1676" s="2">
        <v>92</v>
      </c>
      <c r="B1676" s="2">
        <f t="shared" si="130"/>
        <v>-1246.3520638224072</v>
      </c>
      <c r="C1676" s="2">
        <f t="shared" si="131"/>
        <v>1553393.4669943738</v>
      </c>
      <c r="D1676" s="2">
        <v>28127</v>
      </c>
      <c r="E1676" s="2">
        <f t="shared" si="132"/>
        <v>2.8127</v>
      </c>
      <c r="F1676" s="2">
        <f t="shared" si="133"/>
        <v>-0.56715598335067252</v>
      </c>
      <c r="G1676" s="2">
        <f t="shared" si="134"/>
        <v>0.3216659094504683</v>
      </c>
    </row>
    <row r="1677" spans="1:7" x14ac:dyDescent="0.35">
      <c r="A1677" s="2">
        <v>92</v>
      </c>
      <c r="B1677" s="2">
        <f t="shared" si="130"/>
        <v>-1246.3520638224072</v>
      </c>
      <c r="C1677" s="2">
        <f t="shared" si="131"/>
        <v>1553393.4669943738</v>
      </c>
      <c r="D1677" s="2">
        <v>39870</v>
      </c>
      <c r="E1677" s="2">
        <f t="shared" si="132"/>
        <v>3.9870000000000001</v>
      </c>
      <c r="F1677" s="2">
        <f t="shared" si="133"/>
        <v>0.6071440166493276</v>
      </c>
      <c r="G1677" s="2">
        <f t="shared" si="134"/>
        <v>0.36862385695307898</v>
      </c>
    </row>
    <row r="1678" spans="1:7" x14ac:dyDescent="0.35">
      <c r="A1678" s="2">
        <v>92</v>
      </c>
      <c r="B1678" s="2">
        <f t="shared" si="130"/>
        <v>-1246.3520638224072</v>
      </c>
      <c r="C1678" s="2">
        <f t="shared" si="131"/>
        <v>1553393.4669943738</v>
      </c>
      <c r="D1678" s="2">
        <v>32860</v>
      </c>
      <c r="E1678" s="2">
        <f t="shared" si="132"/>
        <v>3.286</v>
      </c>
      <c r="F1678" s="2">
        <f t="shared" si="133"/>
        <v>-9.3855983350672467E-2</v>
      </c>
      <c r="G1678" s="2">
        <f t="shared" si="134"/>
        <v>8.8089456107217079E-3</v>
      </c>
    </row>
    <row r="1679" spans="1:7" x14ac:dyDescent="0.35">
      <c r="A1679" s="2">
        <v>92</v>
      </c>
      <c r="B1679" s="2">
        <f t="shared" si="130"/>
        <v>-1246.3520638224072</v>
      </c>
      <c r="C1679" s="2">
        <f t="shared" si="131"/>
        <v>1553393.4669943738</v>
      </c>
      <c r="D1679" s="2">
        <v>27399</v>
      </c>
      <c r="E1679" s="2">
        <f t="shared" si="132"/>
        <v>2.7399</v>
      </c>
      <c r="F1679" s="2">
        <f t="shared" si="133"/>
        <v>-0.6399559833506725</v>
      </c>
      <c r="G1679" s="2">
        <f t="shared" si="134"/>
        <v>0.40954366062632619</v>
      </c>
    </row>
    <row r="1680" spans="1:7" x14ac:dyDescent="0.35">
      <c r="A1680" s="2">
        <v>92</v>
      </c>
      <c r="B1680" s="2">
        <f t="shared" si="130"/>
        <v>-1246.3520638224072</v>
      </c>
      <c r="C1680" s="2">
        <f t="shared" si="131"/>
        <v>1553393.4669943738</v>
      </c>
      <c r="D1680" s="2">
        <v>39360</v>
      </c>
      <c r="E1680" s="2">
        <f t="shared" si="132"/>
        <v>3.9359999999999999</v>
      </c>
      <c r="F1680" s="2">
        <f t="shared" si="133"/>
        <v>0.55614401664932744</v>
      </c>
      <c r="G1680" s="2">
        <f t="shared" si="134"/>
        <v>0.30929616725484738</v>
      </c>
    </row>
    <row r="1681" spans="1:7" x14ac:dyDescent="0.35">
      <c r="A1681" s="2">
        <v>92</v>
      </c>
      <c r="B1681" s="2">
        <f t="shared" si="130"/>
        <v>-1246.3520638224072</v>
      </c>
      <c r="C1681" s="2">
        <f t="shared" si="131"/>
        <v>1553393.4669943738</v>
      </c>
      <c r="D1681" s="2">
        <v>38306</v>
      </c>
      <c r="E1681" s="2">
        <f t="shared" si="132"/>
        <v>3.8306</v>
      </c>
      <c r="F1681" s="2">
        <f t="shared" si="133"/>
        <v>0.45074401664932751</v>
      </c>
      <c r="G1681" s="2">
        <f t="shared" si="134"/>
        <v>0.20317016854516923</v>
      </c>
    </row>
    <row r="1682" spans="1:7" x14ac:dyDescent="0.35">
      <c r="A1682" s="2">
        <v>92</v>
      </c>
      <c r="B1682" s="2">
        <f t="shared" si="130"/>
        <v>-1246.3520638224072</v>
      </c>
      <c r="C1682" s="2">
        <f t="shared" si="131"/>
        <v>1553393.4669943738</v>
      </c>
      <c r="D1682" s="2">
        <v>37189</v>
      </c>
      <c r="E1682" s="2">
        <f t="shared" si="132"/>
        <v>3.7189000000000001</v>
      </c>
      <c r="F1682" s="2">
        <f t="shared" si="133"/>
        <v>0.3390440166493276</v>
      </c>
      <c r="G1682" s="2">
        <f t="shared" si="134"/>
        <v>0.11495084522570953</v>
      </c>
    </row>
    <row r="1683" spans="1:7" x14ac:dyDescent="0.35">
      <c r="A1683" s="2">
        <v>92</v>
      </c>
      <c r="B1683" s="2">
        <f t="shared" si="130"/>
        <v>-1246.3520638224072</v>
      </c>
      <c r="C1683" s="2">
        <f t="shared" si="131"/>
        <v>1553393.4669943738</v>
      </c>
      <c r="D1683" s="2">
        <v>40598</v>
      </c>
      <c r="E1683" s="2">
        <f t="shared" si="132"/>
        <v>4.0598000000000001</v>
      </c>
      <c r="F1683" s="2">
        <f t="shared" si="133"/>
        <v>0.67994401664932758</v>
      </c>
      <c r="G1683" s="2">
        <f t="shared" si="134"/>
        <v>0.46232386577722107</v>
      </c>
    </row>
    <row r="1684" spans="1:7" x14ac:dyDescent="0.35">
      <c r="A1684" s="2">
        <v>92</v>
      </c>
      <c r="B1684" s="2">
        <f t="shared" si="130"/>
        <v>-1246.3520638224072</v>
      </c>
      <c r="C1684" s="2">
        <f t="shared" si="131"/>
        <v>1553393.4669943738</v>
      </c>
      <c r="D1684" s="2">
        <v>39680</v>
      </c>
      <c r="E1684" s="2">
        <f t="shared" si="132"/>
        <v>3.968</v>
      </c>
      <c r="F1684" s="2">
        <f t="shared" si="133"/>
        <v>0.58814401664932747</v>
      </c>
      <c r="G1684" s="2">
        <f t="shared" si="134"/>
        <v>0.34591338432040442</v>
      </c>
    </row>
    <row r="1685" spans="1:7" x14ac:dyDescent="0.35">
      <c r="A1685" s="2">
        <v>92</v>
      </c>
      <c r="B1685" s="2">
        <f t="shared" si="130"/>
        <v>-1246.3520638224072</v>
      </c>
      <c r="C1685" s="2">
        <f t="shared" si="131"/>
        <v>1553393.4669943738</v>
      </c>
      <c r="D1685" s="2">
        <v>42373</v>
      </c>
      <c r="E1685" s="2">
        <f t="shared" si="132"/>
        <v>4.2373000000000003</v>
      </c>
      <c r="F1685" s="2">
        <f t="shared" si="133"/>
        <v>0.85744401664932779</v>
      </c>
      <c r="G1685" s="2">
        <f t="shared" si="134"/>
        <v>0.73521024168773275</v>
      </c>
    </row>
    <row r="1686" spans="1:7" x14ac:dyDescent="0.35">
      <c r="A1686" s="2">
        <v>92</v>
      </c>
      <c r="B1686" s="2">
        <f t="shared" si="130"/>
        <v>-1246.3520638224072</v>
      </c>
      <c r="C1686" s="2">
        <f t="shared" si="131"/>
        <v>1553393.4669943738</v>
      </c>
      <c r="D1686" s="2">
        <v>45266</v>
      </c>
      <c r="E1686" s="2">
        <f t="shared" si="132"/>
        <v>4.5266000000000002</v>
      </c>
      <c r="F1686" s="2">
        <f t="shared" si="133"/>
        <v>1.1467440166493277</v>
      </c>
      <c r="G1686" s="2">
        <f t="shared" si="134"/>
        <v>1.3150218397210336</v>
      </c>
    </row>
    <row r="1687" spans="1:7" x14ac:dyDescent="0.35">
      <c r="A1687" s="2">
        <v>92</v>
      </c>
      <c r="B1687" s="2">
        <f t="shared" si="130"/>
        <v>-1246.3520638224072</v>
      </c>
      <c r="C1687" s="2">
        <f t="shared" si="131"/>
        <v>1553393.4669943738</v>
      </c>
      <c r="D1687" s="2">
        <v>45602</v>
      </c>
      <c r="E1687" s="2">
        <f t="shared" si="132"/>
        <v>4.5602</v>
      </c>
      <c r="F1687" s="2">
        <f t="shared" si="133"/>
        <v>1.1803440166493275</v>
      </c>
      <c r="G1687" s="2">
        <f t="shared" si="134"/>
        <v>1.393211997639868</v>
      </c>
    </row>
    <row r="1688" spans="1:7" x14ac:dyDescent="0.35">
      <c r="A1688" s="2">
        <v>92</v>
      </c>
      <c r="B1688" s="2">
        <f t="shared" si="130"/>
        <v>-1246.3520638224072</v>
      </c>
      <c r="C1688" s="2">
        <f t="shared" si="131"/>
        <v>1553393.4669943738</v>
      </c>
      <c r="D1688" s="2">
        <v>46995</v>
      </c>
      <c r="E1688" s="2">
        <f t="shared" si="132"/>
        <v>4.6994999999999996</v>
      </c>
      <c r="F1688" s="2">
        <f t="shared" si="133"/>
        <v>1.3196440166493271</v>
      </c>
      <c r="G1688" s="2">
        <f t="shared" si="134"/>
        <v>1.7414603306783694</v>
      </c>
    </row>
    <row r="1689" spans="1:7" x14ac:dyDescent="0.35">
      <c r="A1689" s="2">
        <v>92</v>
      </c>
      <c r="B1689" s="2">
        <f t="shared" si="130"/>
        <v>-1246.3520638224072</v>
      </c>
      <c r="C1689" s="2">
        <f t="shared" si="131"/>
        <v>1553393.4669943738</v>
      </c>
      <c r="D1689" s="2">
        <v>38919</v>
      </c>
      <c r="E1689" s="2">
        <f t="shared" si="132"/>
        <v>3.8919000000000001</v>
      </c>
      <c r="F1689" s="2">
        <f t="shared" si="133"/>
        <v>0.51204401664932764</v>
      </c>
      <c r="G1689" s="2">
        <f t="shared" si="134"/>
        <v>0.26218907498637695</v>
      </c>
    </row>
    <row r="1690" spans="1:7" x14ac:dyDescent="0.35">
      <c r="A1690" s="2">
        <v>92</v>
      </c>
      <c r="B1690" s="2">
        <f t="shared" si="130"/>
        <v>-1246.3520638224072</v>
      </c>
      <c r="C1690" s="2">
        <f t="shared" si="131"/>
        <v>1553393.4669943738</v>
      </c>
      <c r="D1690" s="2">
        <v>44809</v>
      </c>
      <c r="E1690" s="2">
        <f t="shared" si="132"/>
        <v>4.4809000000000001</v>
      </c>
      <c r="F1690" s="2">
        <f t="shared" si="133"/>
        <v>1.1010440166493276</v>
      </c>
      <c r="G1690" s="2">
        <f t="shared" si="134"/>
        <v>1.2122979265992848</v>
      </c>
    </row>
    <row r="1691" spans="1:7" x14ac:dyDescent="0.35">
      <c r="A1691" s="2">
        <v>92</v>
      </c>
      <c r="B1691" s="2">
        <f t="shared" si="130"/>
        <v>-1246.3520638224072</v>
      </c>
      <c r="C1691" s="2">
        <f t="shared" si="131"/>
        <v>1553393.4669943738</v>
      </c>
      <c r="D1691" s="2">
        <v>47221</v>
      </c>
      <c r="E1691" s="2">
        <f t="shared" si="132"/>
        <v>4.7221000000000002</v>
      </c>
      <c r="F1691" s="2">
        <f t="shared" si="133"/>
        <v>1.3422440166493277</v>
      </c>
      <c r="G1691" s="2">
        <f t="shared" si="134"/>
        <v>1.8016190002309207</v>
      </c>
    </row>
    <row r="1692" spans="1:7" x14ac:dyDescent="0.35">
      <c r="A1692" s="2">
        <v>92</v>
      </c>
      <c r="B1692" s="2">
        <f t="shared" si="130"/>
        <v>-1246.3520638224072</v>
      </c>
      <c r="C1692" s="2">
        <f t="shared" si="131"/>
        <v>1553393.4669943738</v>
      </c>
      <c r="D1692" s="2">
        <v>47631</v>
      </c>
      <c r="E1692" s="2">
        <f t="shared" si="132"/>
        <v>4.7630999999999997</v>
      </c>
      <c r="F1692" s="2">
        <f t="shared" si="133"/>
        <v>1.3832440166493272</v>
      </c>
      <c r="G1692" s="2">
        <f t="shared" si="134"/>
        <v>1.9133640095961642</v>
      </c>
    </row>
    <row r="1693" spans="1:7" x14ac:dyDescent="0.35">
      <c r="A1693" s="2">
        <v>92</v>
      </c>
      <c r="B1693" s="2">
        <f t="shared" si="130"/>
        <v>-1246.3520638224072</v>
      </c>
      <c r="C1693" s="2">
        <f t="shared" si="131"/>
        <v>1553393.4669943738</v>
      </c>
      <c r="D1693" s="2">
        <v>39894</v>
      </c>
      <c r="E1693" s="2">
        <f t="shared" si="132"/>
        <v>3.9893999999999998</v>
      </c>
      <c r="F1693" s="2">
        <f t="shared" si="133"/>
        <v>0.60954401664932734</v>
      </c>
      <c r="G1693" s="2">
        <f t="shared" si="134"/>
        <v>0.37154390823299543</v>
      </c>
    </row>
    <row r="1694" spans="1:7" x14ac:dyDescent="0.35">
      <c r="A1694" s="2">
        <v>92</v>
      </c>
      <c r="B1694" s="2">
        <f t="shared" si="130"/>
        <v>-1246.3520638224072</v>
      </c>
      <c r="C1694" s="2">
        <f t="shared" si="131"/>
        <v>1553393.4669943738</v>
      </c>
      <c r="D1694" s="2">
        <v>52310</v>
      </c>
      <c r="E1694" s="2">
        <f t="shared" si="132"/>
        <v>5.2309999999999999</v>
      </c>
      <c r="F1694" s="2">
        <f t="shared" si="133"/>
        <v>1.8511440166493274</v>
      </c>
      <c r="G1694" s="2">
        <f t="shared" si="134"/>
        <v>3.4267341703766054</v>
      </c>
    </row>
    <row r="1695" spans="1:7" x14ac:dyDescent="0.35">
      <c r="A1695" s="2">
        <v>92</v>
      </c>
      <c r="B1695" s="2">
        <f t="shared" si="130"/>
        <v>-1246.3520638224072</v>
      </c>
      <c r="C1695" s="2">
        <f t="shared" si="131"/>
        <v>1553393.4669943738</v>
      </c>
      <c r="D1695" s="2">
        <v>50958</v>
      </c>
      <c r="E1695" s="2">
        <f t="shared" si="132"/>
        <v>5.0957999999999997</v>
      </c>
      <c r="F1695" s="2">
        <f t="shared" si="133"/>
        <v>1.7159440166493272</v>
      </c>
      <c r="G1695" s="2">
        <f t="shared" si="134"/>
        <v>2.9444638682746263</v>
      </c>
    </row>
    <row r="1696" spans="1:7" x14ac:dyDescent="0.35">
      <c r="A1696" s="2">
        <v>92</v>
      </c>
      <c r="B1696" s="2">
        <f t="shared" si="130"/>
        <v>-1246.3520638224072</v>
      </c>
      <c r="C1696" s="2">
        <f t="shared" si="131"/>
        <v>1553393.4669943738</v>
      </c>
      <c r="D1696" s="2">
        <v>49788</v>
      </c>
      <c r="E1696" s="2">
        <f t="shared" si="132"/>
        <v>4.9787999999999997</v>
      </c>
      <c r="F1696" s="2">
        <f t="shared" si="133"/>
        <v>1.5989440166493272</v>
      </c>
      <c r="G1696" s="2">
        <f t="shared" si="134"/>
        <v>2.5566219683786837</v>
      </c>
    </row>
    <row r="1697" spans="1:7" x14ac:dyDescent="0.35">
      <c r="A1697" s="2">
        <v>92</v>
      </c>
      <c r="B1697" s="2">
        <f t="shared" si="130"/>
        <v>-1246.3520638224072</v>
      </c>
      <c r="C1697" s="2">
        <f t="shared" si="131"/>
        <v>1553393.4669943738</v>
      </c>
      <c r="D1697" s="2">
        <v>49522</v>
      </c>
      <c r="E1697" s="2">
        <f t="shared" si="132"/>
        <v>4.9522000000000004</v>
      </c>
      <c r="F1697" s="2">
        <f t="shared" si="133"/>
        <v>1.5723440166493279</v>
      </c>
      <c r="G1697" s="2">
        <f t="shared" si="134"/>
        <v>2.4722657066929417</v>
      </c>
    </row>
    <row r="1698" spans="1:7" x14ac:dyDescent="0.35">
      <c r="A1698" s="2">
        <v>92</v>
      </c>
      <c r="B1698" s="2">
        <f t="shared" si="130"/>
        <v>-1246.3520638224072</v>
      </c>
      <c r="C1698" s="2">
        <f t="shared" si="131"/>
        <v>1553393.4669943738</v>
      </c>
      <c r="D1698" s="2">
        <v>51348</v>
      </c>
      <c r="E1698" s="2">
        <f t="shared" si="132"/>
        <v>5.1348000000000003</v>
      </c>
      <c r="F1698" s="2">
        <f t="shared" si="133"/>
        <v>1.7549440166493278</v>
      </c>
      <c r="G1698" s="2">
        <f t="shared" si="134"/>
        <v>3.0798285015732758</v>
      </c>
    </row>
    <row r="1699" spans="1:7" x14ac:dyDescent="0.35">
      <c r="A1699" s="2">
        <v>92</v>
      </c>
      <c r="B1699" s="2">
        <f t="shared" si="130"/>
        <v>-1246.3520638224072</v>
      </c>
      <c r="C1699" s="2">
        <f t="shared" si="131"/>
        <v>1553393.4669943738</v>
      </c>
      <c r="D1699" s="2">
        <v>51557</v>
      </c>
      <c r="E1699" s="2">
        <f t="shared" si="132"/>
        <v>5.1557000000000004</v>
      </c>
      <c r="F1699" s="2">
        <f t="shared" si="133"/>
        <v>1.7758440166493279</v>
      </c>
      <c r="G1699" s="2">
        <f t="shared" si="134"/>
        <v>3.1536219714692182</v>
      </c>
    </row>
    <row r="1700" spans="1:7" x14ac:dyDescent="0.35">
      <c r="A1700" s="2">
        <v>92</v>
      </c>
      <c r="B1700" s="2">
        <f t="shared" si="130"/>
        <v>-1246.3520638224072</v>
      </c>
      <c r="C1700" s="2">
        <f t="shared" si="131"/>
        <v>1553393.4669943738</v>
      </c>
      <c r="D1700" s="2">
        <v>52528</v>
      </c>
      <c r="E1700" s="2">
        <f t="shared" si="132"/>
        <v>5.2527999999999997</v>
      </c>
      <c r="F1700" s="2">
        <f t="shared" si="133"/>
        <v>1.8729440166493272</v>
      </c>
      <c r="G1700" s="2">
        <f t="shared" si="134"/>
        <v>3.5079192895025151</v>
      </c>
    </row>
    <row r="1701" spans="1:7" x14ac:dyDescent="0.35">
      <c r="A1701" s="2">
        <v>2041</v>
      </c>
      <c r="B1701" s="2">
        <f t="shared" si="130"/>
        <v>702.64793617759278</v>
      </c>
      <c r="C1701" s="2">
        <f t="shared" si="131"/>
        <v>493714.12221463048</v>
      </c>
      <c r="D1701" s="2">
        <v>45000</v>
      </c>
      <c r="E1701" s="2">
        <f t="shared" si="132"/>
        <v>4.5</v>
      </c>
      <c r="F1701" s="2">
        <f t="shared" si="133"/>
        <v>1.1201440166493275</v>
      </c>
      <c r="G1701" s="2">
        <f t="shared" si="134"/>
        <v>1.2547226180352888</v>
      </c>
    </row>
    <row r="1702" spans="1:7" x14ac:dyDescent="0.35">
      <c r="A1702" s="2">
        <v>2041</v>
      </c>
      <c r="B1702" s="2">
        <f t="shared" si="130"/>
        <v>702.64793617759278</v>
      </c>
      <c r="C1702" s="2">
        <f t="shared" si="131"/>
        <v>493714.12221463048</v>
      </c>
      <c r="D1702" s="2">
        <v>54688</v>
      </c>
      <c r="E1702" s="2">
        <f t="shared" si="132"/>
        <v>5.4687999999999999</v>
      </c>
      <c r="F1702" s="2">
        <f t="shared" si="133"/>
        <v>2.0889440166493274</v>
      </c>
      <c r="G1702" s="2">
        <f t="shared" si="134"/>
        <v>4.3636871046950256</v>
      </c>
    </row>
    <row r="1703" spans="1:7" x14ac:dyDescent="0.35">
      <c r="A1703" s="2">
        <v>2041</v>
      </c>
      <c r="B1703" s="2">
        <f t="shared" si="130"/>
        <v>702.64793617759278</v>
      </c>
      <c r="C1703" s="2">
        <f t="shared" si="131"/>
        <v>493714.12221463048</v>
      </c>
      <c r="D1703" s="2">
        <v>28571</v>
      </c>
      <c r="E1703" s="2">
        <f t="shared" si="132"/>
        <v>2.8571</v>
      </c>
      <c r="F1703" s="2">
        <f t="shared" si="133"/>
        <v>-0.52275598335067253</v>
      </c>
      <c r="G1703" s="2">
        <f t="shared" si="134"/>
        <v>0.27327381812892859</v>
      </c>
    </row>
    <row r="1704" spans="1:7" x14ac:dyDescent="0.35">
      <c r="A1704" s="2">
        <v>2041</v>
      </c>
      <c r="B1704" s="2">
        <f t="shared" si="130"/>
        <v>702.64793617759278</v>
      </c>
      <c r="C1704" s="2">
        <f t="shared" si="131"/>
        <v>493714.12221463048</v>
      </c>
      <c r="D1704" s="2">
        <v>40000</v>
      </c>
      <c r="E1704" s="2">
        <f t="shared" si="132"/>
        <v>4</v>
      </c>
      <c r="F1704" s="2">
        <f t="shared" si="133"/>
        <v>0.6201440166493275</v>
      </c>
      <c r="G1704" s="2">
        <f t="shared" si="134"/>
        <v>0.38457860138596139</v>
      </c>
    </row>
    <row r="1705" spans="1:7" x14ac:dyDescent="0.35">
      <c r="A1705" s="2">
        <v>2041</v>
      </c>
      <c r="B1705" s="2">
        <f t="shared" si="130"/>
        <v>702.64793617759278</v>
      </c>
      <c r="C1705" s="2">
        <f t="shared" si="131"/>
        <v>493714.12221463048</v>
      </c>
      <c r="D1705" s="2">
        <v>63333</v>
      </c>
      <c r="E1705" s="2">
        <f t="shared" si="132"/>
        <v>6.3333000000000004</v>
      </c>
      <c r="F1705" s="2">
        <f t="shared" si="133"/>
        <v>2.9534440166493279</v>
      </c>
      <c r="G1705" s="2">
        <f t="shared" si="134"/>
        <v>8.7228315594817154</v>
      </c>
    </row>
    <row r="1706" spans="1:7" x14ac:dyDescent="0.35">
      <c r="A1706" s="2">
        <v>2041</v>
      </c>
      <c r="B1706" s="2">
        <f t="shared" si="130"/>
        <v>702.64793617759278</v>
      </c>
      <c r="C1706" s="2">
        <f t="shared" si="131"/>
        <v>493714.12221463048</v>
      </c>
      <c r="D1706" s="2">
        <v>50000</v>
      </c>
      <c r="E1706" s="2">
        <f t="shared" si="132"/>
        <v>5</v>
      </c>
      <c r="F1706" s="2">
        <f t="shared" si="133"/>
        <v>1.6201440166493275</v>
      </c>
      <c r="G1706" s="2">
        <f t="shared" si="134"/>
        <v>2.6248666346846163</v>
      </c>
    </row>
    <row r="1707" spans="1:7" x14ac:dyDescent="0.35">
      <c r="A1707" s="2">
        <v>2041</v>
      </c>
      <c r="B1707" s="2">
        <f t="shared" si="130"/>
        <v>702.64793617759278</v>
      </c>
      <c r="C1707" s="2">
        <f t="shared" si="131"/>
        <v>493714.12221463048</v>
      </c>
      <c r="D1707" s="2">
        <v>50000</v>
      </c>
      <c r="E1707" s="2">
        <f t="shared" si="132"/>
        <v>5</v>
      </c>
      <c r="F1707" s="2">
        <f t="shared" si="133"/>
        <v>1.6201440166493275</v>
      </c>
      <c r="G1707" s="2">
        <f t="shared" si="134"/>
        <v>2.6248666346846163</v>
      </c>
    </row>
    <row r="1708" spans="1:7" x14ac:dyDescent="0.35">
      <c r="A1708" s="2">
        <v>2041</v>
      </c>
      <c r="B1708" s="2">
        <f t="shared" si="130"/>
        <v>702.64793617759278</v>
      </c>
      <c r="C1708" s="2">
        <f t="shared" si="131"/>
        <v>493714.12221463048</v>
      </c>
      <c r="D1708" s="2">
        <v>30688</v>
      </c>
      <c r="E1708" s="2">
        <f t="shared" si="132"/>
        <v>3.0688</v>
      </c>
      <c r="F1708" s="2">
        <f t="shared" si="133"/>
        <v>-0.31105598335067253</v>
      </c>
      <c r="G1708" s="2">
        <f t="shared" si="134"/>
        <v>9.6755824778253868E-2</v>
      </c>
    </row>
    <row r="1709" spans="1:7" x14ac:dyDescent="0.35">
      <c r="A1709" s="2">
        <v>2041</v>
      </c>
      <c r="B1709" s="2">
        <f t="shared" si="130"/>
        <v>702.64793617759278</v>
      </c>
      <c r="C1709" s="2">
        <f t="shared" si="131"/>
        <v>493714.12221463048</v>
      </c>
      <c r="D1709" s="2">
        <v>29513</v>
      </c>
      <c r="E1709" s="2">
        <f t="shared" si="132"/>
        <v>2.9512999999999998</v>
      </c>
      <c r="F1709" s="2">
        <f t="shared" si="133"/>
        <v>-0.42855598335067269</v>
      </c>
      <c r="G1709" s="2">
        <f t="shared" si="134"/>
        <v>0.18366023086566205</v>
      </c>
    </row>
    <row r="1710" spans="1:7" x14ac:dyDescent="0.35">
      <c r="A1710" s="2">
        <v>2041</v>
      </c>
      <c r="B1710" s="2">
        <f t="shared" si="130"/>
        <v>702.64793617759278</v>
      </c>
      <c r="C1710" s="2">
        <f t="shared" si="131"/>
        <v>493714.12221463048</v>
      </c>
      <c r="D1710" s="2">
        <v>28354</v>
      </c>
      <c r="E1710" s="2">
        <f t="shared" si="132"/>
        <v>2.8353999999999999</v>
      </c>
      <c r="F1710" s="2">
        <f t="shared" si="133"/>
        <v>-0.54445598335067258</v>
      </c>
      <c r="G1710" s="2">
        <f t="shared" si="134"/>
        <v>0.29643231780634788</v>
      </c>
    </row>
    <row r="1711" spans="1:7" x14ac:dyDescent="0.35">
      <c r="A1711" s="2">
        <v>2041</v>
      </c>
      <c r="B1711" s="2">
        <f t="shared" si="130"/>
        <v>702.64793617759278</v>
      </c>
      <c r="C1711" s="2">
        <f t="shared" si="131"/>
        <v>493714.12221463048</v>
      </c>
      <c r="D1711" s="2">
        <v>26333</v>
      </c>
      <c r="E1711" s="2">
        <f t="shared" si="132"/>
        <v>2.6333000000000002</v>
      </c>
      <c r="F1711" s="2">
        <f t="shared" si="133"/>
        <v>-0.7465559833506723</v>
      </c>
      <c r="G1711" s="2">
        <f t="shared" si="134"/>
        <v>0.55734583627668932</v>
      </c>
    </row>
    <row r="1712" spans="1:7" x14ac:dyDescent="0.35">
      <c r="A1712" s="2">
        <v>2041</v>
      </c>
      <c r="B1712" s="2">
        <f t="shared" si="130"/>
        <v>702.64793617759278</v>
      </c>
      <c r="C1712" s="2">
        <f t="shared" si="131"/>
        <v>493714.12221463048</v>
      </c>
      <c r="D1712" s="2">
        <v>26893</v>
      </c>
      <c r="E1712" s="2">
        <f t="shared" si="132"/>
        <v>2.6892999999999998</v>
      </c>
      <c r="F1712" s="2">
        <f t="shared" si="133"/>
        <v>-0.6905559833506727</v>
      </c>
      <c r="G1712" s="2">
        <f t="shared" si="134"/>
        <v>0.47686756614141457</v>
      </c>
    </row>
    <row r="1713" spans="1:7" x14ac:dyDescent="0.35">
      <c r="A1713" s="2">
        <v>2041</v>
      </c>
      <c r="B1713" s="2">
        <f t="shared" si="130"/>
        <v>702.64793617759278</v>
      </c>
      <c r="C1713" s="2">
        <f t="shared" si="131"/>
        <v>493714.12221463048</v>
      </c>
      <c r="D1713" s="2">
        <v>21250</v>
      </c>
      <c r="E1713" s="2">
        <f t="shared" si="132"/>
        <v>2.125</v>
      </c>
      <c r="F1713" s="2">
        <f t="shared" si="133"/>
        <v>-1.2548559833506725</v>
      </c>
      <c r="G1713" s="2">
        <f t="shared" si="134"/>
        <v>1.5746635389509833</v>
      </c>
    </row>
    <row r="1714" spans="1:7" x14ac:dyDescent="0.35">
      <c r="A1714" s="2">
        <v>2041</v>
      </c>
      <c r="B1714" s="2">
        <f t="shared" si="130"/>
        <v>702.64793617759278</v>
      </c>
      <c r="C1714" s="2">
        <f t="shared" si="131"/>
        <v>493714.12221463048</v>
      </c>
      <c r="D1714" s="2">
        <v>28786</v>
      </c>
      <c r="E1714" s="2">
        <f t="shared" si="132"/>
        <v>2.8786</v>
      </c>
      <c r="F1714" s="2">
        <f t="shared" si="133"/>
        <v>-0.50125598335067245</v>
      </c>
      <c r="G1714" s="2">
        <f t="shared" si="134"/>
        <v>0.25125756084484963</v>
      </c>
    </row>
    <row r="1715" spans="1:7" x14ac:dyDescent="0.35">
      <c r="A1715" s="2">
        <v>2041</v>
      </c>
      <c r="B1715" s="2">
        <f t="shared" si="130"/>
        <v>702.64793617759278</v>
      </c>
      <c r="C1715" s="2">
        <f t="shared" si="131"/>
        <v>493714.12221463048</v>
      </c>
      <c r="D1715" s="2">
        <v>19324</v>
      </c>
      <c r="E1715" s="2">
        <f t="shared" si="132"/>
        <v>1.9323999999999999</v>
      </c>
      <c r="F1715" s="2">
        <f t="shared" si="133"/>
        <v>-1.4474559833506726</v>
      </c>
      <c r="G1715" s="2">
        <f t="shared" si="134"/>
        <v>2.0951288237376624</v>
      </c>
    </row>
    <row r="1716" spans="1:7" x14ac:dyDescent="0.35">
      <c r="A1716" s="2">
        <v>2041</v>
      </c>
      <c r="B1716" s="2">
        <f t="shared" si="130"/>
        <v>702.64793617759278</v>
      </c>
      <c r="C1716" s="2">
        <f t="shared" si="131"/>
        <v>493714.12221463048</v>
      </c>
      <c r="D1716" s="2">
        <v>21863</v>
      </c>
      <c r="E1716" s="2">
        <f t="shared" si="132"/>
        <v>2.1863000000000001</v>
      </c>
      <c r="F1716" s="2">
        <f t="shared" si="133"/>
        <v>-1.1935559833506724</v>
      </c>
      <c r="G1716" s="2">
        <f t="shared" si="134"/>
        <v>1.4245758853921906</v>
      </c>
    </row>
    <row r="1717" spans="1:7" x14ac:dyDescent="0.35">
      <c r="A1717" s="2">
        <v>758</v>
      </c>
      <c r="B1717" s="2">
        <f t="shared" si="130"/>
        <v>-580.35206382240722</v>
      </c>
      <c r="C1717" s="2">
        <f t="shared" si="131"/>
        <v>336808.51798292744</v>
      </c>
      <c r="D1717" s="2">
        <v>37305</v>
      </c>
      <c r="E1717" s="2">
        <f t="shared" si="132"/>
        <v>3.7305000000000001</v>
      </c>
      <c r="F1717" s="2">
        <f t="shared" si="133"/>
        <v>0.35064401664932765</v>
      </c>
      <c r="G1717" s="2">
        <f t="shared" si="134"/>
        <v>0.12295122641197397</v>
      </c>
    </row>
    <row r="1718" spans="1:7" x14ac:dyDescent="0.35">
      <c r="A1718" s="2">
        <v>758</v>
      </c>
      <c r="B1718" s="2">
        <f t="shared" si="130"/>
        <v>-580.35206382240722</v>
      </c>
      <c r="C1718" s="2">
        <f t="shared" si="131"/>
        <v>336808.51798292744</v>
      </c>
      <c r="D1718" s="2">
        <v>34595</v>
      </c>
      <c r="E1718" s="2">
        <f t="shared" si="132"/>
        <v>3.4594999999999998</v>
      </c>
      <c r="F1718" s="2">
        <f t="shared" si="133"/>
        <v>7.9644016649327298E-2</v>
      </c>
      <c r="G1718" s="2">
        <f t="shared" si="134"/>
        <v>6.3431693880383238E-3</v>
      </c>
    </row>
    <row r="1719" spans="1:7" x14ac:dyDescent="0.35">
      <c r="A1719" s="2">
        <v>758</v>
      </c>
      <c r="B1719" s="2">
        <f t="shared" si="130"/>
        <v>-580.35206382240722</v>
      </c>
      <c r="C1719" s="2">
        <f t="shared" si="131"/>
        <v>336808.51798292744</v>
      </c>
      <c r="D1719" s="2">
        <v>38175</v>
      </c>
      <c r="E1719" s="2">
        <f t="shared" si="132"/>
        <v>3.8174999999999999</v>
      </c>
      <c r="F1719" s="2">
        <f t="shared" si="133"/>
        <v>0.43764401664932739</v>
      </c>
      <c r="G1719" s="2">
        <f t="shared" si="134"/>
        <v>0.19153228530895675</v>
      </c>
    </row>
    <row r="1720" spans="1:7" x14ac:dyDescent="0.35">
      <c r="A1720" s="2">
        <v>758</v>
      </c>
      <c r="B1720" s="2">
        <f t="shared" si="130"/>
        <v>-580.35206382240722</v>
      </c>
      <c r="C1720" s="2">
        <f t="shared" si="131"/>
        <v>336808.51798292744</v>
      </c>
      <c r="D1720" s="2">
        <v>34803</v>
      </c>
      <c r="E1720" s="2">
        <f t="shared" si="132"/>
        <v>3.4803000000000002</v>
      </c>
      <c r="F1720" s="2">
        <f t="shared" si="133"/>
        <v>0.10044401664932767</v>
      </c>
      <c r="G1720" s="2">
        <f t="shared" si="134"/>
        <v>1.0089000480650414E-2</v>
      </c>
    </row>
    <row r="1721" spans="1:7" x14ac:dyDescent="0.35">
      <c r="A1721" s="2">
        <v>758</v>
      </c>
      <c r="B1721" s="2">
        <f t="shared" si="130"/>
        <v>-580.35206382240722</v>
      </c>
      <c r="C1721" s="2">
        <f t="shared" si="131"/>
        <v>336808.51798292744</v>
      </c>
      <c r="D1721" s="2">
        <v>37418</v>
      </c>
      <c r="E1721" s="2">
        <f t="shared" si="132"/>
        <v>3.7418</v>
      </c>
      <c r="F1721" s="2">
        <f t="shared" si="133"/>
        <v>0.36194401664932752</v>
      </c>
      <c r="G1721" s="2">
        <f t="shared" si="134"/>
        <v>0.13100347118824868</v>
      </c>
    </row>
    <row r="1722" spans="1:7" x14ac:dyDescent="0.35">
      <c r="A1722" s="2">
        <v>758</v>
      </c>
      <c r="B1722" s="2">
        <f t="shared" si="130"/>
        <v>-580.35206382240722</v>
      </c>
      <c r="C1722" s="2">
        <f t="shared" si="131"/>
        <v>336808.51798292744</v>
      </c>
      <c r="D1722" s="2">
        <v>40954</v>
      </c>
      <c r="E1722" s="2">
        <f t="shared" si="132"/>
        <v>4.0953999999999997</v>
      </c>
      <c r="F1722" s="2">
        <f t="shared" si="133"/>
        <v>0.71554401664932721</v>
      </c>
      <c r="G1722" s="2">
        <f t="shared" si="134"/>
        <v>0.51200323976265261</v>
      </c>
    </row>
    <row r="1723" spans="1:7" x14ac:dyDescent="0.35">
      <c r="A1723" s="2">
        <v>758</v>
      </c>
      <c r="B1723" s="2">
        <f t="shared" si="130"/>
        <v>-580.35206382240722</v>
      </c>
      <c r="C1723" s="2">
        <f t="shared" si="131"/>
        <v>336808.51798292744</v>
      </c>
      <c r="D1723" s="2">
        <v>43577</v>
      </c>
      <c r="E1723" s="2">
        <f t="shared" si="132"/>
        <v>4.3577000000000004</v>
      </c>
      <c r="F1723" s="2">
        <f t="shared" si="133"/>
        <v>0.97784401664932785</v>
      </c>
      <c r="G1723" s="2">
        <f t="shared" si="134"/>
        <v>0.95617892089689094</v>
      </c>
    </row>
    <row r="1724" spans="1:7" x14ac:dyDescent="0.35">
      <c r="A1724" s="2">
        <v>758</v>
      </c>
      <c r="B1724" s="2">
        <f t="shared" si="130"/>
        <v>-580.35206382240722</v>
      </c>
      <c r="C1724" s="2">
        <f t="shared" si="131"/>
        <v>336808.51798292744</v>
      </c>
      <c r="D1724" s="2">
        <v>48725</v>
      </c>
      <c r="E1724" s="2">
        <f t="shared" si="132"/>
        <v>4.8724999999999996</v>
      </c>
      <c r="F1724" s="2">
        <f t="shared" si="133"/>
        <v>1.4926440166493271</v>
      </c>
      <c r="G1724" s="2">
        <f t="shared" si="134"/>
        <v>2.2279861604390367</v>
      </c>
    </row>
    <row r="1725" spans="1:7" x14ac:dyDescent="0.35">
      <c r="A1725" s="2">
        <v>758</v>
      </c>
      <c r="B1725" s="2">
        <f t="shared" si="130"/>
        <v>-580.35206382240722</v>
      </c>
      <c r="C1725" s="2">
        <f t="shared" si="131"/>
        <v>336808.51798292744</v>
      </c>
      <c r="D1725" s="2">
        <v>42555</v>
      </c>
      <c r="E1725" s="2">
        <f t="shared" si="132"/>
        <v>4.2554999999999996</v>
      </c>
      <c r="F1725" s="2">
        <f t="shared" si="133"/>
        <v>0.87564401664932712</v>
      </c>
      <c r="G1725" s="2">
        <f t="shared" si="134"/>
        <v>0.76675244389376707</v>
      </c>
    </row>
    <row r="1726" spans="1:7" x14ac:dyDescent="0.35">
      <c r="A1726" s="2">
        <v>758</v>
      </c>
      <c r="B1726" s="2">
        <f t="shared" si="130"/>
        <v>-580.35206382240722</v>
      </c>
      <c r="C1726" s="2">
        <f t="shared" si="131"/>
        <v>336808.51798292744</v>
      </c>
      <c r="D1726" s="2">
        <v>46792</v>
      </c>
      <c r="E1726" s="2">
        <f t="shared" si="132"/>
        <v>4.6791999999999998</v>
      </c>
      <c r="F1726" s="2">
        <f t="shared" si="133"/>
        <v>1.2993440166493273</v>
      </c>
      <c r="G1726" s="2">
        <f t="shared" si="134"/>
        <v>1.6882948736024073</v>
      </c>
    </row>
    <row r="1727" spans="1:7" x14ac:dyDescent="0.35">
      <c r="A1727" s="2">
        <v>758</v>
      </c>
      <c r="B1727" s="2">
        <f t="shared" si="130"/>
        <v>-580.35206382240722</v>
      </c>
      <c r="C1727" s="2">
        <f t="shared" si="131"/>
        <v>336808.51798292744</v>
      </c>
      <c r="D1727" s="2">
        <v>45412</v>
      </c>
      <c r="E1727" s="2">
        <f t="shared" si="132"/>
        <v>4.5411999999999999</v>
      </c>
      <c r="F1727" s="2">
        <f t="shared" si="133"/>
        <v>1.1613440166493274</v>
      </c>
      <c r="G1727" s="2">
        <f t="shared" si="134"/>
        <v>1.3487199250071933</v>
      </c>
    </row>
    <row r="1728" spans="1:7" x14ac:dyDescent="0.35">
      <c r="A1728" s="2">
        <v>758</v>
      </c>
      <c r="B1728" s="2">
        <f t="shared" si="130"/>
        <v>-580.35206382240722</v>
      </c>
      <c r="C1728" s="2">
        <f t="shared" si="131"/>
        <v>336808.51798292744</v>
      </c>
      <c r="D1728" s="2">
        <v>41365</v>
      </c>
      <c r="E1728" s="2">
        <f t="shared" si="132"/>
        <v>4.1364999999999998</v>
      </c>
      <c r="F1728" s="2">
        <f t="shared" si="133"/>
        <v>0.75664401664932734</v>
      </c>
      <c r="G1728" s="2">
        <f t="shared" si="134"/>
        <v>0.57251016793122755</v>
      </c>
    </row>
    <row r="1729" spans="1:7" x14ac:dyDescent="0.35">
      <c r="A1729" s="2">
        <v>758</v>
      </c>
      <c r="B1729" s="2">
        <f t="shared" si="130"/>
        <v>-580.35206382240722</v>
      </c>
      <c r="C1729" s="2">
        <f t="shared" si="131"/>
        <v>336808.51798292744</v>
      </c>
      <c r="D1729" s="2">
        <v>45108</v>
      </c>
      <c r="E1729" s="2">
        <f t="shared" si="132"/>
        <v>4.5107999999999997</v>
      </c>
      <c r="F1729" s="2">
        <f t="shared" si="133"/>
        <v>1.1309440166493272</v>
      </c>
      <c r="G1729" s="2">
        <f t="shared" si="134"/>
        <v>1.2790343687949137</v>
      </c>
    </row>
    <row r="1730" spans="1:7" x14ac:dyDescent="0.35">
      <c r="A1730" s="2">
        <v>758</v>
      </c>
      <c r="B1730" s="2">
        <f t="shared" si="130"/>
        <v>-580.35206382240722</v>
      </c>
      <c r="C1730" s="2">
        <f t="shared" si="131"/>
        <v>336808.51798292744</v>
      </c>
      <c r="D1730" s="2">
        <v>47762</v>
      </c>
      <c r="E1730" s="2">
        <f t="shared" si="132"/>
        <v>4.7762000000000002</v>
      </c>
      <c r="F1730" s="2">
        <f t="shared" si="133"/>
        <v>1.3963440166493277</v>
      </c>
      <c r="G1730" s="2">
        <f t="shared" si="134"/>
        <v>1.9497766128323779</v>
      </c>
    </row>
    <row r="1731" spans="1:7" x14ac:dyDescent="0.35">
      <c r="A1731" s="2">
        <v>758</v>
      </c>
      <c r="B1731" s="2">
        <f t="shared" ref="B1731:B1794" si="135">A1731-$J$1</f>
        <v>-580.35206382240722</v>
      </c>
      <c r="C1731" s="2">
        <f t="shared" ref="C1731:C1794" si="136">B1731^2</f>
        <v>336808.51798292744</v>
      </c>
      <c r="D1731" s="2">
        <v>41805</v>
      </c>
      <c r="E1731" s="2">
        <f t="shared" ref="E1731:E1794" si="137">D1731/10000</f>
        <v>4.1805000000000003</v>
      </c>
      <c r="F1731" s="2">
        <f t="shared" ref="F1731:F1794" si="138">E1731-$J$2</f>
        <v>0.80064401664932783</v>
      </c>
      <c r="G1731" s="2">
        <f t="shared" ref="G1731:G1794" si="139">F1731^2</f>
        <v>0.64103084139636912</v>
      </c>
    </row>
    <row r="1732" spans="1:7" x14ac:dyDescent="0.35">
      <c r="A1732" s="2">
        <v>758</v>
      </c>
      <c r="B1732" s="2">
        <f t="shared" si="135"/>
        <v>-580.35206382240722</v>
      </c>
      <c r="C1732" s="2">
        <f t="shared" si="136"/>
        <v>336808.51798292744</v>
      </c>
      <c r="D1732" s="2">
        <v>42576</v>
      </c>
      <c r="E1732" s="2">
        <f t="shared" si="137"/>
        <v>4.2576000000000001</v>
      </c>
      <c r="F1732" s="2">
        <f t="shared" si="138"/>
        <v>0.87774401664932755</v>
      </c>
      <c r="G1732" s="2">
        <f t="shared" si="139"/>
        <v>0.77043455876369504</v>
      </c>
    </row>
    <row r="1733" spans="1:7" x14ac:dyDescent="0.35">
      <c r="A1733" s="2">
        <v>758</v>
      </c>
      <c r="B1733" s="2">
        <f t="shared" si="135"/>
        <v>-580.35206382240722</v>
      </c>
      <c r="C1733" s="2">
        <f t="shared" si="136"/>
        <v>336808.51798292744</v>
      </c>
      <c r="D1733" s="2">
        <v>45027</v>
      </c>
      <c r="E1733" s="2">
        <f t="shared" si="137"/>
        <v>4.5026999999999999</v>
      </c>
      <c r="F1733" s="2">
        <f t="shared" si="138"/>
        <v>1.1228440166493274</v>
      </c>
      <c r="G1733" s="2">
        <f t="shared" si="139"/>
        <v>1.260778685725195</v>
      </c>
    </row>
    <row r="1734" spans="1:7" x14ac:dyDescent="0.35">
      <c r="A1734" s="2">
        <v>758</v>
      </c>
      <c r="B1734" s="2">
        <f t="shared" si="135"/>
        <v>-580.35206382240722</v>
      </c>
      <c r="C1734" s="2">
        <f t="shared" si="136"/>
        <v>336808.51798292744</v>
      </c>
      <c r="D1734" s="2">
        <v>44631</v>
      </c>
      <c r="E1734" s="2">
        <f t="shared" si="137"/>
        <v>4.4630999999999998</v>
      </c>
      <c r="F1734" s="2">
        <f t="shared" si="138"/>
        <v>1.0832440166493273</v>
      </c>
      <c r="G1734" s="2">
        <f t="shared" si="139"/>
        <v>1.1734175996065681</v>
      </c>
    </row>
    <row r="1735" spans="1:7" x14ac:dyDescent="0.35">
      <c r="A1735" s="2">
        <v>758</v>
      </c>
      <c r="B1735" s="2">
        <f t="shared" si="135"/>
        <v>-580.35206382240722</v>
      </c>
      <c r="C1735" s="2">
        <f t="shared" si="136"/>
        <v>336808.51798292744</v>
      </c>
      <c r="D1735" s="2">
        <v>50653</v>
      </c>
      <c r="E1735" s="2">
        <f t="shared" si="137"/>
        <v>5.0652999999999997</v>
      </c>
      <c r="F1735" s="2">
        <f t="shared" si="138"/>
        <v>1.6854440166493272</v>
      </c>
      <c r="G1735" s="2">
        <f t="shared" si="139"/>
        <v>2.8407215332590177</v>
      </c>
    </row>
    <row r="1736" spans="1:7" x14ac:dyDescent="0.35">
      <c r="A1736" s="2">
        <v>758</v>
      </c>
      <c r="B1736" s="2">
        <f t="shared" si="135"/>
        <v>-580.35206382240722</v>
      </c>
      <c r="C1736" s="2">
        <f t="shared" si="136"/>
        <v>336808.51798292744</v>
      </c>
      <c r="D1736" s="2">
        <v>47857</v>
      </c>
      <c r="E1736" s="2">
        <f t="shared" si="137"/>
        <v>4.7857000000000003</v>
      </c>
      <c r="F1736" s="2">
        <f t="shared" si="138"/>
        <v>1.4058440166493278</v>
      </c>
      <c r="G1736" s="2">
        <f t="shared" si="139"/>
        <v>1.9763973991487154</v>
      </c>
    </row>
    <row r="1737" spans="1:7" x14ac:dyDescent="0.35">
      <c r="A1737" s="2">
        <v>758</v>
      </c>
      <c r="B1737" s="2">
        <f t="shared" si="135"/>
        <v>-580.35206382240722</v>
      </c>
      <c r="C1737" s="2">
        <f t="shared" si="136"/>
        <v>336808.51798292744</v>
      </c>
      <c r="D1737" s="2">
        <v>41536</v>
      </c>
      <c r="E1737" s="2">
        <f t="shared" si="137"/>
        <v>4.1536</v>
      </c>
      <c r="F1737" s="2">
        <f t="shared" si="138"/>
        <v>0.77374401664932746</v>
      </c>
      <c r="G1737" s="2">
        <f t="shared" si="139"/>
        <v>0.59867980330063475</v>
      </c>
    </row>
    <row r="1738" spans="1:7" x14ac:dyDescent="0.35">
      <c r="A1738" s="2">
        <v>758</v>
      </c>
      <c r="B1738" s="2">
        <f t="shared" si="135"/>
        <v>-580.35206382240722</v>
      </c>
      <c r="C1738" s="2">
        <f t="shared" si="136"/>
        <v>336808.51798292744</v>
      </c>
      <c r="D1738" s="2">
        <v>44619</v>
      </c>
      <c r="E1738" s="2">
        <f t="shared" si="137"/>
        <v>4.4619</v>
      </c>
      <c r="F1738" s="2">
        <f t="shared" si="138"/>
        <v>1.0820440166493275</v>
      </c>
      <c r="G1738" s="2">
        <f t="shared" si="139"/>
        <v>1.17081925396661</v>
      </c>
    </row>
    <row r="1739" spans="1:7" x14ac:dyDescent="0.35">
      <c r="A1739" s="2">
        <v>758</v>
      </c>
      <c r="B1739" s="2">
        <f t="shared" si="135"/>
        <v>-580.35206382240722</v>
      </c>
      <c r="C1739" s="2">
        <f t="shared" si="136"/>
        <v>336808.51798292744</v>
      </c>
      <c r="D1739" s="2">
        <v>48502</v>
      </c>
      <c r="E1739" s="2">
        <f t="shared" si="137"/>
        <v>4.8502000000000001</v>
      </c>
      <c r="F1739" s="2">
        <f t="shared" si="138"/>
        <v>1.4703440166493276</v>
      </c>
      <c r="G1739" s="2">
        <f t="shared" si="139"/>
        <v>2.161911527296478</v>
      </c>
    </row>
    <row r="1740" spans="1:7" x14ac:dyDescent="0.35">
      <c r="A1740" s="2">
        <v>758</v>
      </c>
      <c r="B1740" s="2">
        <f t="shared" si="135"/>
        <v>-580.35206382240722</v>
      </c>
      <c r="C1740" s="2">
        <f t="shared" si="136"/>
        <v>336808.51798292744</v>
      </c>
      <c r="D1740" s="2">
        <v>51901</v>
      </c>
      <c r="E1740" s="2">
        <f t="shared" si="137"/>
        <v>5.1901000000000002</v>
      </c>
      <c r="F1740" s="2">
        <f t="shared" si="138"/>
        <v>1.8102440166493277</v>
      </c>
      <c r="G1740" s="2">
        <f t="shared" si="139"/>
        <v>3.2769833998146911</v>
      </c>
    </row>
    <row r="1741" spans="1:7" x14ac:dyDescent="0.35">
      <c r="A1741" s="2">
        <v>758</v>
      </c>
      <c r="B1741" s="2">
        <f t="shared" si="135"/>
        <v>-580.35206382240722</v>
      </c>
      <c r="C1741" s="2">
        <f t="shared" si="136"/>
        <v>336808.51798292744</v>
      </c>
      <c r="D1741" s="2">
        <v>50962</v>
      </c>
      <c r="E1741" s="2">
        <f t="shared" si="137"/>
        <v>5.0961999999999996</v>
      </c>
      <c r="F1741" s="2">
        <f t="shared" si="138"/>
        <v>1.7163440166493271</v>
      </c>
      <c r="G1741" s="2">
        <f t="shared" si="139"/>
        <v>2.9458367834879455</v>
      </c>
    </row>
    <row r="1742" spans="1:7" x14ac:dyDescent="0.35">
      <c r="A1742" s="2">
        <v>758</v>
      </c>
      <c r="B1742" s="2">
        <f t="shared" si="135"/>
        <v>-580.35206382240722</v>
      </c>
      <c r="C1742" s="2">
        <f t="shared" si="136"/>
        <v>336808.51798292744</v>
      </c>
      <c r="D1742" s="2">
        <v>56231</v>
      </c>
      <c r="E1742" s="2">
        <f t="shared" si="137"/>
        <v>5.6231</v>
      </c>
      <c r="F1742" s="2">
        <f t="shared" si="138"/>
        <v>2.2432440166493275</v>
      </c>
      <c r="G1742" s="2">
        <f t="shared" si="139"/>
        <v>5.0321437182330087</v>
      </c>
    </row>
    <row r="1743" spans="1:7" x14ac:dyDescent="0.35">
      <c r="A1743" s="2">
        <v>758</v>
      </c>
      <c r="B1743" s="2">
        <f t="shared" si="135"/>
        <v>-580.35206382240722</v>
      </c>
      <c r="C1743" s="2">
        <f t="shared" si="136"/>
        <v>336808.51798292744</v>
      </c>
      <c r="D1743" s="2">
        <v>54252</v>
      </c>
      <c r="E1743" s="2">
        <f t="shared" si="137"/>
        <v>5.4252000000000002</v>
      </c>
      <c r="F1743" s="2">
        <f t="shared" si="138"/>
        <v>2.0453440166493277</v>
      </c>
      <c r="G1743" s="2">
        <f t="shared" si="139"/>
        <v>4.1834321464432058</v>
      </c>
    </row>
    <row r="1744" spans="1:7" x14ac:dyDescent="0.35">
      <c r="A1744" s="2">
        <v>758</v>
      </c>
      <c r="B1744" s="2">
        <f t="shared" si="135"/>
        <v>-580.35206382240722</v>
      </c>
      <c r="C1744" s="2">
        <f t="shared" si="136"/>
        <v>336808.51798292744</v>
      </c>
      <c r="D1744" s="2">
        <v>57122</v>
      </c>
      <c r="E1744" s="2">
        <f t="shared" si="137"/>
        <v>5.7122000000000002</v>
      </c>
      <c r="F1744" s="2">
        <f t="shared" si="138"/>
        <v>2.3323440166493277</v>
      </c>
      <c r="G1744" s="2">
        <f t="shared" si="139"/>
        <v>5.4398286119999195</v>
      </c>
    </row>
    <row r="1745" spans="1:7" x14ac:dyDescent="0.35">
      <c r="A1745" s="2">
        <v>758</v>
      </c>
      <c r="B1745" s="2">
        <f t="shared" si="135"/>
        <v>-580.35206382240722</v>
      </c>
      <c r="C1745" s="2">
        <f t="shared" si="136"/>
        <v>336808.51798292744</v>
      </c>
      <c r="D1745" s="2">
        <v>58079</v>
      </c>
      <c r="E1745" s="2">
        <f t="shared" si="137"/>
        <v>5.8079000000000001</v>
      </c>
      <c r="F1745" s="2">
        <f t="shared" si="138"/>
        <v>2.4280440166493276</v>
      </c>
      <c r="G1745" s="2">
        <f t="shared" si="139"/>
        <v>5.8953977467865997</v>
      </c>
    </row>
    <row r="1746" spans="1:7" x14ac:dyDescent="0.35">
      <c r="A1746" s="2">
        <v>758</v>
      </c>
      <c r="B1746" s="2">
        <f t="shared" si="135"/>
        <v>-580.35206382240722</v>
      </c>
      <c r="C1746" s="2">
        <f t="shared" si="136"/>
        <v>336808.51798292744</v>
      </c>
      <c r="D1746" s="2">
        <v>61346</v>
      </c>
      <c r="E1746" s="2">
        <f t="shared" si="137"/>
        <v>6.1345999999999998</v>
      </c>
      <c r="F1746" s="2">
        <f t="shared" si="138"/>
        <v>2.7547440166493273</v>
      </c>
      <c r="G1746" s="2">
        <f t="shared" si="139"/>
        <v>7.588614597265269</v>
      </c>
    </row>
    <row r="1747" spans="1:7" x14ac:dyDescent="0.35">
      <c r="A1747" s="2">
        <v>346</v>
      </c>
      <c r="B1747" s="2">
        <f t="shared" si="135"/>
        <v>-992.35206382240722</v>
      </c>
      <c r="C1747" s="2">
        <f t="shared" si="136"/>
        <v>984762.61857259099</v>
      </c>
      <c r="D1747" s="2">
        <v>28833</v>
      </c>
      <c r="E1747" s="2">
        <f t="shared" si="137"/>
        <v>2.8833000000000002</v>
      </c>
      <c r="F1747" s="2">
        <f t="shared" si="138"/>
        <v>-0.4965559833506723</v>
      </c>
      <c r="G1747" s="2">
        <f t="shared" si="139"/>
        <v>0.24656784460135314</v>
      </c>
    </row>
    <row r="1748" spans="1:7" x14ac:dyDescent="0.35">
      <c r="A1748" s="2">
        <v>346</v>
      </c>
      <c r="B1748" s="2">
        <f t="shared" si="135"/>
        <v>-992.35206382240722</v>
      </c>
      <c r="C1748" s="2">
        <f t="shared" si="136"/>
        <v>984762.61857259099</v>
      </c>
      <c r="D1748" s="2">
        <v>45511</v>
      </c>
      <c r="E1748" s="2">
        <f t="shared" si="137"/>
        <v>4.5510999999999999</v>
      </c>
      <c r="F1748" s="2">
        <f t="shared" si="138"/>
        <v>1.1712440166493274</v>
      </c>
      <c r="G1748" s="2">
        <f t="shared" si="139"/>
        <v>1.37181254653685</v>
      </c>
    </row>
    <row r="1749" spans="1:7" x14ac:dyDescent="0.35">
      <c r="A1749" s="2">
        <v>346</v>
      </c>
      <c r="B1749" s="2">
        <f t="shared" si="135"/>
        <v>-992.35206382240722</v>
      </c>
      <c r="C1749" s="2">
        <f t="shared" si="136"/>
        <v>984762.61857259099</v>
      </c>
      <c r="D1749" s="2">
        <v>55000</v>
      </c>
      <c r="E1749" s="2">
        <f t="shared" si="137"/>
        <v>5.5</v>
      </c>
      <c r="F1749" s="2">
        <f t="shared" si="138"/>
        <v>2.1201440166493275</v>
      </c>
      <c r="G1749" s="2">
        <f t="shared" si="139"/>
        <v>4.4950106513339438</v>
      </c>
    </row>
    <row r="1750" spans="1:7" x14ac:dyDescent="0.35">
      <c r="A1750" s="2">
        <v>346</v>
      </c>
      <c r="B1750" s="2">
        <f t="shared" si="135"/>
        <v>-992.35206382240722</v>
      </c>
      <c r="C1750" s="2">
        <f t="shared" si="136"/>
        <v>984762.61857259099</v>
      </c>
      <c r="D1750" s="2">
        <v>63000</v>
      </c>
      <c r="E1750" s="2">
        <f t="shared" si="137"/>
        <v>6.3</v>
      </c>
      <c r="F1750" s="2">
        <f t="shared" si="138"/>
        <v>2.9201440166493273</v>
      </c>
      <c r="G1750" s="2">
        <f t="shared" si="139"/>
        <v>8.5272410779728673</v>
      </c>
    </row>
    <row r="1751" spans="1:7" x14ac:dyDescent="0.35">
      <c r="A1751" s="2">
        <v>346</v>
      </c>
      <c r="B1751" s="2">
        <f t="shared" si="135"/>
        <v>-992.35206382240722</v>
      </c>
      <c r="C1751" s="2">
        <f t="shared" si="136"/>
        <v>984762.61857259099</v>
      </c>
      <c r="D1751" s="2">
        <v>41750</v>
      </c>
      <c r="E1751" s="2">
        <f t="shared" si="137"/>
        <v>4.1749999999999998</v>
      </c>
      <c r="F1751" s="2">
        <f t="shared" si="138"/>
        <v>0.79514401664932732</v>
      </c>
      <c r="G1751" s="2">
        <f t="shared" si="139"/>
        <v>0.63225400721322578</v>
      </c>
    </row>
    <row r="1752" spans="1:7" x14ac:dyDescent="0.35">
      <c r="A1752" s="2">
        <v>346</v>
      </c>
      <c r="B1752" s="2">
        <f t="shared" si="135"/>
        <v>-992.35206382240722</v>
      </c>
      <c r="C1752" s="2">
        <f t="shared" si="136"/>
        <v>984762.61857259099</v>
      </c>
      <c r="D1752" s="2">
        <v>38406</v>
      </c>
      <c r="E1752" s="2">
        <f t="shared" si="137"/>
        <v>3.8405999999999998</v>
      </c>
      <c r="F1752" s="2">
        <f t="shared" si="138"/>
        <v>0.46074401664932729</v>
      </c>
      <c r="G1752" s="2">
        <f t="shared" si="139"/>
        <v>0.21228504887815558</v>
      </c>
    </row>
    <row r="1753" spans="1:7" x14ac:dyDescent="0.35">
      <c r="A1753" s="2">
        <v>346</v>
      </c>
      <c r="B1753" s="2">
        <f t="shared" si="135"/>
        <v>-992.35206382240722</v>
      </c>
      <c r="C1753" s="2">
        <f t="shared" si="136"/>
        <v>984762.61857259099</v>
      </c>
      <c r="D1753" s="2">
        <v>30694</v>
      </c>
      <c r="E1753" s="2">
        <f t="shared" si="137"/>
        <v>3.0693999999999999</v>
      </c>
      <c r="F1753" s="2">
        <f t="shared" si="138"/>
        <v>-0.31045598335067259</v>
      </c>
      <c r="G1753" s="2">
        <f t="shared" si="139"/>
        <v>9.63829175982331E-2</v>
      </c>
    </row>
    <row r="1754" spans="1:7" x14ac:dyDescent="0.35">
      <c r="A1754" s="2">
        <v>346</v>
      </c>
      <c r="B1754" s="2">
        <f t="shared" si="135"/>
        <v>-992.35206382240722</v>
      </c>
      <c r="C1754" s="2">
        <f t="shared" si="136"/>
        <v>984762.61857259099</v>
      </c>
      <c r="D1754" s="2">
        <v>50000</v>
      </c>
      <c r="E1754" s="2">
        <f t="shared" si="137"/>
        <v>5</v>
      </c>
      <c r="F1754" s="2">
        <f t="shared" si="138"/>
        <v>1.6201440166493275</v>
      </c>
      <c r="G1754" s="2">
        <f t="shared" si="139"/>
        <v>2.6248666346846163</v>
      </c>
    </row>
    <row r="1755" spans="1:7" x14ac:dyDescent="0.35">
      <c r="A1755" s="2">
        <v>346</v>
      </c>
      <c r="B1755" s="2">
        <f t="shared" si="135"/>
        <v>-992.35206382240722</v>
      </c>
      <c r="C1755" s="2">
        <f t="shared" si="136"/>
        <v>984762.61857259099</v>
      </c>
      <c r="D1755" s="2">
        <v>65000</v>
      </c>
      <c r="E1755" s="2">
        <f t="shared" si="137"/>
        <v>6.5</v>
      </c>
      <c r="F1755" s="2">
        <f t="shared" si="138"/>
        <v>3.1201440166493275</v>
      </c>
      <c r="G1755" s="2">
        <f t="shared" si="139"/>
        <v>9.7352986846325997</v>
      </c>
    </row>
    <row r="1756" spans="1:7" x14ac:dyDescent="0.35">
      <c r="A1756" s="2">
        <v>346</v>
      </c>
      <c r="B1756" s="2">
        <f t="shared" si="135"/>
        <v>-992.35206382240722</v>
      </c>
      <c r="C1756" s="2">
        <f t="shared" si="136"/>
        <v>984762.61857259099</v>
      </c>
      <c r="D1756" s="2">
        <v>49571</v>
      </c>
      <c r="E1756" s="2">
        <f t="shared" si="137"/>
        <v>4.9570999999999996</v>
      </c>
      <c r="F1756" s="2">
        <f t="shared" si="138"/>
        <v>1.5772440166493271</v>
      </c>
      <c r="G1756" s="2">
        <f t="shared" si="139"/>
        <v>2.4876986880561027</v>
      </c>
    </row>
    <row r="1757" spans="1:7" x14ac:dyDescent="0.35">
      <c r="A1757" s="2">
        <v>346</v>
      </c>
      <c r="B1757" s="2">
        <f t="shared" si="135"/>
        <v>-992.35206382240722</v>
      </c>
      <c r="C1757" s="2">
        <f t="shared" si="136"/>
        <v>984762.61857259099</v>
      </c>
      <c r="D1757" s="2">
        <v>58000</v>
      </c>
      <c r="E1757" s="2">
        <f t="shared" si="137"/>
        <v>5.8</v>
      </c>
      <c r="F1757" s="2">
        <f t="shared" si="138"/>
        <v>2.4201440166493273</v>
      </c>
      <c r="G1757" s="2">
        <f t="shared" si="139"/>
        <v>5.8570970613235396</v>
      </c>
    </row>
    <row r="1758" spans="1:7" x14ac:dyDescent="0.35">
      <c r="A1758" s="2">
        <v>346</v>
      </c>
      <c r="B1758" s="2">
        <f t="shared" si="135"/>
        <v>-992.35206382240722</v>
      </c>
      <c r="C1758" s="2">
        <f t="shared" si="136"/>
        <v>984762.61857259099</v>
      </c>
      <c r="D1758" s="2">
        <v>37256</v>
      </c>
      <c r="E1758" s="2">
        <f t="shared" si="137"/>
        <v>3.7256</v>
      </c>
      <c r="F1758" s="2">
        <f t="shared" si="138"/>
        <v>0.34574401664932752</v>
      </c>
      <c r="G1758" s="2">
        <f t="shared" si="139"/>
        <v>0.11953892504881047</v>
      </c>
    </row>
    <row r="1759" spans="1:7" x14ac:dyDescent="0.35">
      <c r="A1759" s="2">
        <v>346</v>
      </c>
      <c r="B1759" s="2">
        <f t="shared" si="135"/>
        <v>-992.35206382240722</v>
      </c>
      <c r="C1759" s="2">
        <f t="shared" si="136"/>
        <v>984762.61857259099</v>
      </c>
      <c r="D1759" s="2">
        <v>54108</v>
      </c>
      <c r="E1759" s="2">
        <f t="shared" si="137"/>
        <v>5.4108000000000001</v>
      </c>
      <c r="F1759" s="2">
        <f t="shared" si="138"/>
        <v>2.0309440166493276</v>
      </c>
      <c r="G1759" s="2">
        <f t="shared" si="139"/>
        <v>4.1247335987637044</v>
      </c>
    </row>
    <row r="1760" spans="1:7" x14ac:dyDescent="0.35">
      <c r="A1760" s="2">
        <v>346</v>
      </c>
      <c r="B1760" s="2">
        <f t="shared" si="135"/>
        <v>-992.35206382240722</v>
      </c>
      <c r="C1760" s="2">
        <f t="shared" si="136"/>
        <v>984762.61857259099</v>
      </c>
      <c r="D1760" s="2">
        <v>45000</v>
      </c>
      <c r="E1760" s="2">
        <f t="shared" si="137"/>
        <v>4.5</v>
      </c>
      <c r="F1760" s="2">
        <f t="shared" si="138"/>
        <v>1.1201440166493275</v>
      </c>
      <c r="G1760" s="2">
        <f t="shared" si="139"/>
        <v>1.2547226180352888</v>
      </c>
    </row>
    <row r="1761" spans="1:7" x14ac:dyDescent="0.35">
      <c r="A1761" s="2">
        <v>346</v>
      </c>
      <c r="B1761" s="2">
        <f t="shared" si="135"/>
        <v>-992.35206382240722</v>
      </c>
      <c r="C1761" s="2">
        <f t="shared" si="136"/>
        <v>984762.61857259099</v>
      </c>
      <c r="D1761" s="2">
        <v>45000</v>
      </c>
      <c r="E1761" s="2">
        <f t="shared" si="137"/>
        <v>4.5</v>
      </c>
      <c r="F1761" s="2">
        <f t="shared" si="138"/>
        <v>1.1201440166493275</v>
      </c>
      <c r="G1761" s="2">
        <f t="shared" si="139"/>
        <v>1.2547226180352888</v>
      </c>
    </row>
    <row r="1762" spans="1:7" x14ac:dyDescent="0.35">
      <c r="A1762" s="2">
        <v>346</v>
      </c>
      <c r="B1762" s="2">
        <f t="shared" si="135"/>
        <v>-992.35206382240722</v>
      </c>
      <c r="C1762" s="2">
        <f t="shared" si="136"/>
        <v>984762.61857259099</v>
      </c>
      <c r="D1762" s="2">
        <v>52773</v>
      </c>
      <c r="E1762" s="2">
        <f t="shared" si="137"/>
        <v>5.2773000000000003</v>
      </c>
      <c r="F1762" s="2">
        <f t="shared" si="138"/>
        <v>1.8974440166493278</v>
      </c>
      <c r="G1762" s="2">
        <f t="shared" si="139"/>
        <v>3.6002937963183346</v>
      </c>
    </row>
    <row r="1763" spans="1:7" x14ac:dyDescent="0.35">
      <c r="A1763" s="2">
        <v>346</v>
      </c>
      <c r="B1763" s="2">
        <f t="shared" si="135"/>
        <v>-992.35206382240722</v>
      </c>
      <c r="C1763" s="2">
        <f t="shared" si="136"/>
        <v>984762.61857259099</v>
      </c>
      <c r="D1763" s="2">
        <v>41453</v>
      </c>
      <c r="E1763" s="2">
        <f t="shared" si="137"/>
        <v>4.1452999999999998</v>
      </c>
      <c r="F1763" s="2">
        <f t="shared" si="138"/>
        <v>0.76544401664932726</v>
      </c>
      <c r="G1763" s="2">
        <f t="shared" si="139"/>
        <v>0.58590454262425562</v>
      </c>
    </row>
    <row r="1764" spans="1:7" x14ac:dyDescent="0.35">
      <c r="A1764" s="2">
        <v>346</v>
      </c>
      <c r="B1764" s="2">
        <f t="shared" si="135"/>
        <v>-992.35206382240722</v>
      </c>
      <c r="C1764" s="2">
        <f t="shared" si="136"/>
        <v>984762.61857259099</v>
      </c>
      <c r="D1764" s="2">
        <v>67045</v>
      </c>
      <c r="E1764" s="2">
        <f t="shared" si="137"/>
        <v>6.7045000000000003</v>
      </c>
      <c r="F1764" s="2">
        <f t="shared" si="138"/>
        <v>3.3246440166493278</v>
      </c>
      <c r="G1764" s="2">
        <f t="shared" si="139"/>
        <v>11.053257837442176</v>
      </c>
    </row>
    <row r="1765" spans="1:7" x14ac:dyDescent="0.35">
      <c r="A1765" s="2">
        <v>346</v>
      </c>
      <c r="B1765" s="2">
        <f t="shared" si="135"/>
        <v>-992.35206382240722</v>
      </c>
      <c r="C1765" s="2">
        <f t="shared" si="136"/>
        <v>984762.61857259099</v>
      </c>
      <c r="D1765" s="2">
        <v>68000</v>
      </c>
      <c r="E1765" s="2">
        <f t="shared" si="137"/>
        <v>6.8</v>
      </c>
      <c r="F1765" s="2">
        <f t="shared" si="138"/>
        <v>3.4201440166493273</v>
      </c>
      <c r="G1765" s="2">
        <f t="shared" si="139"/>
        <v>11.697385094622193</v>
      </c>
    </row>
    <row r="1766" spans="1:7" x14ac:dyDescent="0.35">
      <c r="A1766" s="2">
        <v>346</v>
      </c>
      <c r="B1766" s="2">
        <f t="shared" si="135"/>
        <v>-992.35206382240722</v>
      </c>
      <c r="C1766" s="2">
        <f t="shared" si="136"/>
        <v>984762.61857259099</v>
      </c>
      <c r="D1766" s="2">
        <v>68000</v>
      </c>
      <c r="E1766" s="2">
        <f t="shared" si="137"/>
        <v>6.8</v>
      </c>
      <c r="F1766" s="2">
        <f t="shared" si="138"/>
        <v>3.4201440166493273</v>
      </c>
      <c r="G1766" s="2">
        <f t="shared" si="139"/>
        <v>11.697385094622193</v>
      </c>
    </row>
    <row r="1767" spans="1:7" x14ac:dyDescent="0.35">
      <c r="A1767" s="2">
        <v>346</v>
      </c>
      <c r="B1767" s="2">
        <f t="shared" si="135"/>
        <v>-992.35206382240722</v>
      </c>
      <c r="C1767" s="2">
        <f t="shared" si="136"/>
        <v>984762.61857259099</v>
      </c>
      <c r="D1767" s="2">
        <v>73667</v>
      </c>
      <c r="E1767" s="2">
        <f t="shared" si="137"/>
        <v>7.3666999999999998</v>
      </c>
      <c r="F1767" s="2">
        <f t="shared" si="138"/>
        <v>3.9868440166493273</v>
      </c>
      <c r="G1767" s="2">
        <f t="shared" si="139"/>
        <v>15.894925213092542</v>
      </c>
    </row>
    <row r="1768" spans="1:7" x14ac:dyDescent="0.35">
      <c r="A1768" s="2">
        <v>346</v>
      </c>
      <c r="B1768" s="2">
        <f t="shared" si="135"/>
        <v>-992.35206382240722</v>
      </c>
      <c r="C1768" s="2">
        <f t="shared" si="136"/>
        <v>984762.61857259099</v>
      </c>
      <c r="D1768" s="2">
        <v>69563</v>
      </c>
      <c r="E1768" s="2">
        <f t="shared" si="137"/>
        <v>6.9562999999999997</v>
      </c>
      <c r="F1768" s="2">
        <f t="shared" si="138"/>
        <v>3.5764440166493272</v>
      </c>
      <c r="G1768" s="2">
        <f t="shared" si="139"/>
        <v>12.790951804226774</v>
      </c>
    </row>
    <row r="1769" spans="1:7" x14ac:dyDescent="0.35">
      <c r="A1769" s="2">
        <v>346</v>
      </c>
      <c r="B1769" s="2">
        <f t="shared" si="135"/>
        <v>-992.35206382240722</v>
      </c>
      <c r="C1769" s="2">
        <f t="shared" si="136"/>
        <v>984762.61857259099</v>
      </c>
      <c r="D1769" s="2">
        <v>64154</v>
      </c>
      <c r="E1769" s="2">
        <f t="shared" si="137"/>
        <v>6.4154</v>
      </c>
      <c r="F1769" s="2">
        <f t="shared" si="138"/>
        <v>3.0355440166493275</v>
      </c>
      <c r="G1769" s="2">
        <f t="shared" si="139"/>
        <v>9.2145274770155332</v>
      </c>
    </row>
    <row r="1770" spans="1:7" x14ac:dyDescent="0.35">
      <c r="A1770" s="2">
        <v>346</v>
      </c>
      <c r="B1770" s="2">
        <f t="shared" si="135"/>
        <v>-992.35206382240722</v>
      </c>
      <c r="C1770" s="2">
        <f t="shared" si="136"/>
        <v>984762.61857259099</v>
      </c>
      <c r="D1770" s="2">
        <v>68270</v>
      </c>
      <c r="E1770" s="2">
        <f t="shared" si="137"/>
        <v>6.827</v>
      </c>
      <c r="F1770" s="2">
        <f t="shared" si="138"/>
        <v>3.4471440166493275</v>
      </c>
      <c r="G1770" s="2">
        <f t="shared" si="139"/>
        <v>11.882801871521259</v>
      </c>
    </row>
    <row r="1771" spans="1:7" x14ac:dyDescent="0.35">
      <c r="A1771" s="2">
        <v>346</v>
      </c>
      <c r="B1771" s="2">
        <f t="shared" si="135"/>
        <v>-992.35206382240722</v>
      </c>
      <c r="C1771" s="2">
        <f t="shared" si="136"/>
        <v>984762.61857259099</v>
      </c>
      <c r="D1771" s="2">
        <v>70236</v>
      </c>
      <c r="E1771" s="2">
        <f t="shared" si="137"/>
        <v>7.0236000000000001</v>
      </c>
      <c r="F1771" s="2">
        <f t="shared" si="138"/>
        <v>3.6437440166493276</v>
      </c>
      <c r="G1771" s="2">
        <f t="shared" si="139"/>
        <v>13.276870458867775</v>
      </c>
    </row>
    <row r="1772" spans="1:7" x14ac:dyDescent="0.35">
      <c r="A1772" s="2">
        <v>346</v>
      </c>
      <c r="B1772" s="2">
        <f t="shared" si="135"/>
        <v>-992.35206382240722</v>
      </c>
      <c r="C1772" s="2">
        <f t="shared" si="136"/>
        <v>984762.61857259099</v>
      </c>
      <c r="D1772" s="2">
        <v>76015</v>
      </c>
      <c r="E1772" s="2">
        <f t="shared" si="137"/>
        <v>7.6014999999999997</v>
      </c>
      <c r="F1772" s="2">
        <f t="shared" si="138"/>
        <v>4.2216440166493268</v>
      </c>
      <c r="G1772" s="2">
        <f t="shared" si="139"/>
        <v>17.822278203311061</v>
      </c>
    </row>
    <row r="1773" spans="1:7" x14ac:dyDescent="0.35">
      <c r="A1773" s="2">
        <v>346</v>
      </c>
      <c r="B1773" s="2">
        <f t="shared" si="135"/>
        <v>-992.35206382240722</v>
      </c>
      <c r="C1773" s="2">
        <f t="shared" si="136"/>
        <v>984762.61857259099</v>
      </c>
      <c r="D1773" s="2">
        <v>75433</v>
      </c>
      <c r="E1773" s="2">
        <f t="shared" si="137"/>
        <v>7.5433000000000003</v>
      </c>
      <c r="F1773" s="2">
        <f t="shared" si="138"/>
        <v>4.1634440166493274</v>
      </c>
      <c r="G1773" s="2">
        <f t="shared" si="139"/>
        <v>17.334266079773084</v>
      </c>
    </row>
    <row r="1774" spans="1:7" x14ac:dyDescent="0.35">
      <c r="A1774" s="2">
        <v>346</v>
      </c>
      <c r="B1774" s="2">
        <f t="shared" si="135"/>
        <v>-992.35206382240722</v>
      </c>
      <c r="C1774" s="2">
        <f t="shared" si="136"/>
        <v>984762.61857259099</v>
      </c>
      <c r="D1774" s="2">
        <v>75000</v>
      </c>
      <c r="E1774" s="2">
        <f t="shared" si="137"/>
        <v>7.5</v>
      </c>
      <c r="F1774" s="2">
        <f t="shared" si="138"/>
        <v>4.1201440166493271</v>
      </c>
      <c r="G1774" s="2">
        <f t="shared" si="139"/>
        <v>16.97558671793125</v>
      </c>
    </row>
    <row r="1775" spans="1:7" x14ac:dyDescent="0.35">
      <c r="A1775" s="2">
        <v>346</v>
      </c>
      <c r="B1775" s="2">
        <f t="shared" si="135"/>
        <v>-992.35206382240722</v>
      </c>
      <c r="C1775" s="2">
        <f t="shared" si="136"/>
        <v>984762.61857259099</v>
      </c>
      <c r="D1775" s="2">
        <v>76173</v>
      </c>
      <c r="E1775" s="2">
        <f t="shared" si="137"/>
        <v>7.6173000000000002</v>
      </c>
      <c r="F1775" s="2">
        <f t="shared" si="138"/>
        <v>4.2374440166493272</v>
      </c>
      <c r="G1775" s="2">
        <f t="shared" si="139"/>
        <v>17.955931794237184</v>
      </c>
    </row>
    <row r="1776" spans="1:7" x14ac:dyDescent="0.35">
      <c r="A1776" s="2">
        <v>346</v>
      </c>
      <c r="B1776" s="2">
        <f t="shared" si="135"/>
        <v>-992.35206382240722</v>
      </c>
      <c r="C1776" s="2">
        <f t="shared" si="136"/>
        <v>984762.61857259099</v>
      </c>
      <c r="D1776" s="2">
        <v>70881</v>
      </c>
      <c r="E1776" s="2">
        <f t="shared" si="137"/>
        <v>7.0880999999999998</v>
      </c>
      <c r="F1776" s="2">
        <f t="shared" si="138"/>
        <v>3.7082440166493273</v>
      </c>
      <c r="G1776" s="2">
        <f t="shared" si="139"/>
        <v>13.751073687015536</v>
      </c>
    </row>
    <row r="1777" spans="1:7" x14ac:dyDescent="0.35">
      <c r="A1777" s="2">
        <v>1032</v>
      </c>
      <c r="B1777" s="2">
        <f t="shared" si="135"/>
        <v>-306.35206382240722</v>
      </c>
      <c r="C1777" s="2">
        <f t="shared" si="136"/>
        <v>93851.587008248258</v>
      </c>
      <c r="D1777" s="2">
        <v>8600</v>
      </c>
      <c r="E1777" s="2">
        <f t="shared" si="137"/>
        <v>0.86</v>
      </c>
      <c r="F1777" s="2">
        <f t="shared" si="138"/>
        <v>-2.5198559833506726</v>
      </c>
      <c r="G1777" s="2">
        <f t="shared" si="139"/>
        <v>6.3496741768281852</v>
      </c>
    </row>
    <row r="1778" spans="1:7" x14ac:dyDescent="0.35">
      <c r="A1778" s="2">
        <v>1032</v>
      </c>
      <c r="B1778" s="2">
        <f t="shared" si="135"/>
        <v>-306.35206382240722</v>
      </c>
      <c r="C1778" s="2">
        <f t="shared" si="136"/>
        <v>93851.587008248258</v>
      </c>
      <c r="D1778" s="2">
        <v>9300</v>
      </c>
      <c r="E1778" s="2">
        <f t="shared" si="137"/>
        <v>0.93</v>
      </c>
      <c r="F1778" s="2">
        <f t="shared" si="138"/>
        <v>-2.4498559833506723</v>
      </c>
      <c r="G1778" s="2">
        <f t="shared" si="139"/>
        <v>6.0017943391590896</v>
      </c>
    </row>
    <row r="1779" spans="1:7" x14ac:dyDescent="0.35">
      <c r="A1779" s="2">
        <v>1032</v>
      </c>
      <c r="B1779" s="2">
        <f t="shared" si="135"/>
        <v>-306.35206382240722</v>
      </c>
      <c r="C1779" s="2">
        <f t="shared" si="136"/>
        <v>93851.587008248258</v>
      </c>
      <c r="D1779" s="2">
        <v>8571</v>
      </c>
      <c r="E1779" s="2">
        <f t="shared" si="137"/>
        <v>0.85709999999999997</v>
      </c>
      <c r="F1779" s="2">
        <f t="shared" si="138"/>
        <v>-2.5227559833506725</v>
      </c>
      <c r="G1779" s="2">
        <f t="shared" si="139"/>
        <v>6.3642977515316188</v>
      </c>
    </row>
    <row r="1780" spans="1:7" x14ac:dyDescent="0.35">
      <c r="A1780" s="2">
        <v>1032</v>
      </c>
      <c r="B1780" s="2">
        <f t="shared" si="135"/>
        <v>-306.35206382240722</v>
      </c>
      <c r="C1780" s="2">
        <f t="shared" si="136"/>
        <v>93851.587008248258</v>
      </c>
      <c r="D1780" s="2">
        <v>8636</v>
      </c>
      <c r="E1780" s="2">
        <f t="shared" si="137"/>
        <v>0.86360000000000003</v>
      </c>
      <c r="F1780" s="2">
        <f t="shared" si="138"/>
        <v>-2.5162559833506726</v>
      </c>
      <c r="G1780" s="2">
        <f t="shared" si="139"/>
        <v>6.3315441737480604</v>
      </c>
    </row>
    <row r="1781" spans="1:7" x14ac:dyDescent="0.35">
      <c r="A1781" s="2">
        <v>1032</v>
      </c>
      <c r="B1781" s="2">
        <f t="shared" si="135"/>
        <v>-306.35206382240722</v>
      </c>
      <c r="C1781" s="2">
        <f t="shared" si="136"/>
        <v>93851.587008248258</v>
      </c>
      <c r="D1781" s="2">
        <v>8747</v>
      </c>
      <c r="E1781" s="2">
        <f t="shared" si="137"/>
        <v>0.87470000000000003</v>
      </c>
      <c r="F1781" s="2">
        <f t="shared" si="138"/>
        <v>-2.5051559833506722</v>
      </c>
      <c r="G1781" s="2">
        <f t="shared" si="139"/>
        <v>6.2758065009176738</v>
      </c>
    </row>
    <row r="1782" spans="1:7" x14ac:dyDescent="0.35">
      <c r="A1782" s="2">
        <v>1032</v>
      </c>
      <c r="B1782" s="2">
        <f t="shared" si="135"/>
        <v>-306.35206382240722</v>
      </c>
      <c r="C1782" s="2">
        <f t="shared" si="136"/>
        <v>93851.587008248258</v>
      </c>
      <c r="D1782" s="2">
        <v>5290</v>
      </c>
      <c r="E1782" s="2">
        <f t="shared" si="137"/>
        <v>0.52900000000000003</v>
      </c>
      <c r="F1782" s="2">
        <f t="shared" si="138"/>
        <v>-2.8508559833506726</v>
      </c>
      <c r="G1782" s="2">
        <f t="shared" si="139"/>
        <v>8.1273798378063304</v>
      </c>
    </row>
    <row r="1783" spans="1:7" x14ac:dyDescent="0.35">
      <c r="A1783" s="2">
        <v>1032</v>
      </c>
      <c r="B1783" s="2">
        <f t="shared" si="135"/>
        <v>-306.35206382240722</v>
      </c>
      <c r="C1783" s="2">
        <f t="shared" si="136"/>
        <v>93851.587008248258</v>
      </c>
      <c r="D1783" s="2">
        <v>2988</v>
      </c>
      <c r="E1783" s="2">
        <f t="shared" si="137"/>
        <v>0.29880000000000001</v>
      </c>
      <c r="F1783" s="2">
        <f t="shared" si="138"/>
        <v>-3.0810559833506725</v>
      </c>
      <c r="G1783" s="2">
        <f t="shared" si="139"/>
        <v>9.4929059725409797</v>
      </c>
    </row>
    <row r="1784" spans="1:7" x14ac:dyDescent="0.35">
      <c r="A1784" s="2">
        <v>1032</v>
      </c>
      <c r="B1784" s="2">
        <f t="shared" si="135"/>
        <v>-306.35206382240722</v>
      </c>
      <c r="C1784" s="2">
        <f t="shared" si="136"/>
        <v>93851.587008248258</v>
      </c>
      <c r="D1784" s="2">
        <v>6225</v>
      </c>
      <c r="E1784" s="2">
        <f t="shared" si="137"/>
        <v>0.62250000000000005</v>
      </c>
      <c r="F1784" s="2">
        <f t="shared" si="138"/>
        <v>-2.7573559833506724</v>
      </c>
      <c r="G1784" s="2">
        <f t="shared" si="139"/>
        <v>7.6030120189197534</v>
      </c>
    </row>
    <row r="1785" spans="1:7" x14ac:dyDescent="0.35">
      <c r="A1785" s="2">
        <v>1032</v>
      </c>
      <c r="B1785" s="2">
        <f t="shared" si="135"/>
        <v>-306.35206382240722</v>
      </c>
      <c r="C1785" s="2">
        <f t="shared" si="136"/>
        <v>93851.587008248258</v>
      </c>
      <c r="D1785" s="2">
        <v>8345</v>
      </c>
      <c r="E1785" s="2">
        <f t="shared" si="137"/>
        <v>0.83450000000000002</v>
      </c>
      <c r="F1785" s="2">
        <f t="shared" si="138"/>
        <v>-2.5453559833506727</v>
      </c>
      <c r="G1785" s="2">
        <f t="shared" si="139"/>
        <v>6.4788370819790702</v>
      </c>
    </row>
    <row r="1786" spans="1:7" x14ac:dyDescent="0.35">
      <c r="A1786" s="2">
        <v>1032</v>
      </c>
      <c r="B1786" s="2">
        <f t="shared" si="135"/>
        <v>-306.35206382240722</v>
      </c>
      <c r="C1786" s="2">
        <f t="shared" si="136"/>
        <v>93851.587008248258</v>
      </c>
      <c r="D1786" s="2">
        <v>8717</v>
      </c>
      <c r="E1786" s="2">
        <f t="shared" si="137"/>
        <v>0.87170000000000003</v>
      </c>
      <c r="F1786" s="2">
        <f t="shared" si="138"/>
        <v>-2.5081559833506724</v>
      </c>
      <c r="G1786" s="2">
        <f t="shared" si="139"/>
        <v>6.2908464368177786</v>
      </c>
    </row>
    <row r="1787" spans="1:7" x14ac:dyDescent="0.35">
      <c r="A1787" s="2">
        <v>1032</v>
      </c>
      <c r="B1787" s="2">
        <f t="shared" si="135"/>
        <v>-306.35206382240722</v>
      </c>
      <c r="C1787" s="2">
        <f t="shared" si="136"/>
        <v>93851.587008248258</v>
      </c>
      <c r="D1787" s="2">
        <v>9653</v>
      </c>
      <c r="E1787" s="2">
        <f t="shared" si="137"/>
        <v>0.96530000000000005</v>
      </c>
      <c r="F1787" s="2">
        <f t="shared" si="138"/>
        <v>-2.4145559833506725</v>
      </c>
      <c r="G1787" s="2">
        <f t="shared" si="139"/>
        <v>5.8300805967345326</v>
      </c>
    </row>
    <row r="1788" spans="1:7" x14ac:dyDescent="0.35">
      <c r="A1788" s="2">
        <v>1032</v>
      </c>
      <c r="B1788" s="2">
        <f t="shared" si="135"/>
        <v>-306.35206382240722</v>
      </c>
      <c r="C1788" s="2">
        <f t="shared" si="136"/>
        <v>93851.587008248258</v>
      </c>
      <c r="D1788" s="2">
        <v>10904</v>
      </c>
      <c r="E1788" s="2">
        <f t="shared" si="137"/>
        <v>1.0904</v>
      </c>
      <c r="F1788" s="2">
        <f t="shared" si="138"/>
        <v>-2.2894559833506722</v>
      </c>
      <c r="G1788" s="2">
        <f t="shared" si="139"/>
        <v>5.2416086997001941</v>
      </c>
    </row>
    <row r="1789" spans="1:7" x14ac:dyDescent="0.35">
      <c r="A1789" s="2">
        <v>1032</v>
      </c>
      <c r="B1789" s="2">
        <f t="shared" si="135"/>
        <v>-306.35206382240722</v>
      </c>
      <c r="C1789" s="2">
        <f t="shared" si="136"/>
        <v>93851.587008248258</v>
      </c>
      <c r="D1789" s="2">
        <v>10552</v>
      </c>
      <c r="E1789" s="2">
        <f t="shared" si="137"/>
        <v>1.0551999999999999</v>
      </c>
      <c r="F1789" s="2">
        <f t="shared" si="138"/>
        <v>-2.3246559833506728</v>
      </c>
      <c r="G1789" s="2">
        <f t="shared" si="139"/>
        <v>5.4040254409280832</v>
      </c>
    </row>
    <row r="1790" spans="1:7" x14ac:dyDescent="0.35">
      <c r="A1790" s="2">
        <v>1032</v>
      </c>
      <c r="B1790" s="2">
        <f t="shared" si="135"/>
        <v>-306.35206382240722</v>
      </c>
      <c r="C1790" s="2">
        <f t="shared" si="136"/>
        <v>93851.587008248258</v>
      </c>
      <c r="D1790" s="2">
        <v>10000</v>
      </c>
      <c r="E1790" s="2">
        <f t="shared" si="137"/>
        <v>1</v>
      </c>
      <c r="F1790" s="2">
        <f t="shared" si="138"/>
        <v>-2.3798559833506725</v>
      </c>
      <c r="G1790" s="2">
        <f t="shared" si="139"/>
        <v>5.6637145014899968</v>
      </c>
    </row>
    <row r="1791" spans="1:7" x14ac:dyDescent="0.35">
      <c r="A1791" s="2">
        <v>1032</v>
      </c>
      <c r="B1791" s="2">
        <f t="shared" si="135"/>
        <v>-306.35206382240722</v>
      </c>
      <c r="C1791" s="2">
        <f t="shared" si="136"/>
        <v>93851.587008248258</v>
      </c>
      <c r="D1791" s="2">
        <v>9816</v>
      </c>
      <c r="E1791" s="2">
        <f t="shared" si="137"/>
        <v>0.98160000000000003</v>
      </c>
      <c r="F1791" s="2">
        <f t="shared" si="138"/>
        <v>-2.3982559833506727</v>
      </c>
      <c r="G1791" s="2">
        <f t="shared" si="139"/>
        <v>5.7516317616773023</v>
      </c>
    </row>
    <row r="1792" spans="1:7" x14ac:dyDescent="0.35">
      <c r="A1792" s="2">
        <v>1032</v>
      </c>
      <c r="B1792" s="2">
        <f t="shared" si="135"/>
        <v>-306.35206382240722</v>
      </c>
      <c r="C1792" s="2">
        <f t="shared" si="136"/>
        <v>93851.587008248258</v>
      </c>
      <c r="D1792" s="2">
        <v>9582</v>
      </c>
      <c r="E1792" s="2">
        <f t="shared" si="137"/>
        <v>0.95820000000000005</v>
      </c>
      <c r="F1792" s="2">
        <f t="shared" si="138"/>
        <v>-2.4216559833506723</v>
      </c>
      <c r="G1792" s="2">
        <f t="shared" si="139"/>
        <v>5.8644177016981116</v>
      </c>
    </row>
    <row r="1793" spans="1:7" x14ac:dyDescent="0.35">
      <c r="A1793" s="2">
        <v>1032</v>
      </c>
      <c r="B1793" s="2">
        <f t="shared" si="135"/>
        <v>-306.35206382240722</v>
      </c>
      <c r="C1793" s="2">
        <f t="shared" si="136"/>
        <v>93851.587008248258</v>
      </c>
      <c r="D1793" s="2">
        <v>2789</v>
      </c>
      <c r="E1793" s="2">
        <f t="shared" si="137"/>
        <v>0.27889999999999998</v>
      </c>
      <c r="F1793" s="2">
        <f t="shared" si="138"/>
        <v>-3.1009559833506724</v>
      </c>
      <c r="G1793" s="2">
        <f t="shared" si="139"/>
        <v>9.6159280106783349</v>
      </c>
    </row>
    <row r="1794" spans="1:7" x14ac:dyDescent="0.35">
      <c r="A1794" s="2">
        <v>1032</v>
      </c>
      <c r="B1794" s="2">
        <f t="shared" si="135"/>
        <v>-306.35206382240722</v>
      </c>
      <c r="C1794" s="2">
        <f t="shared" si="136"/>
        <v>93851.587008248258</v>
      </c>
      <c r="D1794" s="2">
        <v>9604</v>
      </c>
      <c r="E1794" s="2">
        <f t="shared" si="137"/>
        <v>0.96040000000000003</v>
      </c>
      <c r="F1794" s="2">
        <f t="shared" si="138"/>
        <v>-2.4194559833506726</v>
      </c>
      <c r="G1794" s="2">
        <f t="shared" si="139"/>
        <v>5.8537672553713698</v>
      </c>
    </row>
    <row r="1795" spans="1:7" x14ac:dyDescent="0.35">
      <c r="A1795" s="2">
        <v>1032</v>
      </c>
      <c r="B1795" s="2">
        <f t="shared" ref="B1795:B1858" si="140">A1795-$J$1</f>
        <v>-306.35206382240722</v>
      </c>
      <c r="C1795" s="2">
        <f t="shared" ref="C1795:C1858" si="141">B1795^2</f>
        <v>93851.587008248258</v>
      </c>
      <c r="D1795" s="2">
        <v>2034</v>
      </c>
      <c r="E1795" s="2">
        <f t="shared" ref="E1795:E1858" si="142">D1795/10000</f>
        <v>0.2034</v>
      </c>
      <c r="F1795" s="2">
        <f t="shared" ref="F1795:F1858" si="143">E1795-$J$2</f>
        <v>-3.1764559833506727</v>
      </c>
      <c r="G1795" s="2">
        <f t="shared" ref="G1795:G1858" si="144">F1795^2</f>
        <v>10.089872614164289</v>
      </c>
    </row>
    <row r="1796" spans="1:7" x14ac:dyDescent="0.35">
      <c r="A1796" s="2">
        <v>1032</v>
      </c>
      <c r="B1796" s="2">
        <f t="shared" si="140"/>
        <v>-306.35206382240722</v>
      </c>
      <c r="C1796" s="2">
        <f t="shared" si="141"/>
        <v>93851.587008248258</v>
      </c>
      <c r="D1796" s="2">
        <v>2729</v>
      </c>
      <c r="E1796" s="2">
        <f t="shared" si="142"/>
        <v>0.27289999999999998</v>
      </c>
      <c r="F1796" s="2">
        <f t="shared" si="143"/>
        <v>-3.1069559833506726</v>
      </c>
      <c r="G1796" s="2">
        <f t="shared" si="144"/>
        <v>9.6531754824785452</v>
      </c>
    </row>
    <row r="1797" spans="1:7" x14ac:dyDescent="0.35">
      <c r="A1797" s="2">
        <v>1032</v>
      </c>
      <c r="B1797" s="2">
        <f t="shared" si="140"/>
        <v>-306.35206382240722</v>
      </c>
      <c r="C1797" s="2">
        <f t="shared" si="141"/>
        <v>93851.587008248258</v>
      </c>
      <c r="D1797" s="2">
        <v>2845</v>
      </c>
      <c r="E1797" s="2">
        <f t="shared" si="142"/>
        <v>0.28449999999999998</v>
      </c>
      <c r="F1797" s="2">
        <f t="shared" si="143"/>
        <v>-3.0953559833506725</v>
      </c>
      <c r="G1797" s="2">
        <f t="shared" si="144"/>
        <v>9.5812286636648096</v>
      </c>
    </row>
    <row r="1798" spans="1:7" x14ac:dyDescent="0.35">
      <c r="A1798" s="2">
        <v>1032</v>
      </c>
      <c r="B1798" s="2">
        <f t="shared" si="140"/>
        <v>-306.35206382240722</v>
      </c>
      <c r="C1798" s="2">
        <f t="shared" si="141"/>
        <v>93851.587008248258</v>
      </c>
      <c r="D1798" s="2">
        <v>2836</v>
      </c>
      <c r="E1798" s="2">
        <f t="shared" si="142"/>
        <v>0.28360000000000002</v>
      </c>
      <c r="F1798" s="2">
        <f t="shared" si="143"/>
        <v>-3.0962559833506726</v>
      </c>
      <c r="G1798" s="2">
        <f t="shared" si="144"/>
        <v>9.5868011144348415</v>
      </c>
    </row>
    <row r="1799" spans="1:7" x14ac:dyDescent="0.35">
      <c r="A1799" s="2">
        <v>1032</v>
      </c>
      <c r="B1799" s="2">
        <f t="shared" si="140"/>
        <v>-306.35206382240722</v>
      </c>
      <c r="C1799" s="2">
        <f t="shared" si="141"/>
        <v>93851.587008248258</v>
      </c>
      <c r="D1799" s="2">
        <v>9835</v>
      </c>
      <c r="E1799" s="2">
        <f t="shared" si="142"/>
        <v>0.98350000000000004</v>
      </c>
      <c r="F1799" s="2">
        <f t="shared" si="143"/>
        <v>-2.3963559833506727</v>
      </c>
      <c r="G1799" s="2">
        <f t="shared" si="144"/>
        <v>5.7425219989405694</v>
      </c>
    </row>
    <row r="1800" spans="1:7" x14ac:dyDescent="0.35">
      <c r="A1800" s="2">
        <v>1032</v>
      </c>
      <c r="B1800" s="2">
        <f t="shared" si="140"/>
        <v>-306.35206382240722</v>
      </c>
      <c r="C1800" s="2">
        <f t="shared" si="141"/>
        <v>93851.587008248258</v>
      </c>
      <c r="D1800" s="2">
        <v>11365</v>
      </c>
      <c r="E1800" s="2">
        <f t="shared" si="142"/>
        <v>1.1365000000000001</v>
      </c>
      <c r="F1800" s="2">
        <f t="shared" si="143"/>
        <v>-2.2433559833506722</v>
      </c>
      <c r="G1800" s="2">
        <f t="shared" si="144"/>
        <v>5.0326460680352616</v>
      </c>
    </row>
    <row r="1801" spans="1:7" x14ac:dyDescent="0.35">
      <c r="A1801" s="2">
        <v>1032</v>
      </c>
      <c r="B1801" s="2">
        <f t="shared" si="140"/>
        <v>-306.35206382240722</v>
      </c>
      <c r="C1801" s="2">
        <f t="shared" si="141"/>
        <v>93851.587008248258</v>
      </c>
      <c r="D1801" s="2">
        <v>11366</v>
      </c>
      <c r="E1801" s="2">
        <f t="shared" si="142"/>
        <v>1.1366000000000001</v>
      </c>
      <c r="F1801" s="2">
        <f t="shared" si="143"/>
        <v>-2.2432559833506724</v>
      </c>
      <c r="G1801" s="2">
        <f t="shared" si="144"/>
        <v>5.0321974068385922</v>
      </c>
    </row>
    <row r="1802" spans="1:7" x14ac:dyDescent="0.35">
      <c r="A1802" s="2">
        <v>1032</v>
      </c>
      <c r="B1802" s="2">
        <f t="shared" si="140"/>
        <v>-306.35206382240722</v>
      </c>
      <c r="C1802" s="2">
        <f t="shared" si="141"/>
        <v>93851.587008248258</v>
      </c>
      <c r="D1802" s="2">
        <v>5589</v>
      </c>
      <c r="E1802" s="2">
        <f t="shared" si="142"/>
        <v>0.55889999999999995</v>
      </c>
      <c r="F1802" s="2">
        <f t="shared" si="143"/>
        <v>-2.8209559833506725</v>
      </c>
      <c r="G1802" s="2">
        <f t="shared" si="144"/>
        <v>7.9577926600019602</v>
      </c>
    </row>
    <row r="1803" spans="1:7" x14ac:dyDescent="0.35">
      <c r="A1803" s="2">
        <v>1032</v>
      </c>
      <c r="B1803" s="2">
        <f t="shared" si="140"/>
        <v>-306.35206382240722</v>
      </c>
      <c r="C1803" s="2">
        <f t="shared" si="141"/>
        <v>93851.587008248258</v>
      </c>
      <c r="D1803" s="2">
        <v>2824</v>
      </c>
      <c r="E1803" s="2">
        <f t="shared" si="142"/>
        <v>0.28239999999999998</v>
      </c>
      <c r="F1803" s="2">
        <f t="shared" si="143"/>
        <v>-3.0974559833506725</v>
      </c>
      <c r="G1803" s="2">
        <f t="shared" si="144"/>
        <v>9.5942335687948823</v>
      </c>
    </row>
    <row r="1804" spans="1:7" x14ac:dyDescent="0.35">
      <c r="A1804" s="2">
        <v>1032</v>
      </c>
      <c r="B1804" s="2">
        <f t="shared" si="140"/>
        <v>-306.35206382240722</v>
      </c>
      <c r="C1804" s="2">
        <f t="shared" si="141"/>
        <v>93851.587008248258</v>
      </c>
      <c r="D1804" s="2">
        <v>4137</v>
      </c>
      <c r="E1804" s="2">
        <f t="shared" si="142"/>
        <v>0.41370000000000001</v>
      </c>
      <c r="F1804" s="2">
        <f t="shared" si="143"/>
        <v>-2.9661559833506725</v>
      </c>
      <c r="G1804" s="2">
        <f t="shared" si="144"/>
        <v>8.7980813175669947</v>
      </c>
    </row>
    <row r="1805" spans="1:7" x14ac:dyDescent="0.35">
      <c r="A1805" s="2">
        <v>1032</v>
      </c>
      <c r="B1805" s="2">
        <f t="shared" si="140"/>
        <v>-306.35206382240722</v>
      </c>
      <c r="C1805" s="2">
        <f t="shared" si="141"/>
        <v>93851.587008248258</v>
      </c>
      <c r="D1805" s="2">
        <v>5458</v>
      </c>
      <c r="E1805" s="2">
        <f t="shared" si="142"/>
        <v>0.54579999999999995</v>
      </c>
      <c r="F1805" s="2">
        <f t="shared" si="143"/>
        <v>-2.8340559833506727</v>
      </c>
      <c r="G1805" s="2">
        <f t="shared" si="144"/>
        <v>8.0318733167657488</v>
      </c>
    </row>
    <row r="1806" spans="1:7" x14ac:dyDescent="0.35">
      <c r="A1806" s="2">
        <v>1032</v>
      </c>
      <c r="B1806" s="2">
        <f t="shared" si="140"/>
        <v>-306.35206382240722</v>
      </c>
      <c r="C1806" s="2">
        <f t="shared" si="141"/>
        <v>93851.587008248258</v>
      </c>
      <c r="D1806" s="2">
        <v>6037</v>
      </c>
      <c r="E1806" s="2">
        <f t="shared" si="142"/>
        <v>0.60370000000000001</v>
      </c>
      <c r="F1806" s="2">
        <f t="shared" si="143"/>
        <v>-2.7761559833506726</v>
      </c>
      <c r="G1806" s="2">
        <f t="shared" si="144"/>
        <v>7.7070420438937397</v>
      </c>
    </row>
    <row r="1807" spans="1:7" x14ac:dyDescent="0.35">
      <c r="A1807" s="2">
        <v>2091</v>
      </c>
      <c r="B1807" s="2">
        <f t="shared" si="140"/>
        <v>752.64793617759278</v>
      </c>
      <c r="C1807" s="2">
        <f t="shared" si="141"/>
        <v>566478.91583238973</v>
      </c>
      <c r="D1807" s="2">
        <v>30718</v>
      </c>
      <c r="E1807" s="2">
        <f t="shared" si="142"/>
        <v>3.0718000000000001</v>
      </c>
      <c r="F1807" s="2">
        <f t="shared" si="143"/>
        <v>-0.30805598335067241</v>
      </c>
      <c r="G1807" s="2">
        <f t="shared" si="144"/>
        <v>9.4898488878149764E-2</v>
      </c>
    </row>
    <row r="1808" spans="1:7" x14ac:dyDescent="0.35">
      <c r="A1808" s="2">
        <v>2091</v>
      </c>
      <c r="B1808" s="2">
        <f t="shared" si="140"/>
        <v>752.64793617759278</v>
      </c>
      <c r="C1808" s="2">
        <f t="shared" si="141"/>
        <v>566478.91583238973</v>
      </c>
      <c r="D1808" s="2">
        <v>30279</v>
      </c>
      <c r="E1808" s="2">
        <f t="shared" si="142"/>
        <v>3.0278999999999998</v>
      </c>
      <c r="F1808" s="2">
        <f t="shared" si="143"/>
        <v>-0.35195598335067269</v>
      </c>
      <c r="G1808" s="2">
        <f t="shared" si="144"/>
        <v>0.12387301421633899</v>
      </c>
    </row>
    <row r="1809" spans="1:7" x14ac:dyDescent="0.35">
      <c r="A1809" s="2">
        <v>2091</v>
      </c>
      <c r="B1809" s="2">
        <f t="shared" si="140"/>
        <v>752.64793617759278</v>
      </c>
      <c r="C1809" s="2">
        <f t="shared" si="141"/>
        <v>566478.91583238973</v>
      </c>
      <c r="D1809" s="2">
        <v>30424</v>
      </c>
      <c r="E1809" s="2">
        <f t="shared" si="142"/>
        <v>3.0424000000000002</v>
      </c>
      <c r="F1809" s="2">
        <f t="shared" si="143"/>
        <v>-0.33745598335067228</v>
      </c>
      <c r="G1809" s="2">
        <f t="shared" si="144"/>
        <v>0.11387654069916921</v>
      </c>
    </row>
    <row r="1810" spans="1:7" x14ac:dyDescent="0.35">
      <c r="A1810" s="2">
        <v>2091</v>
      </c>
      <c r="B1810" s="2">
        <f t="shared" si="140"/>
        <v>752.64793617759278</v>
      </c>
      <c r="C1810" s="2">
        <f t="shared" si="141"/>
        <v>566478.91583238973</v>
      </c>
      <c r="D1810" s="2">
        <v>29174</v>
      </c>
      <c r="E1810" s="2">
        <f t="shared" si="142"/>
        <v>2.9174000000000002</v>
      </c>
      <c r="F1810" s="2">
        <f t="shared" si="143"/>
        <v>-0.46245598335067228</v>
      </c>
      <c r="G1810" s="2">
        <f t="shared" si="144"/>
        <v>0.21386553653683729</v>
      </c>
    </row>
    <row r="1811" spans="1:7" x14ac:dyDescent="0.35">
      <c r="A1811" s="2">
        <v>2091</v>
      </c>
      <c r="B1811" s="2">
        <f t="shared" si="140"/>
        <v>752.64793617759278</v>
      </c>
      <c r="C1811" s="2">
        <f t="shared" si="141"/>
        <v>566478.91583238973</v>
      </c>
      <c r="D1811" s="2">
        <v>29353</v>
      </c>
      <c r="E1811" s="2">
        <f t="shared" si="142"/>
        <v>2.9352999999999998</v>
      </c>
      <c r="F1811" s="2">
        <f t="shared" si="143"/>
        <v>-0.4445559833506727</v>
      </c>
      <c r="G1811" s="2">
        <f t="shared" si="144"/>
        <v>0.19763002233288357</v>
      </c>
    </row>
    <row r="1812" spans="1:7" x14ac:dyDescent="0.35">
      <c r="A1812" s="2">
        <v>2091</v>
      </c>
      <c r="B1812" s="2">
        <f t="shared" si="140"/>
        <v>752.64793617759278</v>
      </c>
      <c r="C1812" s="2">
        <f t="shared" si="141"/>
        <v>566478.91583238973</v>
      </c>
      <c r="D1812" s="2">
        <v>28400</v>
      </c>
      <c r="E1812" s="2">
        <f t="shared" si="142"/>
        <v>2.84</v>
      </c>
      <c r="F1812" s="2">
        <f t="shared" si="143"/>
        <v>-0.53985598335067264</v>
      </c>
      <c r="G1812" s="2">
        <f t="shared" si="144"/>
        <v>0.29144448275952173</v>
      </c>
    </row>
    <row r="1813" spans="1:7" x14ac:dyDescent="0.35">
      <c r="A1813" s="2">
        <v>2091</v>
      </c>
      <c r="B1813" s="2">
        <f t="shared" si="140"/>
        <v>752.64793617759278</v>
      </c>
      <c r="C1813" s="2">
        <f t="shared" si="141"/>
        <v>566478.91583238973</v>
      </c>
      <c r="D1813" s="2">
        <v>28882</v>
      </c>
      <c r="E1813" s="2">
        <f t="shared" si="142"/>
        <v>2.8881999999999999</v>
      </c>
      <c r="F1813" s="2">
        <f t="shared" si="143"/>
        <v>-0.49165598335067262</v>
      </c>
      <c r="G1813" s="2">
        <f t="shared" si="144"/>
        <v>0.24172560596451687</v>
      </c>
    </row>
    <row r="1814" spans="1:7" x14ac:dyDescent="0.35">
      <c r="A1814" s="2">
        <v>2091</v>
      </c>
      <c r="B1814" s="2">
        <f t="shared" si="140"/>
        <v>752.64793617759278</v>
      </c>
      <c r="C1814" s="2">
        <f t="shared" si="141"/>
        <v>566478.91583238973</v>
      </c>
      <c r="D1814" s="2">
        <v>30063</v>
      </c>
      <c r="E1814" s="2">
        <f t="shared" si="142"/>
        <v>3.0063</v>
      </c>
      <c r="F1814" s="2">
        <f t="shared" si="143"/>
        <v>-0.37355598335067253</v>
      </c>
      <c r="G1814" s="2">
        <f t="shared" si="144"/>
        <v>0.13954407269708793</v>
      </c>
    </row>
    <row r="1815" spans="1:7" x14ac:dyDescent="0.35">
      <c r="A1815" s="2">
        <v>2091</v>
      </c>
      <c r="B1815" s="2">
        <f t="shared" si="140"/>
        <v>752.64793617759278</v>
      </c>
      <c r="C1815" s="2">
        <f t="shared" si="141"/>
        <v>566478.91583238973</v>
      </c>
      <c r="D1815" s="2">
        <v>31182</v>
      </c>
      <c r="E1815" s="2">
        <f t="shared" si="142"/>
        <v>3.1181999999999999</v>
      </c>
      <c r="F1815" s="2">
        <f t="shared" si="143"/>
        <v>-0.26165598335067264</v>
      </c>
      <c r="G1815" s="2">
        <f t="shared" si="144"/>
        <v>6.8463853623207477E-2</v>
      </c>
    </row>
    <row r="1816" spans="1:7" x14ac:dyDescent="0.35">
      <c r="A1816" s="2">
        <v>2091</v>
      </c>
      <c r="B1816" s="2">
        <f t="shared" si="140"/>
        <v>752.64793617759278</v>
      </c>
      <c r="C1816" s="2">
        <f t="shared" si="141"/>
        <v>566478.91583238973</v>
      </c>
      <c r="D1816" s="2">
        <v>29290</v>
      </c>
      <c r="E1816" s="2">
        <f t="shared" si="142"/>
        <v>2.9289999999999998</v>
      </c>
      <c r="F1816" s="2">
        <f t="shared" si="143"/>
        <v>-0.45085598335067267</v>
      </c>
      <c r="G1816" s="2">
        <f t="shared" si="144"/>
        <v>0.20327111772310202</v>
      </c>
    </row>
    <row r="1817" spans="1:7" x14ac:dyDescent="0.35">
      <c r="A1817" s="2">
        <v>2091</v>
      </c>
      <c r="B1817" s="2">
        <f t="shared" si="140"/>
        <v>752.64793617759278</v>
      </c>
      <c r="C1817" s="2">
        <f t="shared" si="141"/>
        <v>566478.91583238973</v>
      </c>
      <c r="D1817" s="2">
        <v>30159</v>
      </c>
      <c r="E1817" s="2">
        <f t="shared" si="142"/>
        <v>3.0158999999999998</v>
      </c>
      <c r="F1817" s="2">
        <f t="shared" si="143"/>
        <v>-0.3639559833506727</v>
      </c>
      <c r="G1817" s="2">
        <f t="shared" si="144"/>
        <v>0.13246395781675513</v>
      </c>
    </row>
    <row r="1818" spans="1:7" x14ac:dyDescent="0.35">
      <c r="A1818" s="2">
        <v>2091</v>
      </c>
      <c r="B1818" s="2">
        <f t="shared" si="140"/>
        <v>752.64793617759278</v>
      </c>
      <c r="C1818" s="2">
        <f t="shared" si="141"/>
        <v>566478.91583238973</v>
      </c>
      <c r="D1818" s="2">
        <v>30308</v>
      </c>
      <c r="E1818" s="2">
        <f t="shared" si="142"/>
        <v>3.0308000000000002</v>
      </c>
      <c r="F1818" s="2">
        <f t="shared" si="143"/>
        <v>-0.34905598335067234</v>
      </c>
      <c r="G1818" s="2">
        <f t="shared" si="144"/>
        <v>0.12184007951290485</v>
      </c>
    </row>
    <row r="1819" spans="1:7" x14ac:dyDescent="0.35">
      <c r="A1819" s="2">
        <v>2091</v>
      </c>
      <c r="B1819" s="2">
        <f t="shared" si="140"/>
        <v>752.64793617759278</v>
      </c>
      <c r="C1819" s="2">
        <f t="shared" si="141"/>
        <v>566478.91583238973</v>
      </c>
      <c r="D1819" s="2">
        <v>30793</v>
      </c>
      <c r="E1819" s="2">
        <f t="shared" si="142"/>
        <v>3.0792999999999999</v>
      </c>
      <c r="F1819" s="2">
        <f t="shared" si="143"/>
        <v>-0.30055598335067257</v>
      </c>
      <c r="G1819" s="2">
        <f t="shared" si="144"/>
        <v>9.0333899127889764E-2</v>
      </c>
    </row>
    <row r="1820" spans="1:7" x14ac:dyDescent="0.35">
      <c r="A1820" s="2">
        <v>2091</v>
      </c>
      <c r="B1820" s="2">
        <f t="shared" si="140"/>
        <v>752.64793617759278</v>
      </c>
      <c r="C1820" s="2">
        <f t="shared" si="141"/>
        <v>566478.91583238973</v>
      </c>
      <c r="D1820" s="2">
        <v>32405</v>
      </c>
      <c r="E1820" s="2">
        <f t="shared" si="142"/>
        <v>3.2404999999999999</v>
      </c>
      <c r="F1820" s="2">
        <f t="shared" si="143"/>
        <v>-0.13935598335067256</v>
      </c>
      <c r="G1820" s="2">
        <f t="shared" si="144"/>
        <v>1.942009009563293E-2</v>
      </c>
    </row>
    <row r="1821" spans="1:7" x14ac:dyDescent="0.35">
      <c r="A1821" s="2">
        <v>2091</v>
      </c>
      <c r="B1821" s="2">
        <f t="shared" si="140"/>
        <v>752.64793617759278</v>
      </c>
      <c r="C1821" s="2">
        <f t="shared" si="141"/>
        <v>566478.91583238973</v>
      </c>
      <c r="D1821" s="2">
        <v>33301</v>
      </c>
      <c r="E1821" s="2">
        <f t="shared" si="142"/>
        <v>3.3300999999999998</v>
      </c>
      <c r="F1821" s="2">
        <f t="shared" si="143"/>
        <v>-4.9755983350672661E-2</v>
      </c>
      <c r="G1821" s="2">
        <f t="shared" si="144"/>
        <v>2.4756578791924151E-3</v>
      </c>
    </row>
    <row r="1822" spans="1:7" x14ac:dyDescent="0.35">
      <c r="A1822" s="2">
        <v>2091</v>
      </c>
      <c r="B1822" s="2">
        <f t="shared" si="140"/>
        <v>752.64793617759278</v>
      </c>
      <c r="C1822" s="2">
        <f t="shared" si="141"/>
        <v>566478.91583238973</v>
      </c>
      <c r="D1822" s="2">
        <v>33639</v>
      </c>
      <c r="E1822" s="2">
        <f t="shared" si="142"/>
        <v>3.3639000000000001</v>
      </c>
      <c r="F1822" s="2">
        <f t="shared" si="143"/>
        <v>-1.5955983350672387E-2</v>
      </c>
      <c r="G1822" s="2">
        <f t="shared" si="144"/>
        <v>2.5459340468693441E-4</v>
      </c>
    </row>
    <row r="1823" spans="1:7" x14ac:dyDescent="0.35">
      <c r="A1823" s="2">
        <v>2091</v>
      </c>
      <c r="B1823" s="2">
        <f t="shared" si="140"/>
        <v>752.64793617759278</v>
      </c>
      <c r="C1823" s="2">
        <f t="shared" si="141"/>
        <v>566478.91583238973</v>
      </c>
      <c r="D1823" s="2">
        <v>33655</v>
      </c>
      <c r="E1823" s="2">
        <f t="shared" si="142"/>
        <v>3.3654999999999999</v>
      </c>
      <c r="F1823" s="2">
        <f t="shared" si="143"/>
        <v>-1.4355983350672563E-2</v>
      </c>
      <c r="G1823" s="2">
        <f t="shared" si="144"/>
        <v>2.0609425796478783E-4</v>
      </c>
    </row>
    <row r="1824" spans="1:7" x14ac:dyDescent="0.35">
      <c r="A1824" s="2">
        <v>2091</v>
      </c>
      <c r="B1824" s="2">
        <f t="shared" si="140"/>
        <v>752.64793617759278</v>
      </c>
      <c r="C1824" s="2">
        <f t="shared" si="141"/>
        <v>566478.91583238973</v>
      </c>
      <c r="D1824" s="2">
        <v>35785</v>
      </c>
      <c r="E1824" s="2">
        <f t="shared" si="142"/>
        <v>3.5785</v>
      </c>
      <c r="F1824" s="2">
        <f t="shared" si="143"/>
        <v>0.19864401664932752</v>
      </c>
      <c r="G1824" s="2">
        <f t="shared" si="144"/>
        <v>3.9459445350578305E-2</v>
      </c>
    </row>
    <row r="1825" spans="1:7" x14ac:dyDescent="0.35">
      <c r="A1825" s="2">
        <v>2091</v>
      </c>
      <c r="B1825" s="2">
        <f t="shared" si="140"/>
        <v>752.64793617759278</v>
      </c>
      <c r="C1825" s="2">
        <f t="shared" si="141"/>
        <v>566478.91583238973</v>
      </c>
      <c r="D1825" s="2">
        <v>36899</v>
      </c>
      <c r="E1825" s="2">
        <f t="shared" si="142"/>
        <v>3.6899000000000002</v>
      </c>
      <c r="F1825" s="2">
        <f t="shared" si="143"/>
        <v>0.31004401664932768</v>
      </c>
      <c r="G1825" s="2">
        <f t="shared" si="144"/>
        <v>9.6127292260048583E-2</v>
      </c>
    </row>
    <row r="1826" spans="1:7" x14ac:dyDescent="0.35">
      <c r="A1826" s="2">
        <v>2091</v>
      </c>
      <c r="B1826" s="2">
        <f t="shared" si="140"/>
        <v>752.64793617759278</v>
      </c>
      <c r="C1826" s="2">
        <f t="shared" si="141"/>
        <v>566478.91583238973</v>
      </c>
      <c r="D1826" s="2">
        <v>37694</v>
      </c>
      <c r="E1826" s="2">
        <f t="shared" si="142"/>
        <v>3.7694000000000001</v>
      </c>
      <c r="F1826" s="2">
        <f t="shared" si="143"/>
        <v>0.38954401664932758</v>
      </c>
      <c r="G1826" s="2">
        <f t="shared" si="144"/>
        <v>0.15174454090729161</v>
      </c>
    </row>
    <row r="1827" spans="1:7" x14ac:dyDescent="0.35">
      <c r="A1827" s="2">
        <v>2091</v>
      </c>
      <c r="B1827" s="2">
        <f t="shared" si="140"/>
        <v>752.64793617759278</v>
      </c>
      <c r="C1827" s="2">
        <f t="shared" si="141"/>
        <v>566478.91583238973</v>
      </c>
      <c r="D1827" s="2">
        <v>38639</v>
      </c>
      <c r="E1827" s="2">
        <f t="shared" si="142"/>
        <v>3.8639000000000001</v>
      </c>
      <c r="F1827" s="2">
        <f t="shared" si="143"/>
        <v>0.48404401664932761</v>
      </c>
      <c r="G1827" s="2">
        <f t="shared" si="144"/>
        <v>0.23429861005401456</v>
      </c>
    </row>
    <row r="1828" spans="1:7" x14ac:dyDescent="0.35">
      <c r="A1828" s="2">
        <v>2091</v>
      </c>
      <c r="B1828" s="2">
        <f t="shared" si="140"/>
        <v>752.64793617759278</v>
      </c>
      <c r="C1828" s="2">
        <f t="shared" si="141"/>
        <v>566478.91583238973</v>
      </c>
      <c r="D1828" s="2">
        <v>39688</v>
      </c>
      <c r="E1828" s="2">
        <f t="shared" si="142"/>
        <v>3.9687999999999999</v>
      </c>
      <c r="F1828" s="2">
        <f t="shared" si="143"/>
        <v>0.58894401664932738</v>
      </c>
      <c r="G1828" s="2">
        <f t="shared" si="144"/>
        <v>0.3468550547470432</v>
      </c>
    </row>
    <row r="1829" spans="1:7" x14ac:dyDescent="0.35">
      <c r="A1829" s="2">
        <v>2091</v>
      </c>
      <c r="B1829" s="2">
        <f t="shared" si="140"/>
        <v>752.64793617759278</v>
      </c>
      <c r="C1829" s="2">
        <f t="shared" si="141"/>
        <v>566478.91583238973</v>
      </c>
      <c r="D1829" s="2">
        <v>39917</v>
      </c>
      <c r="E1829" s="2">
        <f t="shared" si="142"/>
        <v>3.9916999999999998</v>
      </c>
      <c r="F1829" s="2">
        <f t="shared" si="143"/>
        <v>0.6118440166493273</v>
      </c>
      <c r="G1829" s="2">
        <f t="shared" si="144"/>
        <v>0.37435310070958233</v>
      </c>
    </row>
    <row r="1830" spans="1:7" x14ac:dyDescent="0.35">
      <c r="A1830" s="2">
        <v>2091</v>
      </c>
      <c r="B1830" s="2">
        <f t="shared" si="140"/>
        <v>752.64793617759278</v>
      </c>
      <c r="C1830" s="2">
        <f t="shared" si="141"/>
        <v>566478.91583238973</v>
      </c>
      <c r="D1830" s="2">
        <v>40026</v>
      </c>
      <c r="E1830" s="2">
        <f t="shared" si="142"/>
        <v>4.0026000000000002</v>
      </c>
      <c r="F1830" s="2">
        <f t="shared" si="143"/>
        <v>0.62274401664932766</v>
      </c>
      <c r="G1830" s="2">
        <f t="shared" si="144"/>
        <v>0.38781011027253809</v>
      </c>
    </row>
    <row r="1831" spans="1:7" x14ac:dyDescent="0.35">
      <c r="A1831" s="2">
        <v>2091</v>
      </c>
      <c r="B1831" s="2">
        <f t="shared" si="140"/>
        <v>752.64793617759278</v>
      </c>
      <c r="C1831" s="2">
        <f t="shared" si="141"/>
        <v>566478.91583238973</v>
      </c>
      <c r="D1831" s="2">
        <v>37733</v>
      </c>
      <c r="E1831" s="2">
        <f t="shared" si="142"/>
        <v>3.7732999999999999</v>
      </c>
      <c r="F1831" s="2">
        <f t="shared" si="143"/>
        <v>0.39344401664932738</v>
      </c>
      <c r="G1831" s="2">
        <f t="shared" si="144"/>
        <v>0.15479819423715621</v>
      </c>
    </row>
    <row r="1832" spans="1:7" x14ac:dyDescent="0.35">
      <c r="A1832" s="2">
        <v>2091</v>
      </c>
      <c r="B1832" s="2">
        <f t="shared" si="140"/>
        <v>752.64793617759278</v>
      </c>
      <c r="C1832" s="2">
        <f t="shared" si="141"/>
        <v>566478.91583238973</v>
      </c>
      <c r="D1832" s="2">
        <v>37512</v>
      </c>
      <c r="E1832" s="2">
        <f t="shared" si="142"/>
        <v>3.7511999999999999</v>
      </c>
      <c r="F1832" s="2">
        <f t="shared" si="143"/>
        <v>0.37134401664932737</v>
      </c>
      <c r="G1832" s="2">
        <f t="shared" si="144"/>
        <v>0.13789637870125593</v>
      </c>
    </row>
    <row r="1833" spans="1:7" x14ac:dyDescent="0.35">
      <c r="A1833" s="2">
        <v>2091</v>
      </c>
      <c r="B1833" s="2">
        <f t="shared" si="140"/>
        <v>752.64793617759278</v>
      </c>
      <c r="C1833" s="2">
        <f t="shared" si="141"/>
        <v>566478.91583238973</v>
      </c>
      <c r="D1833" s="2">
        <v>37930</v>
      </c>
      <c r="E1833" s="2">
        <f t="shared" si="142"/>
        <v>3.7930000000000001</v>
      </c>
      <c r="F1833" s="2">
        <f t="shared" si="143"/>
        <v>0.41314401664932765</v>
      </c>
      <c r="G1833" s="2">
        <f t="shared" si="144"/>
        <v>0.17068797849313994</v>
      </c>
    </row>
    <row r="1834" spans="1:7" x14ac:dyDescent="0.35">
      <c r="A1834" s="2">
        <v>2091</v>
      </c>
      <c r="B1834" s="2">
        <f t="shared" si="140"/>
        <v>752.64793617759278</v>
      </c>
      <c r="C1834" s="2">
        <f t="shared" si="141"/>
        <v>566478.91583238973</v>
      </c>
      <c r="D1834" s="2">
        <v>38464</v>
      </c>
      <c r="E1834" s="2">
        <f t="shared" si="142"/>
        <v>3.8464</v>
      </c>
      <c r="F1834" s="2">
        <f t="shared" si="143"/>
        <v>0.46654401664932754</v>
      </c>
      <c r="G1834" s="2">
        <f t="shared" si="144"/>
        <v>0.217663319471288</v>
      </c>
    </row>
    <row r="1835" spans="1:7" x14ac:dyDescent="0.35">
      <c r="A1835" s="2">
        <v>2091</v>
      </c>
      <c r="B1835" s="2">
        <f t="shared" si="140"/>
        <v>752.64793617759278</v>
      </c>
      <c r="C1835" s="2">
        <f t="shared" si="141"/>
        <v>566478.91583238973</v>
      </c>
      <c r="D1835" s="2">
        <v>38718</v>
      </c>
      <c r="E1835" s="2">
        <f t="shared" si="142"/>
        <v>3.8717999999999999</v>
      </c>
      <c r="F1835" s="2">
        <f t="shared" si="143"/>
        <v>0.49194401664932741</v>
      </c>
      <c r="G1835" s="2">
        <f t="shared" si="144"/>
        <v>0.24200891551707374</v>
      </c>
    </row>
    <row r="1836" spans="1:7" x14ac:dyDescent="0.35">
      <c r="A1836" s="2">
        <v>2091</v>
      </c>
      <c r="B1836" s="2">
        <f t="shared" si="140"/>
        <v>752.64793617759278</v>
      </c>
      <c r="C1836" s="2">
        <f t="shared" si="141"/>
        <v>566478.91583238973</v>
      </c>
      <c r="D1836" s="2">
        <v>38181</v>
      </c>
      <c r="E1836" s="2">
        <f t="shared" si="142"/>
        <v>3.8180999999999998</v>
      </c>
      <c r="F1836" s="2">
        <f t="shared" si="143"/>
        <v>0.43824401664932733</v>
      </c>
      <c r="G1836" s="2">
        <f t="shared" si="144"/>
        <v>0.19205781812893588</v>
      </c>
    </row>
    <row r="1837" spans="1:7" x14ac:dyDescent="0.35">
      <c r="A1837" s="2">
        <v>1500</v>
      </c>
      <c r="B1837" s="2">
        <f t="shared" si="140"/>
        <v>161.64793617759278</v>
      </c>
      <c r="C1837" s="2">
        <f t="shared" si="141"/>
        <v>26130.05527047511</v>
      </c>
      <c r="D1837" s="2">
        <v>20161</v>
      </c>
      <c r="E1837" s="2">
        <f t="shared" si="142"/>
        <v>2.0160999999999998</v>
      </c>
      <c r="F1837" s="2">
        <f t="shared" si="143"/>
        <v>-1.3637559833506727</v>
      </c>
      <c r="G1837" s="2">
        <f t="shared" si="144"/>
        <v>1.8598303821247604</v>
      </c>
    </row>
    <row r="1838" spans="1:7" x14ac:dyDescent="0.35">
      <c r="A1838" s="2">
        <v>1500</v>
      </c>
      <c r="B1838" s="2">
        <f t="shared" si="140"/>
        <v>161.64793617759278</v>
      </c>
      <c r="C1838" s="2">
        <f t="shared" si="141"/>
        <v>26130.05527047511</v>
      </c>
      <c r="D1838" s="2">
        <v>17790</v>
      </c>
      <c r="E1838" s="2">
        <f t="shared" si="142"/>
        <v>1.7789999999999999</v>
      </c>
      <c r="F1838" s="2">
        <f t="shared" si="143"/>
        <v>-1.6008559833506726</v>
      </c>
      <c r="G1838" s="2">
        <f t="shared" si="144"/>
        <v>2.5627398794296488</v>
      </c>
    </row>
    <row r="1839" spans="1:7" x14ac:dyDescent="0.35">
      <c r="A1839" s="2">
        <v>1500</v>
      </c>
      <c r="B1839" s="2">
        <f t="shared" si="140"/>
        <v>161.64793617759278</v>
      </c>
      <c r="C1839" s="2">
        <f t="shared" si="141"/>
        <v>26130.05527047511</v>
      </c>
      <c r="D1839" s="2">
        <v>20950</v>
      </c>
      <c r="E1839" s="2">
        <f t="shared" si="142"/>
        <v>2.0950000000000002</v>
      </c>
      <c r="F1839" s="2">
        <f t="shared" si="143"/>
        <v>-1.2848559833506723</v>
      </c>
      <c r="G1839" s="2">
        <f t="shared" si="144"/>
        <v>1.650854897952023</v>
      </c>
    </row>
    <row r="1840" spans="1:7" x14ac:dyDescent="0.35">
      <c r="A1840" s="2">
        <v>1500</v>
      </c>
      <c r="B1840" s="2">
        <f t="shared" si="140"/>
        <v>161.64793617759278</v>
      </c>
      <c r="C1840" s="2">
        <f t="shared" si="141"/>
        <v>26130.05527047511</v>
      </c>
      <c r="D1840" s="2">
        <v>23657</v>
      </c>
      <c r="E1840" s="2">
        <f t="shared" si="142"/>
        <v>2.3656999999999999</v>
      </c>
      <c r="F1840" s="2">
        <f t="shared" si="143"/>
        <v>-1.0141559833506726</v>
      </c>
      <c r="G1840" s="2">
        <f t="shared" si="144"/>
        <v>1.0285123585659697</v>
      </c>
    </row>
    <row r="1841" spans="1:7" x14ac:dyDescent="0.35">
      <c r="A1841" s="2">
        <v>1500</v>
      </c>
      <c r="B1841" s="2">
        <f t="shared" si="140"/>
        <v>161.64793617759278</v>
      </c>
      <c r="C1841" s="2">
        <f t="shared" si="141"/>
        <v>26130.05527047511</v>
      </c>
      <c r="D1841" s="2">
        <v>24067</v>
      </c>
      <c r="E1841" s="2">
        <f t="shared" si="142"/>
        <v>2.4066999999999998</v>
      </c>
      <c r="F1841" s="2">
        <f t="shared" si="143"/>
        <v>-0.97315598335067266</v>
      </c>
      <c r="G1841" s="2">
        <f t="shared" si="144"/>
        <v>0.94703256793121471</v>
      </c>
    </row>
    <row r="1842" spans="1:7" x14ac:dyDescent="0.35">
      <c r="A1842" s="2">
        <v>1500</v>
      </c>
      <c r="B1842" s="2">
        <f t="shared" si="140"/>
        <v>161.64793617759278</v>
      </c>
      <c r="C1842" s="2">
        <f t="shared" si="141"/>
        <v>26130.05527047511</v>
      </c>
      <c r="D1842" s="2">
        <v>22826</v>
      </c>
      <c r="E1842" s="2">
        <f t="shared" si="142"/>
        <v>2.2826</v>
      </c>
      <c r="F1842" s="2">
        <f t="shared" si="143"/>
        <v>-1.0972559833506725</v>
      </c>
      <c r="G1842" s="2">
        <f t="shared" si="144"/>
        <v>1.2039706929988514</v>
      </c>
    </row>
    <row r="1843" spans="1:7" x14ac:dyDescent="0.35">
      <c r="A1843" s="2">
        <v>1500</v>
      </c>
      <c r="B1843" s="2">
        <f t="shared" si="140"/>
        <v>161.64793617759278</v>
      </c>
      <c r="C1843" s="2">
        <f t="shared" si="141"/>
        <v>26130.05527047511</v>
      </c>
      <c r="D1843" s="2">
        <v>20481</v>
      </c>
      <c r="E1843" s="2">
        <f t="shared" si="142"/>
        <v>2.0480999999999998</v>
      </c>
      <c r="F1843" s="2">
        <f t="shared" si="143"/>
        <v>-1.3317559833506727</v>
      </c>
      <c r="G1843" s="2">
        <f t="shared" si="144"/>
        <v>1.7735739991903172</v>
      </c>
    </row>
    <row r="1844" spans="1:7" x14ac:dyDescent="0.35">
      <c r="A1844" s="2">
        <v>1500</v>
      </c>
      <c r="B1844" s="2">
        <f t="shared" si="140"/>
        <v>161.64793617759278</v>
      </c>
      <c r="C1844" s="2">
        <f t="shared" si="141"/>
        <v>26130.05527047511</v>
      </c>
      <c r="D1844" s="2">
        <v>24100</v>
      </c>
      <c r="E1844" s="2">
        <f t="shared" si="142"/>
        <v>2.41</v>
      </c>
      <c r="F1844" s="2">
        <f t="shared" si="143"/>
        <v>-0.96985598335067236</v>
      </c>
      <c r="G1844" s="2">
        <f t="shared" si="144"/>
        <v>0.94062062844109962</v>
      </c>
    </row>
    <row r="1845" spans="1:7" x14ac:dyDescent="0.35">
      <c r="A1845" s="2">
        <v>1500</v>
      </c>
      <c r="B1845" s="2">
        <f t="shared" si="140"/>
        <v>161.64793617759278</v>
      </c>
      <c r="C1845" s="2">
        <f t="shared" si="141"/>
        <v>26130.05527047511</v>
      </c>
      <c r="D1845" s="2">
        <v>21237</v>
      </c>
      <c r="E1845" s="2">
        <f t="shared" si="142"/>
        <v>2.1236999999999999</v>
      </c>
      <c r="F1845" s="2">
        <f t="shared" si="143"/>
        <v>-1.2561559833506726</v>
      </c>
      <c r="G1845" s="2">
        <f t="shared" si="144"/>
        <v>1.5779278545076951</v>
      </c>
    </row>
    <row r="1846" spans="1:7" x14ac:dyDescent="0.35">
      <c r="A1846" s="2">
        <v>1500</v>
      </c>
      <c r="B1846" s="2">
        <f t="shared" si="140"/>
        <v>161.64793617759278</v>
      </c>
      <c r="C1846" s="2">
        <f t="shared" si="141"/>
        <v>26130.05527047511</v>
      </c>
      <c r="D1846" s="2">
        <v>23910</v>
      </c>
      <c r="E1846" s="2">
        <f t="shared" si="142"/>
        <v>2.391</v>
      </c>
      <c r="F1846" s="2">
        <f t="shared" si="143"/>
        <v>-0.98885598335067248</v>
      </c>
      <c r="G1846" s="2">
        <f t="shared" si="144"/>
        <v>0.97783615580842542</v>
      </c>
    </row>
    <row r="1847" spans="1:7" x14ac:dyDescent="0.35">
      <c r="A1847" s="2">
        <v>1500</v>
      </c>
      <c r="B1847" s="2">
        <f t="shared" si="140"/>
        <v>161.64793617759278</v>
      </c>
      <c r="C1847" s="2">
        <f t="shared" si="141"/>
        <v>26130.05527047511</v>
      </c>
      <c r="D1847" s="2">
        <v>24554</v>
      </c>
      <c r="E1847" s="2">
        <f t="shared" si="142"/>
        <v>2.4554</v>
      </c>
      <c r="F1847" s="2">
        <f t="shared" si="143"/>
        <v>-0.92445598335067247</v>
      </c>
      <c r="G1847" s="2">
        <f t="shared" si="144"/>
        <v>0.85461886515285879</v>
      </c>
    </row>
    <row r="1848" spans="1:7" x14ac:dyDescent="0.35">
      <c r="A1848" s="2">
        <v>1500</v>
      </c>
      <c r="B1848" s="2">
        <f t="shared" si="140"/>
        <v>161.64793617759278</v>
      </c>
      <c r="C1848" s="2">
        <f t="shared" si="141"/>
        <v>26130.05527047511</v>
      </c>
      <c r="D1848" s="2">
        <v>24170</v>
      </c>
      <c r="E1848" s="2">
        <f t="shared" si="142"/>
        <v>2.4169999999999998</v>
      </c>
      <c r="F1848" s="2">
        <f t="shared" si="143"/>
        <v>-0.96285598335067268</v>
      </c>
      <c r="G1848" s="2">
        <f t="shared" si="144"/>
        <v>0.92709164467419092</v>
      </c>
    </row>
    <row r="1849" spans="1:7" x14ac:dyDescent="0.35">
      <c r="A1849" s="2">
        <v>1500</v>
      </c>
      <c r="B1849" s="2">
        <f t="shared" si="140"/>
        <v>161.64793617759278</v>
      </c>
      <c r="C1849" s="2">
        <f t="shared" si="141"/>
        <v>26130.05527047511</v>
      </c>
      <c r="D1849" s="2">
        <v>24434</v>
      </c>
      <c r="E1849" s="2">
        <f t="shared" si="142"/>
        <v>2.4434</v>
      </c>
      <c r="F1849" s="2">
        <f t="shared" si="143"/>
        <v>-0.93645598335067248</v>
      </c>
      <c r="G1849" s="2">
        <f t="shared" si="144"/>
        <v>0.876949808753275</v>
      </c>
    </row>
    <row r="1850" spans="1:7" x14ac:dyDescent="0.35">
      <c r="A1850" s="2">
        <v>1500</v>
      </c>
      <c r="B1850" s="2">
        <f t="shared" si="140"/>
        <v>161.64793617759278</v>
      </c>
      <c r="C1850" s="2">
        <f t="shared" si="141"/>
        <v>26130.05527047511</v>
      </c>
      <c r="D1850" s="2">
        <v>24722</v>
      </c>
      <c r="E1850" s="2">
        <f t="shared" si="142"/>
        <v>2.4722</v>
      </c>
      <c r="F1850" s="2">
        <f t="shared" si="143"/>
        <v>-0.90765598335067255</v>
      </c>
      <c r="G1850" s="2">
        <f t="shared" si="144"/>
        <v>0.82383938411227631</v>
      </c>
    </row>
    <row r="1851" spans="1:7" x14ac:dyDescent="0.35">
      <c r="A1851" s="2">
        <v>1500</v>
      </c>
      <c r="B1851" s="2">
        <f t="shared" si="140"/>
        <v>161.64793617759278</v>
      </c>
      <c r="C1851" s="2">
        <f t="shared" si="141"/>
        <v>26130.05527047511</v>
      </c>
      <c r="D1851" s="2">
        <v>27028</v>
      </c>
      <c r="E1851" s="2">
        <f t="shared" si="142"/>
        <v>2.7027999999999999</v>
      </c>
      <c r="F1851" s="2">
        <f t="shared" si="143"/>
        <v>-0.67705598335067263</v>
      </c>
      <c r="G1851" s="2">
        <f t="shared" si="144"/>
        <v>0.45840480459094629</v>
      </c>
    </row>
    <row r="1852" spans="1:7" x14ac:dyDescent="0.35">
      <c r="A1852" s="2">
        <v>1500</v>
      </c>
      <c r="B1852" s="2">
        <f t="shared" si="140"/>
        <v>161.64793617759278</v>
      </c>
      <c r="C1852" s="2">
        <f t="shared" si="141"/>
        <v>26130.05527047511</v>
      </c>
      <c r="D1852" s="2">
        <v>27454</v>
      </c>
      <c r="E1852" s="2">
        <f t="shared" si="142"/>
        <v>2.7454000000000001</v>
      </c>
      <c r="F1852" s="2">
        <f t="shared" si="143"/>
        <v>-0.63445598335067244</v>
      </c>
      <c r="G1852" s="2">
        <f t="shared" si="144"/>
        <v>0.40253439480946873</v>
      </c>
    </row>
    <row r="1853" spans="1:7" x14ac:dyDescent="0.35">
      <c r="A1853" s="2">
        <v>1500</v>
      </c>
      <c r="B1853" s="2">
        <f t="shared" si="140"/>
        <v>161.64793617759278</v>
      </c>
      <c r="C1853" s="2">
        <f t="shared" si="141"/>
        <v>26130.05527047511</v>
      </c>
      <c r="D1853" s="2">
        <v>26754</v>
      </c>
      <c r="E1853" s="2">
        <f t="shared" si="142"/>
        <v>2.6753999999999998</v>
      </c>
      <c r="F1853" s="2">
        <f t="shared" si="143"/>
        <v>-0.70445598335067272</v>
      </c>
      <c r="G1853" s="2">
        <f t="shared" si="144"/>
        <v>0.49625823247856327</v>
      </c>
    </row>
    <row r="1854" spans="1:7" x14ac:dyDescent="0.35">
      <c r="A1854" s="2">
        <v>1500</v>
      </c>
      <c r="B1854" s="2">
        <f t="shared" si="140"/>
        <v>161.64793617759278</v>
      </c>
      <c r="C1854" s="2">
        <f t="shared" si="141"/>
        <v>26130.05527047511</v>
      </c>
      <c r="D1854" s="2">
        <v>28573</v>
      </c>
      <c r="E1854" s="2">
        <f t="shared" si="142"/>
        <v>2.8573</v>
      </c>
      <c r="F1854" s="2">
        <f t="shared" si="143"/>
        <v>-0.52255598335067255</v>
      </c>
      <c r="G1854" s="2">
        <f t="shared" si="144"/>
        <v>0.27306475573558836</v>
      </c>
    </row>
    <row r="1855" spans="1:7" x14ac:dyDescent="0.35">
      <c r="A1855" s="2">
        <v>1500</v>
      </c>
      <c r="B1855" s="2">
        <f t="shared" si="140"/>
        <v>161.64793617759278</v>
      </c>
      <c r="C1855" s="2">
        <f t="shared" si="141"/>
        <v>26130.05527047511</v>
      </c>
      <c r="D1855" s="2">
        <v>27825</v>
      </c>
      <c r="E1855" s="2">
        <f t="shared" si="142"/>
        <v>2.7825000000000002</v>
      </c>
      <c r="F1855" s="2">
        <f t="shared" si="143"/>
        <v>-0.5973559833506723</v>
      </c>
      <c r="G1855" s="2">
        <f t="shared" si="144"/>
        <v>0.3568341708448487</v>
      </c>
    </row>
    <row r="1856" spans="1:7" x14ac:dyDescent="0.35">
      <c r="A1856" s="2">
        <v>1500</v>
      </c>
      <c r="B1856" s="2">
        <f t="shared" si="140"/>
        <v>161.64793617759278</v>
      </c>
      <c r="C1856" s="2">
        <f t="shared" si="141"/>
        <v>26130.05527047511</v>
      </c>
      <c r="D1856" s="2">
        <v>27166</v>
      </c>
      <c r="E1856" s="2">
        <f t="shared" si="142"/>
        <v>2.7166000000000001</v>
      </c>
      <c r="F1856" s="2">
        <f t="shared" si="143"/>
        <v>-0.66325598335067237</v>
      </c>
      <c r="G1856" s="2">
        <f t="shared" si="144"/>
        <v>0.43990849945046739</v>
      </c>
    </row>
    <row r="1857" spans="1:7" x14ac:dyDescent="0.35">
      <c r="A1857" s="2">
        <v>1500</v>
      </c>
      <c r="B1857" s="2">
        <f t="shared" si="140"/>
        <v>161.64793617759278</v>
      </c>
      <c r="C1857" s="2">
        <f t="shared" si="141"/>
        <v>26130.05527047511</v>
      </c>
      <c r="D1857" s="2">
        <v>25570</v>
      </c>
      <c r="E1857" s="2">
        <f t="shared" si="142"/>
        <v>2.5569999999999999</v>
      </c>
      <c r="F1857" s="2">
        <f t="shared" si="143"/>
        <v>-0.82285598335067256</v>
      </c>
      <c r="G1857" s="2">
        <f t="shared" si="144"/>
        <v>0.67709196933600235</v>
      </c>
    </row>
    <row r="1858" spans="1:7" x14ac:dyDescent="0.35">
      <c r="A1858" s="2">
        <v>1500</v>
      </c>
      <c r="B1858" s="2">
        <f t="shared" si="140"/>
        <v>161.64793617759278</v>
      </c>
      <c r="C1858" s="2">
        <f t="shared" si="141"/>
        <v>26130.05527047511</v>
      </c>
      <c r="D1858" s="2">
        <v>27750</v>
      </c>
      <c r="E1858" s="2">
        <f t="shared" si="142"/>
        <v>2.7749999999999999</v>
      </c>
      <c r="F1858" s="2">
        <f t="shared" si="143"/>
        <v>-0.60485598335067259</v>
      </c>
      <c r="G1858" s="2">
        <f t="shared" si="144"/>
        <v>0.36585076059510913</v>
      </c>
    </row>
    <row r="1859" spans="1:7" x14ac:dyDescent="0.35">
      <c r="A1859" s="2">
        <v>1500</v>
      </c>
      <c r="B1859" s="2">
        <f t="shared" ref="B1859:B1922" si="145">A1859-$J$1</f>
        <v>161.64793617759278</v>
      </c>
      <c r="C1859" s="2">
        <f t="shared" ref="C1859:C1922" si="146">B1859^2</f>
        <v>26130.05527047511</v>
      </c>
      <c r="D1859" s="2">
        <v>29074</v>
      </c>
      <c r="E1859" s="2">
        <f t="shared" ref="E1859:E1922" si="147">D1859/10000</f>
        <v>2.9074</v>
      </c>
      <c r="F1859" s="2">
        <f t="shared" ref="F1859:F1922" si="148">E1859-$J$2</f>
        <v>-0.47245598335067251</v>
      </c>
      <c r="G1859" s="2">
        <f t="shared" ref="G1859:G1922" si="149">F1859^2</f>
        <v>0.22321465620385095</v>
      </c>
    </row>
    <row r="1860" spans="1:7" x14ac:dyDescent="0.35">
      <c r="A1860" s="2">
        <v>1500</v>
      </c>
      <c r="B1860" s="2">
        <f t="shared" si="145"/>
        <v>161.64793617759278</v>
      </c>
      <c r="C1860" s="2">
        <f t="shared" si="146"/>
        <v>26130.05527047511</v>
      </c>
      <c r="D1860" s="2">
        <v>27164</v>
      </c>
      <c r="E1860" s="2">
        <f t="shared" si="147"/>
        <v>2.7164000000000001</v>
      </c>
      <c r="F1860" s="2">
        <f t="shared" si="148"/>
        <v>-0.66345598335067235</v>
      </c>
      <c r="G1860" s="2">
        <f t="shared" si="149"/>
        <v>0.44017384184380765</v>
      </c>
    </row>
    <row r="1861" spans="1:7" x14ac:dyDescent="0.35">
      <c r="A1861" s="2">
        <v>1500</v>
      </c>
      <c r="B1861" s="2">
        <f t="shared" si="145"/>
        <v>161.64793617759278</v>
      </c>
      <c r="C1861" s="2">
        <f t="shared" si="146"/>
        <v>26130.05527047511</v>
      </c>
      <c r="D1861" s="2">
        <v>29805</v>
      </c>
      <c r="E1861" s="2">
        <f t="shared" si="147"/>
        <v>2.9805000000000001</v>
      </c>
      <c r="F1861" s="2">
        <f t="shared" si="148"/>
        <v>-0.39935598335067235</v>
      </c>
      <c r="G1861" s="2">
        <f t="shared" si="149"/>
        <v>0.1594852014379825</v>
      </c>
    </row>
    <row r="1862" spans="1:7" x14ac:dyDescent="0.35">
      <c r="A1862" s="2">
        <v>1500</v>
      </c>
      <c r="B1862" s="2">
        <f t="shared" si="145"/>
        <v>161.64793617759278</v>
      </c>
      <c r="C1862" s="2">
        <f t="shared" si="146"/>
        <v>26130.05527047511</v>
      </c>
      <c r="D1862" s="2">
        <v>33120</v>
      </c>
      <c r="E1862" s="2">
        <f t="shared" si="147"/>
        <v>3.3119999999999998</v>
      </c>
      <c r="F1862" s="2">
        <f t="shared" si="148"/>
        <v>-6.7855983350672666E-2</v>
      </c>
      <c r="G1862" s="2">
        <f t="shared" si="149"/>
        <v>4.604434476486766E-3</v>
      </c>
    </row>
    <row r="1863" spans="1:7" x14ac:dyDescent="0.35">
      <c r="A1863" s="2">
        <v>1500</v>
      </c>
      <c r="B1863" s="2">
        <f t="shared" si="145"/>
        <v>161.64793617759278</v>
      </c>
      <c r="C1863" s="2">
        <f t="shared" si="146"/>
        <v>26130.05527047511</v>
      </c>
      <c r="D1863" s="2">
        <v>31709</v>
      </c>
      <c r="E1863" s="2">
        <f t="shared" si="147"/>
        <v>3.1709000000000001</v>
      </c>
      <c r="F1863" s="2">
        <f t="shared" si="148"/>
        <v>-0.20895598335067245</v>
      </c>
      <c r="G1863" s="2">
        <f t="shared" si="149"/>
        <v>4.36626029780465E-2</v>
      </c>
    </row>
    <row r="1864" spans="1:7" x14ac:dyDescent="0.35">
      <c r="A1864" s="2">
        <v>1500</v>
      </c>
      <c r="B1864" s="2">
        <f t="shared" si="145"/>
        <v>161.64793617759278</v>
      </c>
      <c r="C1864" s="2">
        <f t="shared" si="146"/>
        <v>26130.05527047511</v>
      </c>
      <c r="D1864" s="2">
        <v>33942</v>
      </c>
      <c r="E1864" s="2">
        <f t="shared" si="147"/>
        <v>3.3942000000000001</v>
      </c>
      <c r="F1864" s="2">
        <f t="shared" si="148"/>
        <v>1.4344016649327607E-2</v>
      </c>
      <c r="G1864" s="2">
        <f t="shared" si="149"/>
        <v>2.0575081363618757E-4</v>
      </c>
    </row>
    <row r="1865" spans="1:7" x14ac:dyDescent="0.35">
      <c r="A1865" s="2">
        <v>1500</v>
      </c>
      <c r="B1865" s="2">
        <f t="shared" si="145"/>
        <v>161.64793617759278</v>
      </c>
      <c r="C1865" s="2">
        <f t="shared" si="146"/>
        <v>26130.05527047511</v>
      </c>
      <c r="D1865" s="2">
        <v>33596</v>
      </c>
      <c r="E1865" s="2">
        <f t="shared" si="147"/>
        <v>3.3595999999999999</v>
      </c>
      <c r="F1865" s="2">
        <f t="shared" si="148"/>
        <v>-2.0255983350672579E-2</v>
      </c>
      <c r="G1865" s="2">
        <f t="shared" si="149"/>
        <v>4.1030486150272474E-4</v>
      </c>
    </row>
    <row r="1866" spans="1:7" x14ac:dyDescent="0.35">
      <c r="A1866" s="2">
        <v>1500</v>
      </c>
      <c r="B1866" s="2">
        <f t="shared" si="145"/>
        <v>161.64793617759278</v>
      </c>
      <c r="C1866" s="2">
        <f t="shared" si="146"/>
        <v>26130.05527047511</v>
      </c>
      <c r="D1866" s="2">
        <v>31543</v>
      </c>
      <c r="E1866" s="2">
        <f t="shared" si="147"/>
        <v>3.1543000000000001</v>
      </c>
      <c r="F1866" s="2">
        <f t="shared" si="148"/>
        <v>-0.2255559833506724</v>
      </c>
      <c r="G1866" s="2">
        <f t="shared" si="149"/>
        <v>5.0875501625288803E-2</v>
      </c>
    </row>
    <row r="1867" spans="1:7" x14ac:dyDescent="0.35">
      <c r="A1867" s="2">
        <v>2280</v>
      </c>
      <c r="B1867" s="2">
        <f t="shared" si="145"/>
        <v>941.64793617759278</v>
      </c>
      <c r="C1867" s="2">
        <f t="shared" si="146"/>
        <v>886700.8357075199</v>
      </c>
      <c r="D1867" s="2">
        <v>35284</v>
      </c>
      <c r="E1867" s="2">
        <f t="shared" si="147"/>
        <v>3.5284</v>
      </c>
      <c r="F1867" s="2">
        <f t="shared" si="148"/>
        <v>0.14854401664932748</v>
      </c>
      <c r="G1867" s="2">
        <f t="shared" si="149"/>
        <v>2.206532488231568E-2</v>
      </c>
    </row>
    <row r="1868" spans="1:7" x14ac:dyDescent="0.35">
      <c r="A1868" s="2">
        <v>2280</v>
      </c>
      <c r="B1868" s="2">
        <f t="shared" si="145"/>
        <v>941.64793617759278</v>
      </c>
      <c r="C1868" s="2">
        <f t="shared" si="146"/>
        <v>886700.8357075199</v>
      </c>
      <c r="D1868" s="2">
        <v>30530</v>
      </c>
      <c r="E1868" s="2">
        <f t="shared" si="147"/>
        <v>3.0529999999999999</v>
      </c>
      <c r="F1868" s="2">
        <f t="shared" si="148"/>
        <v>-0.32685598335067256</v>
      </c>
      <c r="G1868" s="2">
        <f t="shared" si="149"/>
        <v>0.10683483385213514</v>
      </c>
    </row>
    <row r="1869" spans="1:7" x14ac:dyDescent="0.35">
      <c r="A1869" s="2">
        <v>2280</v>
      </c>
      <c r="B1869" s="2">
        <f t="shared" si="145"/>
        <v>941.64793617759278</v>
      </c>
      <c r="C1869" s="2">
        <f t="shared" si="146"/>
        <v>886700.8357075199</v>
      </c>
      <c r="D1869" s="2">
        <v>32883</v>
      </c>
      <c r="E1869" s="2">
        <f t="shared" si="147"/>
        <v>3.2883</v>
      </c>
      <c r="F1869" s="2">
        <f t="shared" si="148"/>
        <v>-9.1555983350672498E-2</v>
      </c>
      <c r="G1869" s="2">
        <f t="shared" si="149"/>
        <v>8.382498087308619E-3</v>
      </c>
    </row>
    <row r="1870" spans="1:7" x14ac:dyDescent="0.35">
      <c r="A1870" s="2">
        <v>2280</v>
      </c>
      <c r="B1870" s="2">
        <f t="shared" si="145"/>
        <v>941.64793617759278</v>
      </c>
      <c r="C1870" s="2">
        <f t="shared" si="146"/>
        <v>886700.8357075199</v>
      </c>
      <c r="D1870" s="2">
        <v>26374</v>
      </c>
      <c r="E1870" s="2">
        <f t="shared" si="147"/>
        <v>2.6374</v>
      </c>
      <c r="F1870" s="2">
        <f t="shared" si="148"/>
        <v>-0.74245598335067253</v>
      </c>
      <c r="G1870" s="2">
        <f t="shared" si="149"/>
        <v>0.55124088721321418</v>
      </c>
    </row>
    <row r="1871" spans="1:7" x14ac:dyDescent="0.35">
      <c r="A1871" s="2">
        <v>2280</v>
      </c>
      <c r="B1871" s="2">
        <f t="shared" si="145"/>
        <v>941.64793617759278</v>
      </c>
      <c r="C1871" s="2">
        <f t="shared" si="146"/>
        <v>886700.8357075199</v>
      </c>
      <c r="D1871" s="2">
        <v>26326</v>
      </c>
      <c r="E1871" s="2">
        <f t="shared" si="147"/>
        <v>2.6326000000000001</v>
      </c>
      <c r="F1871" s="2">
        <f t="shared" si="148"/>
        <v>-0.74725598335067245</v>
      </c>
      <c r="G1871" s="2">
        <f t="shared" si="149"/>
        <v>0.5583915046533805</v>
      </c>
    </row>
    <row r="1872" spans="1:7" x14ac:dyDescent="0.35">
      <c r="A1872" s="2">
        <v>2280</v>
      </c>
      <c r="B1872" s="2">
        <f t="shared" si="145"/>
        <v>941.64793617759278</v>
      </c>
      <c r="C1872" s="2">
        <f t="shared" si="146"/>
        <v>886700.8357075199</v>
      </c>
      <c r="D1872" s="2">
        <v>32527</v>
      </c>
      <c r="E1872" s="2">
        <f t="shared" si="147"/>
        <v>3.2526999999999999</v>
      </c>
      <c r="F1872" s="2">
        <f t="shared" si="148"/>
        <v>-0.12715598335067257</v>
      </c>
      <c r="G1872" s="2">
        <f t="shared" si="149"/>
        <v>1.616864410187652E-2</v>
      </c>
    </row>
    <row r="1873" spans="1:7" x14ac:dyDescent="0.35">
      <c r="A1873" s="2">
        <v>2280</v>
      </c>
      <c r="B1873" s="2">
        <f t="shared" si="145"/>
        <v>941.64793617759278</v>
      </c>
      <c r="C1873" s="2">
        <f t="shared" si="146"/>
        <v>886700.8357075199</v>
      </c>
      <c r="D1873" s="2">
        <v>29255</v>
      </c>
      <c r="E1873" s="2">
        <f t="shared" si="147"/>
        <v>2.9255</v>
      </c>
      <c r="F1873" s="2">
        <f t="shared" si="148"/>
        <v>-0.45435598335067251</v>
      </c>
      <c r="G1873" s="2">
        <f t="shared" si="149"/>
        <v>0.2064393596065566</v>
      </c>
    </row>
    <row r="1874" spans="1:7" x14ac:dyDescent="0.35">
      <c r="A1874" s="2">
        <v>2280</v>
      </c>
      <c r="B1874" s="2">
        <f t="shared" si="145"/>
        <v>941.64793617759278</v>
      </c>
      <c r="C1874" s="2">
        <f t="shared" si="146"/>
        <v>886700.8357075199</v>
      </c>
      <c r="D1874" s="2">
        <v>35450</v>
      </c>
      <c r="E1874" s="2">
        <f t="shared" si="147"/>
        <v>3.5449999999999999</v>
      </c>
      <c r="F1874" s="2">
        <f t="shared" si="148"/>
        <v>0.16514401664932743</v>
      </c>
      <c r="G1874" s="2">
        <f t="shared" si="149"/>
        <v>2.7272546235073334E-2</v>
      </c>
    </row>
    <row r="1875" spans="1:7" x14ac:dyDescent="0.35">
      <c r="A1875" s="2">
        <v>2280</v>
      </c>
      <c r="B1875" s="2">
        <f t="shared" si="145"/>
        <v>941.64793617759278</v>
      </c>
      <c r="C1875" s="2">
        <f t="shared" si="146"/>
        <v>886700.8357075199</v>
      </c>
      <c r="D1875" s="2">
        <v>32528</v>
      </c>
      <c r="E1875" s="2">
        <f t="shared" si="147"/>
        <v>3.2528000000000001</v>
      </c>
      <c r="F1875" s="2">
        <f t="shared" si="148"/>
        <v>-0.12705598335067236</v>
      </c>
      <c r="G1875" s="2">
        <f t="shared" si="149"/>
        <v>1.6143222905206332E-2</v>
      </c>
    </row>
    <row r="1876" spans="1:7" x14ac:dyDescent="0.35">
      <c r="A1876" s="2">
        <v>2280</v>
      </c>
      <c r="B1876" s="2">
        <f t="shared" si="145"/>
        <v>941.64793617759278</v>
      </c>
      <c r="C1876" s="2">
        <f t="shared" si="146"/>
        <v>886700.8357075199</v>
      </c>
      <c r="D1876" s="2">
        <v>37084</v>
      </c>
      <c r="E1876" s="2">
        <f t="shared" si="147"/>
        <v>3.7084000000000001</v>
      </c>
      <c r="F1876" s="2">
        <f t="shared" si="148"/>
        <v>0.32854401664932764</v>
      </c>
      <c r="G1876" s="2">
        <f t="shared" si="149"/>
        <v>0.10794117087607367</v>
      </c>
    </row>
    <row r="1877" spans="1:7" x14ac:dyDescent="0.35">
      <c r="A1877" s="2">
        <v>2280</v>
      </c>
      <c r="B1877" s="2">
        <f t="shared" si="145"/>
        <v>941.64793617759278</v>
      </c>
      <c r="C1877" s="2">
        <f t="shared" si="146"/>
        <v>886700.8357075199</v>
      </c>
      <c r="D1877" s="2">
        <v>34195</v>
      </c>
      <c r="E1877" s="2">
        <f t="shared" si="147"/>
        <v>3.4195000000000002</v>
      </c>
      <c r="F1877" s="2">
        <f t="shared" si="148"/>
        <v>3.9644016649327707E-2</v>
      </c>
      <c r="G1877" s="2">
        <f t="shared" si="149"/>
        <v>1.5716480560921725E-3</v>
      </c>
    </row>
    <row r="1878" spans="1:7" x14ac:dyDescent="0.35">
      <c r="A1878" s="2">
        <v>2280</v>
      </c>
      <c r="B1878" s="2">
        <f t="shared" si="145"/>
        <v>941.64793617759278</v>
      </c>
      <c r="C1878" s="2">
        <f t="shared" si="146"/>
        <v>886700.8357075199</v>
      </c>
      <c r="D1878" s="2">
        <v>34389</v>
      </c>
      <c r="E1878" s="2">
        <f t="shared" si="147"/>
        <v>3.4388999999999998</v>
      </c>
      <c r="F1878" s="2">
        <f t="shared" si="148"/>
        <v>5.9044016649327347E-2</v>
      </c>
      <c r="G1878" s="2">
        <f t="shared" si="149"/>
        <v>3.4861959020860448E-3</v>
      </c>
    </row>
    <row r="1879" spans="1:7" x14ac:dyDescent="0.35">
      <c r="A1879" s="2">
        <v>2280</v>
      </c>
      <c r="B1879" s="2">
        <f t="shared" si="145"/>
        <v>941.64793617759278</v>
      </c>
      <c r="C1879" s="2">
        <f t="shared" si="146"/>
        <v>886700.8357075199</v>
      </c>
      <c r="D1879" s="2">
        <v>34730</v>
      </c>
      <c r="E1879" s="2">
        <f t="shared" si="147"/>
        <v>3.4729999999999999</v>
      </c>
      <c r="F1879" s="2">
        <f t="shared" si="148"/>
        <v>9.3144016649327366E-2</v>
      </c>
      <c r="G1879" s="2">
        <f t="shared" si="149"/>
        <v>8.6758078375701736E-3</v>
      </c>
    </row>
    <row r="1880" spans="1:7" x14ac:dyDescent="0.35">
      <c r="A1880" s="2">
        <v>2280</v>
      </c>
      <c r="B1880" s="2">
        <f t="shared" si="145"/>
        <v>941.64793617759278</v>
      </c>
      <c r="C1880" s="2">
        <f t="shared" si="146"/>
        <v>886700.8357075199</v>
      </c>
      <c r="D1880" s="2">
        <v>36568</v>
      </c>
      <c r="E1880" s="2">
        <f t="shared" si="147"/>
        <v>3.6568000000000001</v>
      </c>
      <c r="F1880" s="2">
        <f t="shared" si="148"/>
        <v>0.27694401664932755</v>
      </c>
      <c r="G1880" s="2">
        <f t="shared" si="149"/>
        <v>7.6697988357863012E-2</v>
      </c>
    </row>
    <row r="1881" spans="1:7" x14ac:dyDescent="0.35">
      <c r="A1881" s="2">
        <v>2280</v>
      </c>
      <c r="B1881" s="2">
        <f t="shared" si="145"/>
        <v>941.64793617759278</v>
      </c>
      <c r="C1881" s="2">
        <f t="shared" si="146"/>
        <v>886700.8357075199</v>
      </c>
      <c r="D1881" s="2">
        <v>31201</v>
      </c>
      <c r="E1881" s="2">
        <f t="shared" si="147"/>
        <v>3.1200999999999999</v>
      </c>
      <c r="F1881" s="2">
        <f t="shared" si="148"/>
        <v>-0.25975598335067263</v>
      </c>
      <c r="G1881" s="2">
        <f t="shared" si="149"/>
        <v>6.747317088647492E-2</v>
      </c>
    </row>
    <row r="1882" spans="1:7" x14ac:dyDescent="0.35">
      <c r="A1882" s="2">
        <v>2280</v>
      </c>
      <c r="B1882" s="2">
        <f t="shared" si="145"/>
        <v>941.64793617759278</v>
      </c>
      <c r="C1882" s="2">
        <f t="shared" si="146"/>
        <v>886700.8357075199</v>
      </c>
      <c r="D1882" s="2">
        <v>29281</v>
      </c>
      <c r="E1882" s="2">
        <f t="shared" si="147"/>
        <v>2.9281000000000001</v>
      </c>
      <c r="F1882" s="2">
        <f t="shared" si="148"/>
        <v>-0.45175598335067235</v>
      </c>
      <c r="G1882" s="2">
        <f t="shared" si="149"/>
        <v>0.20408346849313297</v>
      </c>
    </row>
    <row r="1883" spans="1:7" x14ac:dyDescent="0.35">
      <c r="A1883" s="2">
        <v>2280</v>
      </c>
      <c r="B1883" s="2">
        <f t="shared" si="145"/>
        <v>941.64793617759278</v>
      </c>
      <c r="C1883" s="2">
        <f t="shared" si="146"/>
        <v>886700.8357075199</v>
      </c>
      <c r="D1883" s="2">
        <v>31853</v>
      </c>
      <c r="E1883" s="2">
        <f t="shared" si="147"/>
        <v>3.1852999999999998</v>
      </c>
      <c r="F1883" s="2">
        <f t="shared" si="148"/>
        <v>-0.1945559833506727</v>
      </c>
      <c r="G1883" s="2">
        <f t="shared" si="149"/>
        <v>3.7852030657547234E-2</v>
      </c>
    </row>
    <row r="1884" spans="1:7" x14ac:dyDescent="0.35">
      <c r="A1884" s="2">
        <v>2280</v>
      </c>
      <c r="B1884" s="2">
        <f t="shared" si="145"/>
        <v>941.64793617759278</v>
      </c>
      <c r="C1884" s="2">
        <f t="shared" si="146"/>
        <v>886700.8357075199</v>
      </c>
      <c r="D1884" s="2">
        <v>35103</v>
      </c>
      <c r="E1884" s="2">
        <f t="shared" si="147"/>
        <v>3.5103</v>
      </c>
      <c r="F1884" s="2">
        <f t="shared" si="148"/>
        <v>0.13044401664932748</v>
      </c>
      <c r="G1884" s="2">
        <f t="shared" si="149"/>
        <v>1.7015641479610023E-2</v>
      </c>
    </row>
    <row r="1885" spans="1:7" x14ac:dyDescent="0.35">
      <c r="A1885" s="2">
        <v>2280</v>
      </c>
      <c r="B1885" s="2">
        <f t="shared" si="145"/>
        <v>941.64793617759278</v>
      </c>
      <c r="C1885" s="2">
        <f t="shared" si="146"/>
        <v>886700.8357075199</v>
      </c>
      <c r="D1885" s="2">
        <v>33106</v>
      </c>
      <c r="E1885" s="2">
        <f t="shared" si="147"/>
        <v>3.3106</v>
      </c>
      <c r="F1885" s="2">
        <f t="shared" si="148"/>
        <v>-6.9255983350672512E-2</v>
      </c>
      <c r="G1885" s="2">
        <f t="shared" si="149"/>
        <v>4.7963912298686281E-3</v>
      </c>
    </row>
    <row r="1886" spans="1:7" x14ac:dyDescent="0.35">
      <c r="A1886" s="2">
        <v>2280</v>
      </c>
      <c r="B1886" s="2">
        <f t="shared" si="145"/>
        <v>941.64793617759278</v>
      </c>
      <c r="C1886" s="2">
        <f t="shared" si="146"/>
        <v>886700.8357075199</v>
      </c>
      <c r="D1886" s="2">
        <v>36392</v>
      </c>
      <c r="E1886" s="2">
        <f t="shared" si="147"/>
        <v>3.6392000000000002</v>
      </c>
      <c r="F1886" s="2">
        <f t="shared" si="148"/>
        <v>0.25934401664932771</v>
      </c>
      <c r="G1886" s="2">
        <f t="shared" si="149"/>
        <v>6.7259318971806772E-2</v>
      </c>
    </row>
    <row r="1887" spans="1:7" x14ac:dyDescent="0.35">
      <c r="A1887" s="2">
        <v>2280</v>
      </c>
      <c r="B1887" s="2">
        <f t="shared" si="145"/>
        <v>941.64793617759278</v>
      </c>
      <c r="C1887" s="2">
        <f t="shared" si="146"/>
        <v>886700.8357075199</v>
      </c>
      <c r="D1887" s="2">
        <v>39482</v>
      </c>
      <c r="E1887" s="2">
        <f t="shared" si="147"/>
        <v>3.9481999999999999</v>
      </c>
      <c r="F1887" s="2">
        <f t="shared" si="148"/>
        <v>0.56834401664932743</v>
      </c>
      <c r="G1887" s="2">
        <f t="shared" si="149"/>
        <v>0.32301492126109099</v>
      </c>
    </row>
    <row r="1888" spans="1:7" x14ac:dyDescent="0.35">
      <c r="A1888" s="2">
        <v>2280</v>
      </c>
      <c r="B1888" s="2">
        <f t="shared" si="145"/>
        <v>941.64793617759278</v>
      </c>
      <c r="C1888" s="2">
        <f t="shared" si="146"/>
        <v>886700.8357075199</v>
      </c>
      <c r="D1888" s="2">
        <v>40055</v>
      </c>
      <c r="E1888" s="2">
        <f t="shared" si="147"/>
        <v>4.0054999999999996</v>
      </c>
      <c r="F1888" s="2">
        <f t="shared" si="148"/>
        <v>0.62564401664932712</v>
      </c>
      <c r="G1888" s="2">
        <f t="shared" si="149"/>
        <v>0.39143043556910351</v>
      </c>
    </row>
    <row r="1889" spans="1:7" x14ac:dyDescent="0.35">
      <c r="A1889" s="2">
        <v>2280</v>
      </c>
      <c r="B1889" s="2">
        <f t="shared" si="145"/>
        <v>941.64793617759278</v>
      </c>
      <c r="C1889" s="2">
        <f t="shared" si="146"/>
        <v>886700.8357075199</v>
      </c>
      <c r="D1889" s="2">
        <v>45355</v>
      </c>
      <c r="E1889" s="2">
        <f t="shared" si="147"/>
        <v>4.5354999999999999</v>
      </c>
      <c r="F1889" s="2">
        <f t="shared" si="148"/>
        <v>1.1556440166493274</v>
      </c>
      <c r="G1889" s="2">
        <f t="shared" si="149"/>
        <v>1.3355130932173909</v>
      </c>
    </row>
    <row r="1890" spans="1:7" x14ac:dyDescent="0.35">
      <c r="A1890" s="2">
        <v>2280</v>
      </c>
      <c r="B1890" s="2">
        <f t="shared" si="145"/>
        <v>941.64793617759278</v>
      </c>
      <c r="C1890" s="2">
        <f t="shared" si="146"/>
        <v>886700.8357075199</v>
      </c>
      <c r="D1890" s="2">
        <v>51406</v>
      </c>
      <c r="E1890" s="2">
        <f t="shared" si="147"/>
        <v>5.1406000000000001</v>
      </c>
      <c r="F1890" s="2">
        <f t="shared" si="148"/>
        <v>1.7607440166493276</v>
      </c>
      <c r="G1890" s="2">
        <f t="shared" si="149"/>
        <v>3.1002194921664077</v>
      </c>
    </row>
    <row r="1891" spans="1:7" x14ac:dyDescent="0.35">
      <c r="A1891" s="2">
        <v>2280</v>
      </c>
      <c r="B1891" s="2">
        <f t="shared" si="145"/>
        <v>941.64793617759278</v>
      </c>
      <c r="C1891" s="2">
        <f t="shared" si="146"/>
        <v>886700.8357075199</v>
      </c>
      <c r="D1891" s="2">
        <v>41177</v>
      </c>
      <c r="E1891" s="2">
        <f t="shared" si="147"/>
        <v>4.1177000000000001</v>
      </c>
      <c r="F1891" s="2">
        <f t="shared" si="148"/>
        <v>0.73784401664932764</v>
      </c>
      <c r="G1891" s="2">
        <f t="shared" si="149"/>
        <v>0.5444137929052133</v>
      </c>
    </row>
    <row r="1892" spans="1:7" x14ac:dyDescent="0.35">
      <c r="A1892" s="2">
        <v>2280</v>
      </c>
      <c r="B1892" s="2">
        <f t="shared" si="145"/>
        <v>941.64793617759278</v>
      </c>
      <c r="C1892" s="2">
        <f t="shared" si="146"/>
        <v>886700.8357075199</v>
      </c>
      <c r="D1892" s="2">
        <v>37753</v>
      </c>
      <c r="E1892" s="2">
        <f t="shared" si="147"/>
        <v>3.7753000000000001</v>
      </c>
      <c r="F1892" s="2">
        <f t="shared" si="148"/>
        <v>0.3954440166493276</v>
      </c>
      <c r="G1892" s="2">
        <f t="shared" si="149"/>
        <v>0.15637597030375369</v>
      </c>
    </row>
    <row r="1893" spans="1:7" x14ac:dyDescent="0.35">
      <c r="A1893" s="2">
        <v>2280</v>
      </c>
      <c r="B1893" s="2">
        <f t="shared" si="145"/>
        <v>941.64793617759278</v>
      </c>
      <c r="C1893" s="2">
        <f t="shared" si="146"/>
        <v>886700.8357075199</v>
      </c>
      <c r="D1893" s="2">
        <v>49680</v>
      </c>
      <c r="E1893" s="2">
        <f t="shared" si="147"/>
        <v>4.968</v>
      </c>
      <c r="F1893" s="2">
        <f t="shared" si="148"/>
        <v>1.5881440166493275</v>
      </c>
      <c r="G1893" s="2">
        <f t="shared" si="149"/>
        <v>2.5222014176190592</v>
      </c>
    </row>
    <row r="1894" spans="1:7" x14ac:dyDescent="0.35">
      <c r="A1894" s="2">
        <v>2280</v>
      </c>
      <c r="B1894" s="2">
        <f t="shared" si="145"/>
        <v>941.64793617759278</v>
      </c>
      <c r="C1894" s="2">
        <f t="shared" si="146"/>
        <v>886700.8357075199</v>
      </c>
      <c r="D1894" s="2">
        <v>55764</v>
      </c>
      <c r="E1894" s="2">
        <f t="shared" si="147"/>
        <v>5.5763999999999996</v>
      </c>
      <c r="F1894" s="2">
        <f t="shared" si="148"/>
        <v>2.1965440166493271</v>
      </c>
      <c r="G1894" s="2">
        <f t="shared" si="149"/>
        <v>4.824805617077959</v>
      </c>
    </row>
    <row r="1895" spans="1:7" x14ac:dyDescent="0.35">
      <c r="A1895" s="2">
        <v>2280</v>
      </c>
      <c r="B1895" s="2">
        <f t="shared" si="145"/>
        <v>941.64793617759278</v>
      </c>
      <c r="C1895" s="2">
        <f t="shared" si="146"/>
        <v>886700.8357075199</v>
      </c>
      <c r="D1895" s="2">
        <v>56648</v>
      </c>
      <c r="E1895" s="2">
        <f t="shared" si="147"/>
        <v>5.6647999999999996</v>
      </c>
      <c r="F1895" s="2">
        <f t="shared" si="148"/>
        <v>2.2849440166493271</v>
      </c>
      <c r="G1895" s="2">
        <f t="shared" si="149"/>
        <v>5.2209691592215606</v>
      </c>
    </row>
    <row r="1896" spans="1:7" x14ac:dyDescent="0.35">
      <c r="A1896" s="2">
        <v>2280</v>
      </c>
      <c r="B1896" s="2">
        <f t="shared" si="145"/>
        <v>941.64793617759278</v>
      </c>
      <c r="C1896" s="2">
        <f t="shared" si="146"/>
        <v>886700.8357075199</v>
      </c>
      <c r="D1896" s="2">
        <v>50217</v>
      </c>
      <c r="E1896" s="2">
        <f t="shared" si="147"/>
        <v>5.0217000000000001</v>
      </c>
      <c r="F1896" s="2">
        <f t="shared" si="148"/>
        <v>1.6418440166493276</v>
      </c>
      <c r="G1896" s="2">
        <f t="shared" si="149"/>
        <v>2.6956517750071973</v>
      </c>
    </row>
    <row r="1897" spans="1:7" x14ac:dyDescent="0.35">
      <c r="A1897" s="2">
        <v>151</v>
      </c>
      <c r="B1897" s="2">
        <f t="shared" si="145"/>
        <v>-1187.3520638224072</v>
      </c>
      <c r="C1897" s="2">
        <f t="shared" si="146"/>
        <v>1409804.9234633297</v>
      </c>
      <c r="D1897" s="2">
        <v>27524</v>
      </c>
      <c r="E1897" s="2">
        <f t="shared" si="147"/>
        <v>2.7524000000000002</v>
      </c>
      <c r="F1897" s="2">
        <f t="shared" si="148"/>
        <v>-0.62745598335067232</v>
      </c>
      <c r="G1897" s="2">
        <f t="shared" si="149"/>
        <v>0.39370101104255917</v>
      </c>
    </row>
    <row r="1898" spans="1:7" x14ac:dyDescent="0.35">
      <c r="A1898" s="2">
        <v>151</v>
      </c>
      <c r="B1898" s="2">
        <f t="shared" si="145"/>
        <v>-1187.3520638224072</v>
      </c>
      <c r="C1898" s="2">
        <f t="shared" si="146"/>
        <v>1409804.9234633297</v>
      </c>
      <c r="D1898" s="2">
        <v>27283</v>
      </c>
      <c r="E1898" s="2">
        <f t="shared" si="147"/>
        <v>2.7282999999999999</v>
      </c>
      <c r="F1898" s="2">
        <f t="shared" si="148"/>
        <v>-0.65155598335067255</v>
      </c>
      <c r="G1898" s="2">
        <f t="shared" si="149"/>
        <v>0.4245251994400619</v>
      </c>
    </row>
    <row r="1899" spans="1:7" x14ac:dyDescent="0.35">
      <c r="A1899" s="2">
        <v>151</v>
      </c>
      <c r="B1899" s="2">
        <f t="shared" si="145"/>
        <v>-1187.3520638224072</v>
      </c>
      <c r="C1899" s="2">
        <f t="shared" si="146"/>
        <v>1409804.9234633297</v>
      </c>
      <c r="D1899" s="2">
        <v>24498</v>
      </c>
      <c r="E1899" s="2">
        <f t="shared" si="147"/>
        <v>2.4498000000000002</v>
      </c>
      <c r="F1899" s="2">
        <f t="shared" si="148"/>
        <v>-0.9300559833506723</v>
      </c>
      <c r="G1899" s="2">
        <f t="shared" si="149"/>
        <v>0.86500413216638605</v>
      </c>
    </row>
    <row r="1900" spans="1:7" x14ac:dyDescent="0.35">
      <c r="A1900" s="2">
        <v>151</v>
      </c>
      <c r="B1900" s="2">
        <f t="shared" si="145"/>
        <v>-1187.3520638224072</v>
      </c>
      <c r="C1900" s="2">
        <f t="shared" si="146"/>
        <v>1409804.9234633297</v>
      </c>
      <c r="D1900" s="2">
        <v>34147</v>
      </c>
      <c r="E1900" s="2">
        <f t="shared" si="147"/>
        <v>3.4146999999999998</v>
      </c>
      <c r="F1900" s="2">
        <f t="shared" si="148"/>
        <v>3.4844016649327347E-2</v>
      </c>
      <c r="G1900" s="2">
        <f t="shared" si="149"/>
        <v>1.2141054962586013E-3</v>
      </c>
    </row>
    <row r="1901" spans="1:7" x14ac:dyDescent="0.35">
      <c r="A1901" s="2">
        <v>151</v>
      </c>
      <c r="B1901" s="2">
        <f t="shared" si="145"/>
        <v>-1187.3520638224072</v>
      </c>
      <c r="C1901" s="2">
        <f t="shared" si="146"/>
        <v>1409804.9234633297</v>
      </c>
      <c r="D1901" s="2">
        <v>31432</v>
      </c>
      <c r="E1901" s="2">
        <f t="shared" si="147"/>
        <v>3.1432000000000002</v>
      </c>
      <c r="F1901" s="2">
        <f t="shared" si="148"/>
        <v>-0.23665598335067228</v>
      </c>
      <c r="G1901" s="2">
        <f t="shared" si="149"/>
        <v>5.6006054455673679E-2</v>
      </c>
    </row>
    <row r="1902" spans="1:7" x14ac:dyDescent="0.35">
      <c r="A1902" s="2">
        <v>151</v>
      </c>
      <c r="B1902" s="2">
        <f t="shared" si="145"/>
        <v>-1187.3520638224072</v>
      </c>
      <c r="C1902" s="2">
        <f t="shared" si="146"/>
        <v>1409804.9234633297</v>
      </c>
      <c r="D1902" s="2">
        <v>35605</v>
      </c>
      <c r="E1902" s="2">
        <f t="shared" si="147"/>
        <v>3.5605000000000002</v>
      </c>
      <c r="F1902" s="2">
        <f t="shared" si="148"/>
        <v>0.18064401664932772</v>
      </c>
      <c r="G1902" s="2">
        <f t="shared" si="149"/>
        <v>3.2632260751202589E-2</v>
      </c>
    </row>
    <row r="1903" spans="1:7" x14ac:dyDescent="0.35">
      <c r="A1903" s="2">
        <v>151</v>
      </c>
      <c r="B1903" s="2">
        <f t="shared" si="145"/>
        <v>-1187.3520638224072</v>
      </c>
      <c r="C1903" s="2">
        <f t="shared" si="146"/>
        <v>1409804.9234633297</v>
      </c>
      <c r="D1903" s="2">
        <v>32828</v>
      </c>
      <c r="E1903" s="2">
        <f t="shared" si="147"/>
        <v>3.2827999999999999</v>
      </c>
      <c r="F1903" s="2">
        <f t="shared" si="148"/>
        <v>-9.7055983350672559E-2</v>
      </c>
      <c r="G1903" s="2">
        <f t="shared" si="149"/>
        <v>9.419863904166029E-3</v>
      </c>
    </row>
    <row r="1904" spans="1:7" x14ac:dyDescent="0.35">
      <c r="A1904" s="2">
        <v>151</v>
      </c>
      <c r="B1904" s="2">
        <f t="shared" si="145"/>
        <v>-1187.3520638224072</v>
      </c>
      <c r="C1904" s="2">
        <f t="shared" si="146"/>
        <v>1409804.9234633297</v>
      </c>
      <c r="D1904" s="2">
        <v>26233</v>
      </c>
      <c r="E1904" s="2">
        <f t="shared" si="147"/>
        <v>2.6233</v>
      </c>
      <c r="F1904" s="2">
        <f t="shared" si="148"/>
        <v>-0.75655598335067253</v>
      </c>
      <c r="G1904" s="2">
        <f t="shared" si="149"/>
        <v>0.57237695594370308</v>
      </c>
    </row>
    <row r="1905" spans="1:7" x14ac:dyDescent="0.35">
      <c r="A1905" s="2">
        <v>151</v>
      </c>
      <c r="B1905" s="2">
        <f t="shared" si="145"/>
        <v>-1187.3520638224072</v>
      </c>
      <c r="C1905" s="2">
        <f t="shared" si="146"/>
        <v>1409804.9234633297</v>
      </c>
      <c r="D1905" s="2">
        <v>22143</v>
      </c>
      <c r="E1905" s="2">
        <f t="shared" si="147"/>
        <v>2.2143000000000002</v>
      </c>
      <c r="F1905" s="2">
        <f t="shared" si="148"/>
        <v>-1.1655559833506723</v>
      </c>
      <c r="G1905" s="2">
        <f t="shared" si="149"/>
        <v>1.3585207503245529</v>
      </c>
    </row>
    <row r="1906" spans="1:7" x14ac:dyDescent="0.35">
      <c r="A1906" s="2">
        <v>151</v>
      </c>
      <c r="B1906" s="2">
        <f t="shared" si="145"/>
        <v>-1187.3520638224072</v>
      </c>
      <c r="C1906" s="2">
        <f t="shared" si="146"/>
        <v>1409804.9234633297</v>
      </c>
      <c r="D1906" s="2">
        <v>24286</v>
      </c>
      <c r="E1906" s="2">
        <f t="shared" si="147"/>
        <v>2.4285999999999999</v>
      </c>
      <c r="F1906" s="2">
        <f t="shared" si="148"/>
        <v>-0.95125598335067263</v>
      </c>
      <c r="G1906" s="2">
        <f t="shared" si="149"/>
        <v>0.90488794586045518</v>
      </c>
    </row>
    <row r="1907" spans="1:7" x14ac:dyDescent="0.35">
      <c r="A1907" s="2">
        <v>151</v>
      </c>
      <c r="B1907" s="2">
        <f t="shared" si="145"/>
        <v>-1187.3520638224072</v>
      </c>
      <c r="C1907" s="2">
        <f t="shared" si="146"/>
        <v>1409804.9234633297</v>
      </c>
      <c r="D1907" s="2">
        <v>16254</v>
      </c>
      <c r="E1907" s="2">
        <f t="shared" si="147"/>
        <v>1.6254</v>
      </c>
      <c r="F1907" s="2">
        <f t="shared" si="148"/>
        <v>-1.7544559833506725</v>
      </c>
      <c r="G1907" s="2">
        <f t="shared" si="149"/>
        <v>3.0781157975149753</v>
      </c>
    </row>
    <row r="1908" spans="1:7" x14ac:dyDescent="0.35">
      <c r="A1908" s="2">
        <v>151</v>
      </c>
      <c r="B1908" s="2">
        <f t="shared" si="145"/>
        <v>-1187.3520638224072</v>
      </c>
      <c r="C1908" s="2">
        <f t="shared" si="146"/>
        <v>1409804.9234633297</v>
      </c>
      <c r="D1908" s="2">
        <v>20244</v>
      </c>
      <c r="E1908" s="2">
        <f t="shared" si="147"/>
        <v>2.0244</v>
      </c>
      <c r="F1908" s="2">
        <f t="shared" si="148"/>
        <v>-1.3554559833506725</v>
      </c>
      <c r="G1908" s="2">
        <f t="shared" si="149"/>
        <v>1.8372609228011387</v>
      </c>
    </row>
    <row r="1909" spans="1:7" x14ac:dyDescent="0.35">
      <c r="A1909" s="2">
        <v>151</v>
      </c>
      <c r="B1909" s="2">
        <f t="shared" si="145"/>
        <v>-1187.3520638224072</v>
      </c>
      <c r="C1909" s="2">
        <f t="shared" si="146"/>
        <v>1409804.9234633297</v>
      </c>
      <c r="D1909" s="2">
        <v>29100</v>
      </c>
      <c r="E1909" s="2">
        <f t="shared" si="147"/>
        <v>2.91</v>
      </c>
      <c r="F1909" s="2">
        <f t="shared" si="148"/>
        <v>-0.46985598335067236</v>
      </c>
      <c r="G1909" s="2">
        <f t="shared" si="149"/>
        <v>0.22076464509042729</v>
      </c>
    </row>
    <row r="1910" spans="1:7" x14ac:dyDescent="0.35">
      <c r="A1910" s="2">
        <v>151</v>
      </c>
      <c r="B1910" s="2">
        <f t="shared" si="145"/>
        <v>-1187.3520638224072</v>
      </c>
      <c r="C1910" s="2">
        <f t="shared" si="146"/>
        <v>1409804.9234633297</v>
      </c>
      <c r="D1910" s="2">
        <v>41112</v>
      </c>
      <c r="E1910" s="2">
        <f t="shared" si="147"/>
        <v>4.1112000000000002</v>
      </c>
      <c r="F1910" s="2">
        <f t="shared" si="148"/>
        <v>0.73134401664932769</v>
      </c>
      <c r="G1910" s="2">
        <f t="shared" si="149"/>
        <v>0.53486407068877206</v>
      </c>
    </row>
    <row r="1911" spans="1:7" x14ac:dyDescent="0.35">
      <c r="A1911" s="2">
        <v>151</v>
      </c>
      <c r="B1911" s="2">
        <f t="shared" si="145"/>
        <v>-1187.3520638224072</v>
      </c>
      <c r="C1911" s="2">
        <f t="shared" si="146"/>
        <v>1409804.9234633297</v>
      </c>
      <c r="D1911" s="2">
        <v>27479</v>
      </c>
      <c r="E1911" s="2">
        <f t="shared" si="147"/>
        <v>2.7479</v>
      </c>
      <c r="F1911" s="2">
        <f t="shared" si="148"/>
        <v>-0.63195598335067249</v>
      </c>
      <c r="G1911" s="2">
        <f t="shared" si="149"/>
        <v>0.39936836489271543</v>
      </c>
    </row>
    <row r="1912" spans="1:7" x14ac:dyDescent="0.35">
      <c r="A1912" s="2">
        <v>151</v>
      </c>
      <c r="B1912" s="2">
        <f t="shared" si="145"/>
        <v>-1187.3520638224072</v>
      </c>
      <c r="C1912" s="2">
        <f t="shared" si="146"/>
        <v>1409804.9234633297</v>
      </c>
      <c r="D1912" s="2">
        <v>27565</v>
      </c>
      <c r="E1912" s="2">
        <f t="shared" si="147"/>
        <v>2.7565</v>
      </c>
      <c r="F1912" s="2">
        <f t="shared" si="148"/>
        <v>-0.62335598335067255</v>
      </c>
      <c r="G1912" s="2">
        <f t="shared" si="149"/>
        <v>0.38857268197908396</v>
      </c>
    </row>
    <row r="1913" spans="1:7" x14ac:dyDescent="0.35">
      <c r="A1913" s="2">
        <v>151</v>
      </c>
      <c r="B1913" s="2">
        <f t="shared" si="145"/>
        <v>-1187.3520638224072</v>
      </c>
      <c r="C1913" s="2">
        <f t="shared" si="146"/>
        <v>1409804.9234633297</v>
      </c>
      <c r="D1913" s="2">
        <v>31638</v>
      </c>
      <c r="E1913" s="2">
        <f t="shared" si="147"/>
        <v>3.1638000000000002</v>
      </c>
      <c r="F1913" s="2">
        <f t="shared" si="148"/>
        <v>-0.21605598335067233</v>
      </c>
      <c r="G1913" s="2">
        <f t="shared" si="149"/>
        <v>4.6680187941625997E-2</v>
      </c>
    </row>
    <row r="1914" spans="1:7" x14ac:dyDescent="0.35">
      <c r="A1914" s="2">
        <v>151</v>
      </c>
      <c r="B1914" s="2">
        <f t="shared" si="145"/>
        <v>-1187.3520638224072</v>
      </c>
      <c r="C1914" s="2">
        <f t="shared" si="146"/>
        <v>1409804.9234633297</v>
      </c>
      <c r="D1914" s="2">
        <v>30949</v>
      </c>
      <c r="E1914" s="2">
        <f t="shared" si="147"/>
        <v>3.0949</v>
      </c>
      <c r="F1914" s="2">
        <f t="shared" si="148"/>
        <v>-0.28495598335067251</v>
      </c>
      <c r="G1914" s="2">
        <f t="shared" si="149"/>
        <v>8.1199912447348754E-2</v>
      </c>
    </row>
    <row r="1915" spans="1:7" x14ac:dyDescent="0.35">
      <c r="A1915" s="2">
        <v>151</v>
      </c>
      <c r="B1915" s="2">
        <f t="shared" si="145"/>
        <v>-1187.3520638224072</v>
      </c>
      <c r="C1915" s="2">
        <f t="shared" si="146"/>
        <v>1409804.9234633297</v>
      </c>
      <c r="D1915" s="2">
        <v>38290</v>
      </c>
      <c r="E1915" s="2">
        <f t="shared" si="147"/>
        <v>3.8290000000000002</v>
      </c>
      <c r="F1915" s="2">
        <f t="shared" si="148"/>
        <v>0.44914401664932768</v>
      </c>
      <c r="G1915" s="2">
        <f t="shared" si="149"/>
        <v>0.20173034769189155</v>
      </c>
    </row>
    <row r="1916" spans="1:7" x14ac:dyDescent="0.35">
      <c r="A1916" s="2">
        <v>151</v>
      </c>
      <c r="B1916" s="2">
        <f t="shared" si="145"/>
        <v>-1187.3520638224072</v>
      </c>
      <c r="C1916" s="2">
        <f t="shared" si="146"/>
        <v>1409804.9234633297</v>
      </c>
      <c r="D1916" s="2">
        <v>36637</v>
      </c>
      <c r="E1916" s="2">
        <f t="shared" si="147"/>
        <v>3.6637</v>
      </c>
      <c r="F1916" s="2">
        <f t="shared" si="148"/>
        <v>0.28384401664932746</v>
      </c>
      <c r="G1916" s="2">
        <f t="shared" si="149"/>
        <v>8.0567425787623687E-2</v>
      </c>
    </row>
    <row r="1917" spans="1:7" x14ac:dyDescent="0.35">
      <c r="A1917" s="2">
        <v>151</v>
      </c>
      <c r="B1917" s="2">
        <f t="shared" si="145"/>
        <v>-1187.3520638224072</v>
      </c>
      <c r="C1917" s="2">
        <f t="shared" si="146"/>
        <v>1409804.9234633297</v>
      </c>
      <c r="D1917" s="2">
        <v>35900</v>
      </c>
      <c r="E1917" s="2">
        <f t="shared" si="147"/>
        <v>3.59</v>
      </c>
      <c r="F1917" s="2">
        <f t="shared" si="148"/>
        <v>0.21014401664932736</v>
      </c>
      <c r="G1917" s="2">
        <f t="shared" si="149"/>
        <v>4.4160507733512773E-2</v>
      </c>
    </row>
    <row r="1918" spans="1:7" x14ac:dyDescent="0.35">
      <c r="A1918" s="2">
        <v>151</v>
      </c>
      <c r="B1918" s="2">
        <f t="shared" si="145"/>
        <v>-1187.3520638224072</v>
      </c>
      <c r="C1918" s="2">
        <f t="shared" si="146"/>
        <v>1409804.9234633297</v>
      </c>
      <c r="D1918" s="2">
        <v>38110</v>
      </c>
      <c r="E1918" s="2">
        <f t="shared" si="147"/>
        <v>3.8109999999999999</v>
      </c>
      <c r="F1918" s="2">
        <f t="shared" si="148"/>
        <v>0.43114401664932744</v>
      </c>
      <c r="G1918" s="2">
        <f t="shared" si="149"/>
        <v>0.18588516309251554</v>
      </c>
    </row>
    <row r="1919" spans="1:7" x14ac:dyDescent="0.35">
      <c r="A1919" s="2">
        <v>151</v>
      </c>
      <c r="B1919" s="2">
        <f t="shared" si="145"/>
        <v>-1187.3520638224072</v>
      </c>
      <c r="C1919" s="2">
        <f t="shared" si="146"/>
        <v>1409804.9234633297</v>
      </c>
      <c r="D1919" s="2">
        <v>43571</v>
      </c>
      <c r="E1919" s="2">
        <f t="shared" si="147"/>
        <v>4.3571</v>
      </c>
      <c r="F1919" s="2">
        <f t="shared" si="148"/>
        <v>0.97724401664932747</v>
      </c>
      <c r="G1919" s="2">
        <f t="shared" si="149"/>
        <v>0.95500586807691101</v>
      </c>
    </row>
    <row r="1920" spans="1:7" x14ac:dyDescent="0.35">
      <c r="A1920" s="2">
        <v>151</v>
      </c>
      <c r="B1920" s="2">
        <f t="shared" si="145"/>
        <v>-1187.3520638224072</v>
      </c>
      <c r="C1920" s="2">
        <f t="shared" si="146"/>
        <v>1409804.9234633297</v>
      </c>
      <c r="D1920" s="2">
        <v>54407</v>
      </c>
      <c r="E1920" s="2">
        <f t="shared" si="147"/>
        <v>5.4406999999999996</v>
      </c>
      <c r="F1920" s="2">
        <f t="shared" si="148"/>
        <v>2.0608440166493271</v>
      </c>
      <c r="G1920" s="2">
        <f t="shared" si="149"/>
        <v>4.2470780609593319</v>
      </c>
    </row>
    <row r="1921" spans="1:7" x14ac:dyDescent="0.35">
      <c r="A1921" s="2">
        <v>151</v>
      </c>
      <c r="B1921" s="2">
        <f t="shared" si="145"/>
        <v>-1187.3520638224072</v>
      </c>
      <c r="C1921" s="2">
        <f t="shared" si="146"/>
        <v>1409804.9234633297</v>
      </c>
      <c r="D1921" s="2">
        <v>54739</v>
      </c>
      <c r="E1921" s="2">
        <f t="shared" si="147"/>
        <v>5.4739000000000004</v>
      </c>
      <c r="F1921" s="2">
        <f t="shared" si="148"/>
        <v>2.0940440166493279</v>
      </c>
      <c r="G1921" s="2">
        <f t="shared" si="149"/>
        <v>4.3850203436648512</v>
      </c>
    </row>
    <row r="1922" spans="1:7" x14ac:dyDescent="0.35">
      <c r="A1922" s="2">
        <v>151</v>
      </c>
      <c r="B1922" s="2">
        <f t="shared" si="145"/>
        <v>-1187.3520638224072</v>
      </c>
      <c r="C1922" s="2">
        <f t="shared" si="146"/>
        <v>1409804.9234633297</v>
      </c>
      <c r="D1922" s="2">
        <v>57490</v>
      </c>
      <c r="E1922" s="2">
        <f t="shared" si="147"/>
        <v>5.7489999999999997</v>
      </c>
      <c r="F1922" s="2">
        <f t="shared" si="148"/>
        <v>2.3691440166493272</v>
      </c>
      <c r="G1922" s="2">
        <f t="shared" si="149"/>
        <v>5.6128433716253072</v>
      </c>
    </row>
    <row r="1923" spans="1:7" x14ac:dyDescent="0.35">
      <c r="A1923" s="2">
        <v>151</v>
      </c>
      <c r="B1923" s="2">
        <f t="shared" ref="B1923:B1986" si="150">A1923-$J$1</f>
        <v>-1187.3520638224072</v>
      </c>
      <c r="C1923" s="2">
        <f t="shared" ref="C1923:C1986" si="151">B1923^2</f>
        <v>1409804.9234633297</v>
      </c>
      <c r="D1923" s="2">
        <v>62834</v>
      </c>
      <c r="E1923" s="2">
        <f t="shared" ref="E1923:E1986" si="152">D1923/10000</f>
        <v>6.2834000000000003</v>
      </c>
      <c r="F1923" s="2">
        <f t="shared" ref="F1923:F1986" si="153">E1923-$J$2</f>
        <v>2.9035440166493278</v>
      </c>
      <c r="G1923" s="2">
        <f t="shared" ref="G1923:G1986" si="154">F1923^2</f>
        <v>8.4305678566201117</v>
      </c>
    </row>
    <row r="1924" spans="1:7" x14ac:dyDescent="0.35">
      <c r="A1924" s="2">
        <v>151</v>
      </c>
      <c r="B1924" s="2">
        <f t="shared" si="150"/>
        <v>-1187.3520638224072</v>
      </c>
      <c r="C1924" s="2">
        <f t="shared" si="151"/>
        <v>1409804.9234633297</v>
      </c>
      <c r="D1924" s="2">
        <v>61350</v>
      </c>
      <c r="E1924" s="2">
        <f t="shared" si="152"/>
        <v>6.1349999999999998</v>
      </c>
      <c r="F1924" s="2">
        <f t="shared" si="153"/>
        <v>2.7551440166493273</v>
      </c>
      <c r="G1924" s="2">
        <f t="shared" si="154"/>
        <v>7.5908185524785887</v>
      </c>
    </row>
    <row r="1925" spans="1:7" x14ac:dyDescent="0.35">
      <c r="A1925" s="2">
        <v>151</v>
      </c>
      <c r="B1925" s="2">
        <f t="shared" si="150"/>
        <v>-1187.3520638224072</v>
      </c>
      <c r="C1925" s="2">
        <f t="shared" si="151"/>
        <v>1409804.9234633297</v>
      </c>
      <c r="D1925" s="2">
        <v>44383</v>
      </c>
      <c r="E1925" s="2">
        <f t="shared" si="152"/>
        <v>4.4382999999999999</v>
      </c>
      <c r="F1925" s="2">
        <f t="shared" si="153"/>
        <v>1.0584440166493274</v>
      </c>
      <c r="G1925" s="2">
        <f t="shared" si="154"/>
        <v>1.1203037363807617</v>
      </c>
    </row>
    <row r="1926" spans="1:7" x14ac:dyDescent="0.35">
      <c r="A1926" s="2">
        <v>151</v>
      </c>
      <c r="B1926" s="2">
        <f t="shared" si="150"/>
        <v>-1187.3520638224072</v>
      </c>
      <c r="C1926" s="2">
        <f t="shared" si="151"/>
        <v>1409804.9234633297</v>
      </c>
      <c r="D1926" s="2">
        <v>26372</v>
      </c>
      <c r="E1926" s="2">
        <f t="shared" si="152"/>
        <v>2.6372</v>
      </c>
      <c r="F1926" s="2">
        <f t="shared" si="153"/>
        <v>-0.74265598335067251</v>
      </c>
      <c r="G1926" s="2">
        <f t="shared" si="154"/>
        <v>0.55153790960655436</v>
      </c>
    </row>
    <row r="1927" spans="1:7" x14ac:dyDescent="0.35">
      <c r="A1927" s="2">
        <v>1150</v>
      </c>
      <c r="B1927" s="2">
        <f t="shared" si="150"/>
        <v>-188.35206382240722</v>
      </c>
      <c r="C1927" s="2">
        <f t="shared" si="151"/>
        <v>35476.499946160162</v>
      </c>
      <c r="D1927" s="2">
        <v>21343</v>
      </c>
      <c r="E1927" s="2">
        <f t="shared" si="152"/>
        <v>2.1343000000000001</v>
      </c>
      <c r="F1927" s="2">
        <f t="shared" si="153"/>
        <v>-1.2455559833506724</v>
      </c>
      <c r="G1927" s="2">
        <f t="shared" si="154"/>
        <v>1.5514097076606606</v>
      </c>
    </row>
    <row r="1928" spans="1:7" x14ac:dyDescent="0.35">
      <c r="A1928" s="2">
        <v>1150</v>
      </c>
      <c r="B1928" s="2">
        <f t="shared" si="150"/>
        <v>-188.35206382240722</v>
      </c>
      <c r="C1928" s="2">
        <f t="shared" si="151"/>
        <v>35476.499946160162</v>
      </c>
      <c r="D1928" s="2">
        <v>20233</v>
      </c>
      <c r="E1928" s="2">
        <f t="shared" si="152"/>
        <v>2.0232999999999999</v>
      </c>
      <c r="F1928" s="2">
        <f t="shared" si="153"/>
        <v>-1.3565559833506726</v>
      </c>
      <c r="G1928" s="2">
        <f t="shared" si="154"/>
        <v>1.8402441359645103</v>
      </c>
    </row>
    <row r="1929" spans="1:7" x14ac:dyDescent="0.35">
      <c r="A1929" s="2">
        <v>1150</v>
      </c>
      <c r="B1929" s="2">
        <f t="shared" si="150"/>
        <v>-188.35206382240722</v>
      </c>
      <c r="C1929" s="2">
        <f t="shared" si="151"/>
        <v>35476.499946160162</v>
      </c>
      <c r="D1929" s="2">
        <v>23893</v>
      </c>
      <c r="E1929" s="2">
        <f t="shared" si="152"/>
        <v>2.3893</v>
      </c>
      <c r="F1929" s="2">
        <f t="shared" si="153"/>
        <v>-0.99055598335067252</v>
      </c>
      <c r="G1929" s="2">
        <f t="shared" si="154"/>
        <v>0.9812011561518178</v>
      </c>
    </row>
    <row r="1930" spans="1:7" x14ac:dyDescent="0.35">
      <c r="A1930" s="2">
        <v>1150</v>
      </c>
      <c r="B1930" s="2">
        <f t="shared" si="150"/>
        <v>-188.35206382240722</v>
      </c>
      <c r="C1930" s="2">
        <f t="shared" si="151"/>
        <v>35476.499946160162</v>
      </c>
      <c r="D1930" s="2">
        <v>19994</v>
      </c>
      <c r="E1930" s="2">
        <f t="shared" si="152"/>
        <v>1.9994000000000001</v>
      </c>
      <c r="F1930" s="2">
        <f t="shared" si="153"/>
        <v>-1.3804559833506724</v>
      </c>
      <c r="G1930" s="2">
        <f t="shared" si="154"/>
        <v>1.905658721968672</v>
      </c>
    </row>
    <row r="1931" spans="1:7" x14ac:dyDescent="0.35">
      <c r="A1931" s="2">
        <v>1150</v>
      </c>
      <c r="B1931" s="2">
        <f t="shared" si="150"/>
        <v>-188.35206382240722</v>
      </c>
      <c r="C1931" s="2">
        <f t="shared" si="151"/>
        <v>35476.499946160162</v>
      </c>
      <c r="D1931" s="2">
        <v>20695</v>
      </c>
      <c r="E1931" s="2">
        <f t="shared" si="152"/>
        <v>2.0695000000000001</v>
      </c>
      <c r="F1931" s="2">
        <f t="shared" si="153"/>
        <v>-1.3103559833506724</v>
      </c>
      <c r="G1931" s="2">
        <f t="shared" si="154"/>
        <v>1.7170328031029076</v>
      </c>
    </row>
    <row r="1932" spans="1:7" x14ac:dyDescent="0.35">
      <c r="A1932" s="2">
        <v>1150</v>
      </c>
      <c r="B1932" s="2">
        <f t="shared" si="150"/>
        <v>-188.35206382240722</v>
      </c>
      <c r="C1932" s="2">
        <f t="shared" si="151"/>
        <v>35476.499946160162</v>
      </c>
      <c r="D1932" s="2">
        <v>19528</v>
      </c>
      <c r="E1932" s="2">
        <f t="shared" si="152"/>
        <v>1.9528000000000001</v>
      </c>
      <c r="F1932" s="2">
        <f t="shared" si="153"/>
        <v>-1.4270559833506724</v>
      </c>
      <c r="G1932" s="2">
        <f t="shared" si="154"/>
        <v>2.0364887796169544</v>
      </c>
    </row>
    <row r="1933" spans="1:7" x14ac:dyDescent="0.35">
      <c r="A1933" s="2">
        <v>1150</v>
      </c>
      <c r="B1933" s="2">
        <f t="shared" si="150"/>
        <v>-188.35206382240722</v>
      </c>
      <c r="C1933" s="2">
        <f t="shared" si="151"/>
        <v>35476.499946160162</v>
      </c>
      <c r="D1933" s="2">
        <v>19591</v>
      </c>
      <c r="E1933" s="2">
        <f t="shared" si="152"/>
        <v>1.9591000000000001</v>
      </c>
      <c r="F1933" s="2">
        <f t="shared" si="153"/>
        <v>-1.4207559833506724</v>
      </c>
      <c r="G1933" s="2">
        <f t="shared" si="154"/>
        <v>2.0185475642267363</v>
      </c>
    </row>
    <row r="1934" spans="1:7" x14ac:dyDescent="0.35">
      <c r="A1934" s="2">
        <v>1150</v>
      </c>
      <c r="B1934" s="2">
        <f t="shared" si="150"/>
        <v>-188.35206382240722</v>
      </c>
      <c r="C1934" s="2">
        <f t="shared" si="151"/>
        <v>35476.499946160162</v>
      </c>
      <c r="D1934" s="2">
        <v>19597</v>
      </c>
      <c r="E1934" s="2">
        <f t="shared" si="152"/>
        <v>1.9597</v>
      </c>
      <c r="F1934" s="2">
        <f t="shared" si="153"/>
        <v>-1.4201559833506725</v>
      </c>
      <c r="G1934" s="2">
        <f t="shared" si="154"/>
        <v>2.0168430170467158</v>
      </c>
    </row>
    <row r="1935" spans="1:7" x14ac:dyDescent="0.35">
      <c r="A1935" s="2">
        <v>1150</v>
      </c>
      <c r="B1935" s="2">
        <f t="shared" si="150"/>
        <v>-188.35206382240722</v>
      </c>
      <c r="C1935" s="2">
        <f t="shared" si="151"/>
        <v>35476.499946160162</v>
      </c>
      <c r="D1935" s="2">
        <v>14160</v>
      </c>
      <c r="E1935" s="2">
        <f t="shared" si="152"/>
        <v>1.4159999999999999</v>
      </c>
      <c r="F1935" s="2">
        <f t="shared" si="153"/>
        <v>-1.9638559833506726</v>
      </c>
      <c r="G1935" s="2">
        <f t="shared" si="154"/>
        <v>3.8567303233422372</v>
      </c>
    </row>
    <row r="1936" spans="1:7" x14ac:dyDescent="0.35">
      <c r="A1936" s="2">
        <v>1150</v>
      </c>
      <c r="B1936" s="2">
        <f t="shared" si="150"/>
        <v>-188.35206382240722</v>
      </c>
      <c r="C1936" s="2">
        <f t="shared" si="151"/>
        <v>35476.499946160162</v>
      </c>
      <c r="D1936" s="2">
        <v>16258</v>
      </c>
      <c r="E1936" s="2">
        <f t="shared" si="152"/>
        <v>1.6257999999999999</v>
      </c>
      <c r="F1936" s="2">
        <f t="shared" si="153"/>
        <v>-1.7540559833506726</v>
      </c>
      <c r="G1936" s="2">
        <f t="shared" si="154"/>
        <v>3.0767123927282949</v>
      </c>
    </row>
    <row r="1937" spans="1:7" x14ac:dyDescent="0.35">
      <c r="A1937" s="2">
        <v>1150</v>
      </c>
      <c r="B1937" s="2">
        <f t="shared" si="150"/>
        <v>-188.35206382240722</v>
      </c>
      <c r="C1937" s="2">
        <f t="shared" si="151"/>
        <v>35476.499946160162</v>
      </c>
      <c r="D1937" s="2">
        <v>17498</v>
      </c>
      <c r="E1937" s="2">
        <f t="shared" si="152"/>
        <v>1.7498</v>
      </c>
      <c r="F1937" s="2">
        <f t="shared" si="153"/>
        <v>-1.6300559833506725</v>
      </c>
      <c r="G1937" s="2">
        <f t="shared" si="154"/>
        <v>2.6570825088573278</v>
      </c>
    </row>
    <row r="1938" spans="1:7" x14ac:dyDescent="0.35">
      <c r="A1938" s="2">
        <v>1150</v>
      </c>
      <c r="B1938" s="2">
        <f t="shared" si="150"/>
        <v>-188.35206382240722</v>
      </c>
      <c r="C1938" s="2">
        <f t="shared" si="151"/>
        <v>35476.499946160162</v>
      </c>
      <c r="D1938" s="2">
        <v>15957</v>
      </c>
      <c r="E1938" s="2">
        <f t="shared" si="152"/>
        <v>1.5956999999999999</v>
      </c>
      <c r="F1938" s="2">
        <f t="shared" si="153"/>
        <v>-1.7841559833506726</v>
      </c>
      <c r="G1938" s="2">
        <f t="shared" si="154"/>
        <v>3.1832125729260055</v>
      </c>
    </row>
    <row r="1939" spans="1:7" x14ac:dyDescent="0.35">
      <c r="A1939" s="2">
        <v>1150</v>
      </c>
      <c r="B1939" s="2">
        <f t="shared" si="150"/>
        <v>-188.35206382240722</v>
      </c>
      <c r="C1939" s="2">
        <f t="shared" si="151"/>
        <v>35476.499946160162</v>
      </c>
      <c r="D1939" s="2">
        <v>16023</v>
      </c>
      <c r="E1939" s="2">
        <f t="shared" si="152"/>
        <v>1.6023000000000001</v>
      </c>
      <c r="F1939" s="2">
        <f t="shared" si="153"/>
        <v>-1.7775559833506724</v>
      </c>
      <c r="G1939" s="2">
        <f t="shared" si="154"/>
        <v>3.159705273945776</v>
      </c>
    </row>
    <row r="1940" spans="1:7" x14ac:dyDescent="0.35">
      <c r="A1940" s="2">
        <v>1150</v>
      </c>
      <c r="B1940" s="2">
        <f t="shared" si="150"/>
        <v>-188.35206382240722</v>
      </c>
      <c r="C1940" s="2">
        <f t="shared" si="151"/>
        <v>35476.499946160162</v>
      </c>
      <c r="D1940" s="2">
        <v>14957</v>
      </c>
      <c r="E1940" s="2">
        <f t="shared" si="152"/>
        <v>1.4957</v>
      </c>
      <c r="F1940" s="2">
        <f t="shared" si="153"/>
        <v>-1.8841559833506725</v>
      </c>
      <c r="G1940" s="2">
        <f t="shared" si="154"/>
        <v>3.5500437695961398</v>
      </c>
    </row>
    <row r="1941" spans="1:7" x14ac:dyDescent="0.35">
      <c r="A1941" s="2">
        <v>1150</v>
      </c>
      <c r="B1941" s="2">
        <f t="shared" si="150"/>
        <v>-188.35206382240722</v>
      </c>
      <c r="C1941" s="2">
        <f t="shared" si="151"/>
        <v>35476.499946160162</v>
      </c>
      <c r="D1941" s="2">
        <v>14998</v>
      </c>
      <c r="E1941" s="2">
        <f t="shared" si="152"/>
        <v>1.4998</v>
      </c>
      <c r="F1941" s="2">
        <f t="shared" si="153"/>
        <v>-1.8800559833506725</v>
      </c>
      <c r="G1941" s="2">
        <f t="shared" si="154"/>
        <v>3.534610500532664</v>
      </c>
    </row>
    <row r="1942" spans="1:7" x14ac:dyDescent="0.35">
      <c r="A1942" s="2">
        <v>1150</v>
      </c>
      <c r="B1942" s="2">
        <f t="shared" si="150"/>
        <v>-188.35206382240722</v>
      </c>
      <c r="C1942" s="2">
        <f t="shared" si="151"/>
        <v>35476.499946160162</v>
      </c>
      <c r="D1942" s="2">
        <v>13000</v>
      </c>
      <c r="E1942" s="2">
        <f t="shared" si="152"/>
        <v>1.3</v>
      </c>
      <c r="F1942" s="2">
        <f t="shared" si="153"/>
        <v>-2.0798559833506722</v>
      </c>
      <c r="G1942" s="2">
        <f t="shared" si="154"/>
        <v>4.3258009114795914</v>
      </c>
    </row>
    <row r="1943" spans="1:7" x14ac:dyDescent="0.35">
      <c r="A1943" s="2">
        <v>1150</v>
      </c>
      <c r="B1943" s="2">
        <f t="shared" si="150"/>
        <v>-188.35206382240722</v>
      </c>
      <c r="C1943" s="2">
        <f t="shared" si="151"/>
        <v>35476.499946160162</v>
      </c>
      <c r="D1943" s="2">
        <v>13400</v>
      </c>
      <c r="E1943" s="2">
        <f t="shared" si="152"/>
        <v>1.34</v>
      </c>
      <c r="F1943" s="2">
        <f t="shared" si="153"/>
        <v>-2.0398559833506722</v>
      </c>
      <c r="G1943" s="2">
        <f t="shared" si="154"/>
        <v>4.1610124328115381</v>
      </c>
    </row>
    <row r="1944" spans="1:7" x14ac:dyDescent="0.35">
      <c r="A1944" s="2">
        <v>1150</v>
      </c>
      <c r="B1944" s="2">
        <f t="shared" si="150"/>
        <v>-188.35206382240722</v>
      </c>
      <c r="C1944" s="2">
        <f t="shared" si="151"/>
        <v>35476.499946160162</v>
      </c>
      <c r="D1944" s="2">
        <v>14199</v>
      </c>
      <c r="E1944" s="2">
        <f t="shared" si="152"/>
        <v>1.4198999999999999</v>
      </c>
      <c r="F1944" s="2">
        <f t="shared" si="153"/>
        <v>-1.9599559833506726</v>
      </c>
      <c r="G1944" s="2">
        <f t="shared" si="154"/>
        <v>3.8414274566721018</v>
      </c>
    </row>
    <row r="1945" spans="1:7" x14ac:dyDescent="0.35">
      <c r="A1945" s="2">
        <v>1150</v>
      </c>
      <c r="B1945" s="2">
        <f t="shared" si="150"/>
        <v>-188.35206382240722</v>
      </c>
      <c r="C1945" s="2">
        <f t="shared" si="151"/>
        <v>35476.499946160162</v>
      </c>
      <c r="D1945" s="2">
        <v>14302</v>
      </c>
      <c r="E1945" s="2">
        <f t="shared" si="152"/>
        <v>1.4301999999999999</v>
      </c>
      <c r="F1945" s="2">
        <f t="shared" si="153"/>
        <v>-1.9496559833506726</v>
      </c>
      <c r="G1945" s="2">
        <f t="shared" si="154"/>
        <v>3.801158453415078</v>
      </c>
    </row>
    <row r="1946" spans="1:7" x14ac:dyDescent="0.35">
      <c r="A1946" s="2">
        <v>1150</v>
      </c>
      <c r="B1946" s="2">
        <f t="shared" si="150"/>
        <v>-188.35206382240722</v>
      </c>
      <c r="C1946" s="2">
        <f t="shared" si="151"/>
        <v>35476.499946160162</v>
      </c>
      <c r="D1946" s="2">
        <v>14833</v>
      </c>
      <c r="E1946" s="2">
        <f t="shared" si="152"/>
        <v>1.4833000000000001</v>
      </c>
      <c r="F1946" s="2">
        <f t="shared" si="153"/>
        <v>-1.8965559833506724</v>
      </c>
      <c r="G1946" s="2">
        <f t="shared" si="154"/>
        <v>3.5969245979832363</v>
      </c>
    </row>
    <row r="1947" spans="1:7" x14ac:dyDescent="0.35">
      <c r="A1947" s="2">
        <v>1150</v>
      </c>
      <c r="B1947" s="2">
        <f t="shared" si="150"/>
        <v>-188.35206382240722</v>
      </c>
      <c r="C1947" s="2">
        <f t="shared" si="151"/>
        <v>35476.499946160162</v>
      </c>
      <c r="D1947" s="2">
        <v>12999</v>
      </c>
      <c r="E1947" s="2">
        <f t="shared" si="152"/>
        <v>1.2999000000000001</v>
      </c>
      <c r="F1947" s="2">
        <f t="shared" si="153"/>
        <v>-2.0799559833506724</v>
      </c>
      <c r="G1947" s="2">
        <f t="shared" si="154"/>
        <v>4.3262168926762632</v>
      </c>
    </row>
    <row r="1948" spans="1:7" x14ac:dyDescent="0.35">
      <c r="A1948" s="2">
        <v>1150</v>
      </c>
      <c r="B1948" s="2">
        <f t="shared" si="150"/>
        <v>-188.35206382240722</v>
      </c>
      <c r="C1948" s="2">
        <f t="shared" si="151"/>
        <v>35476.499946160162</v>
      </c>
      <c r="D1948" s="2">
        <v>17544</v>
      </c>
      <c r="E1948" s="2">
        <f t="shared" si="152"/>
        <v>1.7544</v>
      </c>
      <c r="F1948" s="2">
        <f t="shared" si="153"/>
        <v>-1.6254559833506725</v>
      </c>
      <c r="G1948" s="2">
        <f t="shared" si="154"/>
        <v>2.6421071538105019</v>
      </c>
    </row>
    <row r="1949" spans="1:7" x14ac:dyDescent="0.35">
      <c r="A1949" s="2">
        <v>1150</v>
      </c>
      <c r="B1949" s="2">
        <f t="shared" si="150"/>
        <v>-188.35206382240722</v>
      </c>
      <c r="C1949" s="2">
        <f t="shared" si="151"/>
        <v>35476.499946160162</v>
      </c>
      <c r="D1949" s="2">
        <v>19306</v>
      </c>
      <c r="E1949" s="2">
        <f t="shared" si="152"/>
        <v>1.9306000000000001</v>
      </c>
      <c r="F1949" s="2">
        <f t="shared" si="153"/>
        <v>-1.4492559833506724</v>
      </c>
      <c r="G1949" s="2">
        <f t="shared" si="154"/>
        <v>2.1003429052777243</v>
      </c>
    </row>
    <row r="1950" spans="1:7" x14ac:dyDescent="0.35">
      <c r="A1950" s="2">
        <v>1150</v>
      </c>
      <c r="B1950" s="2">
        <f t="shared" si="150"/>
        <v>-188.35206382240722</v>
      </c>
      <c r="C1950" s="2">
        <f t="shared" si="151"/>
        <v>35476.499946160162</v>
      </c>
      <c r="D1950" s="2">
        <v>18386</v>
      </c>
      <c r="E1950" s="2">
        <f t="shared" si="152"/>
        <v>1.8386</v>
      </c>
      <c r="F1950" s="2">
        <f t="shared" si="153"/>
        <v>-1.5412559833506725</v>
      </c>
      <c r="G1950" s="2">
        <f t="shared" si="154"/>
        <v>2.3754700062142486</v>
      </c>
    </row>
    <row r="1951" spans="1:7" x14ac:dyDescent="0.35">
      <c r="A1951" s="2">
        <v>1150</v>
      </c>
      <c r="B1951" s="2">
        <f t="shared" si="150"/>
        <v>-188.35206382240722</v>
      </c>
      <c r="C1951" s="2">
        <f t="shared" si="151"/>
        <v>35476.499946160162</v>
      </c>
      <c r="D1951" s="2">
        <v>20325</v>
      </c>
      <c r="E1951" s="2">
        <f t="shared" si="152"/>
        <v>2.0325000000000002</v>
      </c>
      <c r="F1951" s="2">
        <f t="shared" si="153"/>
        <v>-1.3473559833506723</v>
      </c>
      <c r="G1951" s="2">
        <f t="shared" si="154"/>
        <v>1.815368145870857</v>
      </c>
    </row>
    <row r="1952" spans="1:7" x14ac:dyDescent="0.35">
      <c r="A1952" s="2">
        <v>1150</v>
      </c>
      <c r="B1952" s="2">
        <f t="shared" si="150"/>
        <v>-188.35206382240722</v>
      </c>
      <c r="C1952" s="2">
        <f t="shared" si="151"/>
        <v>35476.499946160162</v>
      </c>
      <c r="D1952" s="2">
        <v>18971</v>
      </c>
      <c r="E1952" s="2">
        <f t="shared" si="152"/>
        <v>1.8971</v>
      </c>
      <c r="F1952" s="2">
        <f t="shared" si="153"/>
        <v>-1.4827559833506725</v>
      </c>
      <c r="G1952" s="2">
        <f t="shared" si="154"/>
        <v>2.1985653061622199</v>
      </c>
    </row>
    <row r="1953" spans="1:7" x14ac:dyDescent="0.35">
      <c r="A1953" s="2">
        <v>1150</v>
      </c>
      <c r="B1953" s="2">
        <f t="shared" si="150"/>
        <v>-188.35206382240722</v>
      </c>
      <c r="C1953" s="2">
        <f t="shared" si="151"/>
        <v>35476.499946160162</v>
      </c>
      <c r="D1953" s="2">
        <v>16454</v>
      </c>
      <c r="E1953" s="2">
        <f t="shared" si="152"/>
        <v>1.6454</v>
      </c>
      <c r="F1953" s="2">
        <f t="shared" si="153"/>
        <v>-1.7344559833506725</v>
      </c>
      <c r="G1953" s="2">
        <f t="shared" si="154"/>
        <v>3.0083375581809486</v>
      </c>
    </row>
    <row r="1954" spans="1:7" x14ac:dyDescent="0.35">
      <c r="A1954" s="2">
        <v>1150</v>
      </c>
      <c r="B1954" s="2">
        <f t="shared" si="150"/>
        <v>-188.35206382240722</v>
      </c>
      <c r="C1954" s="2">
        <f t="shared" si="151"/>
        <v>35476.499946160162</v>
      </c>
      <c r="D1954" s="2">
        <v>19478</v>
      </c>
      <c r="E1954" s="2">
        <f t="shared" si="152"/>
        <v>1.9478</v>
      </c>
      <c r="F1954" s="2">
        <f t="shared" si="153"/>
        <v>-1.4320559833506725</v>
      </c>
      <c r="G1954" s="2">
        <f t="shared" si="154"/>
        <v>2.0507843394504617</v>
      </c>
    </row>
    <row r="1955" spans="1:7" x14ac:dyDescent="0.35">
      <c r="A1955" s="2">
        <v>1150</v>
      </c>
      <c r="B1955" s="2">
        <f t="shared" si="150"/>
        <v>-188.35206382240722</v>
      </c>
      <c r="C1955" s="2">
        <f t="shared" si="151"/>
        <v>35476.499946160162</v>
      </c>
      <c r="D1955" s="2">
        <v>20042</v>
      </c>
      <c r="E1955" s="2">
        <f t="shared" si="152"/>
        <v>2.0042</v>
      </c>
      <c r="F1955" s="2">
        <f t="shared" si="153"/>
        <v>-1.3756559833506725</v>
      </c>
      <c r="G1955" s="2">
        <f t="shared" si="154"/>
        <v>1.8924293845285058</v>
      </c>
    </row>
    <row r="1956" spans="1:7" x14ac:dyDescent="0.35">
      <c r="A1956" s="2">
        <v>1150</v>
      </c>
      <c r="B1956" s="2">
        <f t="shared" si="150"/>
        <v>-188.35206382240722</v>
      </c>
      <c r="C1956" s="2">
        <f t="shared" si="151"/>
        <v>35476.499946160162</v>
      </c>
      <c r="D1956" s="2">
        <v>20265</v>
      </c>
      <c r="E1956" s="2">
        <f t="shared" si="152"/>
        <v>2.0265</v>
      </c>
      <c r="F1956" s="2">
        <f t="shared" si="153"/>
        <v>-1.3533559833506725</v>
      </c>
      <c r="G1956" s="2">
        <f t="shared" si="154"/>
        <v>1.8315724176710659</v>
      </c>
    </row>
    <row r="1957" spans="1:7" x14ac:dyDescent="0.35">
      <c r="A1957" s="2">
        <v>494</v>
      </c>
      <c r="B1957" s="2">
        <f t="shared" si="150"/>
        <v>-844.35206382240722</v>
      </c>
      <c r="C1957" s="2">
        <f t="shared" si="151"/>
        <v>712930.40768115839</v>
      </c>
      <c r="D1957" s="2">
        <v>23499</v>
      </c>
      <c r="E1957" s="2">
        <f t="shared" si="152"/>
        <v>2.3498999999999999</v>
      </c>
      <c r="F1957" s="2">
        <f t="shared" si="153"/>
        <v>-1.0299559833506726</v>
      </c>
      <c r="G1957" s="2">
        <f t="shared" si="154"/>
        <v>1.0608093276398509</v>
      </c>
    </row>
    <row r="1958" spans="1:7" x14ac:dyDescent="0.35">
      <c r="A1958" s="2">
        <v>494</v>
      </c>
      <c r="B1958" s="2">
        <f t="shared" si="150"/>
        <v>-844.35206382240722</v>
      </c>
      <c r="C1958" s="2">
        <f t="shared" si="151"/>
        <v>712930.40768115839</v>
      </c>
      <c r="D1958" s="2">
        <v>25320</v>
      </c>
      <c r="E1958" s="2">
        <f t="shared" si="152"/>
        <v>2.532</v>
      </c>
      <c r="F1958" s="2">
        <f t="shared" si="153"/>
        <v>-0.84785598335067247</v>
      </c>
      <c r="G1958" s="2">
        <f t="shared" si="154"/>
        <v>0.71885976850353583</v>
      </c>
    </row>
    <row r="1959" spans="1:7" x14ac:dyDescent="0.35">
      <c r="A1959" s="2">
        <v>494</v>
      </c>
      <c r="B1959" s="2">
        <f t="shared" si="150"/>
        <v>-844.35206382240722</v>
      </c>
      <c r="C1959" s="2">
        <f t="shared" si="151"/>
        <v>712930.40768115839</v>
      </c>
      <c r="D1959" s="2">
        <v>24765</v>
      </c>
      <c r="E1959" s="2">
        <f t="shared" si="152"/>
        <v>2.4765000000000001</v>
      </c>
      <c r="F1959" s="2">
        <f t="shared" si="153"/>
        <v>-0.90335598335067235</v>
      </c>
      <c r="G1959" s="2">
        <f t="shared" si="154"/>
        <v>0.81605203265546022</v>
      </c>
    </row>
    <row r="1960" spans="1:7" x14ac:dyDescent="0.35">
      <c r="A1960" s="2">
        <v>494</v>
      </c>
      <c r="B1960" s="2">
        <f t="shared" si="150"/>
        <v>-844.35206382240722</v>
      </c>
      <c r="C1960" s="2">
        <f t="shared" si="151"/>
        <v>712930.40768115839</v>
      </c>
      <c r="D1960" s="2">
        <v>22925</v>
      </c>
      <c r="E1960" s="2">
        <f t="shared" si="152"/>
        <v>2.2925</v>
      </c>
      <c r="F1960" s="2">
        <f t="shared" si="153"/>
        <v>-1.0873559833506725</v>
      </c>
      <c r="G1960" s="2">
        <f t="shared" si="154"/>
        <v>1.182343034528508</v>
      </c>
    </row>
    <row r="1961" spans="1:7" x14ac:dyDescent="0.35">
      <c r="A1961" s="2">
        <v>494</v>
      </c>
      <c r="B1961" s="2">
        <f t="shared" si="150"/>
        <v>-844.35206382240722</v>
      </c>
      <c r="C1961" s="2">
        <f t="shared" si="151"/>
        <v>712930.40768115839</v>
      </c>
      <c r="D1961" s="2">
        <v>23151</v>
      </c>
      <c r="E1961" s="2">
        <f t="shared" si="152"/>
        <v>2.3151000000000002</v>
      </c>
      <c r="F1961" s="2">
        <f t="shared" si="153"/>
        <v>-1.0647559833506723</v>
      </c>
      <c r="G1961" s="2">
        <f t="shared" si="154"/>
        <v>1.1337053040810572</v>
      </c>
    </row>
    <row r="1962" spans="1:7" x14ac:dyDescent="0.35">
      <c r="A1962" s="2">
        <v>494</v>
      </c>
      <c r="B1962" s="2">
        <f t="shared" si="150"/>
        <v>-844.35206382240722</v>
      </c>
      <c r="C1962" s="2">
        <f t="shared" si="151"/>
        <v>712930.40768115839</v>
      </c>
      <c r="D1962" s="2">
        <v>23199</v>
      </c>
      <c r="E1962" s="2">
        <f t="shared" si="152"/>
        <v>2.3199000000000001</v>
      </c>
      <c r="F1962" s="2">
        <f t="shared" si="153"/>
        <v>-1.0599559833506724</v>
      </c>
      <c r="G1962" s="2">
        <f t="shared" si="154"/>
        <v>1.1235066866408909</v>
      </c>
    </row>
    <row r="1963" spans="1:7" x14ac:dyDescent="0.35">
      <c r="A1963" s="2">
        <v>494</v>
      </c>
      <c r="B1963" s="2">
        <f t="shared" si="150"/>
        <v>-844.35206382240722</v>
      </c>
      <c r="C1963" s="2">
        <f t="shared" si="151"/>
        <v>712930.40768115839</v>
      </c>
      <c r="D1963" s="2">
        <v>23686</v>
      </c>
      <c r="E1963" s="2">
        <f t="shared" si="152"/>
        <v>2.3685999999999998</v>
      </c>
      <c r="F1963" s="2">
        <f t="shared" si="153"/>
        <v>-1.0112559833506727</v>
      </c>
      <c r="G1963" s="2">
        <f t="shared" si="154"/>
        <v>1.022638663862536</v>
      </c>
    </row>
    <row r="1964" spans="1:7" x14ac:dyDescent="0.35">
      <c r="A1964" s="2">
        <v>494</v>
      </c>
      <c r="B1964" s="2">
        <f t="shared" si="150"/>
        <v>-844.35206382240722</v>
      </c>
      <c r="C1964" s="2">
        <f t="shared" si="151"/>
        <v>712930.40768115839</v>
      </c>
      <c r="D1964" s="2">
        <v>27397</v>
      </c>
      <c r="E1964" s="2">
        <f t="shared" si="152"/>
        <v>2.7397</v>
      </c>
      <c r="F1964" s="2">
        <f t="shared" si="153"/>
        <v>-0.64015598335067248</v>
      </c>
      <c r="G1964" s="2">
        <f t="shared" si="154"/>
        <v>0.40979968301966646</v>
      </c>
    </row>
    <row r="1965" spans="1:7" x14ac:dyDescent="0.35">
      <c r="A1965" s="2">
        <v>494</v>
      </c>
      <c r="B1965" s="2">
        <f t="shared" si="150"/>
        <v>-844.35206382240722</v>
      </c>
      <c r="C1965" s="2">
        <f t="shared" si="151"/>
        <v>712930.40768115839</v>
      </c>
      <c r="D1965" s="2">
        <v>24333</v>
      </c>
      <c r="E1965" s="2">
        <f t="shared" si="152"/>
        <v>2.4333</v>
      </c>
      <c r="F1965" s="2">
        <f t="shared" si="153"/>
        <v>-0.94655598335067248</v>
      </c>
      <c r="G1965" s="2">
        <f t="shared" si="154"/>
        <v>0.89596822961695854</v>
      </c>
    </row>
    <row r="1966" spans="1:7" x14ac:dyDescent="0.35">
      <c r="A1966" s="2">
        <v>494</v>
      </c>
      <c r="B1966" s="2">
        <f t="shared" si="150"/>
        <v>-844.35206382240722</v>
      </c>
      <c r="C1966" s="2">
        <f t="shared" si="151"/>
        <v>712930.40768115839</v>
      </c>
      <c r="D1966" s="2">
        <v>27522</v>
      </c>
      <c r="E1966" s="2">
        <f t="shared" si="152"/>
        <v>2.7522000000000002</v>
      </c>
      <c r="F1966" s="2">
        <f t="shared" si="153"/>
        <v>-0.6276559833506723</v>
      </c>
      <c r="G1966" s="2">
        <f t="shared" si="154"/>
        <v>0.39395203343589941</v>
      </c>
    </row>
    <row r="1967" spans="1:7" x14ac:dyDescent="0.35">
      <c r="A1967" s="2">
        <v>494</v>
      </c>
      <c r="B1967" s="2">
        <f t="shared" si="150"/>
        <v>-844.35206382240722</v>
      </c>
      <c r="C1967" s="2">
        <f t="shared" si="151"/>
        <v>712930.40768115839</v>
      </c>
      <c r="D1967" s="2">
        <v>28685</v>
      </c>
      <c r="E1967" s="2">
        <f t="shared" si="152"/>
        <v>2.8685</v>
      </c>
      <c r="F1967" s="2">
        <f t="shared" si="153"/>
        <v>-0.51135598335067245</v>
      </c>
      <c r="G1967" s="2">
        <f t="shared" si="154"/>
        <v>0.2614849417085332</v>
      </c>
    </row>
    <row r="1968" spans="1:7" x14ac:dyDescent="0.35">
      <c r="A1968" s="2">
        <v>494</v>
      </c>
      <c r="B1968" s="2">
        <f t="shared" si="150"/>
        <v>-844.35206382240722</v>
      </c>
      <c r="C1968" s="2">
        <f t="shared" si="151"/>
        <v>712930.40768115839</v>
      </c>
      <c r="D1968" s="2">
        <v>28048</v>
      </c>
      <c r="E1968" s="2">
        <f t="shared" si="152"/>
        <v>2.8048000000000002</v>
      </c>
      <c r="F1968" s="2">
        <f t="shared" si="153"/>
        <v>-0.57505598335067232</v>
      </c>
      <c r="G1968" s="2">
        <f t="shared" si="154"/>
        <v>0.33068938398740871</v>
      </c>
    </row>
    <row r="1969" spans="1:7" x14ac:dyDescent="0.35">
      <c r="A1969" s="2">
        <v>494</v>
      </c>
      <c r="B1969" s="2">
        <f t="shared" si="150"/>
        <v>-844.35206382240722</v>
      </c>
      <c r="C1969" s="2">
        <f t="shared" si="151"/>
        <v>712930.40768115839</v>
      </c>
      <c r="D1969" s="2">
        <v>28930</v>
      </c>
      <c r="E1969" s="2">
        <f t="shared" si="152"/>
        <v>2.8929999999999998</v>
      </c>
      <c r="F1969" s="2">
        <f t="shared" si="153"/>
        <v>-0.48685598335067271</v>
      </c>
      <c r="G1969" s="2">
        <f t="shared" si="154"/>
        <v>0.23702874852435049</v>
      </c>
    </row>
    <row r="1970" spans="1:7" x14ac:dyDescent="0.35">
      <c r="A1970" s="2">
        <v>494</v>
      </c>
      <c r="B1970" s="2">
        <f t="shared" si="150"/>
        <v>-844.35206382240722</v>
      </c>
      <c r="C1970" s="2">
        <f t="shared" si="151"/>
        <v>712930.40768115839</v>
      </c>
      <c r="D1970" s="2">
        <v>30744</v>
      </c>
      <c r="E1970" s="2">
        <f t="shared" si="152"/>
        <v>3.0743999999999998</v>
      </c>
      <c r="F1970" s="2">
        <f t="shared" si="153"/>
        <v>-0.3054559833506727</v>
      </c>
      <c r="G1970" s="2">
        <f t="shared" si="154"/>
        <v>9.3303357764726438E-2</v>
      </c>
    </row>
    <row r="1971" spans="1:7" x14ac:dyDescent="0.35">
      <c r="A1971" s="2">
        <v>494</v>
      </c>
      <c r="B1971" s="2">
        <f t="shared" si="150"/>
        <v>-844.35206382240722</v>
      </c>
      <c r="C1971" s="2">
        <f t="shared" si="151"/>
        <v>712930.40768115839</v>
      </c>
      <c r="D1971" s="2">
        <v>30312</v>
      </c>
      <c r="E1971" s="2">
        <f t="shared" si="152"/>
        <v>3.0312000000000001</v>
      </c>
      <c r="F1971" s="2">
        <f t="shared" si="153"/>
        <v>-0.34865598335067238</v>
      </c>
      <c r="G1971" s="2">
        <f t="shared" si="154"/>
        <v>0.12156099472622434</v>
      </c>
    </row>
    <row r="1972" spans="1:7" x14ac:dyDescent="0.35">
      <c r="A1972" s="2">
        <v>494</v>
      </c>
      <c r="B1972" s="2">
        <f t="shared" si="150"/>
        <v>-844.35206382240722</v>
      </c>
      <c r="C1972" s="2">
        <f t="shared" si="151"/>
        <v>712930.40768115839</v>
      </c>
      <c r="D1972" s="2">
        <v>27542</v>
      </c>
      <c r="E1972" s="2">
        <f t="shared" si="152"/>
        <v>2.7542</v>
      </c>
      <c r="F1972" s="2">
        <f t="shared" si="153"/>
        <v>-0.62565598335067252</v>
      </c>
      <c r="G1972" s="2">
        <f t="shared" si="154"/>
        <v>0.39144540950249701</v>
      </c>
    </row>
    <row r="1973" spans="1:7" x14ac:dyDescent="0.35">
      <c r="A1973" s="2">
        <v>494</v>
      </c>
      <c r="B1973" s="2">
        <f t="shared" si="150"/>
        <v>-844.35206382240722</v>
      </c>
      <c r="C1973" s="2">
        <f t="shared" si="151"/>
        <v>712930.40768115839</v>
      </c>
      <c r="D1973" s="2">
        <v>30192</v>
      </c>
      <c r="E1973" s="2">
        <f t="shared" si="152"/>
        <v>3.0192000000000001</v>
      </c>
      <c r="F1973" s="2">
        <f t="shared" si="153"/>
        <v>-0.36065598335067239</v>
      </c>
      <c r="G1973" s="2">
        <f t="shared" si="154"/>
        <v>0.13007273832664049</v>
      </c>
    </row>
    <row r="1974" spans="1:7" x14ac:dyDescent="0.35">
      <c r="A1974" s="2">
        <v>494</v>
      </c>
      <c r="B1974" s="2">
        <f t="shared" si="150"/>
        <v>-844.35206382240722</v>
      </c>
      <c r="C1974" s="2">
        <f t="shared" si="151"/>
        <v>712930.40768115839</v>
      </c>
      <c r="D1974" s="2">
        <v>29914</v>
      </c>
      <c r="E1974" s="2">
        <f t="shared" si="152"/>
        <v>2.9914000000000001</v>
      </c>
      <c r="F1974" s="2">
        <f t="shared" si="153"/>
        <v>-0.38845598335067244</v>
      </c>
      <c r="G1974" s="2">
        <f t="shared" si="154"/>
        <v>0.15089805100093789</v>
      </c>
    </row>
    <row r="1975" spans="1:7" x14ac:dyDescent="0.35">
      <c r="A1975" s="2">
        <v>494</v>
      </c>
      <c r="B1975" s="2">
        <f t="shared" si="150"/>
        <v>-844.35206382240722</v>
      </c>
      <c r="C1975" s="2">
        <f t="shared" si="151"/>
        <v>712930.40768115839</v>
      </c>
      <c r="D1975" s="2">
        <v>31742</v>
      </c>
      <c r="E1975" s="2">
        <f t="shared" si="152"/>
        <v>3.1741999999999999</v>
      </c>
      <c r="F1975" s="2">
        <f t="shared" si="153"/>
        <v>-0.20565598335067259</v>
      </c>
      <c r="G1975" s="2">
        <f t="shared" si="154"/>
        <v>4.2294383487932123E-2</v>
      </c>
    </row>
    <row r="1976" spans="1:7" x14ac:dyDescent="0.35">
      <c r="A1976" s="2">
        <v>494</v>
      </c>
      <c r="B1976" s="2">
        <f t="shared" si="150"/>
        <v>-844.35206382240722</v>
      </c>
      <c r="C1976" s="2">
        <f t="shared" si="151"/>
        <v>712930.40768115839</v>
      </c>
      <c r="D1976" s="2">
        <v>31604</v>
      </c>
      <c r="E1976" s="2">
        <f t="shared" si="152"/>
        <v>3.1604000000000001</v>
      </c>
      <c r="F1976" s="2">
        <f t="shared" si="153"/>
        <v>-0.2194559833506724</v>
      </c>
      <c r="G1976" s="2">
        <f t="shared" si="154"/>
        <v>4.81609286284106E-2</v>
      </c>
    </row>
    <row r="1977" spans="1:7" x14ac:dyDescent="0.35">
      <c r="A1977" s="2">
        <v>494</v>
      </c>
      <c r="B1977" s="2">
        <f t="shared" si="150"/>
        <v>-844.35206382240722</v>
      </c>
      <c r="C1977" s="2">
        <f t="shared" si="151"/>
        <v>712930.40768115839</v>
      </c>
      <c r="D1977" s="2">
        <v>33176</v>
      </c>
      <c r="E1977" s="2">
        <f t="shared" si="152"/>
        <v>3.3176000000000001</v>
      </c>
      <c r="F1977" s="2">
        <f t="shared" si="153"/>
        <v>-6.2255983350672395E-2</v>
      </c>
      <c r="G1977" s="2">
        <f t="shared" si="154"/>
        <v>3.8758074629591985E-3</v>
      </c>
    </row>
    <row r="1978" spans="1:7" x14ac:dyDescent="0.35">
      <c r="A1978" s="2">
        <v>494</v>
      </c>
      <c r="B1978" s="2">
        <f t="shared" si="150"/>
        <v>-844.35206382240722</v>
      </c>
      <c r="C1978" s="2">
        <f t="shared" si="151"/>
        <v>712930.40768115839</v>
      </c>
      <c r="D1978" s="2">
        <v>35199</v>
      </c>
      <c r="E1978" s="2">
        <f t="shared" si="152"/>
        <v>3.5198999999999998</v>
      </c>
      <c r="F1978" s="2">
        <f t="shared" si="153"/>
        <v>0.14004401664932731</v>
      </c>
      <c r="G1978" s="2">
        <f t="shared" si="154"/>
        <v>1.9612326599277065E-2</v>
      </c>
    </row>
    <row r="1979" spans="1:7" x14ac:dyDescent="0.35">
      <c r="A1979" s="2">
        <v>494</v>
      </c>
      <c r="B1979" s="2">
        <f t="shared" si="150"/>
        <v>-844.35206382240722</v>
      </c>
      <c r="C1979" s="2">
        <f t="shared" si="151"/>
        <v>712930.40768115839</v>
      </c>
      <c r="D1979" s="2">
        <v>35809</v>
      </c>
      <c r="E1979" s="2">
        <f t="shared" si="152"/>
        <v>3.5809000000000002</v>
      </c>
      <c r="F1979" s="2">
        <f t="shared" si="153"/>
        <v>0.20104401664932769</v>
      </c>
      <c r="G1979" s="2">
        <f t="shared" si="154"/>
        <v>4.0418696630495153E-2</v>
      </c>
    </row>
    <row r="1980" spans="1:7" x14ac:dyDescent="0.35">
      <c r="A1980" s="2">
        <v>494</v>
      </c>
      <c r="B1980" s="2">
        <f t="shared" si="150"/>
        <v>-844.35206382240722</v>
      </c>
      <c r="C1980" s="2">
        <f t="shared" si="151"/>
        <v>712930.40768115839</v>
      </c>
      <c r="D1980" s="2">
        <v>30588</v>
      </c>
      <c r="E1980" s="2">
        <f t="shared" si="152"/>
        <v>3.0588000000000002</v>
      </c>
      <c r="F1980" s="2">
        <f t="shared" si="153"/>
        <v>-0.32105598335067231</v>
      </c>
      <c r="G1980" s="2">
        <f t="shared" si="154"/>
        <v>0.10307694444526717</v>
      </c>
    </row>
    <row r="1981" spans="1:7" x14ac:dyDescent="0.35">
      <c r="A1981" s="2">
        <v>494</v>
      </c>
      <c r="B1981" s="2">
        <f t="shared" si="150"/>
        <v>-844.35206382240722</v>
      </c>
      <c r="C1981" s="2">
        <f t="shared" si="151"/>
        <v>712930.40768115839</v>
      </c>
      <c r="D1981" s="2">
        <v>35939</v>
      </c>
      <c r="E1981" s="2">
        <f t="shared" si="152"/>
        <v>3.5939000000000001</v>
      </c>
      <c r="F1981" s="2">
        <f t="shared" si="153"/>
        <v>0.2140440166493276</v>
      </c>
      <c r="G1981" s="2">
        <f t="shared" si="154"/>
        <v>4.5814841063377632E-2</v>
      </c>
    </row>
    <row r="1982" spans="1:7" x14ac:dyDescent="0.35">
      <c r="A1982" s="2">
        <v>494</v>
      </c>
      <c r="B1982" s="2">
        <f t="shared" si="150"/>
        <v>-844.35206382240722</v>
      </c>
      <c r="C1982" s="2">
        <f t="shared" si="151"/>
        <v>712930.40768115839</v>
      </c>
      <c r="D1982" s="2">
        <v>35966</v>
      </c>
      <c r="E1982" s="2">
        <f t="shared" si="152"/>
        <v>3.5966</v>
      </c>
      <c r="F1982" s="2">
        <f t="shared" si="153"/>
        <v>0.21674401664932752</v>
      </c>
      <c r="G1982" s="2">
        <f t="shared" si="154"/>
        <v>4.6977968753283965E-2</v>
      </c>
    </row>
    <row r="1983" spans="1:7" x14ac:dyDescent="0.35">
      <c r="A1983" s="2">
        <v>494</v>
      </c>
      <c r="B1983" s="2">
        <f t="shared" si="150"/>
        <v>-844.35206382240722</v>
      </c>
      <c r="C1983" s="2">
        <f t="shared" si="151"/>
        <v>712930.40768115839</v>
      </c>
      <c r="D1983" s="2">
        <v>37528</v>
      </c>
      <c r="E1983" s="2">
        <f t="shared" si="152"/>
        <v>3.7528000000000001</v>
      </c>
      <c r="F1983" s="2">
        <f t="shared" si="153"/>
        <v>0.37294401664932764</v>
      </c>
      <c r="G1983" s="2">
        <f t="shared" si="154"/>
        <v>0.13908723955453398</v>
      </c>
    </row>
    <row r="1984" spans="1:7" x14ac:dyDescent="0.35">
      <c r="A1984" s="2">
        <v>494</v>
      </c>
      <c r="B1984" s="2">
        <f t="shared" si="150"/>
        <v>-844.35206382240722</v>
      </c>
      <c r="C1984" s="2">
        <f t="shared" si="151"/>
        <v>712930.40768115839</v>
      </c>
      <c r="D1984" s="2">
        <v>36339</v>
      </c>
      <c r="E1984" s="2">
        <f t="shared" si="152"/>
        <v>3.6339000000000001</v>
      </c>
      <c r="F1984" s="2">
        <f t="shared" si="153"/>
        <v>0.25404401664932763</v>
      </c>
      <c r="G1984" s="2">
        <f t="shared" si="154"/>
        <v>6.4538362395323859E-2</v>
      </c>
    </row>
    <row r="1985" spans="1:7" x14ac:dyDescent="0.35">
      <c r="A1985" s="2">
        <v>494</v>
      </c>
      <c r="B1985" s="2">
        <f t="shared" si="150"/>
        <v>-844.35206382240722</v>
      </c>
      <c r="C1985" s="2">
        <f t="shared" si="151"/>
        <v>712930.40768115839</v>
      </c>
      <c r="D1985" s="2">
        <v>37240</v>
      </c>
      <c r="E1985" s="2">
        <f t="shared" si="152"/>
        <v>3.7240000000000002</v>
      </c>
      <c r="F1985" s="2">
        <f t="shared" si="153"/>
        <v>0.3441440166493277</v>
      </c>
      <c r="G1985" s="2">
        <f t="shared" si="154"/>
        <v>0.11843510419553274</v>
      </c>
    </row>
    <row r="1986" spans="1:7" x14ac:dyDescent="0.35">
      <c r="A1986" s="2">
        <v>494</v>
      </c>
      <c r="B1986" s="2">
        <f t="shared" si="150"/>
        <v>-844.35206382240722</v>
      </c>
      <c r="C1986" s="2">
        <f t="shared" si="151"/>
        <v>712930.40768115839</v>
      </c>
      <c r="D1986" s="2">
        <v>37649</v>
      </c>
      <c r="E1986" s="2">
        <f t="shared" si="152"/>
        <v>3.7648999999999999</v>
      </c>
      <c r="F1986" s="2">
        <f t="shared" si="153"/>
        <v>0.38504401664932741</v>
      </c>
      <c r="G1986" s="2">
        <f t="shared" si="154"/>
        <v>0.14825889475744752</v>
      </c>
    </row>
    <row r="1987" spans="1:7" x14ac:dyDescent="0.35">
      <c r="A1987" s="2">
        <v>2928</v>
      </c>
      <c r="B1987" s="2">
        <f t="shared" ref="B1987:B2050" si="155">A1987-$J$1</f>
        <v>1589.6479361775928</v>
      </c>
      <c r="C1987" s="2">
        <f t="shared" ref="C1987:C2050" si="156">B1987^2</f>
        <v>2526980.5609936803</v>
      </c>
      <c r="D1987" s="2">
        <v>20648</v>
      </c>
      <c r="E1987" s="2">
        <f t="shared" ref="E1987:E2050" si="157">D1987/10000</f>
        <v>2.0648</v>
      </c>
      <c r="F1987" s="2">
        <f t="shared" ref="F1987:F2050" si="158">E1987-$J$2</f>
        <v>-1.3150559833506725</v>
      </c>
      <c r="G1987" s="2">
        <f t="shared" ref="G1987:G2050" si="159">F1987^2</f>
        <v>1.7293722393464044</v>
      </c>
    </row>
    <row r="1988" spans="1:7" x14ac:dyDescent="0.35">
      <c r="A1988" s="2">
        <v>2928</v>
      </c>
      <c r="B1988" s="2">
        <f t="shared" si="155"/>
        <v>1589.6479361775928</v>
      </c>
      <c r="C1988" s="2">
        <f t="shared" si="156"/>
        <v>2526980.5609936803</v>
      </c>
      <c r="D1988" s="2">
        <v>20925</v>
      </c>
      <c r="E1988" s="2">
        <f t="shared" si="157"/>
        <v>2.0924999999999998</v>
      </c>
      <c r="F1988" s="2">
        <f t="shared" si="158"/>
        <v>-1.2873559833506727</v>
      </c>
      <c r="G1988" s="2">
        <f t="shared" si="159"/>
        <v>1.6572854278687774</v>
      </c>
    </row>
    <row r="1989" spans="1:7" x14ac:dyDescent="0.35">
      <c r="A1989" s="2">
        <v>2928</v>
      </c>
      <c r="B1989" s="2">
        <f t="shared" si="155"/>
        <v>1589.6479361775928</v>
      </c>
      <c r="C1989" s="2">
        <f t="shared" si="156"/>
        <v>2526980.5609936803</v>
      </c>
      <c r="D1989" s="2">
        <v>21712</v>
      </c>
      <c r="E1989" s="2">
        <f t="shared" si="157"/>
        <v>2.1711999999999998</v>
      </c>
      <c r="F1989" s="2">
        <f t="shared" si="158"/>
        <v>-1.2086559833506727</v>
      </c>
      <c r="G1989" s="2">
        <f t="shared" si="159"/>
        <v>1.4608492860893816</v>
      </c>
    </row>
    <row r="1990" spans="1:7" x14ac:dyDescent="0.35">
      <c r="A1990" s="2">
        <v>2928</v>
      </c>
      <c r="B1990" s="2">
        <f t="shared" si="155"/>
        <v>1589.6479361775928</v>
      </c>
      <c r="C1990" s="2">
        <f t="shared" si="156"/>
        <v>2526980.5609936803</v>
      </c>
      <c r="D1990" s="2">
        <v>23565</v>
      </c>
      <c r="E1990" s="2">
        <f t="shared" si="157"/>
        <v>2.3565</v>
      </c>
      <c r="F1990" s="2">
        <f t="shared" si="158"/>
        <v>-1.0233559833506725</v>
      </c>
      <c r="G1990" s="2">
        <f t="shared" si="159"/>
        <v>1.0472574686596219</v>
      </c>
    </row>
    <row r="1991" spans="1:7" x14ac:dyDescent="0.35">
      <c r="A1991" s="2">
        <v>2928</v>
      </c>
      <c r="B1991" s="2">
        <f t="shared" si="155"/>
        <v>1589.6479361775928</v>
      </c>
      <c r="C1991" s="2">
        <f t="shared" si="156"/>
        <v>2526980.5609936803</v>
      </c>
      <c r="D1991" s="2">
        <v>22600</v>
      </c>
      <c r="E1991" s="2">
        <f t="shared" si="157"/>
        <v>2.2599999999999998</v>
      </c>
      <c r="F1991" s="2">
        <f t="shared" si="158"/>
        <v>-1.1198559833506727</v>
      </c>
      <c r="G1991" s="2">
        <f t="shared" si="159"/>
        <v>1.2540774234463021</v>
      </c>
    </row>
    <row r="1992" spans="1:7" x14ac:dyDescent="0.35">
      <c r="A1992" s="2">
        <v>2928</v>
      </c>
      <c r="B1992" s="2">
        <f t="shared" si="155"/>
        <v>1589.6479361775928</v>
      </c>
      <c r="C1992" s="2">
        <f t="shared" si="156"/>
        <v>2526980.5609936803</v>
      </c>
      <c r="D1992" s="2">
        <v>20940</v>
      </c>
      <c r="E1992" s="2">
        <f t="shared" si="157"/>
        <v>2.0939999999999999</v>
      </c>
      <c r="F1992" s="2">
        <f t="shared" si="158"/>
        <v>-1.2858559833506726</v>
      </c>
      <c r="G1992" s="2">
        <f t="shared" si="159"/>
        <v>1.6534256099187252</v>
      </c>
    </row>
    <row r="1993" spans="1:7" x14ac:dyDescent="0.35">
      <c r="A1993" s="2">
        <v>2928</v>
      </c>
      <c r="B1993" s="2">
        <f t="shared" si="155"/>
        <v>1589.6479361775928</v>
      </c>
      <c r="C1993" s="2">
        <f t="shared" si="156"/>
        <v>2526980.5609936803</v>
      </c>
      <c r="D1993" s="2">
        <v>21316</v>
      </c>
      <c r="E1993" s="2">
        <f t="shared" si="157"/>
        <v>2.1316000000000002</v>
      </c>
      <c r="F1993" s="2">
        <f t="shared" si="158"/>
        <v>-1.2482559833506723</v>
      </c>
      <c r="G1993" s="2">
        <f t="shared" si="159"/>
        <v>1.5581429999707539</v>
      </c>
    </row>
    <row r="1994" spans="1:7" x14ac:dyDescent="0.35">
      <c r="A1994" s="2">
        <v>2928</v>
      </c>
      <c r="B1994" s="2">
        <f t="shared" si="155"/>
        <v>1589.6479361775928</v>
      </c>
      <c r="C1994" s="2">
        <f t="shared" si="156"/>
        <v>2526980.5609936803</v>
      </c>
      <c r="D1994" s="2">
        <v>22460</v>
      </c>
      <c r="E1994" s="2">
        <f t="shared" si="157"/>
        <v>2.246</v>
      </c>
      <c r="F1994" s="2">
        <f t="shared" si="158"/>
        <v>-1.1338559833506725</v>
      </c>
      <c r="G1994" s="2">
        <f t="shared" si="159"/>
        <v>1.2856293909801204</v>
      </c>
    </row>
    <row r="1995" spans="1:7" x14ac:dyDescent="0.35">
      <c r="A1995" s="2">
        <v>2928</v>
      </c>
      <c r="B1995" s="2">
        <f t="shared" si="155"/>
        <v>1589.6479361775928</v>
      </c>
      <c r="C1995" s="2">
        <f t="shared" si="156"/>
        <v>2526980.5609936803</v>
      </c>
      <c r="D1995" s="2">
        <v>22921</v>
      </c>
      <c r="E1995" s="2">
        <f t="shared" si="157"/>
        <v>2.2921</v>
      </c>
      <c r="F1995" s="2">
        <f t="shared" si="158"/>
        <v>-1.0877559833506725</v>
      </c>
      <c r="G1995" s="2">
        <f t="shared" si="159"/>
        <v>1.1832130793151885</v>
      </c>
    </row>
    <row r="1996" spans="1:7" x14ac:dyDescent="0.35">
      <c r="A1996" s="2">
        <v>2928</v>
      </c>
      <c r="B1996" s="2">
        <f t="shared" si="155"/>
        <v>1589.6479361775928</v>
      </c>
      <c r="C1996" s="2">
        <f t="shared" si="156"/>
        <v>2526980.5609936803</v>
      </c>
      <c r="D1996" s="2">
        <v>22413</v>
      </c>
      <c r="E1996" s="2">
        <f t="shared" si="157"/>
        <v>2.2412999999999998</v>
      </c>
      <c r="F1996" s="2">
        <f t="shared" si="158"/>
        <v>-1.1385559833506727</v>
      </c>
      <c r="G1996" s="2">
        <f t="shared" si="159"/>
        <v>1.2963097272236173</v>
      </c>
    </row>
    <row r="1997" spans="1:7" x14ac:dyDescent="0.35">
      <c r="A1997" s="2">
        <v>2928</v>
      </c>
      <c r="B1997" s="2">
        <f t="shared" si="155"/>
        <v>1589.6479361775928</v>
      </c>
      <c r="C1997" s="2">
        <f t="shared" si="156"/>
        <v>2526980.5609936803</v>
      </c>
      <c r="D1997" s="2">
        <v>24683</v>
      </c>
      <c r="E1997" s="2">
        <f t="shared" si="157"/>
        <v>2.4683000000000002</v>
      </c>
      <c r="F1997" s="2">
        <f t="shared" si="158"/>
        <v>-0.91155598335067234</v>
      </c>
      <c r="G1997" s="2">
        <f t="shared" si="159"/>
        <v>0.8309343107824112</v>
      </c>
    </row>
    <row r="1998" spans="1:7" x14ac:dyDescent="0.35">
      <c r="A1998" s="2">
        <v>2928</v>
      </c>
      <c r="B1998" s="2">
        <f t="shared" si="155"/>
        <v>1589.6479361775928</v>
      </c>
      <c r="C1998" s="2">
        <f t="shared" si="156"/>
        <v>2526980.5609936803</v>
      </c>
      <c r="D1998" s="2">
        <v>22046</v>
      </c>
      <c r="E1998" s="2">
        <f t="shared" si="157"/>
        <v>2.2046000000000001</v>
      </c>
      <c r="F1998" s="2">
        <f t="shared" si="158"/>
        <v>-1.1752559833506724</v>
      </c>
      <c r="G1998" s="2">
        <f t="shared" si="159"/>
        <v>1.381226626401556</v>
      </c>
    </row>
    <row r="1999" spans="1:7" x14ac:dyDescent="0.35">
      <c r="A1999" s="2">
        <v>2928</v>
      </c>
      <c r="B1999" s="2">
        <f t="shared" si="155"/>
        <v>1589.6479361775928</v>
      </c>
      <c r="C1999" s="2">
        <f t="shared" si="156"/>
        <v>2526980.5609936803</v>
      </c>
      <c r="D1999" s="2">
        <v>26337</v>
      </c>
      <c r="E1999" s="2">
        <f t="shared" si="157"/>
        <v>2.6337000000000002</v>
      </c>
      <c r="F1999" s="2">
        <f t="shared" si="158"/>
        <v>-0.74615598335067235</v>
      </c>
      <c r="G1999" s="2">
        <f t="shared" si="159"/>
        <v>0.5567487514900088</v>
      </c>
    </row>
    <row r="2000" spans="1:7" x14ac:dyDescent="0.35">
      <c r="A2000" s="2">
        <v>2928</v>
      </c>
      <c r="B2000" s="2">
        <f t="shared" si="155"/>
        <v>1589.6479361775928</v>
      </c>
      <c r="C2000" s="2">
        <f t="shared" si="156"/>
        <v>2526980.5609936803</v>
      </c>
      <c r="D2000" s="2">
        <v>28776</v>
      </c>
      <c r="E2000" s="2">
        <f t="shared" si="157"/>
        <v>2.8776000000000002</v>
      </c>
      <c r="F2000" s="2">
        <f t="shared" si="158"/>
        <v>-0.50225598335067234</v>
      </c>
      <c r="G2000" s="2">
        <f t="shared" si="159"/>
        <v>0.25226107281155086</v>
      </c>
    </row>
    <row r="2001" spans="1:7" x14ac:dyDescent="0.35">
      <c r="A2001" s="2">
        <v>2928</v>
      </c>
      <c r="B2001" s="2">
        <f t="shared" si="155"/>
        <v>1589.6479361775928</v>
      </c>
      <c r="C2001" s="2">
        <f t="shared" si="156"/>
        <v>2526980.5609936803</v>
      </c>
      <c r="D2001" s="2">
        <v>26600</v>
      </c>
      <c r="E2001" s="2">
        <f t="shared" si="157"/>
        <v>2.66</v>
      </c>
      <c r="F2001" s="2">
        <f t="shared" si="158"/>
        <v>-0.71985598335067236</v>
      </c>
      <c r="G2001" s="2">
        <f t="shared" si="159"/>
        <v>0.51819263676576344</v>
      </c>
    </row>
    <row r="2002" spans="1:7" x14ac:dyDescent="0.35">
      <c r="A2002" s="2">
        <v>2928</v>
      </c>
      <c r="B2002" s="2">
        <f t="shared" si="155"/>
        <v>1589.6479361775928</v>
      </c>
      <c r="C2002" s="2">
        <f t="shared" si="156"/>
        <v>2526980.5609936803</v>
      </c>
      <c r="D2002" s="2">
        <v>31699</v>
      </c>
      <c r="E2002" s="2">
        <f t="shared" si="157"/>
        <v>3.1699000000000002</v>
      </c>
      <c r="F2002" s="2">
        <f t="shared" si="158"/>
        <v>-0.20995598335067234</v>
      </c>
      <c r="G2002" s="2">
        <f t="shared" si="159"/>
        <v>4.4081514944747803E-2</v>
      </c>
    </row>
    <row r="2003" spans="1:7" x14ac:dyDescent="0.35">
      <c r="A2003" s="2">
        <v>2928</v>
      </c>
      <c r="B2003" s="2">
        <f t="shared" si="155"/>
        <v>1589.6479361775928</v>
      </c>
      <c r="C2003" s="2">
        <f t="shared" si="156"/>
        <v>2526980.5609936803</v>
      </c>
      <c r="D2003" s="2">
        <v>30832</v>
      </c>
      <c r="E2003" s="2">
        <f t="shared" si="157"/>
        <v>3.0832000000000002</v>
      </c>
      <c r="F2003" s="2">
        <f t="shared" si="158"/>
        <v>-0.29665598335067234</v>
      </c>
      <c r="G2003" s="2">
        <f t="shared" si="159"/>
        <v>8.8004772457754385E-2</v>
      </c>
    </row>
    <row r="2004" spans="1:7" x14ac:dyDescent="0.35">
      <c r="A2004" s="2">
        <v>2928</v>
      </c>
      <c r="B2004" s="2">
        <f t="shared" si="155"/>
        <v>1589.6479361775928</v>
      </c>
      <c r="C2004" s="2">
        <f t="shared" si="156"/>
        <v>2526980.5609936803</v>
      </c>
      <c r="D2004" s="2">
        <v>24600</v>
      </c>
      <c r="E2004" s="2">
        <f t="shared" si="157"/>
        <v>2.46</v>
      </c>
      <c r="F2004" s="2">
        <f t="shared" si="158"/>
        <v>-0.91985598335067253</v>
      </c>
      <c r="G2004" s="2">
        <f t="shared" si="159"/>
        <v>0.84613503010603275</v>
      </c>
    </row>
    <row r="2005" spans="1:7" x14ac:dyDescent="0.35">
      <c r="A2005" s="2">
        <v>2928</v>
      </c>
      <c r="B2005" s="2">
        <f t="shared" si="155"/>
        <v>1589.6479361775928</v>
      </c>
      <c r="C2005" s="2">
        <f t="shared" si="156"/>
        <v>2526980.5609936803</v>
      </c>
      <c r="D2005" s="2">
        <v>30229</v>
      </c>
      <c r="E2005" s="2">
        <f t="shared" si="157"/>
        <v>3.0228999999999999</v>
      </c>
      <c r="F2005" s="2">
        <f t="shared" si="158"/>
        <v>-0.35695598335067258</v>
      </c>
      <c r="G2005" s="2">
        <f t="shared" si="159"/>
        <v>0.12741757404984563</v>
      </c>
    </row>
    <row r="2006" spans="1:7" x14ac:dyDescent="0.35">
      <c r="A2006" s="2">
        <v>2928</v>
      </c>
      <c r="B2006" s="2">
        <f t="shared" si="155"/>
        <v>1589.6479361775928</v>
      </c>
      <c r="C2006" s="2">
        <f t="shared" si="156"/>
        <v>2526980.5609936803</v>
      </c>
      <c r="D2006" s="2">
        <v>26414</v>
      </c>
      <c r="E2006" s="2">
        <f t="shared" si="157"/>
        <v>2.6414</v>
      </c>
      <c r="F2006" s="2">
        <f t="shared" si="158"/>
        <v>-0.73845598335067253</v>
      </c>
      <c r="G2006" s="2">
        <f t="shared" si="159"/>
        <v>0.54531723934640874</v>
      </c>
    </row>
    <row r="2007" spans="1:7" x14ac:dyDescent="0.35">
      <c r="A2007" s="2">
        <v>2928</v>
      </c>
      <c r="B2007" s="2">
        <f t="shared" si="155"/>
        <v>1589.6479361775928</v>
      </c>
      <c r="C2007" s="2">
        <f t="shared" si="156"/>
        <v>2526980.5609936803</v>
      </c>
      <c r="D2007" s="2">
        <v>29451</v>
      </c>
      <c r="E2007" s="2">
        <f t="shared" si="157"/>
        <v>2.9451000000000001</v>
      </c>
      <c r="F2007" s="2">
        <f t="shared" si="158"/>
        <v>-0.43475598335067245</v>
      </c>
      <c r="G2007" s="2">
        <f t="shared" si="159"/>
        <v>0.18901276505921019</v>
      </c>
    </row>
    <row r="2008" spans="1:7" x14ac:dyDescent="0.35">
      <c r="A2008" s="2">
        <v>2928</v>
      </c>
      <c r="B2008" s="2">
        <f t="shared" si="155"/>
        <v>1589.6479361775928</v>
      </c>
      <c r="C2008" s="2">
        <f t="shared" si="156"/>
        <v>2526980.5609936803</v>
      </c>
      <c r="D2008" s="2">
        <v>31209</v>
      </c>
      <c r="E2008" s="2">
        <f t="shared" si="157"/>
        <v>3.1208999999999998</v>
      </c>
      <c r="F2008" s="2">
        <f t="shared" si="158"/>
        <v>-0.25895598335067271</v>
      </c>
      <c r="G2008" s="2">
        <f t="shared" si="159"/>
        <v>6.705820131311388E-2</v>
      </c>
    </row>
    <row r="2009" spans="1:7" x14ac:dyDescent="0.35">
      <c r="A2009" s="2">
        <v>2928</v>
      </c>
      <c r="B2009" s="2">
        <f t="shared" si="155"/>
        <v>1589.6479361775928</v>
      </c>
      <c r="C2009" s="2">
        <f t="shared" si="156"/>
        <v>2526980.5609936803</v>
      </c>
      <c r="D2009" s="2">
        <v>29846</v>
      </c>
      <c r="E2009" s="2">
        <f t="shared" si="157"/>
        <v>2.9845999999999999</v>
      </c>
      <c r="F2009" s="2">
        <f t="shared" si="158"/>
        <v>-0.39525598335067258</v>
      </c>
      <c r="G2009" s="2">
        <f t="shared" si="159"/>
        <v>0.15622729237450717</v>
      </c>
    </row>
    <row r="2010" spans="1:7" x14ac:dyDescent="0.35">
      <c r="A2010" s="2">
        <v>2928</v>
      </c>
      <c r="B2010" s="2">
        <f t="shared" si="155"/>
        <v>1589.6479361775928</v>
      </c>
      <c r="C2010" s="2">
        <f t="shared" si="156"/>
        <v>2526980.5609936803</v>
      </c>
      <c r="D2010" s="2">
        <v>26130</v>
      </c>
      <c r="E2010" s="2">
        <f t="shared" si="157"/>
        <v>2.613</v>
      </c>
      <c r="F2010" s="2">
        <f t="shared" si="158"/>
        <v>-0.76685598335067251</v>
      </c>
      <c r="G2010" s="2">
        <f t="shared" si="159"/>
        <v>0.58806809920072689</v>
      </c>
    </row>
    <row r="2011" spans="1:7" x14ac:dyDescent="0.35">
      <c r="A2011" s="2">
        <v>2928</v>
      </c>
      <c r="B2011" s="2">
        <f t="shared" si="155"/>
        <v>1589.6479361775928</v>
      </c>
      <c r="C2011" s="2">
        <f t="shared" si="156"/>
        <v>2526980.5609936803</v>
      </c>
      <c r="D2011" s="2">
        <v>29504</v>
      </c>
      <c r="E2011" s="2">
        <f t="shared" si="157"/>
        <v>2.9504000000000001</v>
      </c>
      <c r="F2011" s="2">
        <f t="shared" si="158"/>
        <v>-0.42945598335067237</v>
      </c>
      <c r="G2011" s="2">
        <f t="shared" si="159"/>
        <v>0.18443244163569297</v>
      </c>
    </row>
    <row r="2012" spans="1:7" x14ac:dyDescent="0.35">
      <c r="A2012" s="2">
        <v>2928</v>
      </c>
      <c r="B2012" s="2">
        <f t="shared" si="155"/>
        <v>1589.6479361775928</v>
      </c>
      <c r="C2012" s="2">
        <f t="shared" si="156"/>
        <v>2526980.5609936803</v>
      </c>
      <c r="D2012" s="2">
        <v>28751</v>
      </c>
      <c r="E2012" s="2">
        <f t="shared" si="157"/>
        <v>2.8751000000000002</v>
      </c>
      <c r="F2012" s="2">
        <f t="shared" si="158"/>
        <v>-0.50475598335067229</v>
      </c>
      <c r="G2012" s="2">
        <f t="shared" si="159"/>
        <v>0.25477860272830416</v>
      </c>
    </row>
    <row r="2013" spans="1:7" x14ac:dyDescent="0.35">
      <c r="A2013" s="2">
        <v>2928</v>
      </c>
      <c r="B2013" s="2">
        <f t="shared" si="155"/>
        <v>1589.6479361775928</v>
      </c>
      <c r="C2013" s="2">
        <f t="shared" si="156"/>
        <v>2526980.5609936803</v>
      </c>
      <c r="D2013" s="2">
        <v>30886</v>
      </c>
      <c r="E2013" s="2">
        <f t="shared" si="157"/>
        <v>3.0886</v>
      </c>
      <c r="F2013" s="2">
        <f t="shared" si="158"/>
        <v>-0.29125598335067249</v>
      </c>
      <c r="G2013" s="2">
        <f t="shared" si="159"/>
        <v>8.4830047837567216E-2</v>
      </c>
    </row>
    <row r="2014" spans="1:7" x14ac:dyDescent="0.35">
      <c r="A2014" s="2">
        <v>2928</v>
      </c>
      <c r="B2014" s="2">
        <f t="shared" si="155"/>
        <v>1589.6479361775928</v>
      </c>
      <c r="C2014" s="2">
        <f t="shared" si="156"/>
        <v>2526980.5609936803</v>
      </c>
      <c r="D2014" s="2">
        <v>32618</v>
      </c>
      <c r="E2014" s="2">
        <f t="shared" si="157"/>
        <v>3.2618</v>
      </c>
      <c r="F2014" s="2">
        <f t="shared" si="158"/>
        <v>-0.11805598335067247</v>
      </c>
      <c r="G2014" s="2">
        <f t="shared" si="159"/>
        <v>1.3937215204894255E-2</v>
      </c>
    </row>
    <row r="2015" spans="1:7" x14ac:dyDescent="0.35">
      <c r="A2015" s="2">
        <v>2928</v>
      </c>
      <c r="B2015" s="2">
        <f t="shared" si="155"/>
        <v>1589.6479361775928</v>
      </c>
      <c r="C2015" s="2">
        <f t="shared" si="156"/>
        <v>2526980.5609936803</v>
      </c>
      <c r="D2015" s="2">
        <v>30524</v>
      </c>
      <c r="E2015" s="2">
        <f t="shared" si="157"/>
        <v>3.0524</v>
      </c>
      <c r="F2015" s="2">
        <f t="shared" si="158"/>
        <v>-0.3274559833506725</v>
      </c>
      <c r="G2015" s="2">
        <f t="shared" si="159"/>
        <v>0.10722742103215591</v>
      </c>
    </row>
    <row r="2016" spans="1:7" x14ac:dyDescent="0.35">
      <c r="A2016" s="2">
        <v>2928</v>
      </c>
      <c r="B2016" s="2">
        <f t="shared" si="155"/>
        <v>1589.6479361775928</v>
      </c>
      <c r="C2016" s="2">
        <f t="shared" si="156"/>
        <v>2526980.5609936803</v>
      </c>
      <c r="D2016" s="2">
        <v>30417</v>
      </c>
      <c r="E2016" s="2">
        <f t="shared" si="157"/>
        <v>3.0417000000000001</v>
      </c>
      <c r="F2016" s="2">
        <f t="shared" si="158"/>
        <v>-0.33815598335067243</v>
      </c>
      <c r="G2016" s="2">
        <f t="shared" si="159"/>
        <v>0.11434946907586024</v>
      </c>
    </row>
    <row r="2017" spans="1:7" x14ac:dyDescent="0.35">
      <c r="A2017" s="2">
        <v>3142</v>
      </c>
      <c r="B2017" s="2">
        <f t="shared" si="155"/>
        <v>1803.6479361775928</v>
      </c>
      <c r="C2017" s="2">
        <f t="shared" si="156"/>
        <v>3253145.8776776898</v>
      </c>
      <c r="D2017" s="2">
        <v>20000</v>
      </c>
      <c r="E2017" s="2">
        <f t="shared" si="157"/>
        <v>2</v>
      </c>
      <c r="F2017" s="2">
        <f t="shared" si="158"/>
        <v>-1.3798559833506725</v>
      </c>
      <c r="G2017" s="2">
        <f t="shared" si="159"/>
        <v>1.9040025347886513</v>
      </c>
    </row>
    <row r="2018" spans="1:7" x14ac:dyDescent="0.35">
      <c r="A2018" s="2">
        <v>3142</v>
      </c>
      <c r="B2018" s="2">
        <f t="shared" si="155"/>
        <v>1803.6479361775928</v>
      </c>
      <c r="C2018" s="2">
        <f t="shared" si="156"/>
        <v>3253145.8776776898</v>
      </c>
      <c r="D2018" s="2">
        <v>18182</v>
      </c>
      <c r="E2018" s="2">
        <f t="shared" si="157"/>
        <v>1.8182</v>
      </c>
      <c r="F2018" s="2">
        <f t="shared" si="158"/>
        <v>-1.5616559833506725</v>
      </c>
      <c r="G2018" s="2">
        <f t="shared" si="159"/>
        <v>2.438769410334956</v>
      </c>
    </row>
    <row r="2019" spans="1:7" x14ac:dyDescent="0.35">
      <c r="A2019" s="2">
        <v>3142</v>
      </c>
      <c r="B2019" s="2">
        <f t="shared" si="155"/>
        <v>1803.6479361775928</v>
      </c>
      <c r="C2019" s="2">
        <f t="shared" si="156"/>
        <v>3253145.8776776898</v>
      </c>
      <c r="D2019" s="2">
        <v>18182</v>
      </c>
      <c r="E2019" s="2">
        <f t="shared" si="157"/>
        <v>1.8182</v>
      </c>
      <c r="F2019" s="2">
        <f t="shared" si="158"/>
        <v>-1.5616559833506725</v>
      </c>
      <c r="G2019" s="2">
        <f t="shared" si="159"/>
        <v>2.438769410334956</v>
      </c>
    </row>
    <row r="2020" spans="1:7" x14ac:dyDescent="0.35">
      <c r="A2020" s="2">
        <v>3142</v>
      </c>
      <c r="B2020" s="2">
        <f t="shared" si="155"/>
        <v>1803.6479361775928</v>
      </c>
      <c r="C2020" s="2">
        <f t="shared" si="156"/>
        <v>3253145.8776776898</v>
      </c>
      <c r="D2020" s="2">
        <v>18750</v>
      </c>
      <c r="E2020" s="2">
        <f t="shared" si="157"/>
        <v>1.875</v>
      </c>
      <c r="F2020" s="2">
        <f t="shared" si="158"/>
        <v>-1.5048559833506725</v>
      </c>
      <c r="G2020" s="2">
        <f t="shared" si="159"/>
        <v>2.2645915306263196</v>
      </c>
    </row>
    <row r="2021" spans="1:7" x14ac:dyDescent="0.35">
      <c r="A2021" s="2">
        <v>3142</v>
      </c>
      <c r="B2021" s="2">
        <f t="shared" si="155"/>
        <v>1803.6479361775928</v>
      </c>
      <c r="C2021" s="2">
        <f t="shared" si="156"/>
        <v>3253145.8776776898</v>
      </c>
      <c r="D2021" s="2">
        <v>18235</v>
      </c>
      <c r="E2021" s="2">
        <f t="shared" si="157"/>
        <v>1.8234999999999999</v>
      </c>
      <c r="F2021" s="2">
        <f t="shared" si="158"/>
        <v>-1.5563559833506726</v>
      </c>
      <c r="G2021" s="2">
        <f t="shared" si="159"/>
        <v>2.422243946911439</v>
      </c>
    </row>
    <row r="2022" spans="1:7" x14ac:dyDescent="0.35">
      <c r="A2022" s="2">
        <v>3142</v>
      </c>
      <c r="B2022" s="2">
        <f t="shared" si="155"/>
        <v>1803.6479361775928</v>
      </c>
      <c r="C2022" s="2">
        <f t="shared" si="156"/>
        <v>3253145.8776776898</v>
      </c>
      <c r="D2022" s="2">
        <v>17458</v>
      </c>
      <c r="E2022" s="2">
        <f t="shared" si="157"/>
        <v>1.7458</v>
      </c>
      <c r="F2022" s="2">
        <f t="shared" si="158"/>
        <v>-1.6340559833506725</v>
      </c>
      <c r="G2022" s="2">
        <f t="shared" si="159"/>
        <v>2.6701389567241334</v>
      </c>
    </row>
    <row r="2023" spans="1:7" x14ac:dyDescent="0.35">
      <c r="A2023" s="2">
        <v>3142</v>
      </c>
      <c r="B2023" s="2">
        <f t="shared" si="155"/>
        <v>1803.6479361775928</v>
      </c>
      <c r="C2023" s="2">
        <f t="shared" si="156"/>
        <v>3253145.8776776898</v>
      </c>
      <c r="D2023" s="2">
        <v>17695</v>
      </c>
      <c r="E2023" s="2">
        <f t="shared" si="157"/>
        <v>1.7695000000000001</v>
      </c>
      <c r="F2023" s="2">
        <f t="shared" si="158"/>
        <v>-1.6103559833506724</v>
      </c>
      <c r="G2023" s="2">
        <f t="shared" si="159"/>
        <v>2.593246393113311</v>
      </c>
    </row>
    <row r="2024" spans="1:7" x14ac:dyDescent="0.35">
      <c r="A2024" s="2">
        <v>3142</v>
      </c>
      <c r="B2024" s="2">
        <f t="shared" si="155"/>
        <v>1803.6479361775928</v>
      </c>
      <c r="C2024" s="2">
        <f t="shared" si="156"/>
        <v>3253145.8776776898</v>
      </c>
      <c r="D2024" s="2">
        <v>18000</v>
      </c>
      <c r="E2024" s="2">
        <f t="shared" si="157"/>
        <v>1.8</v>
      </c>
      <c r="F2024" s="2">
        <f t="shared" si="158"/>
        <v>-1.5798559833506725</v>
      </c>
      <c r="G2024" s="2">
        <f t="shared" si="159"/>
        <v>2.4959449281289201</v>
      </c>
    </row>
    <row r="2025" spans="1:7" x14ac:dyDescent="0.35">
      <c r="A2025" s="2">
        <v>3142</v>
      </c>
      <c r="B2025" s="2">
        <f t="shared" si="155"/>
        <v>1803.6479361775928</v>
      </c>
      <c r="C2025" s="2">
        <f t="shared" si="156"/>
        <v>3253145.8776776898</v>
      </c>
      <c r="D2025" s="2">
        <v>17844</v>
      </c>
      <c r="E2025" s="2">
        <f t="shared" si="157"/>
        <v>1.7844</v>
      </c>
      <c r="F2025" s="2">
        <f t="shared" si="158"/>
        <v>-1.5954559833506725</v>
      </c>
      <c r="G2025" s="2">
        <f t="shared" si="159"/>
        <v>2.5454797948094616</v>
      </c>
    </row>
    <row r="2026" spans="1:7" x14ac:dyDescent="0.35">
      <c r="A2026" s="2">
        <v>3142</v>
      </c>
      <c r="B2026" s="2">
        <f t="shared" si="155"/>
        <v>1803.6479361775928</v>
      </c>
      <c r="C2026" s="2">
        <f t="shared" si="156"/>
        <v>3253145.8776776898</v>
      </c>
      <c r="D2026" s="2">
        <v>17872</v>
      </c>
      <c r="E2026" s="2">
        <f t="shared" si="157"/>
        <v>1.7871999999999999</v>
      </c>
      <c r="F2026" s="2">
        <f t="shared" si="158"/>
        <v>-1.5926559833506726</v>
      </c>
      <c r="G2026" s="2">
        <f t="shared" si="159"/>
        <v>2.536553081302698</v>
      </c>
    </row>
    <row r="2027" spans="1:7" x14ac:dyDescent="0.35">
      <c r="A2027" s="2">
        <v>3142</v>
      </c>
      <c r="B2027" s="2">
        <f t="shared" si="155"/>
        <v>1803.6479361775928</v>
      </c>
      <c r="C2027" s="2">
        <f t="shared" si="156"/>
        <v>3253145.8776776898</v>
      </c>
      <c r="D2027" s="2">
        <v>17914</v>
      </c>
      <c r="E2027" s="2">
        <f t="shared" si="157"/>
        <v>1.7914000000000001</v>
      </c>
      <c r="F2027" s="2">
        <f t="shared" si="158"/>
        <v>-1.5884559833506724</v>
      </c>
      <c r="G2027" s="2">
        <f t="shared" si="159"/>
        <v>2.5231924110425514</v>
      </c>
    </row>
    <row r="2028" spans="1:7" x14ac:dyDescent="0.35">
      <c r="A2028" s="2">
        <v>3142</v>
      </c>
      <c r="B2028" s="2">
        <f t="shared" si="155"/>
        <v>1803.6479361775928</v>
      </c>
      <c r="C2028" s="2">
        <f t="shared" si="156"/>
        <v>3253145.8776776898</v>
      </c>
      <c r="D2028" s="2">
        <v>17143</v>
      </c>
      <c r="E2028" s="2">
        <f t="shared" si="157"/>
        <v>1.7142999999999999</v>
      </c>
      <c r="F2028" s="2">
        <f t="shared" si="158"/>
        <v>-1.6655559833506726</v>
      </c>
      <c r="G2028" s="2">
        <f t="shared" si="159"/>
        <v>2.7740767336752259</v>
      </c>
    </row>
    <row r="2029" spans="1:7" x14ac:dyDescent="0.35">
      <c r="A2029" s="2">
        <v>3142</v>
      </c>
      <c r="B2029" s="2">
        <f t="shared" si="155"/>
        <v>1803.6479361775928</v>
      </c>
      <c r="C2029" s="2">
        <f t="shared" si="156"/>
        <v>3253145.8776776898</v>
      </c>
      <c r="D2029" s="2">
        <v>18270</v>
      </c>
      <c r="E2029" s="2">
        <f t="shared" si="157"/>
        <v>1.827</v>
      </c>
      <c r="F2029" s="2">
        <f t="shared" si="158"/>
        <v>-1.5528559833506725</v>
      </c>
      <c r="G2029" s="2">
        <f t="shared" si="159"/>
        <v>2.4113617050279843</v>
      </c>
    </row>
    <row r="2030" spans="1:7" x14ac:dyDescent="0.35">
      <c r="A2030" s="2">
        <v>3142</v>
      </c>
      <c r="B2030" s="2">
        <f t="shared" si="155"/>
        <v>1803.6479361775928</v>
      </c>
      <c r="C2030" s="2">
        <f t="shared" si="156"/>
        <v>3253145.8776776898</v>
      </c>
      <c r="D2030" s="2">
        <v>18583</v>
      </c>
      <c r="E2030" s="2">
        <f t="shared" si="157"/>
        <v>1.8583000000000001</v>
      </c>
      <c r="F2030" s="2">
        <f t="shared" si="158"/>
        <v>-1.5215559833506724</v>
      </c>
      <c r="G2030" s="2">
        <f t="shared" si="159"/>
        <v>2.3151326104702319</v>
      </c>
    </row>
    <row r="2031" spans="1:7" x14ac:dyDescent="0.35">
      <c r="A2031" s="2">
        <v>3142</v>
      </c>
      <c r="B2031" s="2">
        <f t="shared" si="155"/>
        <v>1803.6479361775928</v>
      </c>
      <c r="C2031" s="2">
        <f t="shared" si="156"/>
        <v>3253145.8776776898</v>
      </c>
      <c r="D2031" s="2">
        <v>18910</v>
      </c>
      <c r="E2031" s="2">
        <f t="shared" si="157"/>
        <v>1.891</v>
      </c>
      <c r="F2031" s="2">
        <f t="shared" si="158"/>
        <v>-1.4888559833506725</v>
      </c>
      <c r="G2031" s="2">
        <f t="shared" si="159"/>
        <v>2.2166921391590981</v>
      </c>
    </row>
    <row r="2032" spans="1:7" x14ac:dyDescent="0.35">
      <c r="A2032" s="2">
        <v>3142</v>
      </c>
      <c r="B2032" s="2">
        <f t="shared" si="155"/>
        <v>1803.6479361775928</v>
      </c>
      <c r="C2032" s="2">
        <f t="shared" si="156"/>
        <v>3253145.8776776898</v>
      </c>
      <c r="D2032" s="2">
        <v>20000</v>
      </c>
      <c r="E2032" s="2">
        <f t="shared" si="157"/>
        <v>2</v>
      </c>
      <c r="F2032" s="2">
        <f t="shared" si="158"/>
        <v>-1.3798559833506725</v>
      </c>
      <c r="G2032" s="2">
        <f t="shared" si="159"/>
        <v>1.9040025347886513</v>
      </c>
    </row>
    <row r="2033" spans="1:7" x14ac:dyDescent="0.35">
      <c r="A2033" s="2">
        <v>3142</v>
      </c>
      <c r="B2033" s="2">
        <f t="shared" si="155"/>
        <v>1803.6479361775928</v>
      </c>
      <c r="C2033" s="2">
        <f t="shared" si="156"/>
        <v>3253145.8776776898</v>
      </c>
      <c r="D2033" s="2">
        <v>19276</v>
      </c>
      <c r="E2033" s="2">
        <f t="shared" si="157"/>
        <v>1.9276</v>
      </c>
      <c r="F2033" s="2">
        <f t="shared" si="158"/>
        <v>-1.4522559833506725</v>
      </c>
      <c r="G2033" s="2">
        <f t="shared" si="159"/>
        <v>2.1090474411778288</v>
      </c>
    </row>
    <row r="2034" spans="1:7" x14ac:dyDescent="0.35">
      <c r="A2034" s="2">
        <v>3142</v>
      </c>
      <c r="B2034" s="2">
        <f t="shared" si="155"/>
        <v>1803.6479361775928</v>
      </c>
      <c r="C2034" s="2">
        <f t="shared" si="156"/>
        <v>3253145.8776776898</v>
      </c>
      <c r="D2034" s="2">
        <v>19266</v>
      </c>
      <c r="E2034" s="2">
        <f t="shared" si="157"/>
        <v>1.9266000000000001</v>
      </c>
      <c r="F2034" s="2">
        <f t="shared" si="158"/>
        <v>-1.4532559833506724</v>
      </c>
      <c r="G2034" s="2">
        <f t="shared" si="159"/>
        <v>2.11195295314453</v>
      </c>
    </row>
    <row r="2035" spans="1:7" x14ac:dyDescent="0.35">
      <c r="A2035" s="2">
        <v>3142</v>
      </c>
      <c r="B2035" s="2">
        <f t="shared" si="155"/>
        <v>1803.6479361775928</v>
      </c>
      <c r="C2035" s="2">
        <f t="shared" si="156"/>
        <v>3253145.8776776898</v>
      </c>
      <c r="D2035" s="2">
        <v>19409</v>
      </c>
      <c r="E2035" s="2">
        <f t="shared" si="157"/>
        <v>1.9409000000000001</v>
      </c>
      <c r="F2035" s="2">
        <f t="shared" si="158"/>
        <v>-1.4389559833506724</v>
      </c>
      <c r="G2035" s="2">
        <f t="shared" si="159"/>
        <v>2.0705943220207006</v>
      </c>
    </row>
    <row r="2036" spans="1:7" x14ac:dyDescent="0.35">
      <c r="A2036" s="2">
        <v>3142</v>
      </c>
      <c r="B2036" s="2">
        <f t="shared" si="155"/>
        <v>1803.6479361775928</v>
      </c>
      <c r="C2036" s="2">
        <f t="shared" si="156"/>
        <v>3253145.8776776898</v>
      </c>
      <c r="D2036" s="2">
        <v>19552</v>
      </c>
      <c r="E2036" s="2">
        <f t="shared" si="157"/>
        <v>1.9552</v>
      </c>
      <c r="F2036" s="2">
        <f t="shared" si="158"/>
        <v>-1.4246559833506725</v>
      </c>
      <c r="G2036" s="2">
        <f t="shared" si="159"/>
        <v>2.0296446708968716</v>
      </c>
    </row>
    <row r="2037" spans="1:7" x14ac:dyDescent="0.35">
      <c r="A2037" s="2">
        <v>3142</v>
      </c>
      <c r="B2037" s="2">
        <f t="shared" si="155"/>
        <v>1803.6479361775928</v>
      </c>
      <c r="C2037" s="2">
        <f t="shared" si="156"/>
        <v>3253145.8776776898</v>
      </c>
      <c r="D2037" s="2">
        <v>19694</v>
      </c>
      <c r="E2037" s="2">
        <f t="shared" si="157"/>
        <v>1.9694</v>
      </c>
      <c r="F2037" s="2">
        <f t="shared" si="158"/>
        <v>-1.4104559833506725</v>
      </c>
      <c r="G2037" s="2">
        <f t="shared" si="159"/>
        <v>1.9893860809697124</v>
      </c>
    </row>
    <row r="2038" spans="1:7" x14ac:dyDescent="0.35">
      <c r="A2038" s="2">
        <v>3142</v>
      </c>
      <c r="B2038" s="2">
        <f t="shared" si="155"/>
        <v>1803.6479361775928</v>
      </c>
      <c r="C2038" s="2">
        <f t="shared" si="156"/>
        <v>3253145.8776776898</v>
      </c>
      <c r="D2038" s="2">
        <v>19837</v>
      </c>
      <c r="E2038" s="2">
        <f t="shared" si="157"/>
        <v>1.9837</v>
      </c>
      <c r="F2038" s="2">
        <f t="shared" si="158"/>
        <v>-1.3961559833506725</v>
      </c>
      <c r="G2038" s="2">
        <f t="shared" si="159"/>
        <v>1.9492515298458832</v>
      </c>
    </row>
    <row r="2039" spans="1:7" x14ac:dyDescent="0.35">
      <c r="A2039" s="2">
        <v>3142</v>
      </c>
      <c r="B2039" s="2">
        <f t="shared" si="155"/>
        <v>1803.6479361775928</v>
      </c>
      <c r="C2039" s="2">
        <f t="shared" si="156"/>
        <v>3253145.8776776898</v>
      </c>
      <c r="D2039" s="2">
        <v>19979</v>
      </c>
      <c r="E2039" s="2">
        <f t="shared" si="157"/>
        <v>1.9979</v>
      </c>
      <c r="F2039" s="2">
        <f t="shared" si="158"/>
        <v>-1.3819559833506725</v>
      </c>
      <c r="G2039" s="2">
        <f t="shared" si="159"/>
        <v>1.9098023399187243</v>
      </c>
    </row>
    <row r="2040" spans="1:7" x14ac:dyDescent="0.35">
      <c r="A2040" s="2">
        <v>3142</v>
      </c>
      <c r="B2040" s="2">
        <f t="shared" si="155"/>
        <v>1803.6479361775928</v>
      </c>
      <c r="C2040" s="2">
        <f t="shared" si="156"/>
        <v>3253145.8776776898</v>
      </c>
      <c r="D2040" s="2">
        <v>20122</v>
      </c>
      <c r="E2040" s="2">
        <f t="shared" si="157"/>
        <v>2.0122</v>
      </c>
      <c r="F2040" s="2">
        <f t="shared" si="158"/>
        <v>-1.3676559833506725</v>
      </c>
      <c r="G2040" s="2">
        <f t="shared" si="159"/>
        <v>1.870482888794895</v>
      </c>
    </row>
    <row r="2041" spans="1:7" x14ac:dyDescent="0.35">
      <c r="A2041" s="2">
        <v>3142</v>
      </c>
      <c r="B2041" s="2">
        <f t="shared" si="155"/>
        <v>1803.6479361775928</v>
      </c>
      <c r="C2041" s="2">
        <f t="shared" si="156"/>
        <v>3253145.8776776898</v>
      </c>
      <c r="D2041" s="2">
        <v>20264</v>
      </c>
      <c r="E2041" s="2">
        <f t="shared" si="157"/>
        <v>2.0264000000000002</v>
      </c>
      <c r="F2041" s="2">
        <f t="shared" si="158"/>
        <v>-1.3534559833506723</v>
      </c>
      <c r="G2041" s="2">
        <f t="shared" si="159"/>
        <v>1.8318430988677352</v>
      </c>
    </row>
    <row r="2042" spans="1:7" x14ac:dyDescent="0.35">
      <c r="A2042" s="2">
        <v>3142</v>
      </c>
      <c r="B2042" s="2">
        <f t="shared" si="155"/>
        <v>1803.6479361775928</v>
      </c>
      <c r="C2042" s="2">
        <f t="shared" si="156"/>
        <v>3253145.8776776898</v>
      </c>
      <c r="D2042" s="2">
        <v>20407</v>
      </c>
      <c r="E2042" s="2">
        <f t="shared" si="157"/>
        <v>2.0407000000000002</v>
      </c>
      <c r="F2042" s="2">
        <f t="shared" si="158"/>
        <v>-1.3391559833506723</v>
      </c>
      <c r="G2042" s="2">
        <f t="shared" si="159"/>
        <v>1.7933387477439062</v>
      </c>
    </row>
    <row r="2043" spans="1:7" x14ac:dyDescent="0.35">
      <c r="A2043" s="2">
        <v>3142</v>
      </c>
      <c r="B2043" s="2">
        <f t="shared" si="155"/>
        <v>1803.6479361775928</v>
      </c>
      <c r="C2043" s="2">
        <f t="shared" si="156"/>
        <v>3253145.8776776898</v>
      </c>
      <c r="D2043" s="2">
        <v>20549</v>
      </c>
      <c r="E2043" s="2">
        <f t="shared" si="157"/>
        <v>2.0548999999999999</v>
      </c>
      <c r="F2043" s="2">
        <f t="shared" si="158"/>
        <v>-1.3249559833506726</v>
      </c>
      <c r="G2043" s="2">
        <f t="shared" si="159"/>
        <v>1.7555083578167476</v>
      </c>
    </row>
    <row r="2044" spans="1:7" x14ac:dyDescent="0.35">
      <c r="A2044" s="2">
        <v>3142</v>
      </c>
      <c r="B2044" s="2">
        <f t="shared" si="155"/>
        <v>1803.6479361775928</v>
      </c>
      <c r="C2044" s="2">
        <f t="shared" si="156"/>
        <v>3253145.8776776898</v>
      </c>
      <c r="D2044" s="2">
        <v>20692</v>
      </c>
      <c r="E2044" s="2">
        <f t="shared" si="157"/>
        <v>2.0691999999999999</v>
      </c>
      <c r="F2044" s="2">
        <f t="shared" si="158"/>
        <v>-1.3106559833506726</v>
      </c>
      <c r="G2044" s="2">
        <f t="shared" si="159"/>
        <v>1.7178191066929185</v>
      </c>
    </row>
    <row r="2045" spans="1:7" x14ac:dyDescent="0.35">
      <c r="A2045" s="2">
        <v>3142</v>
      </c>
      <c r="B2045" s="2">
        <f t="shared" si="155"/>
        <v>1803.6479361775928</v>
      </c>
      <c r="C2045" s="2">
        <f t="shared" si="156"/>
        <v>3253145.8776776898</v>
      </c>
      <c r="D2045" s="2">
        <v>20835</v>
      </c>
      <c r="E2045" s="2">
        <f t="shared" si="157"/>
        <v>2.0834999999999999</v>
      </c>
      <c r="F2045" s="2">
        <f t="shared" si="158"/>
        <v>-1.2963559833506726</v>
      </c>
      <c r="G2045" s="2">
        <f t="shared" si="159"/>
        <v>1.6805388355690893</v>
      </c>
    </row>
    <row r="2046" spans="1:7" x14ac:dyDescent="0.35">
      <c r="A2046" s="2">
        <v>3142</v>
      </c>
      <c r="B2046" s="2">
        <f t="shared" si="155"/>
        <v>1803.6479361775928</v>
      </c>
      <c r="C2046" s="2">
        <f t="shared" si="156"/>
        <v>3253145.8776776898</v>
      </c>
      <c r="D2046" s="2">
        <v>20977</v>
      </c>
      <c r="E2046" s="2">
        <f t="shared" si="157"/>
        <v>2.0977000000000001</v>
      </c>
      <c r="F2046" s="2">
        <f t="shared" si="158"/>
        <v>-1.2821559833506724</v>
      </c>
      <c r="G2046" s="2">
        <f t="shared" si="159"/>
        <v>1.6439239656419298</v>
      </c>
    </row>
    <row r="2047" spans="1:7" x14ac:dyDescent="0.35">
      <c r="A2047" s="2">
        <v>3142</v>
      </c>
      <c r="B2047" s="2">
        <f t="shared" si="155"/>
        <v>1803.6479361775928</v>
      </c>
      <c r="C2047" s="2">
        <f t="shared" si="156"/>
        <v>3253145.8776776898</v>
      </c>
      <c r="D2047" s="2">
        <v>24925</v>
      </c>
      <c r="E2047" s="2">
        <f t="shared" si="157"/>
        <v>2.4925000000000002</v>
      </c>
      <c r="F2047" s="2">
        <f t="shared" si="158"/>
        <v>-0.88735598335067234</v>
      </c>
      <c r="G2047" s="2">
        <f t="shared" si="159"/>
        <v>0.78740064118823871</v>
      </c>
    </row>
    <row r="2048" spans="1:7" x14ac:dyDescent="0.35">
      <c r="A2048" s="2">
        <v>1130</v>
      </c>
      <c r="B2048" s="2">
        <f t="shared" si="155"/>
        <v>-208.35206382240722</v>
      </c>
      <c r="C2048" s="2">
        <f t="shared" si="156"/>
        <v>43410.582499056451</v>
      </c>
      <c r="D2048" s="2">
        <v>20066</v>
      </c>
      <c r="E2048" s="2">
        <f t="shared" si="157"/>
        <v>2.0066000000000002</v>
      </c>
      <c r="F2048" s="2">
        <f t="shared" si="158"/>
        <v>-1.3732559833506723</v>
      </c>
      <c r="G2048" s="2">
        <f t="shared" si="159"/>
        <v>1.885831995808422</v>
      </c>
    </row>
    <row r="2049" spans="1:7" x14ac:dyDescent="0.35">
      <c r="A2049" s="2">
        <v>1130</v>
      </c>
      <c r="B2049" s="2">
        <f t="shared" si="155"/>
        <v>-208.35206382240722</v>
      </c>
      <c r="C2049" s="2">
        <f t="shared" si="156"/>
        <v>43410.582499056451</v>
      </c>
      <c r="D2049" s="2">
        <v>25731</v>
      </c>
      <c r="E2049" s="2">
        <f t="shared" si="157"/>
        <v>2.5731000000000002</v>
      </c>
      <c r="F2049" s="2">
        <f t="shared" si="158"/>
        <v>-0.80675598335067233</v>
      </c>
      <c r="G2049" s="2">
        <f t="shared" si="159"/>
        <v>0.65085521667211033</v>
      </c>
    </row>
    <row r="2050" spans="1:7" x14ac:dyDescent="0.35">
      <c r="A2050" s="2">
        <v>1130</v>
      </c>
      <c r="B2050" s="2">
        <f t="shared" si="155"/>
        <v>-208.35206382240722</v>
      </c>
      <c r="C2050" s="2">
        <f t="shared" si="156"/>
        <v>43410.582499056451</v>
      </c>
      <c r="D2050" s="2">
        <v>26996</v>
      </c>
      <c r="E2050" s="2">
        <f t="shared" si="157"/>
        <v>2.6996000000000002</v>
      </c>
      <c r="F2050" s="2">
        <f t="shared" si="158"/>
        <v>-0.68025598335067228</v>
      </c>
      <c r="G2050" s="2">
        <f t="shared" si="159"/>
        <v>0.46274820288439011</v>
      </c>
    </row>
    <row r="2051" spans="1:7" x14ac:dyDescent="0.35">
      <c r="A2051" s="2">
        <v>1130</v>
      </c>
      <c r="B2051" s="2">
        <f t="shared" ref="B2051:B2114" si="160">A2051-$J$1</f>
        <v>-208.35206382240722</v>
      </c>
      <c r="C2051" s="2">
        <f t="shared" ref="C2051:C2114" si="161">B2051^2</f>
        <v>43410.582499056451</v>
      </c>
      <c r="D2051" s="2">
        <v>25206</v>
      </c>
      <c r="E2051" s="2">
        <f t="shared" ref="E2051:E2114" si="162">D2051/10000</f>
        <v>2.5206</v>
      </c>
      <c r="F2051" s="2">
        <f t="shared" ref="F2051:F2114" si="163">E2051-$J$2</f>
        <v>-0.85925598335067255</v>
      </c>
      <c r="G2051" s="2">
        <f t="shared" ref="G2051:G2114" si="164">F2051^2</f>
        <v>0.73832084492393124</v>
      </c>
    </row>
    <row r="2052" spans="1:7" x14ac:dyDescent="0.35">
      <c r="A2052" s="2">
        <v>1130</v>
      </c>
      <c r="B2052" s="2">
        <f t="shared" si="160"/>
        <v>-208.35206382240722</v>
      </c>
      <c r="C2052" s="2">
        <f t="shared" si="161"/>
        <v>43410.582499056451</v>
      </c>
      <c r="D2052" s="2">
        <v>31698</v>
      </c>
      <c r="E2052" s="2">
        <f t="shared" si="162"/>
        <v>3.1698</v>
      </c>
      <c r="F2052" s="2">
        <f t="shared" si="163"/>
        <v>-0.21005598335067255</v>
      </c>
      <c r="G2052" s="2">
        <f t="shared" si="164"/>
        <v>4.4123516141418025E-2</v>
      </c>
    </row>
    <row r="2053" spans="1:7" x14ac:dyDescent="0.35">
      <c r="A2053" s="2">
        <v>1130</v>
      </c>
      <c r="B2053" s="2">
        <f t="shared" si="160"/>
        <v>-208.35206382240722</v>
      </c>
      <c r="C2053" s="2">
        <f t="shared" si="161"/>
        <v>43410.582499056451</v>
      </c>
      <c r="D2053" s="2">
        <v>38317</v>
      </c>
      <c r="E2053" s="2">
        <f t="shared" si="162"/>
        <v>3.8317000000000001</v>
      </c>
      <c r="F2053" s="2">
        <f t="shared" si="163"/>
        <v>0.45184401664932761</v>
      </c>
      <c r="G2053" s="2">
        <f t="shared" si="164"/>
        <v>0.20416301538179785</v>
      </c>
    </row>
    <row r="2054" spans="1:7" x14ac:dyDescent="0.35">
      <c r="A2054" s="2">
        <v>1130</v>
      </c>
      <c r="B2054" s="2">
        <f t="shared" si="160"/>
        <v>-208.35206382240722</v>
      </c>
      <c r="C2054" s="2">
        <f t="shared" si="161"/>
        <v>43410.582499056451</v>
      </c>
      <c r="D2054" s="2">
        <v>37715</v>
      </c>
      <c r="E2054" s="2">
        <f t="shared" si="162"/>
        <v>3.7715000000000001</v>
      </c>
      <c r="F2054" s="2">
        <f t="shared" si="163"/>
        <v>0.39164401664932758</v>
      </c>
      <c r="G2054" s="2">
        <f t="shared" si="164"/>
        <v>0.15338503577721876</v>
      </c>
    </row>
    <row r="2055" spans="1:7" x14ac:dyDescent="0.35">
      <c r="A2055" s="2">
        <v>1130</v>
      </c>
      <c r="B2055" s="2">
        <f t="shared" si="160"/>
        <v>-208.35206382240722</v>
      </c>
      <c r="C2055" s="2">
        <f t="shared" si="161"/>
        <v>43410.582499056451</v>
      </c>
      <c r="D2055" s="2">
        <v>39785</v>
      </c>
      <c r="E2055" s="2">
        <f t="shared" si="162"/>
        <v>3.9784999999999999</v>
      </c>
      <c r="F2055" s="2">
        <f t="shared" si="163"/>
        <v>0.59864401664932743</v>
      </c>
      <c r="G2055" s="2">
        <f t="shared" si="164"/>
        <v>0.3583746586700402</v>
      </c>
    </row>
    <row r="2056" spans="1:7" x14ac:dyDescent="0.35">
      <c r="A2056" s="2">
        <v>1130</v>
      </c>
      <c r="B2056" s="2">
        <f t="shared" si="160"/>
        <v>-208.35206382240722</v>
      </c>
      <c r="C2056" s="2">
        <f t="shared" si="161"/>
        <v>43410.582499056451</v>
      </c>
      <c r="D2056" s="2">
        <v>41143</v>
      </c>
      <c r="E2056" s="2">
        <f t="shared" si="162"/>
        <v>4.1143000000000001</v>
      </c>
      <c r="F2056" s="2">
        <f t="shared" si="163"/>
        <v>0.73444401664932757</v>
      </c>
      <c r="G2056" s="2">
        <f t="shared" si="164"/>
        <v>0.53940801359199775</v>
      </c>
    </row>
    <row r="2057" spans="1:7" x14ac:dyDescent="0.35">
      <c r="A2057" s="2">
        <v>1130</v>
      </c>
      <c r="B2057" s="2">
        <f t="shared" si="160"/>
        <v>-208.35206382240722</v>
      </c>
      <c r="C2057" s="2">
        <f t="shared" si="161"/>
        <v>43410.582499056451</v>
      </c>
      <c r="D2057" s="2">
        <v>36692</v>
      </c>
      <c r="E2057" s="2">
        <f t="shared" si="162"/>
        <v>3.6692</v>
      </c>
      <c r="F2057" s="2">
        <f t="shared" si="163"/>
        <v>0.28934401664932752</v>
      </c>
      <c r="G2057" s="2">
        <f t="shared" si="164"/>
        <v>8.3719959970766325E-2</v>
      </c>
    </row>
    <row r="2058" spans="1:7" x14ac:dyDescent="0.35">
      <c r="A2058" s="2">
        <v>1130</v>
      </c>
      <c r="B2058" s="2">
        <f t="shared" si="160"/>
        <v>-208.35206382240722</v>
      </c>
      <c r="C2058" s="2">
        <f t="shared" si="161"/>
        <v>43410.582499056451</v>
      </c>
      <c r="D2058" s="2">
        <v>36988</v>
      </c>
      <c r="E2058" s="2">
        <f t="shared" si="162"/>
        <v>3.6987999999999999</v>
      </c>
      <c r="F2058" s="2">
        <f t="shared" si="163"/>
        <v>0.31894401664932737</v>
      </c>
      <c r="G2058" s="2">
        <f t="shared" si="164"/>
        <v>0.10172528575640641</v>
      </c>
    </row>
    <row r="2059" spans="1:7" x14ac:dyDescent="0.35">
      <c r="A2059" s="2">
        <v>1130</v>
      </c>
      <c r="B2059" s="2">
        <f t="shared" si="160"/>
        <v>-208.35206382240722</v>
      </c>
      <c r="C2059" s="2">
        <f t="shared" si="161"/>
        <v>43410.582499056451</v>
      </c>
      <c r="D2059" s="2">
        <v>38792</v>
      </c>
      <c r="E2059" s="2">
        <f t="shared" si="162"/>
        <v>3.8792</v>
      </c>
      <c r="F2059" s="2">
        <f t="shared" si="163"/>
        <v>0.49934401664932748</v>
      </c>
      <c r="G2059" s="2">
        <f t="shared" si="164"/>
        <v>0.24934444696348385</v>
      </c>
    </row>
    <row r="2060" spans="1:7" x14ac:dyDescent="0.35">
      <c r="A2060" s="2">
        <v>1130</v>
      </c>
      <c r="B2060" s="2">
        <f t="shared" si="160"/>
        <v>-208.35206382240722</v>
      </c>
      <c r="C2060" s="2">
        <f t="shared" si="161"/>
        <v>43410.582499056451</v>
      </c>
      <c r="D2060" s="2">
        <v>46126</v>
      </c>
      <c r="E2060" s="2">
        <f t="shared" si="162"/>
        <v>4.6125999999999996</v>
      </c>
      <c r="F2060" s="2">
        <f t="shared" si="163"/>
        <v>1.2327440166493271</v>
      </c>
      <c r="G2060" s="2">
        <f t="shared" si="164"/>
        <v>1.5196578105847165</v>
      </c>
    </row>
    <row r="2061" spans="1:7" x14ac:dyDescent="0.35">
      <c r="A2061" s="2">
        <v>1130</v>
      </c>
      <c r="B2061" s="2">
        <f t="shared" si="160"/>
        <v>-208.35206382240722</v>
      </c>
      <c r="C2061" s="2">
        <f t="shared" si="161"/>
        <v>43410.582499056451</v>
      </c>
      <c r="D2061" s="2">
        <v>38492</v>
      </c>
      <c r="E2061" s="2">
        <f t="shared" si="162"/>
        <v>3.8492000000000002</v>
      </c>
      <c r="F2061" s="2">
        <f t="shared" si="163"/>
        <v>0.46934401664932768</v>
      </c>
      <c r="G2061" s="2">
        <f t="shared" si="164"/>
        <v>0.22028380596452438</v>
      </c>
    </row>
    <row r="2062" spans="1:7" x14ac:dyDescent="0.35">
      <c r="A2062" s="2">
        <v>1130</v>
      </c>
      <c r="B2062" s="2">
        <f t="shared" si="160"/>
        <v>-208.35206382240722</v>
      </c>
      <c r="C2062" s="2">
        <f t="shared" si="161"/>
        <v>43410.582499056451</v>
      </c>
      <c r="D2062" s="2">
        <v>39797</v>
      </c>
      <c r="E2062" s="2">
        <f t="shared" si="162"/>
        <v>3.9796999999999998</v>
      </c>
      <c r="F2062" s="2">
        <f t="shared" si="163"/>
        <v>0.59984401664932729</v>
      </c>
      <c r="G2062" s="2">
        <f t="shared" si="164"/>
        <v>0.35981284430999844</v>
      </c>
    </row>
    <row r="2063" spans="1:7" x14ac:dyDescent="0.35">
      <c r="A2063" s="2">
        <v>1130</v>
      </c>
      <c r="B2063" s="2">
        <f t="shared" si="160"/>
        <v>-208.35206382240722</v>
      </c>
      <c r="C2063" s="2">
        <f t="shared" si="161"/>
        <v>43410.582499056451</v>
      </c>
      <c r="D2063" s="2">
        <v>38841</v>
      </c>
      <c r="E2063" s="2">
        <f t="shared" si="162"/>
        <v>3.8841000000000001</v>
      </c>
      <c r="F2063" s="2">
        <f t="shared" si="163"/>
        <v>0.50424401664932761</v>
      </c>
      <c r="G2063" s="2">
        <f t="shared" si="164"/>
        <v>0.2542620283266474</v>
      </c>
    </row>
    <row r="2064" spans="1:7" x14ac:dyDescent="0.35">
      <c r="A2064" s="2">
        <v>1130</v>
      </c>
      <c r="B2064" s="2">
        <f t="shared" si="160"/>
        <v>-208.35206382240722</v>
      </c>
      <c r="C2064" s="2">
        <f t="shared" si="161"/>
        <v>43410.582499056451</v>
      </c>
      <c r="D2064" s="2">
        <v>40323</v>
      </c>
      <c r="E2064" s="2">
        <f t="shared" si="162"/>
        <v>4.0323000000000002</v>
      </c>
      <c r="F2064" s="2">
        <f t="shared" si="163"/>
        <v>0.65244401664932772</v>
      </c>
      <c r="G2064" s="2">
        <f t="shared" si="164"/>
        <v>0.42568319486150824</v>
      </c>
    </row>
    <row r="2065" spans="1:7" x14ac:dyDescent="0.35">
      <c r="A2065" s="2">
        <v>1130</v>
      </c>
      <c r="B2065" s="2">
        <f t="shared" si="160"/>
        <v>-208.35206382240722</v>
      </c>
      <c r="C2065" s="2">
        <f t="shared" si="161"/>
        <v>43410.582499056451</v>
      </c>
      <c r="D2065" s="2">
        <v>30448</v>
      </c>
      <c r="E2065" s="2">
        <f t="shared" si="162"/>
        <v>3.0448</v>
      </c>
      <c r="F2065" s="2">
        <f t="shared" si="163"/>
        <v>-0.33505598335067255</v>
      </c>
      <c r="G2065" s="2">
        <f t="shared" si="164"/>
        <v>0.11226251197908615</v>
      </c>
    </row>
    <row r="2066" spans="1:7" x14ac:dyDescent="0.35">
      <c r="A2066" s="2">
        <v>1130</v>
      </c>
      <c r="B2066" s="2">
        <f t="shared" si="160"/>
        <v>-208.35206382240722</v>
      </c>
      <c r="C2066" s="2">
        <f t="shared" si="161"/>
        <v>43410.582499056451</v>
      </c>
      <c r="D2066" s="2">
        <v>30000</v>
      </c>
      <c r="E2066" s="2">
        <f t="shared" si="162"/>
        <v>3</v>
      </c>
      <c r="F2066" s="2">
        <f t="shared" si="163"/>
        <v>-0.3798559833506725</v>
      </c>
      <c r="G2066" s="2">
        <f t="shared" si="164"/>
        <v>0.14429056808730639</v>
      </c>
    </row>
    <row r="2067" spans="1:7" x14ac:dyDescent="0.35">
      <c r="A2067" s="2">
        <v>1130</v>
      </c>
      <c r="B2067" s="2">
        <f t="shared" si="160"/>
        <v>-208.35206382240722</v>
      </c>
      <c r="C2067" s="2">
        <f t="shared" si="161"/>
        <v>43410.582499056451</v>
      </c>
      <c r="D2067" s="2">
        <v>30952</v>
      </c>
      <c r="E2067" s="2">
        <f t="shared" si="162"/>
        <v>3.0952000000000002</v>
      </c>
      <c r="F2067" s="2">
        <f t="shared" si="163"/>
        <v>-0.28465598335067233</v>
      </c>
      <c r="G2067" s="2">
        <f t="shared" si="164"/>
        <v>8.1029028857338245E-2</v>
      </c>
    </row>
    <row r="2068" spans="1:7" x14ac:dyDescent="0.35">
      <c r="A2068" s="2">
        <v>1130</v>
      </c>
      <c r="B2068" s="2">
        <f t="shared" si="160"/>
        <v>-208.35206382240722</v>
      </c>
      <c r="C2068" s="2">
        <f t="shared" si="161"/>
        <v>43410.582499056451</v>
      </c>
      <c r="D2068" s="2">
        <v>42720</v>
      </c>
      <c r="E2068" s="2">
        <f t="shared" si="162"/>
        <v>4.2720000000000002</v>
      </c>
      <c r="F2068" s="2">
        <f t="shared" si="163"/>
        <v>0.89214401664932774</v>
      </c>
      <c r="G2068" s="2">
        <f t="shared" si="164"/>
        <v>0.795920946443196</v>
      </c>
    </row>
    <row r="2069" spans="1:7" x14ac:dyDescent="0.35">
      <c r="A2069" s="2">
        <v>1130</v>
      </c>
      <c r="B2069" s="2">
        <f t="shared" si="160"/>
        <v>-208.35206382240722</v>
      </c>
      <c r="C2069" s="2">
        <f t="shared" si="161"/>
        <v>43410.582499056451</v>
      </c>
      <c r="D2069" s="2">
        <v>43000</v>
      </c>
      <c r="E2069" s="2">
        <f t="shared" si="162"/>
        <v>4.3</v>
      </c>
      <c r="F2069" s="2">
        <f t="shared" si="163"/>
        <v>0.92014401664932732</v>
      </c>
      <c r="G2069" s="2">
        <f t="shared" si="164"/>
        <v>0.84666501137555761</v>
      </c>
    </row>
    <row r="2070" spans="1:7" x14ac:dyDescent="0.35">
      <c r="A2070" s="2">
        <v>1130</v>
      </c>
      <c r="B2070" s="2">
        <f t="shared" si="160"/>
        <v>-208.35206382240722</v>
      </c>
      <c r="C2070" s="2">
        <f t="shared" si="161"/>
        <v>43410.582499056451</v>
      </c>
      <c r="D2070" s="2">
        <v>52998</v>
      </c>
      <c r="E2070" s="2">
        <f t="shared" si="162"/>
        <v>5.2998000000000003</v>
      </c>
      <c r="F2070" s="2">
        <f t="shared" si="163"/>
        <v>1.9199440166493278</v>
      </c>
      <c r="G2070" s="2">
        <f t="shared" si="164"/>
        <v>3.6861850270675545</v>
      </c>
    </row>
    <row r="2071" spans="1:7" x14ac:dyDescent="0.35">
      <c r="A2071" s="2">
        <v>1130</v>
      </c>
      <c r="B2071" s="2">
        <f t="shared" si="160"/>
        <v>-208.35206382240722</v>
      </c>
      <c r="C2071" s="2">
        <f t="shared" si="161"/>
        <v>43410.582499056451</v>
      </c>
      <c r="D2071" s="2">
        <v>51936</v>
      </c>
      <c r="E2071" s="2">
        <f t="shared" si="162"/>
        <v>5.1936</v>
      </c>
      <c r="F2071" s="2">
        <f t="shared" si="163"/>
        <v>1.8137440166493275</v>
      </c>
      <c r="G2071" s="2">
        <f t="shared" si="164"/>
        <v>3.2896673579312359</v>
      </c>
    </row>
    <row r="2072" spans="1:7" x14ac:dyDescent="0.35">
      <c r="A2072" s="2">
        <v>1130</v>
      </c>
      <c r="B2072" s="2">
        <f t="shared" si="160"/>
        <v>-208.35206382240722</v>
      </c>
      <c r="C2072" s="2">
        <f t="shared" si="161"/>
        <v>43410.582499056451</v>
      </c>
      <c r="D2072" s="2">
        <v>49500</v>
      </c>
      <c r="E2072" s="2">
        <f t="shared" si="162"/>
        <v>4.95</v>
      </c>
      <c r="F2072" s="2">
        <f t="shared" si="163"/>
        <v>1.5701440166493277</v>
      </c>
      <c r="G2072" s="2">
        <f t="shared" si="164"/>
        <v>2.4653522330196842</v>
      </c>
    </row>
    <row r="2073" spans="1:7" x14ac:dyDescent="0.35">
      <c r="A2073" s="2">
        <v>1130</v>
      </c>
      <c r="B2073" s="2">
        <f t="shared" si="160"/>
        <v>-208.35206382240722</v>
      </c>
      <c r="C2073" s="2">
        <f t="shared" si="161"/>
        <v>43410.582499056451</v>
      </c>
      <c r="D2073" s="2">
        <v>63000</v>
      </c>
      <c r="E2073" s="2">
        <f t="shared" si="162"/>
        <v>6.3</v>
      </c>
      <c r="F2073" s="2">
        <f t="shared" si="163"/>
        <v>2.9201440166493273</v>
      </c>
      <c r="G2073" s="2">
        <f t="shared" si="164"/>
        <v>8.5272410779728673</v>
      </c>
    </row>
    <row r="2074" spans="1:7" x14ac:dyDescent="0.35">
      <c r="A2074" s="2">
        <v>1130</v>
      </c>
      <c r="B2074" s="2">
        <f t="shared" si="160"/>
        <v>-208.35206382240722</v>
      </c>
      <c r="C2074" s="2">
        <f t="shared" si="161"/>
        <v>43410.582499056451</v>
      </c>
      <c r="D2074" s="2">
        <v>67000</v>
      </c>
      <c r="E2074" s="2">
        <f t="shared" si="162"/>
        <v>6.7</v>
      </c>
      <c r="F2074" s="2">
        <f t="shared" si="163"/>
        <v>3.3201440166493277</v>
      </c>
      <c r="G2074" s="2">
        <f t="shared" si="164"/>
        <v>11.02335629129233</v>
      </c>
    </row>
    <row r="2075" spans="1:7" x14ac:dyDescent="0.35">
      <c r="A2075" s="2">
        <v>1130</v>
      </c>
      <c r="B2075" s="2">
        <f t="shared" si="160"/>
        <v>-208.35206382240722</v>
      </c>
      <c r="C2075" s="2">
        <f t="shared" si="161"/>
        <v>43410.582499056451</v>
      </c>
      <c r="D2075" s="2">
        <v>67013</v>
      </c>
      <c r="E2075" s="2">
        <f t="shared" si="162"/>
        <v>6.7012999999999998</v>
      </c>
      <c r="F2075" s="2">
        <f t="shared" si="163"/>
        <v>3.3214440166493273</v>
      </c>
      <c r="G2075" s="2">
        <f t="shared" si="164"/>
        <v>11.031990355735617</v>
      </c>
    </row>
    <row r="2076" spans="1:7" x14ac:dyDescent="0.35">
      <c r="A2076" s="2">
        <v>1130</v>
      </c>
      <c r="B2076" s="2">
        <f t="shared" si="160"/>
        <v>-208.35206382240722</v>
      </c>
      <c r="C2076" s="2">
        <f t="shared" si="161"/>
        <v>43410.582499056451</v>
      </c>
      <c r="D2076" s="2">
        <v>66000</v>
      </c>
      <c r="E2076" s="2">
        <f t="shared" si="162"/>
        <v>6.6</v>
      </c>
      <c r="F2076" s="2">
        <f t="shared" si="163"/>
        <v>3.2201440166493271</v>
      </c>
      <c r="G2076" s="2">
        <f t="shared" si="164"/>
        <v>10.369327487962462</v>
      </c>
    </row>
    <row r="2077" spans="1:7" x14ac:dyDescent="0.35">
      <c r="A2077" s="2">
        <v>1738</v>
      </c>
      <c r="B2077" s="2">
        <f t="shared" si="160"/>
        <v>399.64793617759278</v>
      </c>
      <c r="C2077" s="2">
        <f t="shared" si="161"/>
        <v>159718.47289100927</v>
      </c>
      <c r="D2077" s="2">
        <v>45575</v>
      </c>
      <c r="E2077" s="2">
        <f t="shared" si="162"/>
        <v>4.5575000000000001</v>
      </c>
      <c r="F2077" s="2">
        <f t="shared" si="163"/>
        <v>1.1776440166493276</v>
      </c>
      <c r="G2077" s="2">
        <f t="shared" si="164"/>
        <v>1.3868454299499617</v>
      </c>
    </row>
    <row r="2078" spans="1:7" x14ac:dyDescent="0.35">
      <c r="A2078" s="2">
        <v>1738</v>
      </c>
      <c r="B2078" s="2">
        <f t="shared" si="160"/>
        <v>399.64793617759278</v>
      </c>
      <c r="C2078" s="2">
        <f t="shared" si="161"/>
        <v>159718.47289100927</v>
      </c>
      <c r="D2078" s="2">
        <v>45045</v>
      </c>
      <c r="E2078" s="2">
        <f t="shared" si="162"/>
        <v>4.5045000000000002</v>
      </c>
      <c r="F2078" s="2">
        <f t="shared" si="163"/>
        <v>1.1246440166493277</v>
      </c>
      <c r="G2078" s="2">
        <f t="shared" si="164"/>
        <v>1.2648241641851332</v>
      </c>
    </row>
    <row r="2079" spans="1:7" x14ac:dyDescent="0.35">
      <c r="A2079" s="2">
        <v>1738</v>
      </c>
      <c r="B2079" s="2">
        <f t="shared" si="160"/>
        <v>399.64793617759278</v>
      </c>
      <c r="C2079" s="2">
        <f t="shared" si="161"/>
        <v>159718.47289100927</v>
      </c>
      <c r="D2079" s="2">
        <v>50927</v>
      </c>
      <c r="E2079" s="2">
        <f t="shared" si="162"/>
        <v>5.0926999999999998</v>
      </c>
      <c r="F2079" s="2">
        <f t="shared" si="163"/>
        <v>1.7128440166493273</v>
      </c>
      <c r="G2079" s="2">
        <f t="shared" si="164"/>
        <v>2.9338346253714009</v>
      </c>
    </row>
    <row r="2080" spans="1:7" x14ac:dyDescent="0.35">
      <c r="A2080" s="2">
        <v>1738</v>
      </c>
      <c r="B2080" s="2">
        <f t="shared" si="160"/>
        <v>399.64793617759278</v>
      </c>
      <c r="C2080" s="2">
        <f t="shared" si="161"/>
        <v>159718.47289100927</v>
      </c>
      <c r="D2080" s="2">
        <v>51166</v>
      </c>
      <c r="E2080" s="2">
        <f t="shared" si="162"/>
        <v>5.1166</v>
      </c>
      <c r="F2080" s="2">
        <f t="shared" si="163"/>
        <v>1.7367440166493275</v>
      </c>
      <c r="G2080" s="2">
        <f t="shared" si="164"/>
        <v>3.0162797793672396</v>
      </c>
    </row>
    <row r="2081" spans="1:7" x14ac:dyDescent="0.35">
      <c r="A2081" s="2">
        <v>1738</v>
      </c>
      <c r="B2081" s="2">
        <f t="shared" si="160"/>
        <v>399.64793617759278</v>
      </c>
      <c r="C2081" s="2">
        <f t="shared" si="161"/>
        <v>159718.47289100927</v>
      </c>
      <c r="D2081" s="2">
        <v>52290</v>
      </c>
      <c r="E2081" s="2">
        <f t="shared" si="162"/>
        <v>5.2290000000000001</v>
      </c>
      <c r="F2081" s="2">
        <f t="shared" si="163"/>
        <v>1.8491440166493276</v>
      </c>
      <c r="G2081" s="2">
        <f t="shared" si="164"/>
        <v>3.4193335943100087</v>
      </c>
    </row>
    <row r="2082" spans="1:7" x14ac:dyDescent="0.35">
      <c r="A2082" s="2">
        <v>1738</v>
      </c>
      <c r="B2082" s="2">
        <f t="shared" si="160"/>
        <v>399.64793617759278</v>
      </c>
      <c r="C2082" s="2">
        <f t="shared" si="161"/>
        <v>159718.47289100927</v>
      </c>
      <c r="D2082" s="2">
        <v>51416</v>
      </c>
      <c r="E2082" s="2">
        <f t="shared" si="162"/>
        <v>5.1416000000000004</v>
      </c>
      <c r="F2082" s="2">
        <f t="shared" si="163"/>
        <v>1.7617440166493279</v>
      </c>
      <c r="G2082" s="2">
        <f t="shared" si="164"/>
        <v>3.1037419801997075</v>
      </c>
    </row>
    <row r="2083" spans="1:7" x14ac:dyDescent="0.35">
      <c r="A2083" s="2">
        <v>1738</v>
      </c>
      <c r="B2083" s="2">
        <f t="shared" si="160"/>
        <v>399.64793617759278</v>
      </c>
      <c r="C2083" s="2">
        <f t="shared" si="161"/>
        <v>159718.47289100927</v>
      </c>
      <c r="D2083" s="2">
        <v>49812</v>
      </c>
      <c r="E2083" s="2">
        <f t="shared" si="162"/>
        <v>4.9812000000000003</v>
      </c>
      <c r="F2083" s="2">
        <f t="shared" si="163"/>
        <v>1.6013440166493278</v>
      </c>
      <c r="G2083" s="2">
        <f t="shared" si="164"/>
        <v>2.5643026596586025</v>
      </c>
    </row>
    <row r="2084" spans="1:7" x14ac:dyDescent="0.35">
      <c r="A2084" s="2">
        <v>1738</v>
      </c>
      <c r="B2084" s="2">
        <f t="shared" si="160"/>
        <v>399.64793617759278</v>
      </c>
      <c r="C2084" s="2">
        <f t="shared" si="161"/>
        <v>159718.47289100927</v>
      </c>
      <c r="D2084" s="2">
        <v>54506</v>
      </c>
      <c r="E2084" s="2">
        <f t="shared" si="162"/>
        <v>5.4505999999999997</v>
      </c>
      <c r="F2084" s="2">
        <f t="shared" si="163"/>
        <v>2.0707440166493272</v>
      </c>
      <c r="G2084" s="2">
        <f t="shared" si="164"/>
        <v>4.2879807824889893</v>
      </c>
    </row>
    <row r="2085" spans="1:7" x14ac:dyDescent="0.35">
      <c r="A2085" s="2">
        <v>1738</v>
      </c>
      <c r="B2085" s="2">
        <f t="shared" si="160"/>
        <v>399.64793617759278</v>
      </c>
      <c r="C2085" s="2">
        <f t="shared" si="161"/>
        <v>159718.47289100927</v>
      </c>
      <c r="D2085" s="2">
        <v>58525</v>
      </c>
      <c r="E2085" s="2">
        <f t="shared" si="162"/>
        <v>5.8525</v>
      </c>
      <c r="F2085" s="2">
        <f t="shared" si="163"/>
        <v>2.4726440166493275</v>
      </c>
      <c r="G2085" s="2">
        <f t="shared" si="164"/>
        <v>6.1139684330717197</v>
      </c>
    </row>
    <row r="2086" spans="1:7" x14ac:dyDescent="0.35">
      <c r="A2086" s="2">
        <v>1738</v>
      </c>
      <c r="B2086" s="2">
        <f t="shared" si="160"/>
        <v>399.64793617759278</v>
      </c>
      <c r="C2086" s="2">
        <f t="shared" si="161"/>
        <v>159718.47289100927</v>
      </c>
      <c r="D2086" s="2">
        <v>56180</v>
      </c>
      <c r="E2086" s="2">
        <f t="shared" si="162"/>
        <v>5.6180000000000003</v>
      </c>
      <c r="F2086" s="2">
        <f t="shared" si="163"/>
        <v>2.2381440166493278</v>
      </c>
      <c r="G2086" s="2">
        <f t="shared" si="164"/>
        <v>5.009288639263187</v>
      </c>
    </row>
    <row r="2087" spans="1:7" x14ac:dyDescent="0.35">
      <c r="A2087" s="2">
        <v>1738</v>
      </c>
      <c r="B2087" s="2">
        <f t="shared" si="160"/>
        <v>399.64793617759278</v>
      </c>
      <c r="C2087" s="2">
        <f t="shared" si="161"/>
        <v>159718.47289100927</v>
      </c>
      <c r="D2087" s="2">
        <v>57198</v>
      </c>
      <c r="E2087" s="2">
        <f t="shared" si="162"/>
        <v>5.7198000000000002</v>
      </c>
      <c r="F2087" s="2">
        <f t="shared" si="163"/>
        <v>2.3399440166493277</v>
      </c>
      <c r="G2087" s="2">
        <f t="shared" si="164"/>
        <v>5.4753380010529895</v>
      </c>
    </row>
    <row r="2088" spans="1:7" x14ac:dyDescent="0.35">
      <c r="A2088" s="2">
        <v>1738</v>
      </c>
      <c r="B2088" s="2">
        <f t="shared" si="160"/>
        <v>399.64793617759278</v>
      </c>
      <c r="C2088" s="2">
        <f t="shared" si="161"/>
        <v>159718.47289100927</v>
      </c>
      <c r="D2088" s="2">
        <v>61154</v>
      </c>
      <c r="E2088" s="2">
        <f t="shared" si="162"/>
        <v>6.1154000000000002</v>
      </c>
      <c r="F2088" s="2">
        <f t="shared" si="163"/>
        <v>2.7355440166493277</v>
      </c>
      <c r="G2088" s="2">
        <f t="shared" si="164"/>
        <v>7.483201067025937</v>
      </c>
    </row>
    <row r="2089" spans="1:7" x14ac:dyDescent="0.35">
      <c r="A2089" s="2">
        <v>1738</v>
      </c>
      <c r="B2089" s="2">
        <f t="shared" si="160"/>
        <v>399.64793617759278</v>
      </c>
      <c r="C2089" s="2">
        <f t="shared" si="161"/>
        <v>159718.47289100927</v>
      </c>
      <c r="D2089" s="2">
        <v>57558</v>
      </c>
      <c r="E2089" s="2">
        <f t="shared" si="162"/>
        <v>5.7557999999999998</v>
      </c>
      <c r="F2089" s="2">
        <f t="shared" si="163"/>
        <v>2.3759440166493273</v>
      </c>
      <c r="G2089" s="2">
        <f t="shared" si="164"/>
        <v>5.6451099702517391</v>
      </c>
    </row>
    <row r="2090" spans="1:7" x14ac:dyDescent="0.35">
      <c r="A2090" s="2">
        <v>1738</v>
      </c>
      <c r="B2090" s="2">
        <f t="shared" si="160"/>
        <v>399.64793617759278</v>
      </c>
      <c r="C2090" s="2">
        <f t="shared" si="161"/>
        <v>159718.47289100927</v>
      </c>
      <c r="D2090" s="2">
        <v>62514</v>
      </c>
      <c r="E2090" s="2">
        <f t="shared" si="162"/>
        <v>6.2514000000000003</v>
      </c>
      <c r="F2090" s="2">
        <f t="shared" si="163"/>
        <v>2.8715440166493278</v>
      </c>
      <c r="G2090" s="2">
        <f t="shared" si="164"/>
        <v>8.2457650395545556</v>
      </c>
    </row>
    <row r="2091" spans="1:7" x14ac:dyDescent="0.35">
      <c r="A2091" s="2">
        <v>1738</v>
      </c>
      <c r="B2091" s="2">
        <f t="shared" si="160"/>
        <v>399.64793617759278</v>
      </c>
      <c r="C2091" s="2">
        <f t="shared" si="161"/>
        <v>159718.47289100927</v>
      </c>
      <c r="D2091" s="2">
        <v>65901</v>
      </c>
      <c r="E2091" s="2">
        <f t="shared" si="162"/>
        <v>6.5900999999999996</v>
      </c>
      <c r="F2091" s="2">
        <f t="shared" si="163"/>
        <v>3.2102440166493271</v>
      </c>
      <c r="G2091" s="2">
        <f t="shared" si="164"/>
        <v>10.305666646432805</v>
      </c>
    </row>
    <row r="2092" spans="1:7" x14ac:dyDescent="0.35">
      <c r="A2092" s="2">
        <v>1738</v>
      </c>
      <c r="B2092" s="2">
        <f t="shared" si="160"/>
        <v>399.64793617759278</v>
      </c>
      <c r="C2092" s="2">
        <f t="shared" si="161"/>
        <v>159718.47289100927</v>
      </c>
      <c r="D2092" s="2">
        <v>66941</v>
      </c>
      <c r="E2092" s="2">
        <f t="shared" si="162"/>
        <v>6.6940999999999997</v>
      </c>
      <c r="F2092" s="2">
        <f t="shared" si="163"/>
        <v>3.3142440166493272</v>
      </c>
      <c r="G2092" s="2">
        <f t="shared" si="164"/>
        <v>10.984213401895866</v>
      </c>
    </row>
    <row r="2093" spans="1:7" x14ac:dyDescent="0.35">
      <c r="A2093" s="2">
        <v>1738</v>
      </c>
      <c r="B2093" s="2">
        <f t="shared" si="160"/>
        <v>399.64793617759278</v>
      </c>
      <c r="C2093" s="2">
        <f t="shared" si="161"/>
        <v>159718.47289100927</v>
      </c>
      <c r="D2093" s="2">
        <v>66876</v>
      </c>
      <c r="E2093" s="2">
        <f t="shared" si="162"/>
        <v>6.6875999999999998</v>
      </c>
      <c r="F2093" s="2">
        <f t="shared" si="163"/>
        <v>3.3077440166493273</v>
      </c>
      <c r="G2093" s="2">
        <f t="shared" si="164"/>
        <v>10.941170479679425</v>
      </c>
    </row>
    <row r="2094" spans="1:7" x14ac:dyDescent="0.35">
      <c r="A2094" s="2">
        <v>1738</v>
      </c>
      <c r="B2094" s="2">
        <f t="shared" si="160"/>
        <v>399.64793617759278</v>
      </c>
      <c r="C2094" s="2">
        <f t="shared" si="161"/>
        <v>159718.47289100927</v>
      </c>
      <c r="D2094" s="2">
        <v>64401</v>
      </c>
      <c r="E2094" s="2">
        <f t="shared" si="162"/>
        <v>6.4401000000000002</v>
      </c>
      <c r="F2094" s="2">
        <f t="shared" si="163"/>
        <v>3.0602440166493277</v>
      </c>
      <c r="G2094" s="2">
        <f t="shared" si="164"/>
        <v>9.3650934414380096</v>
      </c>
    </row>
    <row r="2095" spans="1:7" x14ac:dyDescent="0.35">
      <c r="A2095" s="2">
        <v>1738</v>
      </c>
      <c r="B2095" s="2">
        <f t="shared" si="160"/>
        <v>399.64793617759278</v>
      </c>
      <c r="C2095" s="2">
        <f t="shared" si="161"/>
        <v>159718.47289100927</v>
      </c>
      <c r="D2095" s="2">
        <v>68971</v>
      </c>
      <c r="E2095" s="2">
        <f t="shared" si="162"/>
        <v>6.8971</v>
      </c>
      <c r="F2095" s="2">
        <f t="shared" si="163"/>
        <v>3.5172440166493275</v>
      </c>
      <c r="G2095" s="2">
        <f t="shared" si="164"/>
        <v>12.371005472655495</v>
      </c>
    </row>
    <row r="2096" spans="1:7" x14ac:dyDescent="0.35">
      <c r="A2096" s="2">
        <v>1738</v>
      </c>
      <c r="B2096" s="2">
        <f t="shared" si="160"/>
        <v>399.64793617759278</v>
      </c>
      <c r="C2096" s="2">
        <f t="shared" si="161"/>
        <v>159718.47289100927</v>
      </c>
      <c r="D2096" s="2">
        <v>68732</v>
      </c>
      <c r="E2096" s="2">
        <f t="shared" si="162"/>
        <v>6.8731999999999998</v>
      </c>
      <c r="F2096" s="2">
        <f t="shared" si="163"/>
        <v>3.4933440166493273</v>
      </c>
      <c r="G2096" s="2">
        <f t="shared" si="164"/>
        <v>12.203452418659655</v>
      </c>
    </row>
    <row r="2097" spans="1:7" x14ac:dyDescent="0.35">
      <c r="A2097" s="2">
        <v>1738</v>
      </c>
      <c r="B2097" s="2">
        <f t="shared" si="160"/>
        <v>399.64793617759278</v>
      </c>
      <c r="C2097" s="2">
        <f t="shared" si="161"/>
        <v>159718.47289100927</v>
      </c>
      <c r="D2097" s="2">
        <v>66817</v>
      </c>
      <c r="E2097" s="2">
        <f t="shared" si="162"/>
        <v>6.6817000000000002</v>
      </c>
      <c r="F2097" s="2">
        <f t="shared" si="163"/>
        <v>3.3018440166493277</v>
      </c>
      <c r="G2097" s="2">
        <f t="shared" si="164"/>
        <v>10.902173910282967</v>
      </c>
    </row>
    <row r="2098" spans="1:7" x14ac:dyDescent="0.35">
      <c r="A2098" s="2">
        <v>1738</v>
      </c>
      <c r="B2098" s="2">
        <f t="shared" si="160"/>
        <v>399.64793617759278</v>
      </c>
      <c r="C2098" s="2">
        <f t="shared" si="161"/>
        <v>159718.47289100927</v>
      </c>
      <c r="D2098" s="2">
        <v>73089</v>
      </c>
      <c r="E2098" s="2">
        <f t="shared" si="162"/>
        <v>7.3089000000000004</v>
      </c>
      <c r="F2098" s="2">
        <f t="shared" si="163"/>
        <v>3.9290440166493279</v>
      </c>
      <c r="G2098" s="2">
        <f t="shared" si="164"/>
        <v>15.437386884767884</v>
      </c>
    </row>
    <row r="2099" spans="1:7" x14ac:dyDescent="0.35">
      <c r="A2099" s="2">
        <v>1738</v>
      </c>
      <c r="B2099" s="2">
        <f t="shared" si="160"/>
        <v>399.64793617759278</v>
      </c>
      <c r="C2099" s="2">
        <f t="shared" si="161"/>
        <v>159718.47289100927</v>
      </c>
      <c r="D2099" s="2">
        <v>73926</v>
      </c>
      <c r="E2099" s="2">
        <f t="shared" si="162"/>
        <v>7.3925999999999998</v>
      </c>
      <c r="F2099" s="2">
        <f t="shared" si="163"/>
        <v>4.0127440166493269</v>
      </c>
      <c r="G2099" s="2">
        <f t="shared" si="164"/>
        <v>16.102114543154972</v>
      </c>
    </row>
    <row r="2100" spans="1:7" x14ac:dyDescent="0.35">
      <c r="A2100" s="2">
        <v>1738</v>
      </c>
      <c r="B2100" s="2">
        <f t="shared" si="160"/>
        <v>399.64793617759278</v>
      </c>
      <c r="C2100" s="2">
        <f t="shared" si="161"/>
        <v>159718.47289100927</v>
      </c>
      <c r="D2100" s="2">
        <v>72850</v>
      </c>
      <c r="E2100" s="2">
        <f t="shared" si="162"/>
        <v>7.2850000000000001</v>
      </c>
      <c r="F2100" s="2">
        <f t="shared" si="163"/>
        <v>3.9051440166493276</v>
      </c>
      <c r="G2100" s="2">
        <f t="shared" si="164"/>
        <v>15.250149790772044</v>
      </c>
    </row>
    <row r="2101" spans="1:7" x14ac:dyDescent="0.35">
      <c r="A2101" s="2">
        <v>1738</v>
      </c>
      <c r="B2101" s="2">
        <f t="shared" si="160"/>
        <v>399.64793617759278</v>
      </c>
      <c r="C2101" s="2">
        <f t="shared" si="161"/>
        <v>159718.47289100927</v>
      </c>
      <c r="D2101" s="2">
        <v>72980</v>
      </c>
      <c r="E2101" s="2">
        <f t="shared" si="162"/>
        <v>7.298</v>
      </c>
      <c r="F2101" s="2">
        <f t="shared" si="163"/>
        <v>3.9181440166493275</v>
      </c>
      <c r="G2101" s="2">
        <f t="shared" si="164"/>
        <v>15.351852535204927</v>
      </c>
    </row>
    <row r="2102" spans="1:7" x14ac:dyDescent="0.35">
      <c r="A2102" s="2">
        <v>1738</v>
      </c>
      <c r="B2102" s="2">
        <f t="shared" si="160"/>
        <v>399.64793617759278</v>
      </c>
      <c r="C2102" s="2">
        <f t="shared" si="161"/>
        <v>159718.47289100927</v>
      </c>
      <c r="D2102" s="2">
        <v>77851</v>
      </c>
      <c r="E2102" s="2">
        <f t="shared" si="162"/>
        <v>7.7850999999999999</v>
      </c>
      <c r="F2102" s="2">
        <f t="shared" si="163"/>
        <v>4.405244016649327</v>
      </c>
      <c r="G2102" s="2">
        <f t="shared" si="164"/>
        <v>19.406174846224697</v>
      </c>
    </row>
    <row r="2103" spans="1:7" x14ac:dyDescent="0.35">
      <c r="A2103" s="2">
        <v>1738</v>
      </c>
      <c r="B2103" s="2">
        <f t="shared" si="160"/>
        <v>399.64793617759278</v>
      </c>
      <c r="C2103" s="2">
        <f t="shared" si="161"/>
        <v>159718.47289100927</v>
      </c>
      <c r="D2103" s="2">
        <v>77112</v>
      </c>
      <c r="E2103" s="2">
        <f t="shared" si="162"/>
        <v>7.7111999999999998</v>
      </c>
      <c r="F2103" s="2">
        <f t="shared" si="163"/>
        <v>4.3313440166493269</v>
      </c>
      <c r="G2103" s="2">
        <f t="shared" si="164"/>
        <v>18.760540990563925</v>
      </c>
    </row>
    <row r="2104" spans="1:7" x14ac:dyDescent="0.35">
      <c r="A2104" s="2">
        <v>1738</v>
      </c>
      <c r="B2104" s="2">
        <f t="shared" si="160"/>
        <v>399.64793617759278</v>
      </c>
      <c r="C2104" s="2">
        <f t="shared" si="161"/>
        <v>159718.47289100927</v>
      </c>
      <c r="D2104" s="2">
        <v>75953</v>
      </c>
      <c r="E2104" s="2">
        <f t="shared" si="162"/>
        <v>7.5952999999999999</v>
      </c>
      <c r="F2104" s="2">
        <f t="shared" si="163"/>
        <v>4.215444016649327</v>
      </c>
      <c r="G2104" s="2">
        <f t="shared" si="164"/>
        <v>17.769968257504612</v>
      </c>
    </row>
    <row r="2105" spans="1:7" x14ac:dyDescent="0.35">
      <c r="A2105" s="2">
        <v>1738</v>
      </c>
      <c r="B2105" s="2">
        <f t="shared" si="160"/>
        <v>399.64793617759278</v>
      </c>
      <c r="C2105" s="2">
        <f t="shared" si="161"/>
        <v>159718.47289100927</v>
      </c>
      <c r="D2105" s="2">
        <v>78884</v>
      </c>
      <c r="E2105" s="2">
        <f t="shared" si="162"/>
        <v>7.8883999999999999</v>
      </c>
      <c r="F2105" s="2">
        <f t="shared" si="163"/>
        <v>4.5085440166493278</v>
      </c>
      <c r="G2105" s="2">
        <f t="shared" si="164"/>
        <v>20.326969150064453</v>
      </c>
    </row>
    <row r="2106" spans="1:7" x14ac:dyDescent="0.35">
      <c r="A2106" s="2">
        <v>1738</v>
      </c>
      <c r="B2106" s="2">
        <f t="shared" si="160"/>
        <v>399.64793617759278</v>
      </c>
      <c r="C2106" s="2">
        <f t="shared" si="161"/>
        <v>159718.47289100927</v>
      </c>
      <c r="D2106" s="2">
        <v>75453</v>
      </c>
      <c r="E2106" s="2">
        <f t="shared" si="162"/>
        <v>7.5453000000000001</v>
      </c>
      <c r="F2106" s="2">
        <f t="shared" si="163"/>
        <v>4.1654440166493281</v>
      </c>
      <c r="G2106" s="2">
        <f t="shared" si="164"/>
        <v>17.350923855839689</v>
      </c>
    </row>
    <row r="2107" spans="1:7" x14ac:dyDescent="0.35">
      <c r="A2107" s="2">
        <v>2348</v>
      </c>
      <c r="B2107" s="2">
        <f t="shared" si="160"/>
        <v>1009.6479361775928</v>
      </c>
      <c r="C2107" s="2">
        <f t="shared" si="161"/>
        <v>1019388.9550276725</v>
      </c>
      <c r="D2107" s="2">
        <v>25879</v>
      </c>
      <c r="E2107" s="2">
        <f t="shared" si="162"/>
        <v>2.5878999999999999</v>
      </c>
      <c r="F2107" s="2">
        <f t="shared" si="163"/>
        <v>-0.79195598335067263</v>
      </c>
      <c r="G2107" s="2">
        <f t="shared" si="164"/>
        <v>0.6271942795649309</v>
      </c>
    </row>
    <row r="2108" spans="1:7" x14ac:dyDescent="0.35">
      <c r="A2108" s="2">
        <v>2348</v>
      </c>
      <c r="B2108" s="2">
        <f t="shared" si="160"/>
        <v>1009.6479361775928</v>
      </c>
      <c r="C2108" s="2">
        <f t="shared" si="161"/>
        <v>1019388.9550276725</v>
      </c>
      <c r="D2108" s="2">
        <v>27173</v>
      </c>
      <c r="E2108" s="2">
        <f t="shared" si="162"/>
        <v>2.7172999999999998</v>
      </c>
      <c r="F2108" s="2">
        <f t="shared" si="163"/>
        <v>-0.66255598335067267</v>
      </c>
      <c r="G2108" s="2">
        <f t="shared" si="164"/>
        <v>0.43898043107377682</v>
      </c>
    </row>
    <row r="2109" spans="1:7" x14ac:dyDescent="0.35">
      <c r="A2109" s="2">
        <v>2348</v>
      </c>
      <c r="B2109" s="2">
        <f t="shared" si="160"/>
        <v>1009.6479361775928</v>
      </c>
      <c r="C2109" s="2">
        <f t="shared" si="161"/>
        <v>1019388.9550276725</v>
      </c>
      <c r="D2109" s="2">
        <v>26229</v>
      </c>
      <c r="E2109" s="2">
        <f t="shared" si="162"/>
        <v>2.6229</v>
      </c>
      <c r="F2109" s="2">
        <f t="shared" si="163"/>
        <v>-0.75695598335067249</v>
      </c>
      <c r="G2109" s="2">
        <f t="shared" si="164"/>
        <v>0.57298236073038356</v>
      </c>
    </row>
    <row r="2110" spans="1:7" x14ac:dyDescent="0.35">
      <c r="A2110" s="2">
        <v>2348</v>
      </c>
      <c r="B2110" s="2">
        <f t="shared" si="160"/>
        <v>1009.6479361775928</v>
      </c>
      <c r="C2110" s="2">
        <f t="shared" si="161"/>
        <v>1019388.9550276725</v>
      </c>
      <c r="D2110" s="2">
        <v>27046</v>
      </c>
      <c r="E2110" s="2">
        <f t="shared" si="162"/>
        <v>2.7046000000000001</v>
      </c>
      <c r="F2110" s="2">
        <f t="shared" si="163"/>
        <v>-0.67525598335067238</v>
      </c>
      <c r="G2110" s="2">
        <f t="shared" si="164"/>
        <v>0.45597064305088353</v>
      </c>
    </row>
    <row r="2111" spans="1:7" x14ac:dyDescent="0.35">
      <c r="A2111" s="2">
        <v>2348</v>
      </c>
      <c r="B2111" s="2">
        <f t="shared" si="160"/>
        <v>1009.6479361775928</v>
      </c>
      <c r="C2111" s="2">
        <f t="shared" si="161"/>
        <v>1019388.9550276725</v>
      </c>
      <c r="D2111" s="2">
        <v>29786</v>
      </c>
      <c r="E2111" s="2">
        <f t="shared" si="162"/>
        <v>2.9786000000000001</v>
      </c>
      <c r="F2111" s="2">
        <f t="shared" si="163"/>
        <v>-0.40125598335067236</v>
      </c>
      <c r="G2111" s="2">
        <f t="shared" si="164"/>
        <v>0.16100636417471506</v>
      </c>
    </row>
    <row r="2112" spans="1:7" x14ac:dyDescent="0.35">
      <c r="A2112" s="2">
        <v>2348</v>
      </c>
      <c r="B2112" s="2">
        <f t="shared" si="160"/>
        <v>1009.6479361775928</v>
      </c>
      <c r="C2112" s="2">
        <f t="shared" si="161"/>
        <v>1019388.9550276725</v>
      </c>
      <c r="D2112" s="2">
        <v>28243</v>
      </c>
      <c r="E2112" s="2">
        <f t="shared" si="162"/>
        <v>2.8243</v>
      </c>
      <c r="F2112" s="2">
        <f t="shared" si="163"/>
        <v>-0.55555598335067247</v>
      </c>
      <c r="G2112" s="2">
        <f t="shared" si="164"/>
        <v>0.30864245063673268</v>
      </c>
    </row>
    <row r="2113" spans="1:7" x14ac:dyDescent="0.35">
      <c r="A2113" s="2">
        <v>2348</v>
      </c>
      <c r="B2113" s="2">
        <f t="shared" si="160"/>
        <v>1009.6479361775928</v>
      </c>
      <c r="C2113" s="2">
        <f t="shared" si="161"/>
        <v>1019388.9550276725</v>
      </c>
      <c r="D2113" s="2">
        <v>28545</v>
      </c>
      <c r="E2113" s="2">
        <f t="shared" si="162"/>
        <v>2.8544999999999998</v>
      </c>
      <c r="F2113" s="2">
        <f t="shared" si="163"/>
        <v>-0.52535598335067268</v>
      </c>
      <c r="G2113" s="2">
        <f t="shared" si="164"/>
        <v>0.27599890924235226</v>
      </c>
    </row>
    <row r="2114" spans="1:7" x14ac:dyDescent="0.35">
      <c r="A2114" s="2">
        <v>2348</v>
      </c>
      <c r="B2114" s="2">
        <f t="shared" si="160"/>
        <v>1009.6479361775928</v>
      </c>
      <c r="C2114" s="2">
        <f t="shared" si="161"/>
        <v>1019388.9550276725</v>
      </c>
      <c r="D2114" s="2">
        <v>28742</v>
      </c>
      <c r="E2114" s="2">
        <f t="shared" si="162"/>
        <v>2.8742000000000001</v>
      </c>
      <c r="F2114" s="2">
        <f t="shared" si="163"/>
        <v>-0.50565598335067241</v>
      </c>
      <c r="G2114" s="2">
        <f t="shared" si="164"/>
        <v>0.2556879734983355</v>
      </c>
    </row>
    <row r="2115" spans="1:7" x14ac:dyDescent="0.35">
      <c r="A2115" s="2">
        <v>2348</v>
      </c>
      <c r="B2115" s="2">
        <f t="shared" ref="B2115:B2178" si="165">A2115-$J$1</f>
        <v>1009.6479361775928</v>
      </c>
      <c r="C2115" s="2">
        <f t="shared" ref="C2115:C2178" si="166">B2115^2</f>
        <v>1019388.9550276725</v>
      </c>
      <c r="D2115" s="2">
        <v>28859</v>
      </c>
      <c r="E2115" s="2">
        <f t="shared" ref="E2115:E2178" si="167">D2115/10000</f>
        <v>2.8858999999999999</v>
      </c>
      <c r="F2115" s="2">
        <f t="shared" ref="F2115:F2178" si="168">E2115-$J$2</f>
        <v>-0.49395598335067259</v>
      </c>
      <c r="G2115" s="2">
        <f t="shared" ref="G2115:G2178" si="169">F2115^2</f>
        <v>0.24399251348792994</v>
      </c>
    </row>
    <row r="2116" spans="1:7" x14ac:dyDescent="0.35">
      <c r="A2116" s="2">
        <v>2348</v>
      </c>
      <c r="B2116" s="2">
        <f t="shared" si="165"/>
        <v>1009.6479361775928</v>
      </c>
      <c r="C2116" s="2">
        <f t="shared" si="166"/>
        <v>1019388.9550276725</v>
      </c>
      <c r="D2116" s="2">
        <v>28043</v>
      </c>
      <c r="E2116" s="2">
        <f t="shared" si="167"/>
        <v>2.8043</v>
      </c>
      <c r="F2116" s="2">
        <f t="shared" si="168"/>
        <v>-0.57555598335067248</v>
      </c>
      <c r="G2116" s="2">
        <f t="shared" si="169"/>
        <v>0.33126468997075958</v>
      </c>
    </row>
    <row r="2117" spans="1:7" x14ac:dyDescent="0.35">
      <c r="A2117" s="2">
        <v>2348</v>
      </c>
      <c r="B2117" s="2">
        <f t="shared" si="165"/>
        <v>1009.6479361775928</v>
      </c>
      <c r="C2117" s="2">
        <f t="shared" si="166"/>
        <v>1019388.9550276725</v>
      </c>
      <c r="D2117" s="2">
        <v>28558</v>
      </c>
      <c r="E2117" s="2">
        <f t="shared" si="167"/>
        <v>2.8557999999999999</v>
      </c>
      <c r="F2117" s="2">
        <f t="shared" si="168"/>
        <v>-0.52405598335067261</v>
      </c>
      <c r="G2117" s="2">
        <f t="shared" si="169"/>
        <v>0.27463467368564043</v>
      </c>
    </row>
    <row r="2118" spans="1:7" x14ac:dyDescent="0.35">
      <c r="A2118" s="2">
        <v>2348</v>
      </c>
      <c r="B2118" s="2">
        <f t="shared" si="165"/>
        <v>1009.6479361775928</v>
      </c>
      <c r="C2118" s="2">
        <f t="shared" si="166"/>
        <v>1019388.9550276725</v>
      </c>
      <c r="D2118" s="2">
        <v>29329</v>
      </c>
      <c r="E2118" s="2">
        <f t="shared" si="167"/>
        <v>2.9329000000000001</v>
      </c>
      <c r="F2118" s="2">
        <f t="shared" si="168"/>
        <v>-0.44695598335067244</v>
      </c>
      <c r="G2118" s="2">
        <f t="shared" si="169"/>
        <v>0.19976965105296657</v>
      </c>
    </row>
    <row r="2119" spans="1:7" x14ac:dyDescent="0.35">
      <c r="A2119" s="2">
        <v>2348</v>
      </c>
      <c r="B2119" s="2">
        <f t="shared" si="165"/>
        <v>1009.6479361775928</v>
      </c>
      <c r="C2119" s="2">
        <f t="shared" si="166"/>
        <v>1019388.9550276725</v>
      </c>
      <c r="D2119" s="2">
        <v>26986</v>
      </c>
      <c r="E2119" s="2">
        <f t="shared" si="167"/>
        <v>2.6985999999999999</v>
      </c>
      <c r="F2119" s="2">
        <f t="shared" si="168"/>
        <v>-0.68125598335067261</v>
      </c>
      <c r="G2119" s="2">
        <f t="shared" si="169"/>
        <v>0.46410971485109193</v>
      </c>
    </row>
    <row r="2120" spans="1:7" x14ac:dyDescent="0.35">
      <c r="A2120" s="2">
        <v>2348</v>
      </c>
      <c r="B2120" s="2">
        <f t="shared" si="165"/>
        <v>1009.6479361775928</v>
      </c>
      <c r="C2120" s="2">
        <f t="shared" si="166"/>
        <v>1019388.9550276725</v>
      </c>
      <c r="D2120" s="2">
        <v>29468</v>
      </c>
      <c r="E2120" s="2">
        <f t="shared" si="167"/>
        <v>2.9468000000000001</v>
      </c>
      <c r="F2120" s="2">
        <f t="shared" si="168"/>
        <v>-0.43305598335067241</v>
      </c>
      <c r="G2120" s="2">
        <f t="shared" si="169"/>
        <v>0.18753748471581785</v>
      </c>
    </row>
    <row r="2121" spans="1:7" x14ac:dyDescent="0.35">
      <c r="A2121" s="2">
        <v>2348</v>
      </c>
      <c r="B2121" s="2">
        <f t="shared" si="165"/>
        <v>1009.6479361775928</v>
      </c>
      <c r="C2121" s="2">
        <f t="shared" si="166"/>
        <v>1019388.9550276725</v>
      </c>
      <c r="D2121" s="2">
        <v>30681</v>
      </c>
      <c r="E2121" s="2">
        <f t="shared" si="167"/>
        <v>3.0680999999999998</v>
      </c>
      <c r="F2121" s="2">
        <f t="shared" si="168"/>
        <v>-0.31175598335067267</v>
      </c>
      <c r="G2121" s="2">
        <f t="shared" si="169"/>
        <v>9.7191793154944903E-2</v>
      </c>
    </row>
    <row r="2122" spans="1:7" x14ac:dyDescent="0.35">
      <c r="A2122" s="2">
        <v>2348</v>
      </c>
      <c r="B2122" s="2">
        <f t="shared" si="165"/>
        <v>1009.6479361775928</v>
      </c>
      <c r="C2122" s="2">
        <f t="shared" si="166"/>
        <v>1019388.9550276725</v>
      </c>
      <c r="D2122" s="2">
        <v>31866</v>
      </c>
      <c r="E2122" s="2">
        <f t="shared" si="167"/>
        <v>3.1865999999999999</v>
      </c>
      <c r="F2122" s="2">
        <f t="shared" si="168"/>
        <v>-0.19325598335067262</v>
      </c>
      <c r="G2122" s="2">
        <f t="shared" si="169"/>
        <v>3.7347875100835454E-2</v>
      </c>
    </row>
    <row r="2123" spans="1:7" x14ac:dyDescent="0.35">
      <c r="A2123" s="2">
        <v>2348</v>
      </c>
      <c r="B2123" s="2">
        <f t="shared" si="165"/>
        <v>1009.6479361775928</v>
      </c>
      <c r="C2123" s="2">
        <f t="shared" si="166"/>
        <v>1019388.9550276725</v>
      </c>
      <c r="D2123" s="2">
        <v>32797</v>
      </c>
      <c r="E2123" s="2">
        <f t="shared" si="167"/>
        <v>3.2797000000000001</v>
      </c>
      <c r="F2123" s="2">
        <f t="shared" si="168"/>
        <v>-0.10015598335067244</v>
      </c>
      <c r="G2123" s="2">
        <f t="shared" si="169"/>
        <v>1.0031221000940175E-2</v>
      </c>
    </row>
    <row r="2124" spans="1:7" x14ac:dyDescent="0.35">
      <c r="A2124" s="2">
        <v>2348</v>
      </c>
      <c r="B2124" s="2">
        <f t="shared" si="165"/>
        <v>1009.6479361775928</v>
      </c>
      <c r="C2124" s="2">
        <f t="shared" si="166"/>
        <v>1019388.9550276725</v>
      </c>
      <c r="D2124" s="2">
        <v>35130</v>
      </c>
      <c r="E2124" s="2">
        <f t="shared" si="167"/>
        <v>3.5129999999999999</v>
      </c>
      <c r="F2124" s="2">
        <f t="shared" si="168"/>
        <v>0.1331440166493274</v>
      </c>
      <c r="G2124" s="2">
        <f t="shared" si="169"/>
        <v>1.7727329169516373E-2</v>
      </c>
    </row>
    <row r="2125" spans="1:7" x14ac:dyDescent="0.35">
      <c r="A2125" s="2">
        <v>2348</v>
      </c>
      <c r="B2125" s="2">
        <f t="shared" si="165"/>
        <v>1009.6479361775928</v>
      </c>
      <c r="C2125" s="2">
        <f t="shared" si="166"/>
        <v>1019388.9550276725</v>
      </c>
      <c r="D2125" s="2">
        <v>35876</v>
      </c>
      <c r="E2125" s="2">
        <f t="shared" si="167"/>
        <v>3.5876000000000001</v>
      </c>
      <c r="F2125" s="2">
        <f t="shared" si="168"/>
        <v>0.20774401664932762</v>
      </c>
      <c r="G2125" s="2">
        <f t="shared" si="169"/>
        <v>4.3157576453596115E-2</v>
      </c>
    </row>
    <row r="2126" spans="1:7" x14ac:dyDescent="0.35">
      <c r="A2126" s="2">
        <v>2348</v>
      </c>
      <c r="B2126" s="2">
        <f t="shared" si="165"/>
        <v>1009.6479361775928</v>
      </c>
      <c r="C2126" s="2">
        <f t="shared" si="166"/>
        <v>1019388.9550276725</v>
      </c>
      <c r="D2126" s="2">
        <v>36844</v>
      </c>
      <c r="E2126" s="2">
        <f t="shared" si="167"/>
        <v>3.6844000000000001</v>
      </c>
      <c r="F2126" s="2">
        <f t="shared" si="168"/>
        <v>0.30454401664932762</v>
      </c>
      <c r="G2126" s="2">
        <f t="shared" si="169"/>
        <v>9.2747058076905933E-2</v>
      </c>
    </row>
    <row r="2127" spans="1:7" x14ac:dyDescent="0.35">
      <c r="A2127" s="2">
        <v>2348</v>
      </c>
      <c r="B2127" s="2">
        <f t="shared" si="165"/>
        <v>1009.6479361775928</v>
      </c>
      <c r="C2127" s="2">
        <f t="shared" si="166"/>
        <v>1019388.9550276725</v>
      </c>
      <c r="D2127" s="2">
        <v>38008</v>
      </c>
      <c r="E2127" s="2">
        <f t="shared" si="167"/>
        <v>3.8008000000000002</v>
      </c>
      <c r="F2127" s="2">
        <f t="shared" si="168"/>
        <v>0.42094401664932768</v>
      </c>
      <c r="G2127" s="2">
        <f t="shared" si="169"/>
        <v>0.17719386515286945</v>
      </c>
    </row>
    <row r="2128" spans="1:7" x14ac:dyDescent="0.35">
      <c r="A2128" s="2">
        <v>2348</v>
      </c>
      <c r="B2128" s="2">
        <f t="shared" si="165"/>
        <v>1009.6479361775928</v>
      </c>
      <c r="C2128" s="2">
        <f t="shared" si="166"/>
        <v>1019388.9550276725</v>
      </c>
      <c r="D2128" s="2">
        <v>37703</v>
      </c>
      <c r="E2128" s="2">
        <f t="shared" si="167"/>
        <v>3.7703000000000002</v>
      </c>
      <c r="F2128" s="2">
        <f t="shared" si="168"/>
        <v>0.39044401664932771</v>
      </c>
      <c r="G2128" s="2">
        <f t="shared" si="169"/>
        <v>0.15244653013726051</v>
      </c>
    </row>
    <row r="2129" spans="1:7" x14ac:dyDescent="0.35">
      <c r="A2129" s="2">
        <v>2348</v>
      </c>
      <c r="B2129" s="2">
        <f t="shared" si="165"/>
        <v>1009.6479361775928</v>
      </c>
      <c r="C2129" s="2">
        <f t="shared" si="166"/>
        <v>1019388.9550276725</v>
      </c>
      <c r="D2129" s="2">
        <v>35890</v>
      </c>
      <c r="E2129" s="2">
        <f t="shared" si="167"/>
        <v>3.589</v>
      </c>
      <c r="F2129" s="2">
        <f t="shared" si="168"/>
        <v>0.20914401664932747</v>
      </c>
      <c r="G2129" s="2">
        <f t="shared" si="169"/>
        <v>4.3741219700214162E-2</v>
      </c>
    </row>
    <row r="2130" spans="1:7" x14ac:dyDescent="0.35">
      <c r="A2130" s="2">
        <v>2348</v>
      </c>
      <c r="B2130" s="2">
        <f t="shared" si="165"/>
        <v>1009.6479361775928</v>
      </c>
      <c r="C2130" s="2">
        <f t="shared" si="166"/>
        <v>1019388.9550276725</v>
      </c>
      <c r="D2130" s="2">
        <v>36224</v>
      </c>
      <c r="E2130" s="2">
        <f t="shared" si="167"/>
        <v>3.6223999999999998</v>
      </c>
      <c r="F2130" s="2">
        <f t="shared" si="168"/>
        <v>0.24254401664932734</v>
      </c>
      <c r="G2130" s="2">
        <f t="shared" si="169"/>
        <v>5.8827600012389181E-2</v>
      </c>
    </row>
    <row r="2131" spans="1:7" x14ac:dyDescent="0.35">
      <c r="A2131" s="2">
        <v>2348</v>
      </c>
      <c r="B2131" s="2">
        <f t="shared" si="165"/>
        <v>1009.6479361775928</v>
      </c>
      <c r="C2131" s="2">
        <f t="shared" si="166"/>
        <v>1019388.9550276725</v>
      </c>
      <c r="D2131" s="2">
        <v>36776</v>
      </c>
      <c r="E2131" s="2">
        <f t="shared" si="167"/>
        <v>3.6776</v>
      </c>
      <c r="F2131" s="2">
        <f t="shared" si="168"/>
        <v>0.29774401664932748</v>
      </c>
      <c r="G2131" s="2">
        <f t="shared" si="169"/>
        <v>8.8651499450474999E-2</v>
      </c>
    </row>
    <row r="2132" spans="1:7" x14ac:dyDescent="0.35">
      <c r="A2132" s="2">
        <v>2348</v>
      </c>
      <c r="B2132" s="2">
        <f t="shared" si="165"/>
        <v>1009.6479361775928</v>
      </c>
      <c r="C2132" s="2">
        <f t="shared" si="166"/>
        <v>1019388.9550276725</v>
      </c>
      <c r="D2132" s="2">
        <v>38448</v>
      </c>
      <c r="E2132" s="2">
        <f t="shared" si="167"/>
        <v>3.8448000000000002</v>
      </c>
      <c r="F2132" s="2">
        <f t="shared" si="168"/>
        <v>0.46494401664932772</v>
      </c>
      <c r="G2132" s="2">
        <f t="shared" si="169"/>
        <v>0.21617293861801032</v>
      </c>
    </row>
    <row r="2133" spans="1:7" x14ac:dyDescent="0.35">
      <c r="A2133" s="2">
        <v>2348</v>
      </c>
      <c r="B2133" s="2">
        <f t="shared" si="165"/>
        <v>1009.6479361775928</v>
      </c>
      <c r="C2133" s="2">
        <f t="shared" si="166"/>
        <v>1019388.9550276725</v>
      </c>
      <c r="D2133" s="2">
        <v>38852</v>
      </c>
      <c r="E2133" s="2">
        <f t="shared" si="167"/>
        <v>3.8852000000000002</v>
      </c>
      <c r="F2133" s="2">
        <f t="shared" si="168"/>
        <v>0.50534401664932771</v>
      </c>
      <c r="G2133" s="2">
        <f t="shared" si="169"/>
        <v>0.25537257516327599</v>
      </c>
    </row>
    <row r="2134" spans="1:7" x14ac:dyDescent="0.35">
      <c r="A2134" s="2">
        <v>2348</v>
      </c>
      <c r="B2134" s="2">
        <f t="shared" si="165"/>
        <v>1009.6479361775928</v>
      </c>
      <c r="C2134" s="2">
        <f t="shared" si="166"/>
        <v>1019388.9550276725</v>
      </c>
      <c r="D2134" s="2">
        <v>40019</v>
      </c>
      <c r="E2134" s="2">
        <f t="shared" si="167"/>
        <v>4.0019</v>
      </c>
      <c r="F2134" s="2">
        <f t="shared" si="168"/>
        <v>0.62204401664932751</v>
      </c>
      <c r="G2134" s="2">
        <f t="shared" si="169"/>
        <v>0.38693875864922883</v>
      </c>
    </row>
    <row r="2135" spans="1:7" x14ac:dyDescent="0.35">
      <c r="A2135" s="2">
        <v>2348</v>
      </c>
      <c r="B2135" s="2">
        <f t="shared" si="165"/>
        <v>1009.6479361775928</v>
      </c>
      <c r="C2135" s="2">
        <f t="shared" si="166"/>
        <v>1019388.9550276725</v>
      </c>
      <c r="D2135" s="2">
        <v>38980</v>
      </c>
      <c r="E2135" s="2">
        <f t="shared" si="167"/>
        <v>3.8980000000000001</v>
      </c>
      <c r="F2135" s="2">
        <f t="shared" si="168"/>
        <v>0.51814401664932763</v>
      </c>
      <c r="G2135" s="2">
        <f t="shared" si="169"/>
        <v>0.26847322198949869</v>
      </c>
    </row>
    <row r="2136" spans="1:7" x14ac:dyDescent="0.35">
      <c r="A2136" s="2">
        <v>2348</v>
      </c>
      <c r="B2136" s="2">
        <f t="shared" si="165"/>
        <v>1009.6479361775928</v>
      </c>
      <c r="C2136" s="2">
        <f t="shared" si="166"/>
        <v>1019388.9550276725</v>
      </c>
      <c r="D2136" s="2">
        <v>38690</v>
      </c>
      <c r="E2136" s="2">
        <f t="shared" si="167"/>
        <v>3.8690000000000002</v>
      </c>
      <c r="F2136" s="2">
        <f t="shared" si="168"/>
        <v>0.48914401664932772</v>
      </c>
      <c r="G2136" s="2">
        <f t="shared" si="169"/>
        <v>0.23926186902383778</v>
      </c>
    </row>
    <row r="2137" spans="1:7" x14ac:dyDescent="0.35">
      <c r="A2137" s="2">
        <v>854</v>
      </c>
      <c r="B2137" s="2">
        <f t="shared" si="165"/>
        <v>-484.35206382240722</v>
      </c>
      <c r="C2137" s="2">
        <f t="shared" si="166"/>
        <v>234596.92172902523</v>
      </c>
      <c r="D2137" s="2">
        <v>48355</v>
      </c>
      <c r="E2137" s="2">
        <f t="shared" si="167"/>
        <v>4.8354999999999997</v>
      </c>
      <c r="F2137" s="2">
        <f t="shared" si="168"/>
        <v>1.4556440166493272</v>
      </c>
      <c r="G2137" s="2">
        <f t="shared" si="169"/>
        <v>2.1188995032069866</v>
      </c>
    </row>
    <row r="2138" spans="1:7" x14ac:dyDescent="0.35">
      <c r="A2138" s="2">
        <v>854</v>
      </c>
      <c r="B2138" s="2">
        <f t="shared" si="165"/>
        <v>-484.35206382240722</v>
      </c>
      <c r="C2138" s="2">
        <f t="shared" si="166"/>
        <v>234596.92172902523</v>
      </c>
      <c r="D2138" s="2">
        <v>44630</v>
      </c>
      <c r="E2138" s="2">
        <f t="shared" si="167"/>
        <v>4.4630000000000001</v>
      </c>
      <c r="F2138" s="2">
        <f t="shared" si="168"/>
        <v>1.0831440166493276</v>
      </c>
      <c r="G2138" s="2">
        <f t="shared" si="169"/>
        <v>1.1732009608032388</v>
      </c>
    </row>
    <row r="2139" spans="1:7" x14ac:dyDescent="0.35">
      <c r="A2139" s="2">
        <v>854</v>
      </c>
      <c r="B2139" s="2">
        <f t="shared" si="165"/>
        <v>-484.35206382240722</v>
      </c>
      <c r="C2139" s="2">
        <f t="shared" si="166"/>
        <v>234596.92172902523</v>
      </c>
      <c r="D2139" s="2">
        <v>43215</v>
      </c>
      <c r="E2139" s="2">
        <f t="shared" si="167"/>
        <v>4.3215000000000003</v>
      </c>
      <c r="F2139" s="2">
        <f t="shared" si="168"/>
        <v>0.94164401664932784</v>
      </c>
      <c r="G2139" s="2">
        <f t="shared" si="169"/>
        <v>0.88669345409147959</v>
      </c>
    </row>
    <row r="2140" spans="1:7" x14ac:dyDescent="0.35">
      <c r="A2140" s="2">
        <v>854</v>
      </c>
      <c r="B2140" s="2">
        <f t="shared" si="165"/>
        <v>-484.35206382240722</v>
      </c>
      <c r="C2140" s="2">
        <f t="shared" si="166"/>
        <v>234596.92172902523</v>
      </c>
      <c r="D2140" s="2">
        <v>42899</v>
      </c>
      <c r="E2140" s="2">
        <f t="shared" si="167"/>
        <v>4.2899000000000003</v>
      </c>
      <c r="F2140" s="2">
        <f t="shared" si="168"/>
        <v>0.91004401664932777</v>
      </c>
      <c r="G2140" s="2">
        <f t="shared" si="169"/>
        <v>0.82818011223924193</v>
      </c>
    </row>
    <row r="2141" spans="1:7" x14ac:dyDescent="0.35">
      <c r="A2141" s="2">
        <v>854</v>
      </c>
      <c r="B2141" s="2">
        <f t="shared" si="165"/>
        <v>-484.35206382240722</v>
      </c>
      <c r="C2141" s="2">
        <f t="shared" si="166"/>
        <v>234596.92172902523</v>
      </c>
      <c r="D2141" s="2">
        <v>46142</v>
      </c>
      <c r="E2141" s="2">
        <f t="shared" si="167"/>
        <v>4.6142000000000003</v>
      </c>
      <c r="F2141" s="2">
        <f t="shared" si="168"/>
        <v>1.2343440166493278</v>
      </c>
      <c r="G2141" s="2">
        <f t="shared" si="169"/>
        <v>1.523605151437996</v>
      </c>
    </row>
    <row r="2142" spans="1:7" x14ac:dyDescent="0.35">
      <c r="A2142" s="2">
        <v>854</v>
      </c>
      <c r="B2142" s="2">
        <f t="shared" si="165"/>
        <v>-484.35206382240722</v>
      </c>
      <c r="C2142" s="2">
        <f t="shared" si="166"/>
        <v>234596.92172902523</v>
      </c>
      <c r="D2142" s="2">
        <v>50940</v>
      </c>
      <c r="E2142" s="2">
        <f t="shared" si="167"/>
        <v>5.0940000000000003</v>
      </c>
      <c r="F2142" s="2">
        <f t="shared" si="168"/>
        <v>1.7141440166493278</v>
      </c>
      <c r="G2142" s="2">
        <f t="shared" si="169"/>
        <v>2.9382897098146912</v>
      </c>
    </row>
    <row r="2143" spans="1:7" x14ac:dyDescent="0.35">
      <c r="A2143" s="2">
        <v>854</v>
      </c>
      <c r="B2143" s="2">
        <f t="shared" si="165"/>
        <v>-484.35206382240722</v>
      </c>
      <c r="C2143" s="2">
        <f t="shared" si="166"/>
        <v>234596.92172902523</v>
      </c>
      <c r="D2143" s="2">
        <v>51948</v>
      </c>
      <c r="E2143" s="2">
        <f t="shared" si="167"/>
        <v>5.1947999999999999</v>
      </c>
      <c r="F2143" s="2">
        <f t="shared" si="168"/>
        <v>1.8149440166493274</v>
      </c>
      <c r="G2143" s="2">
        <f t="shared" si="169"/>
        <v>3.294021783571194</v>
      </c>
    </row>
    <row r="2144" spans="1:7" x14ac:dyDescent="0.35">
      <c r="A2144" s="2">
        <v>854</v>
      </c>
      <c r="B2144" s="2">
        <f t="shared" si="165"/>
        <v>-484.35206382240722</v>
      </c>
      <c r="C2144" s="2">
        <f t="shared" si="166"/>
        <v>234596.92172902523</v>
      </c>
      <c r="D2144" s="2">
        <v>52273</v>
      </c>
      <c r="E2144" s="2">
        <f t="shared" si="167"/>
        <v>5.2272999999999996</v>
      </c>
      <c r="F2144" s="2">
        <f t="shared" si="168"/>
        <v>1.8474440166493271</v>
      </c>
      <c r="G2144" s="2">
        <f t="shared" si="169"/>
        <v>3.4130493946533993</v>
      </c>
    </row>
    <row r="2145" spans="1:7" x14ac:dyDescent="0.35">
      <c r="A2145" s="2">
        <v>854</v>
      </c>
      <c r="B2145" s="2">
        <f t="shared" si="165"/>
        <v>-484.35206382240722</v>
      </c>
      <c r="C2145" s="2">
        <f t="shared" si="166"/>
        <v>234596.92172902523</v>
      </c>
      <c r="D2145" s="2">
        <v>54776</v>
      </c>
      <c r="E2145" s="2">
        <f t="shared" si="167"/>
        <v>5.4775999999999998</v>
      </c>
      <c r="F2145" s="2">
        <f t="shared" si="168"/>
        <v>2.0977440166493273</v>
      </c>
      <c r="G2145" s="2">
        <f t="shared" si="169"/>
        <v>4.4005299593880531</v>
      </c>
    </row>
    <row r="2146" spans="1:7" x14ac:dyDescent="0.35">
      <c r="A2146" s="2">
        <v>854</v>
      </c>
      <c r="B2146" s="2">
        <f t="shared" si="165"/>
        <v>-484.35206382240722</v>
      </c>
      <c r="C2146" s="2">
        <f t="shared" si="166"/>
        <v>234596.92172902523</v>
      </c>
      <c r="D2146" s="2">
        <v>57329</v>
      </c>
      <c r="E2146" s="2">
        <f t="shared" si="167"/>
        <v>5.7328999999999999</v>
      </c>
      <c r="F2146" s="2">
        <f t="shared" si="168"/>
        <v>2.3530440166493274</v>
      </c>
      <c r="G2146" s="2">
        <f t="shared" si="169"/>
        <v>5.5368161442892001</v>
      </c>
    </row>
    <row r="2147" spans="1:7" x14ac:dyDescent="0.35">
      <c r="A2147" s="2">
        <v>854</v>
      </c>
      <c r="B2147" s="2">
        <f t="shared" si="165"/>
        <v>-484.35206382240722</v>
      </c>
      <c r="C2147" s="2">
        <f t="shared" si="166"/>
        <v>234596.92172902523</v>
      </c>
      <c r="D2147" s="2">
        <v>60906</v>
      </c>
      <c r="E2147" s="2">
        <f t="shared" si="167"/>
        <v>6.0906000000000002</v>
      </c>
      <c r="F2147" s="2">
        <f t="shared" si="168"/>
        <v>2.7107440166493277</v>
      </c>
      <c r="G2147" s="2">
        <f t="shared" si="169"/>
        <v>7.3481331238001308</v>
      </c>
    </row>
    <row r="2148" spans="1:7" x14ac:dyDescent="0.35">
      <c r="A2148" s="2">
        <v>854</v>
      </c>
      <c r="B2148" s="2">
        <f t="shared" si="165"/>
        <v>-484.35206382240722</v>
      </c>
      <c r="C2148" s="2">
        <f t="shared" si="166"/>
        <v>234596.92172902523</v>
      </c>
      <c r="D2148" s="2">
        <v>57529</v>
      </c>
      <c r="E2148" s="2">
        <f t="shared" si="167"/>
        <v>5.7529000000000003</v>
      </c>
      <c r="F2148" s="2">
        <f t="shared" si="168"/>
        <v>2.3730440166493278</v>
      </c>
      <c r="G2148" s="2">
        <f t="shared" si="169"/>
        <v>5.6313379049551751</v>
      </c>
    </row>
    <row r="2149" spans="1:7" x14ac:dyDescent="0.35">
      <c r="A2149" s="2">
        <v>854</v>
      </c>
      <c r="B2149" s="2">
        <f t="shared" si="165"/>
        <v>-484.35206382240722</v>
      </c>
      <c r="C2149" s="2">
        <f t="shared" si="166"/>
        <v>234596.92172902523</v>
      </c>
      <c r="D2149" s="2">
        <v>59872</v>
      </c>
      <c r="E2149" s="2">
        <f t="shared" si="167"/>
        <v>5.9871999999999996</v>
      </c>
      <c r="F2149" s="2">
        <f t="shared" si="168"/>
        <v>2.6073440166493271</v>
      </c>
      <c r="G2149" s="2">
        <f t="shared" si="169"/>
        <v>6.7982428211570465</v>
      </c>
    </row>
    <row r="2150" spans="1:7" x14ac:dyDescent="0.35">
      <c r="A2150" s="2">
        <v>854</v>
      </c>
      <c r="B2150" s="2">
        <f t="shared" si="165"/>
        <v>-484.35206382240722</v>
      </c>
      <c r="C2150" s="2">
        <f t="shared" si="166"/>
        <v>234596.92172902523</v>
      </c>
      <c r="D2150" s="2">
        <v>59924</v>
      </c>
      <c r="E2150" s="2">
        <f t="shared" si="167"/>
        <v>5.9923999999999999</v>
      </c>
      <c r="F2150" s="2">
        <f t="shared" si="168"/>
        <v>2.6125440166493274</v>
      </c>
      <c r="G2150" s="2">
        <f t="shared" si="169"/>
        <v>6.8253862389302009</v>
      </c>
    </row>
    <row r="2151" spans="1:7" x14ac:dyDescent="0.35">
      <c r="A2151" s="2">
        <v>854</v>
      </c>
      <c r="B2151" s="2">
        <f t="shared" si="165"/>
        <v>-484.35206382240722</v>
      </c>
      <c r="C2151" s="2">
        <f t="shared" si="166"/>
        <v>234596.92172902523</v>
      </c>
      <c r="D2151" s="2">
        <v>59772</v>
      </c>
      <c r="E2151" s="2">
        <f t="shared" si="167"/>
        <v>5.9771999999999998</v>
      </c>
      <c r="F2151" s="2">
        <f t="shared" si="168"/>
        <v>2.5973440166493273</v>
      </c>
      <c r="G2151" s="2">
        <f t="shared" si="169"/>
        <v>6.7461959408240615</v>
      </c>
    </row>
    <row r="2152" spans="1:7" x14ac:dyDescent="0.35">
      <c r="A2152" s="2">
        <v>854</v>
      </c>
      <c r="B2152" s="2">
        <f t="shared" si="165"/>
        <v>-484.35206382240722</v>
      </c>
      <c r="C2152" s="2">
        <f t="shared" si="166"/>
        <v>234596.92172902523</v>
      </c>
      <c r="D2152" s="2">
        <v>58523</v>
      </c>
      <c r="E2152" s="2">
        <f t="shared" si="167"/>
        <v>5.8522999999999996</v>
      </c>
      <c r="F2152" s="2">
        <f t="shared" si="168"/>
        <v>2.4724440166493271</v>
      </c>
      <c r="G2152" s="2">
        <f t="shared" si="169"/>
        <v>6.1129794154650581</v>
      </c>
    </row>
    <row r="2153" spans="1:7" x14ac:dyDescent="0.35">
      <c r="A2153" s="2">
        <v>854</v>
      </c>
      <c r="B2153" s="2">
        <f t="shared" si="165"/>
        <v>-484.35206382240722</v>
      </c>
      <c r="C2153" s="2">
        <f t="shared" si="166"/>
        <v>234596.92172902523</v>
      </c>
      <c r="D2153" s="2">
        <v>57862</v>
      </c>
      <c r="E2153" s="2">
        <f t="shared" si="167"/>
        <v>5.7862</v>
      </c>
      <c r="F2153" s="2">
        <f t="shared" si="168"/>
        <v>2.4063440166493275</v>
      </c>
      <c r="G2153" s="2">
        <f t="shared" si="169"/>
        <v>5.7904915264640193</v>
      </c>
    </row>
    <row r="2154" spans="1:7" x14ac:dyDescent="0.35">
      <c r="A2154" s="2">
        <v>854</v>
      </c>
      <c r="B2154" s="2">
        <f t="shared" si="165"/>
        <v>-484.35206382240722</v>
      </c>
      <c r="C2154" s="2">
        <f t="shared" si="166"/>
        <v>234596.92172902523</v>
      </c>
      <c r="D2154" s="2">
        <v>58527</v>
      </c>
      <c r="E2154" s="2">
        <f t="shared" si="167"/>
        <v>5.8526999999999996</v>
      </c>
      <c r="F2154" s="2">
        <f t="shared" si="168"/>
        <v>2.4728440166493271</v>
      </c>
      <c r="G2154" s="2">
        <f t="shared" si="169"/>
        <v>6.1149575306783772</v>
      </c>
    </row>
    <row r="2155" spans="1:7" x14ac:dyDescent="0.35">
      <c r="A2155" s="2">
        <v>854</v>
      </c>
      <c r="B2155" s="2">
        <f t="shared" si="165"/>
        <v>-484.35206382240722</v>
      </c>
      <c r="C2155" s="2">
        <f t="shared" si="166"/>
        <v>234596.92172902523</v>
      </c>
      <c r="D2155" s="2">
        <v>55044</v>
      </c>
      <c r="E2155" s="2">
        <f t="shared" si="167"/>
        <v>5.5044000000000004</v>
      </c>
      <c r="F2155" s="2">
        <f t="shared" si="168"/>
        <v>2.1245440166493279</v>
      </c>
      <c r="G2155" s="2">
        <f t="shared" si="169"/>
        <v>4.51368727868046</v>
      </c>
    </row>
    <row r="2156" spans="1:7" x14ac:dyDescent="0.35">
      <c r="A2156" s="2">
        <v>854</v>
      </c>
      <c r="B2156" s="2">
        <f t="shared" si="165"/>
        <v>-484.35206382240722</v>
      </c>
      <c r="C2156" s="2">
        <f t="shared" si="166"/>
        <v>234596.92172902523</v>
      </c>
      <c r="D2156" s="2">
        <v>58551</v>
      </c>
      <c r="E2156" s="2">
        <f t="shared" si="167"/>
        <v>5.8551000000000002</v>
      </c>
      <c r="F2156" s="2">
        <f t="shared" si="168"/>
        <v>2.4752440166493277</v>
      </c>
      <c r="G2156" s="2">
        <f t="shared" si="169"/>
        <v>6.1268329419582974</v>
      </c>
    </row>
    <row r="2157" spans="1:7" x14ac:dyDescent="0.35">
      <c r="A2157" s="2">
        <v>854</v>
      </c>
      <c r="B2157" s="2">
        <f t="shared" si="165"/>
        <v>-484.35206382240722</v>
      </c>
      <c r="C2157" s="2">
        <f t="shared" si="166"/>
        <v>234596.92172902523</v>
      </c>
      <c r="D2157" s="2">
        <v>58062</v>
      </c>
      <c r="E2157" s="2">
        <f t="shared" si="167"/>
        <v>5.8061999999999996</v>
      </c>
      <c r="F2157" s="2">
        <f t="shared" si="168"/>
        <v>2.4263440166493271</v>
      </c>
      <c r="G2157" s="2">
        <f t="shared" si="169"/>
        <v>5.8871452871299903</v>
      </c>
    </row>
    <row r="2158" spans="1:7" x14ac:dyDescent="0.35">
      <c r="A2158" s="2">
        <v>854</v>
      </c>
      <c r="B2158" s="2">
        <f t="shared" si="165"/>
        <v>-484.35206382240722</v>
      </c>
      <c r="C2158" s="2">
        <f t="shared" si="166"/>
        <v>234596.92172902523</v>
      </c>
      <c r="D2158" s="2">
        <v>57219</v>
      </c>
      <c r="E2158" s="2">
        <f t="shared" si="167"/>
        <v>5.7218999999999998</v>
      </c>
      <c r="F2158" s="2">
        <f t="shared" si="168"/>
        <v>2.3420440166493273</v>
      </c>
      <c r="G2158" s="2">
        <f t="shared" si="169"/>
        <v>5.4851701759229146</v>
      </c>
    </row>
    <row r="2159" spans="1:7" x14ac:dyDescent="0.35">
      <c r="A2159" s="2">
        <v>854</v>
      </c>
      <c r="B2159" s="2">
        <f t="shared" si="165"/>
        <v>-484.35206382240722</v>
      </c>
      <c r="C2159" s="2">
        <f t="shared" si="166"/>
        <v>234596.92172902523</v>
      </c>
      <c r="D2159" s="2">
        <v>56818</v>
      </c>
      <c r="E2159" s="2">
        <f t="shared" si="167"/>
        <v>5.6818</v>
      </c>
      <c r="F2159" s="2">
        <f t="shared" si="168"/>
        <v>2.3019440166493275</v>
      </c>
      <c r="G2159" s="2">
        <f t="shared" si="169"/>
        <v>5.298946255787639</v>
      </c>
    </row>
    <row r="2160" spans="1:7" x14ac:dyDescent="0.35">
      <c r="A2160" s="2">
        <v>854</v>
      </c>
      <c r="B2160" s="2">
        <f t="shared" si="165"/>
        <v>-484.35206382240722</v>
      </c>
      <c r="C2160" s="2">
        <f t="shared" si="166"/>
        <v>234596.92172902523</v>
      </c>
      <c r="D2160" s="2">
        <v>58453</v>
      </c>
      <c r="E2160" s="2">
        <f t="shared" si="167"/>
        <v>5.8452999999999999</v>
      </c>
      <c r="F2160" s="2">
        <f t="shared" si="168"/>
        <v>2.4654440166493274</v>
      </c>
      <c r="G2160" s="2">
        <f t="shared" si="169"/>
        <v>6.0784141992319691</v>
      </c>
    </row>
    <row r="2161" spans="1:7" x14ac:dyDescent="0.35">
      <c r="A2161" s="2">
        <v>854</v>
      </c>
      <c r="B2161" s="2">
        <f t="shared" si="165"/>
        <v>-484.35206382240722</v>
      </c>
      <c r="C2161" s="2">
        <f t="shared" si="166"/>
        <v>234596.92172902523</v>
      </c>
      <c r="D2161" s="2">
        <v>58855</v>
      </c>
      <c r="E2161" s="2">
        <f t="shared" si="167"/>
        <v>5.8855000000000004</v>
      </c>
      <c r="F2161" s="2">
        <f t="shared" si="168"/>
        <v>2.5056440166493279</v>
      </c>
      <c r="G2161" s="2">
        <f t="shared" si="169"/>
        <v>6.2782519381705777</v>
      </c>
    </row>
    <row r="2162" spans="1:7" x14ac:dyDescent="0.35">
      <c r="A2162" s="2">
        <v>854</v>
      </c>
      <c r="B2162" s="2">
        <f t="shared" si="165"/>
        <v>-484.35206382240722</v>
      </c>
      <c r="C2162" s="2">
        <f t="shared" si="166"/>
        <v>234596.92172902523</v>
      </c>
      <c r="D2162" s="2">
        <v>59995</v>
      </c>
      <c r="E2162" s="2">
        <f t="shared" si="167"/>
        <v>5.9995000000000003</v>
      </c>
      <c r="F2162" s="2">
        <f t="shared" si="168"/>
        <v>2.6196440166493278</v>
      </c>
      <c r="G2162" s="2">
        <f t="shared" si="169"/>
        <v>6.8625347739666234</v>
      </c>
    </row>
    <row r="2163" spans="1:7" x14ac:dyDescent="0.35">
      <c r="A2163" s="2">
        <v>854</v>
      </c>
      <c r="B2163" s="2">
        <f t="shared" si="165"/>
        <v>-484.35206382240722</v>
      </c>
      <c r="C2163" s="2">
        <f t="shared" si="166"/>
        <v>234596.92172902523</v>
      </c>
      <c r="D2163" s="2">
        <v>59699</v>
      </c>
      <c r="E2163" s="2">
        <f t="shared" si="167"/>
        <v>5.9699</v>
      </c>
      <c r="F2163" s="2">
        <f t="shared" si="168"/>
        <v>2.5900440166493275</v>
      </c>
      <c r="G2163" s="2">
        <f t="shared" si="169"/>
        <v>6.708328008180982</v>
      </c>
    </row>
    <row r="2164" spans="1:7" x14ac:dyDescent="0.35">
      <c r="A2164" s="2">
        <v>854</v>
      </c>
      <c r="B2164" s="2">
        <f t="shared" si="165"/>
        <v>-484.35206382240722</v>
      </c>
      <c r="C2164" s="2">
        <f t="shared" si="166"/>
        <v>234596.92172902523</v>
      </c>
      <c r="D2164" s="2">
        <v>58191</v>
      </c>
      <c r="E2164" s="2">
        <f t="shared" si="167"/>
        <v>5.8190999999999997</v>
      </c>
      <c r="F2164" s="2">
        <f t="shared" si="168"/>
        <v>2.4392440166493272</v>
      </c>
      <c r="G2164" s="2">
        <f t="shared" si="169"/>
        <v>5.9499113727595434</v>
      </c>
    </row>
    <row r="2165" spans="1:7" x14ac:dyDescent="0.35">
      <c r="A2165" s="2">
        <v>854</v>
      </c>
      <c r="B2165" s="2">
        <f t="shared" si="165"/>
        <v>-484.35206382240722</v>
      </c>
      <c r="C2165" s="2">
        <f t="shared" si="166"/>
        <v>234596.92172902523</v>
      </c>
      <c r="D2165" s="2">
        <v>63454</v>
      </c>
      <c r="E2165" s="2">
        <f t="shared" si="167"/>
        <v>6.3453999999999997</v>
      </c>
      <c r="F2165" s="2">
        <f t="shared" si="168"/>
        <v>2.9655440166493272</v>
      </c>
      <c r="G2165" s="2">
        <f t="shared" si="169"/>
        <v>8.7944513146846255</v>
      </c>
    </row>
    <row r="2166" spans="1:7" x14ac:dyDescent="0.35">
      <c r="A2166" s="2">
        <v>854</v>
      </c>
      <c r="B2166" s="2">
        <f t="shared" si="165"/>
        <v>-484.35206382240722</v>
      </c>
      <c r="C2166" s="2">
        <f t="shared" si="166"/>
        <v>234596.92172902523</v>
      </c>
      <c r="D2166" s="2">
        <v>58077</v>
      </c>
      <c r="E2166" s="2">
        <f t="shared" si="167"/>
        <v>5.8076999999999996</v>
      </c>
      <c r="F2166" s="2">
        <f t="shared" si="168"/>
        <v>2.4278440166493271</v>
      </c>
      <c r="G2166" s="2">
        <f t="shared" si="169"/>
        <v>5.894426569179938</v>
      </c>
    </row>
    <row r="2167" spans="1:7" x14ac:dyDescent="0.35">
      <c r="A2167" s="2">
        <v>2054</v>
      </c>
      <c r="B2167" s="2">
        <f t="shared" si="165"/>
        <v>715.64793617759278</v>
      </c>
      <c r="C2167" s="2">
        <f t="shared" si="166"/>
        <v>512151.96855524794</v>
      </c>
      <c r="D2167" s="2">
        <v>30212</v>
      </c>
      <c r="E2167" s="2">
        <f t="shared" si="167"/>
        <v>3.0211999999999999</v>
      </c>
      <c r="F2167" s="2">
        <f t="shared" si="168"/>
        <v>-0.35865598335067261</v>
      </c>
      <c r="G2167" s="2">
        <f t="shared" si="169"/>
        <v>0.12863411439323796</v>
      </c>
    </row>
    <row r="2168" spans="1:7" x14ac:dyDescent="0.35">
      <c r="A2168" s="2">
        <v>2054</v>
      </c>
      <c r="B2168" s="2">
        <f t="shared" si="165"/>
        <v>715.64793617759278</v>
      </c>
      <c r="C2168" s="2">
        <f t="shared" si="166"/>
        <v>512151.96855524794</v>
      </c>
      <c r="D2168" s="2">
        <v>32582</v>
      </c>
      <c r="E2168" s="2">
        <f t="shared" si="167"/>
        <v>3.2582</v>
      </c>
      <c r="F2168" s="2">
        <f t="shared" si="168"/>
        <v>-0.12165598335067251</v>
      </c>
      <c r="G2168" s="2">
        <f t="shared" si="169"/>
        <v>1.4800178285019108E-2</v>
      </c>
    </row>
    <row r="2169" spans="1:7" x14ac:dyDescent="0.35">
      <c r="A2169" s="2">
        <v>2054</v>
      </c>
      <c r="B2169" s="2">
        <f t="shared" si="165"/>
        <v>715.64793617759278</v>
      </c>
      <c r="C2169" s="2">
        <f t="shared" si="166"/>
        <v>512151.96855524794</v>
      </c>
      <c r="D2169" s="2">
        <v>30262</v>
      </c>
      <c r="E2169" s="2">
        <f t="shared" si="167"/>
        <v>3.0261999999999998</v>
      </c>
      <c r="F2169" s="2">
        <f t="shared" si="168"/>
        <v>-0.35365598335067272</v>
      </c>
      <c r="G2169" s="2">
        <f t="shared" si="169"/>
        <v>0.12507255455973129</v>
      </c>
    </row>
    <row r="2170" spans="1:7" x14ac:dyDescent="0.35">
      <c r="A2170" s="2">
        <v>2054</v>
      </c>
      <c r="B2170" s="2">
        <f t="shared" si="165"/>
        <v>715.64793617759278</v>
      </c>
      <c r="C2170" s="2">
        <f t="shared" si="166"/>
        <v>512151.96855524794</v>
      </c>
      <c r="D2170" s="2">
        <v>32000</v>
      </c>
      <c r="E2170" s="2">
        <f t="shared" si="167"/>
        <v>3.2</v>
      </c>
      <c r="F2170" s="2">
        <f t="shared" si="168"/>
        <v>-0.17985598335067232</v>
      </c>
      <c r="G2170" s="2">
        <f t="shared" si="169"/>
        <v>3.2348174747037321E-2</v>
      </c>
    </row>
    <row r="2171" spans="1:7" x14ac:dyDescent="0.35">
      <c r="A2171" s="2">
        <v>2054</v>
      </c>
      <c r="B2171" s="2">
        <f t="shared" si="165"/>
        <v>715.64793617759278</v>
      </c>
      <c r="C2171" s="2">
        <f t="shared" si="166"/>
        <v>512151.96855524794</v>
      </c>
      <c r="D2171" s="2">
        <v>14266</v>
      </c>
      <c r="E2171" s="2">
        <f t="shared" si="167"/>
        <v>1.4266000000000001</v>
      </c>
      <c r="F2171" s="2">
        <f t="shared" si="168"/>
        <v>-1.9532559833506724</v>
      </c>
      <c r="G2171" s="2">
        <f t="shared" si="169"/>
        <v>3.8152089364952024</v>
      </c>
    </row>
    <row r="2172" spans="1:7" x14ac:dyDescent="0.35">
      <c r="A2172" s="2">
        <v>2054</v>
      </c>
      <c r="B2172" s="2">
        <f t="shared" si="165"/>
        <v>715.64793617759278</v>
      </c>
      <c r="C2172" s="2">
        <f t="shared" si="166"/>
        <v>512151.96855524794</v>
      </c>
      <c r="D2172" s="2">
        <v>14325</v>
      </c>
      <c r="E2172" s="2">
        <f t="shared" si="167"/>
        <v>1.4325000000000001</v>
      </c>
      <c r="F2172" s="2">
        <f t="shared" si="168"/>
        <v>-1.9473559833506724</v>
      </c>
      <c r="G2172" s="2">
        <f t="shared" si="169"/>
        <v>3.7921953258916643</v>
      </c>
    </row>
    <row r="2173" spans="1:7" x14ac:dyDescent="0.35">
      <c r="A2173" s="2">
        <v>2054</v>
      </c>
      <c r="B2173" s="2">
        <f t="shared" si="165"/>
        <v>715.64793617759278</v>
      </c>
      <c r="C2173" s="2">
        <f t="shared" si="166"/>
        <v>512151.96855524794</v>
      </c>
      <c r="D2173" s="2">
        <v>14384</v>
      </c>
      <c r="E2173" s="2">
        <f t="shared" si="167"/>
        <v>1.4383999999999999</v>
      </c>
      <c r="F2173" s="2">
        <f t="shared" si="168"/>
        <v>-1.9414559833506726</v>
      </c>
      <c r="G2173" s="2">
        <f t="shared" si="169"/>
        <v>3.7692513352881272</v>
      </c>
    </row>
    <row r="2174" spans="1:7" x14ac:dyDescent="0.35">
      <c r="A2174" s="2">
        <v>2054</v>
      </c>
      <c r="B2174" s="2">
        <f t="shared" si="165"/>
        <v>715.64793617759278</v>
      </c>
      <c r="C2174" s="2">
        <f t="shared" si="166"/>
        <v>512151.96855524794</v>
      </c>
      <c r="D2174" s="2">
        <v>14444</v>
      </c>
      <c r="E2174" s="2">
        <f t="shared" si="167"/>
        <v>1.4443999999999999</v>
      </c>
      <c r="F2174" s="2">
        <f t="shared" si="168"/>
        <v>-1.9354559833506726</v>
      </c>
      <c r="G2174" s="2">
        <f t="shared" si="169"/>
        <v>3.7459898634879192</v>
      </c>
    </row>
    <row r="2175" spans="1:7" x14ac:dyDescent="0.35">
      <c r="A2175" s="2">
        <v>2054</v>
      </c>
      <c r="B2175" s="2">
        <f t="shared" si="165"/>
        <v>715.64793617759278</v>
      </c>
      <c r="C2175" s="2">
        <f t="shared" si="166"/>
        <v>512151.96855524794</v>
      </c>
      <c r="D2175" s="2">
        <v>14503</v>
      </c>
      <c r="E2175" s="2">
        <f t="shared" si="167"/>
        <v>1.4502999999999999</v>
      </c>
      <c r="F2175" s="2">
        <f t="shared" si="168"/>
        <v>-1.9295559833506726</v>
      </c>
      <c r="G2175" s="2">
        <f t="shared" si="169"/>
        <v>3.7231862928843809</v>
      </c>
    </row>
    <row r="2176" spans="1:7" x14ac:dyDescent="0.35">
      <c r="A2176" s="2">
        <v>2054</v>
      </c>
      <c r="B2176" s="2">
        <f t="shared" si="165"/>
        <v>715.64793617759278</v>
      </c>
      <c r="C2176" s="2">
        <f t="shared" si="166"/>
        <v>512151.96855524794</v>
      </c>
      <c r="D2176" s="2">
        <v>14760</v>
      </c>
      <c r="E2176" s="2">
        <f t="shared" si="167"/>
        <v>1.476</v>
      </c>
      <c r="F2176" s="2">
        <f t="shared" si="168"/>
        <v>-1.9038559833506725</v>
      </c>
      <c r="G2176" s="2">
        <f t="shared" si="169"/>
        <v>3.6246676053401563</v>
      </c>
    </row>
    <row r="2177" spans="1:7" x14ac:dyDescent="0.35">
      <c r="A2177" s="2">
        <v>2054</v>
      </c>
      <c r="B2177" s="2">
        <f t="shared" si="165"/>
        <v>715.64793617759278</v>
      </c>
      <c r="C2177" s="2">
        <f t="shared" si="166"/>
        <v>512151.96855524794</v>
      </c>
      <c r="D2177" s="2">
        <v>15547</v>
      </c>
      <c r="E2177" s="2">
        <f t="shared" si="167"/>
        <v>1.5547</v>
      </c>
      <c r="F2177" s="2">
        <f t="shared" si="168"/>
        <v>-1.8251559833506725</v>
      </c>
      <c r="G2177" s="2">
        <f t="shared" si="169"/>
        <v>3.3311943635607606</v>
      </c>
    </row>
    <row r="2178" spans="1:7" x14ac:dyDescent="0.35">
      <c r="A2178" s="2">
        <v>2054</v>
      </c>
      <c r="B2178" s="2">
        <f t="shared" si="165"/>
        <v>715.64793617759278</v>
      </c>
      <c r="C2178" s="2">
        <f t="shared" si="166"/>
        <v>512151.96855524794</v>
      </c>
      <c r="D2178" s="2">
        <v>15744</v>
      </c>
      <c r="E2178" s="2">
        <f t="shared" si="167"/>
        <v>1.5744</v>
      </c>
      <c r="F2178" s="2">
        <f t="shared" si="168"/>
        <v>-1.8054559833506725</v>
      </c>
      <c r="G2178" s="2">
        <f t="shared" si="169"/>
        <v>3.2596713078167436</v>
      </c>
    </row>
    <row r="2179" spans="1:7" x14ac:dyDescent="0.35">
      <c r="A2179" s="2">
        <v>2054</v>
      </c>
      <c r="B2179" s="2">
        <f t="shared" ref="B2179:B2242" si="170">A2179-$J$1</f>
        <v>715.64793617759278</v>
      </c>
      <c r="C2179" s="2">
        <f t="shared" ref="C2179:C2242" si="171">B2179^2</f>
        <v>512151.96855524794</v>
      </c>
      <c r="D2179" s="2">
        <v>15941</v>
      </c>
      <c r="E2179" s="2">
        <f t="shared" ref="E2179:E2242" si="172">D2179/10000</f>
        <v>1.5941000000000001</v>
      </c>
      <c r="F2179" s="2">
        <f t="shared" ref="F2179:F2242" si="173">E2179-$J$2</f>
        <v>-1.7857559833506724</v>
      </c>
      <c r="G2179" s="2">
        <f t="shared" ref="G2179:G2242" si="174">F2179^2</f>
        <v>3.188924432072727</v>
      </c>
    </row>
    <row r="2180" spans="1:7" x14ac:dyDescent="0.35">
      <c r="A2180" s="2">
        <v>2054</v>
      </c>
      <c r="B2180" s="2">
        <f t="shared" si="170"/>
        <v>715.64793617759278</v>
      </c>
      <c r="C2180" s="2">
        <f t="shared" si="171"/>
        <v>512151.96855524794</v>
      </c>
      <c r="D2180" s="2">
        <v>16138</v>
      </c>
      <c r="E2180" s="2">
        <f t="shared" si="172"/>
        <v>1.6137999999999999</v>
      </c>
      <c r="F2180" s="2">
        <f t="shared" si="173"/>
        <v>-1.7660559833506726</v>
      </c>
      <c r="G2180" s="2">
        <f t="shared" si="174"/>
        <v>3.1189537363287112</v>
      </c>
    </row>
    <row r="2181" spans="1:7" x14ac:dyDescent="0.35">
      <c r="A2181" s="2">
        <v>2054</v>
      </c>
      <c r="B2181" s="2">
        <f t="shared" si="170"/>
        <v>715.64793617759278</v>
      </c>
      <c r="C2181" s="2">
        <f t="shared" si="171"/>
        <v>512151.96855524794</v>
      </c>
      <c r="D2181" s="2">
        <v>13977</v>
      </c>
      <c r="E2181" s="2">
        <f t="shared" si="172"/>
        <v>1.3976999999999999</v>
      </c>
      <c r="F2181" s="2">
        <f t="shared" si="173"/>
        <v>-1.9821559833506726</v>
      </c>
      <c r="G2181" s="2">
        <f t="shared" si="174"/>
        <v>3.9289423423328715</v>
      </c>
    </row>
    <row r="2182" spans="1:7" x14ac:dyDescent="0.35">
      <c r="A2182" s="2">
        <v>2054</v>
      </c>
      <c r="B2182" s="2">
        <f t="shared" si="170"/>
        <v>715.64793617759278</v>
      </c>
      <c r="C2182" s="2">
        <f t="shared" si="171"/>
        <v>512151.96855524794</v>
      </c>
      <c r="D2182" s="2">
        <v>13536</v>
      </c>
      <c r="E2182" s="2">
        <f t="shared" si="172"/>
        <v>1.3535999999999999</v>
      </c>
      <c r="F2182" s="2">
        <f t="shared" si="173"/>
        <v>-2.0262559833506728</v>
      </c>
      <c r="G2182" s="2">
        <f t="shared" si="174"/>
        <v>4.1057133100644023</v>
      </c>
    </row>
    <row r="2183" spans="1:7" x14ac:dyDescent="0.35">
      <c r="A2183" s="2">
        <v>2054</v>
      </c>
      <c r="B2183" s="2">
        <f t="shared" si="170"/>
        <v>715.64793617759278</v>
      </c>
      <c r="C2183" s="2">
        <f t="shared" si="171"/>
        <v>512151.96855524794</v>
      </c>
      <c r="D2183" s="2">
        <v>19729</v>
      </c>
      <c r="E2183" s="2">
        <f t="shared" si="172"/>
        <v>1.9729000000000001</v>
      </c>
      <c r="F2183" s="2">
        <f t="shared" si="173"/>
        <v>-1.4069559833506724</v>
      </c>
      <c r="G2183" s="2">
        <f t="shared" si="174"/>
        <v>1.9795251390862576</v>
      </c>
    </row>
    <row r="2184" spans="1:7" x14ac:dyDescent="0.35">
      <c r="A2184" s="2">
        <v>2054</v>
      </c>
      <c r="B2184" s="2">
        <f t="shared" si="170"/>
        <v>715.64793617759278</v>
      </c>
      <c r="C2184" s="2">
        <f t="shared" si="171"/>
        <v>512151.96855524794</v>
      </c>
      <c r="D2184" s="2">
        <v>30004</v>
      </c>
      <c r="E2184" s="2">
        <f t="shared" si="172"/>
        <v>3.0004</v>
      </c>
      <c r="F2184" s="2">
        <f t="shared" si="173"/>
        <v>-0.37945598335067254</v>
      </c>
      <c r="G2184" s="2">
        <f t="shared" si="174"/>
        <v>0.14398684330062589</v>
      </c>
    </row>
    <row r="2185" spans="1:7" x14ac:dyDescent="0.35">
      <c r="A2185" s="2">
        <v>2054</v>
      </c>
      <c r="B2185" s="2">
        <f t="shared" si="170"/>
        <v>715.64793617759278</v>
      </c>
      <c r="C2185" s="2">
        <f t="shared" si="171"/>
        <v>512151.96855524794</v>
      </c>
      <c r="D2185" s="2">
        <v>33724</v>
      </c>
      <c r="E2185" s="2">
        <f t="shared" si="172"/>
        <v>3.3723999999999998</v>
      </c>
      <c r="F2185" s="2">
        <f t="shared" si="173"/>
        <v>-7.4559833506726569E-3</v>
      </c>
      <c r="G2185" s="2">
        <f t="shared" si="174"/>
        <v>5.5591687725507859E-5</v>
      </c>
    </row>
    <row r="2186" spans="1:7" x14ac:dyDescent="0.35">
      <c r="A2186" s="2">
        <v>637</v>
      </c>
      <c r="B2186" s="2">
        <f t="shared" si="170"/>
        <v>-701.35206382240722</v>
      </c>
      <c r="C2186" s="2">
        <f t="shared" si="171"/>
        <v>491894.71742794994</v>
      </c>
      <c r="D2186" s="2">
        <v>36436</v>
      </c>
      <c r="E2186" s="2">
        <f t="shared" si="172"/>
        <v>3.6436000000000002</v>
      </c>
      <c r="F2186" s="2">
        <f t="shared" si="173"/>
        <v>0.26374401664932767</v>
      </c>
      <c r="G2186" s="2">
        <f t="shared" si="174"/>
        <v>6.9560906318320834E-2</v>
      </c>
    </row>
    <row r="2187" spans="1:7" x14ac:dyDescent="0.35">
      <c r="A2187" s="2">
        <v>637</v>
      </c>
      <c r="B2187" s="2">
        <f t="shared" si="170"/>
        <v>-701.35206382240722</v>
      </c>
      <c r="C2187" s="2">
        <f t="shared" si="171"/>
        <v>491894.71742794994</v>
      </c>
      <c r="D2187" s="2">
        <v>35324</v>
      </c>
      <c r="E2187" s="2">
        <f t="shared" si="172"/>
        <v>3.5324</v>
      </c>
      <c r="F2187" s="2">
        <f t="shared" si="173"/>
        <v>0.15254401664932749</v>
      </c>
      <c r="G2187" s="2">
        <f t="shared" si="174"/>
        <v>2.32696770155103E-2</v>
      </c>
    </row>
    <row r="2188" spans="1:7" x14ac:dyDescent="0.35">
      <c r="A2188" s="2">
        <v>637</v>
      </c>
      <c r="B2188" s="2">
        <f t="shared" si="170"/>
        <v>-701.35206382240722</v>
      </c>
      <c r="C2188" s="2">
        <f t="shared" si="171"/>
        <v>491894.71742794994</v>
      </c>
      <c r="D2188" s="2">
        <v>25839</v>
      </c>
      <c r="E2188" s="2">
        <f t="shared" si="172"/>
        <v>2.5838999999999999</v>
      </c>
      <c r="F2188" s="2">
        <f t="shared" si="173"/>
        <v>-0.79595598335067264</v>
      </c>
      <c r="G2188" s="2">
        <f t="shared" si="174"/>
        <v>0.63354592743173621</v>
      </c>
    </row>
    <row r="2189" spans="1:7" x14ac:dyDescent="0.35">
      <c r="A2189" s="2">
        <v>637</v>
      </c>
      <c r="B2189" s="2">
        <f t="shared" si="170"/>
        <v>-701.35206382240722</v>
      </c>
      <c r="C2189" s="2">
        <f t="shared" si="171"/>
        <v>491894.71742794994</v>
      </c>
      <c r="D2189" s="2">
        <v>14239</v>
      </c>
      <c r="E2189" s="2">
        <f t="shared" si="172"/>
        <v>1.4238999999999999</v>
      </c>
      <c r="F2189" s="2">
        <f t="shared" si="173"/>
        <v>-1.9559559833506726</v>
      </c>
      <c r="G2189" s="2">
        <f t="shared" si="174"/>
        <v>3.8257638088052963</v>
      </c>
    </row>
    <row r="2190" spans="1:7" x14ac:dyDescent="0.35">
      <c r="A2190" s="2">
        <v>637</v>
      </c>
      <c r="B2190" s="2">
        <f t="shared" si="170"/>
        <v>-701.35206382240722</v>
      </c>
      <c r="C2190" s="2">
        <f t="shared" si="171"/>
        <v>491894.71742794994</v>
      </c>
      <c r="D2190" s="2">
        <v>16667</v>
      </c>
      <c r="E2190" s="2">
        <f t="shared" si="172"/>
        <v>1.6667000000000001</v>
      </c>
      <c r="F2190" s="2">
        <f t="shared" si="173"/>
        <v>-1.7131559833506724</v>
      </c>
      <c r="G2190" s="2">
        <f t="shared" si="174"/>
        <v>2.9349034232902094</v>
      </c>
    </row>
    <row r="2191" spans="1:7" x14ac:dyDescent="0.35">
      <c r="A2191" s="2">
        <v>637</v>
      </c>
      <c r="B2191" s="2">
        <f t="shared" si="170"/>
        <v>-701.35206382240722</v>
      </c>
      <c r="C2191" s="2">
        <f t="shared" si="171"/>
        <v>491894.71742794994</v>
      </c>
      <c r="D2191" s="2">
        <v>14560</v>
      </c>
      <c r="E2191" s="2">
        <f t="shared" si="172"/>
        <v>1.456</v>
      </c>
      <c r="F2191" s="2">
        <f t="shared" si="173"/>
        <v>-1.9238559833506725</v>
      </c>
      <c r="G2191" s="2">
        <f t="shared" si="174"/>
        <v>3.7012218446741834</v>
      </c>
    </row>
    <row r="2192" spans="1:7" x14ac:dyDescent="0.35">
      <c r="A2192" s="2">
        <v>637</v>
      </c>
      <c r="B2192" s="2">
        <f t="shared" si="170"/>
        <v>-701.35206382240722</v>
      </c>
      <c r="C2192" s="2">
        <f t="shared" si="171"/>
        <v>491894.71742794994</v>
      </c>
      <c r="D2192" s="2">
        <v>23742</v>
      </c>
      <c r="E2192" s="2">
        <f t="shared" si="172"/>
        <v>2.3742000000000001</v>
      </c>
      <c r="F2192" s="2">
        <f t="shared" si="173"/>
        <v>-1.0056559833506724</v>
      </c>
      <c r="G2192" s="2">
        <f t="shared" si="174"/>
        <v>1.0113439568490079</v>
      </c>
    </row>
    <row r="2193" spans="1:7" x14ac:dyDescent="0.35">
      <c r="A2193" s="2">
        <v>637</v>
      </c>
      <c r="B2193" s="2">
        <f t="shared" si="170"/>
        <v>-701.35206382240722</v>
      </c>
      <c r="C2193" s="2">
        <f t="shared" si="171"/>
        <v>491894.71742794994</v>
      </c>
      <c r="D2193" s="2">
        <v>30351</v>
      </c>
      <c r="E2193" s="2">
        <f t="shared" si="172"/>
        <v>3.0350999999999999</v>
      </c>
      <c r="F2193" s="2">
        <f t="shared" si="173"/>
        <v>-0.34475598335067259</v>
      </c>
      <c r="G2193" s="2">
        <f t="shared" si="174"/>
        <v>0.11885668805608923</v>
      </c>
    </row>
    <row r="2194" spans="1:7" x14ac:dyDescent="0.35">
      <c r="A2194" s="2">
        <v>637</v>
      </c>
      <c r="B2194" s="2">
        <f t="shared" si="170"/>
        <v>-701.35206382240722</v>
      </c>
      <c r="C2194" s="2">
        <f t="shared" si="171"/>
        <v>491894.71742794994</v>
      </c>
      <c r="D2194" s="2">
        <v>32835</v>
      </c>
      <c r="E2194" s="2">
        <f t="shared" si="172"/>
        <v>3.2835000000000001</v>
      </c>
      <c r="F2194" s="2">
        <f t="shared" si="173"/>
        <v>-9.6355983350672414E-2</v>
      </c>
      <c r="G2194" s="2">
        <f t="shared" si="174"/>
        <v>9.2844755274750588E-3</v>
      </c>
    </row>
    <row r="2195" spans="1:7" x14ac:dyDescent="0.35">
      <c r="A2195" s="2">
        <v>637</v>
      </c>
      <c r="B2195" s="2">
        <f t="shared" si="170"/>
        <v>-701.35206382240722</v>
      </c>
      <c r="C2195" s="2">
        <f t="shared" si="171"/>
        <v>491894.71742794994</v>
      </c>
      <c r="D2195" s="2">
        <v>39030</v>
      </c>
      <c r="E2195" s="2">
        <f t="shared" si="172"/>
        <v>3.903</v>
      </c>
      <c r="F2195" s="2">
        <f t="shared" si="173"/>
        <v>0.52314401664932753</v>
      </c>
      <c r="G2195" s="2">
        <f t="shared" si="174"/>
        <v>0.27367966215599188</v>
      </c>
    </row>
    <row r="2196" spans="1:7" x14ac:dyDescent="0.35">
      <c r="A2196" s="2">
        <v>637</v>
      </c>
      <c r="B2196" s="2">
        <f t="shared" si="170"/>
        <v>-701.35206382240722</v>
      </c>
      <c r="C2196" s="2">
        <f t="shared" si="171"/>
        <v>491894.71742794994</v>
      </c>
      <c r="D2196" s="2">
        <v>27075</v>
      </c>
      <c r="E2196" s="2">
        <f t="shared" si="172"/>
        <v>2.7075</v>
      </c>
      <c r="F2196" s="2">
        <f t="shared" si="173"/>
        <v>-0.67235598335067248</v>
      </c>
      <c r="G2196" s="2">
        <f t="shared" si="174"/>
        <v>0.45206256834744979</v>
      </c>
    </row>
    <row r="2197" spans="1:7" x14ac:dyDescent="0.35">
      <c r="A2197" s="2">
        <v>637</v>
      </c>
      <c r="B2197" s="2">
        <f t="shared" si="170"/>
        <v>-701.35206382240722</v>
      </c>
      <c r="C2197" s="2">
        <f t="shared" si="171"/>
        <v>491894.71742794994</v>
      </c>
      <c r="D2197" s="2">
        <v>26766</v>
      </c>
      <c r="E2197" s="2">
        <f t="shared" si="172"/>
        <v>2.6766000000000001</v>
      </c>
      <c r="F2197" s="2">
        <f t="shared" si="173"/>
        <v>-0.70325598335067241</v>
      </c>
      <c r="G2197" s="2">
        <f t="shared" si="174"/>
        <v>0.49456897811852124</v>
      </c>
    </row>
    <row r="2198" spans="1:7" x14ac:dyDescent="0.35">
      <c r="A2198" s="2">
        <v>637</v>
      </c>
      <c r="B2198" s="2">
        <f t="shared" si="170"/>
        <v>-701.35206382240722</v>
      </c>
      <c r="C2198" s="2">
        <f t="shared" si="171"/>
        <v>491894.71742794994</v>
      </c>
      <c r="D2198" s="2">
        <v>29791</v>
      </c>
      <c r="E2198" s="2">
        <f t="shared" si="172"/>
        <v>2.9790999999999999</v>
      </c>
      <c r="F2198" s="2">
        <f t="shared" si="173"/>
        <v>-0.40075598335067264</v>
      </c>
      <c r="G2198" s="2">
        <f t="shared" si="174"/>
        <v>0.16060535819136459</v>
      </c>
    </row>
    <row r="2199" spans="1:7" x14ac:dyDescent="0.35">
      <c r="A2199" s="2">
        <v>637</v>
      </c>
      <c r="B2199" s="2">
        <f t="shared" si="170"/>
        <v>-701.35206382240722</v>
      </c>
      <c r="C2199" s="2">
        <f t="shared" si="171"/>
        <v>491894.71742794994</v>
      </c>
      <c r="D2199" s="2">
        <v>24427</v>
      </c>
      <c r="E2199" s="2">
        <f t="shared" si="172"/>
        <v>2.4426999999999999</v>
      </c>
      <c r="F2199" s="2">
        <f t="shared" si="173"/>
        <v>-0.93715598335067263</v>
      </c>
      <c r="G2199" s="2">
        <f t="shared" si="174"/>
        <v>0.87826133712996624</v>
      </c>
    </row>
    <row r="2200" spans="1:7" x14ac:dyDescent="0.35">
      <c r="A2200" s="2">
        <v>637</v>
      </c>
      <c r="B2200" s="2">
        <f t="shared" si="170"/>
        <v>-701.35206382240722</v>
      </c>
      <c r="C2200" s="2">
        <f t="shared" si="171"/>
        <v>491894.71742794994</v>
      </c>
      <c r="D2200" s="2">
        <v>26441</v>
      </c>
      <c r="E2200" s="2">
        <f t="shared" si="172"/>
        <v>2.6440999999999999</v>
      </c>
      <c r="F2200" s="2">
        <f t="shared" si="173"/>
        <v>-0.7357559833506726</v>
      </c>
      <c r="G2200" s="2">
        <f t="shared" si="174"/>
        <v>0.54133686703631523</v>
      </c>
    </row>
    <row r="2201" spans="1:7" x14ac:dyDescent="0.35">
      <c r="A2201" s="2">
        <v>637</v>
      </c>
      <c r="B2201" s="2">
        <f t="shared" si="170"/>
        <v>-701.35206382240722</v>
      </c>
      <c r="C2201" s="2">
        <f t="shared" si="171"/>
        <v>491894.71742794994</v>
      </c>
      <c r="D2201" s="2">
        <v>12632</v>
      </c>
      <c r="E2201" s="2">
        <f t="shared" si="172"/>
        <v>1.2632000000000001</v>
      </c>
      <c r="F2201" s="2">
        <f t="shared" si="173"/>
        <v>-2.1166559833506726</v>
      </c>
      <c r="G2201" s="2">
        <f t="shared" si="174"/>
        <v>4.4802325518542032</v>
      </c>
    </row>
    <row r="2202" spans="1:7" x14ac:dyDescent="0.35">
      <c r="A2202" s="2">
        <v>637</v>
      </c>
      <c r="B2202" s="2">
        <f t="shared" si="170"/>
        <v>-701.35206382240722</v>
      </c>
      <c r="C2202" s="2">
        <f t="shared" si="171"/>
        <v>491894.71742794994</v>
      </c>
      <c r="D2202" s="2">
        <v>12839</v>
      </c>
      <c r="E2202" s="2">
        <f t="shared" si="172"/>
        <v>1.2839</v>
      </c>
      <c r="F2202" s="2">
        <f t="shared" si="173"/>
        <v>-2.0959559833506725</v>
      </c>
      <c r="G2202" s="2">
        <f t="shared" si="174"/>
        <v>4.3930314841434841</v>
      </c>
    </row>
    <row r="2203" spans="1:7" x14ac:dyDescent="0.35">
      <c r="A2203" s="2">
        <v>637</v>
      </c>
      <c r="B2203" s="2">
        <f t="shared" si="170"/>
        <v>-701.35206382240722</v>
      </c>
      <c r="C2203" s="2">
        <f t="shared" si="171"/>
        <v>491894.71742794994</v>
      </c>
      <c r="D2203" s="2">
        <v>40056</v>
      </c>
      <c r="E2203" s="2">
        <f t="shared" si="172"/>
        <v>4.0056000000000003</v>
      </c>
      <c r="F2203" s="2">
        <f t="shared" si="173"/>
        <v>0.62574401664932777</v>
      </c>
      <c r="G2203" s="2">
        <f t="shared" si="174"/>
        <v>0.39155557437243421</v>
      </c>
    </row>
    <row r="2204" spans="1:7" x14ac:dyDescent="0.35">
      <c r="A2204" s="2">
        <v>637</v>
      </c>
      <c r="B2204" s="2">
        <f t="shared" si="170"/>
        <v>-701.35206382240722</v>
      </c>
      <c r="C2204" s="2">
        <f t="shared" si="171"/>
        <v>491894.71742794994</v>
      </c>
      <c r="D2204" s="2">
        <v>41989</v>
      </c>
      <c r="E2204" s="2">
        <f t="shared" si="172"/>
        <v>4.1989000000000001</v>
      </c>
      <c r="F2204" s="2">
        <f t="shared" si="173"/>
        <v>0.81904401664932758</v>
      </c>
      <c r="G2204" s="2">
        <f t="shared" si="174"/>
        <v>0.67083310120906403</v>
      </c>
    </row>
    <row r="2205" spans="1:7" x14ac:dyDescent="0.35">
      <c r="A2205" s="2">
        <v>637</v>
      </c>
      <c r="B2205" s="2">
        <f t="shared" si="170"/>
        <v>-701.35206382240722</v>
      </c>
      <c r="C2205" s="2">
        <f t="shared" si="171"/>
        <v>491894.71742794994</v>
      </c>
      <c r="D2205" s="2">
        <v>32993</v>
      </c>
      <c r="E2205" s="2">
        <f t="shared" si="172"/>
        <v>3.2993000000000001</v>
      </c>
      <c r="F2205" s="2">
        <f t="shared" si="173"/>
        <v>-8.0555983350672378E-2</v>
      </c>
      <c r="G2205" s="2">
        <f t="shared" si="174"/>
        <v>6.4892664535938054E-3</v>
      </c>
    </row>
    <row r="2206" spans="1:7" x14ac:dyDescent="0.35">
      <c r="A2206" s="2">
        <v>637</v>
      </c>
      <c r="B2206" s="2">
        <f t="shared" si="170"/>
        <v>-701.35206382240722</v>
      </c>
      <c r="C2206" s="2">
        <f t="shared" si="171"/>
        <v>491894.71742794994</v>
      </c>
      <c r="D2206" s="2">
        <v>34023</v>
      </c>
      <c r="E2206" s="2">
        <f t="shared" si="172"/>
        <v>3.4022999999999999</v>
      </c>
      <c r="F2206" s="2">
        <f t="shared" si="173"/>
        <v>2.2444016649327381E-2</v>
      </c>
      <c r="G2206" s="2">
        <f t="shared" si="174"/>
        <v>5.0373388335528467E-4</v>
      </c>
    </row>
    <row r="2207" spans="1:7" x14ac:dyDescent="0.35">
      <c r="A2207" s="2">
        <v>637</v>
      </c>
      <c r="B2207" s="2">
        <f t="shared" si="170"/>
        <v>-701.35206382240722</v>
      </c>
      <c r="C2207" s="2">
        <f t="shared" si="171"/>
        <v>491894.71742794994</v>
      </c>
      <c r="D2207" s="2">
        <v>49326</v>
      </c>
      <c r="E2207" s="2">
        <f t="shared" si="172"/>
        <v>4.9325999999999999</v>
      </c>
      <c r="F2207" s="2">
        <f t="shared" si="173"/>
        <v>1.5527440166493274</v>
      </c>
      <c r="G2207" s="2">
        <f t="shared" si="174"/>
        <v>2.4110139812402864</v>
      </c>
    </row>
    <row r="2208" spans="1:7" x14ac:dyDescent="0.35">
      <c r="A2208" s="2">
        <v>637</v>
      </c>
      <c r="B2208" s="2">
        <f t="shared" si="170"/>
        <v>-701.35206382240722</v>
      </c>
      <c r="C2208" s="2">
        <f t="shared" si="171"/>
        <v>491894.71742794994</v>
      </c>
      <c r="D2208" s="2">
        <v>54262</v>
      </c>
      <c r="E2208" s="2">
        <f t="shared" si="172"/>
        <v>5.4261999999999997</v>
      </c>
      <c r="F2208" s="2">
        <f t="shared" si="173"/>
        <v>2.0463440166493272</v>
      </c>
      <c r="G2208" s="2">
        <f t="shared" si="174"/>
        <v>4.1875238344765018</v>
      </c>
    </row>
    <row r="2209" spans="1:7" x14ac:dyDescent="0.35">
      <c r="A2209" s="2">
        <v>637</v>
      </c>
      <c r="B2209" s="2">
        <f t="shared" si="170"/>
        <v>-701.35206382240722</v>
      </c>
      <c r="C2209" s="2">
        <f t="shared" si="171"/>
        <v>491894.71742794994</v>
      </c>
      <c r="D2209" s="2">
        <v>49656</v>
      </c>
      <c r="E2209" s="2">
        <f t="shared" si="172"/>
        <v>4.9656000000000002</v>
      </c>
      <c r="F2209" s="2">
        <f t="shared" si="173"/>
        <v>1.5857440166493277</v>
      </c>
      <c r="G2209" s="2">
        <f t="shared" si="174"/>
        <v>2.5145840863391435</v>
      </c>
    </row>
    <row r="2210" spans="1:7" x14ac:dyDescent="0.35">
      <c r="A2210" s="2">
        <v>637</v>
      </c>
      <c r="B2210" s="2">
        <f t="shared" si="170"/>
        <v>-701.35206382240722</v>
      </c>
      <c r="C2210" s="2">
        <f t="shared" si="171"/>
        <v>491894.71742794994</v>
      </c>
      <c r="D2210" s="2">
        <v>51504</v>
      </c>
      <c r="E2210" s="2">
        <f t="shared" si="172"/>
        <v>5.1504000000000003</v>
      </c>
      <c r="F2210" s="2">
        <f t="shared" si="173"/>
        <v>1.7705440166493278</v>
      </c>
      <c r="G2210" s="2">
        <f t="shared" si="174"/>
        <v>3.1348261148927352</v>
      </c>
    </row>
    <row r="2211" spans="1:7" x14ac:dyDescent="0.35">
      <c r="A2211" s="2">
        <v>637</v>
      </c>
      <c r="B2211" s="2">
        <f t="shared" si="170"/>
        <v>-701.35206382240722</v>
      </c>
      <c r="C2211" s="2">
        <f t="shared" si="171"/>
        <v>491894.71742794994</v>
      </c>
      <c r="D2211" s="2">
        <v>44995</v>
      </c>
      <c r="E2211" s="2">
        <f t="shared" si="172"/>
        <v>4.4995000000000003</v>
      </c>
      <c r="F2211" s="2">
        <f t="shared" si="173"/>
        <v>1.1196440166493278</v>
      </c>
      <c r="G2211" s="2">
        <f t="shared" si="174"/>
        <v>1.2536027240186403</v>
      </c>
    </row>
    <row r="2212" spans="1:7" x14ac:dyDescent="0.35">
      <c r="A2212" s="2">
        <v>637</v>
      </c>
      <c r="B2212" s="2">
        <f t="shared" si="170"/>
        <v>-701.35206382240722</v>
      </c>
      <c r="C2212" s="2">
        <f t="shared" si="171"/>
        <v>491894.71742794994</v>
      </c>
      <c r="D2212" s="2">
        <v>47194</v>
      </c>
      <c r="E2212" s="2">
        <f t="shared" si="172"/>
        <v>4.7194000000000003</v>
      </c>
      <c r="F2212" s="2">
        <f t="shared" si="173"/>
        <v>1.3395440166493278</v>
      </c>
      <c r="G2212" s="2">
        <f t="shared" si="174"/>
        <v>1.7943781725410144</v>
      </c>
    </row>
    <row r="2213" spans="1:7" x14ac:dyDescent="0.35">
      <c r="A2213" s="2">
        <v>637</v>
      </c>
      <c r="B2213" s="2">
        <f t="shared" si="170"/>
        <v>-701.35206382240722</v>
      </c>
      <c r="C2213" s="2">
        <f t="shared" si="171"/>
        <v>491894.71742794994</v>
      </c>
      <c r="D2213" s="2">
        <v>35505</v>
      </c>
      <c r="E2213" s="2">
        <f t="shared" si="172"/>
        <v>3.5505</v>
      </c>
      <c r="F2213" s="2">
        <f t="shared" si="173"/>
        <v>0.17064401664932749</v>
      </c>
      <c r="G2213" s="2">
        <f t="shared" si="174"/>
        <v>2.9119380418215959E-2</v>
      </c>
    </row>
    <row r="2214" spans="1:7" x14ac:dyDescent="0.35">
      <c r="A2214" s="2">
        <v>637</v>
      </c>
      <c r="B2214" s="2">
        <f t="shared" si="170"/>
        <v>-701.35206382240722</v>
      </c>
      <c r="C2214" s="2">
        <f t="shared" si="171"/>
        <v>491894.71742794994</v>
      </c>
      <c r="D2214" s="2">
        <v>44974</v>
      </c>
      <c r="E2214" s="2">
        <f t="shared" si="172"/>
        <v>4.4973999999999998</v>
      </c>
      <c r="F2214" s="2">
        <f t="shared" si="173"/>
        <v>1.1175440166493273</v>
      </c>
      <c r="G2214" s="2">
        <f t="shared" si="174"/>
        <v>1.248904629148712</v>
      </c>
    </row>
    <row r="2215" spans="1:7" x14ac:dyDescent="0.35">
      <c r="A2215" s="2">
        <v>637</v>
      </c>
      <c r="B2215" s="2">
        <f t="shared" si="170"/>
        <v>-701.35206382240722</v>
      </c>
      <c r="C2215" s="2">
        <f t="shared" si="171"/>
        <v>491894.71742794994</v>
      </c>
      <c r="D2215" s="2">
        <v>46248</v>
      </c>
      <c r="E2215" s="2">
        <f t="shared" si="172"/>
        <v>4.6247999999999996</v>
      </c>
      <c r="F2215" s="2">
        <f t="shared" si="173"/>
        <v>1.2449440166493271</v>
      </c>
      <c r="G2215" s="2">
        <f t="shared" si="174"/>
        <v>1.5498856045909599</v>
      </c>
    </row>
    <row r="2216" spans="1:7" x14ac:dyDescent="0.35">
      <c r="A2216" s="2">
        <v>1212</v>
      </c>
      <c r="B2216" s="2">
        <f t="shared" si="170"/>
        <v>-126.35206382240722</v>
      </c>
      <c r="C2216" s="2">
        <f t="shared" si="171"/>
        <v>15964.844032181667</v>
      </c>
      <c r="D2216" s="2">
        <v>16000</v>
      </c>
      <c r="E2216" s="2">
        <f t="shared" si="172"/>
        <v>1.6</v>
      </c>
      <c r="F2216" s="2">
        <f t="shared" si="173"/>
        <v>-1.7798559833506724</v>
      </c>
      <c r="G2216" s="2">
        <f t="shared" si="174"/>
        <v>3.1678873214691889</v>
      </c>
    </row>
    <row r="2217" spans="1:7" x14ac:dyDescent="0.35">
      <c r="A2217" s="2">
        <v>1212</v>
      </c>
      <c r="B2217" s="2">
        <f t="shared" si="170"/>
        <v>-126.35206382240722</v>
      </c>
      <c r="C2217" s="2">
        <f t="shared" si="171"/>
        <v>15964.844032181667</v>
      </c>
      <c r="D2217" s="2">
        <v>23444</v>
      </c>
      <c r="E2217" s="2">
        <f t="shared" si="172"/>
        <v>2.3443999999999998</v>
      </c>
      <c r="F2217" s="2">
        <f t="shared" si="173"/>
        <v>-1.0354559833506727</v>
      </c>
      <c r="G2217" s="2">
        <f t="shared" si="174"/>
        <v>1.0721690934567085</v>
      </c>
    </row>
    <row r="2218" spans="1:7" x14ac:dyDescent="0.35">
      <c r="A2218" s="2">
        <v>1212</v>
      </c>
      <c r="B2218" s="2">
        <f t="shared" si="170"/>
        <v>-126.35206382240722</v>
      </c>
      <c r="C2218" s="2">
        <f t="shared" si="171"/>
        <v>15964.844032181667</v>
      </c>
      <c r="D2218" s="2">
        <v>21090</v>
      </c>
      <c r="E2218" s="2">
        <f t="shared" si="172"/>
        <v>2.109</v>
      </c>
      <c r="F2218" s="2">
        <f t="shared" si="173"/>
        <v>-1.2708559833506725</v>
      </c>
      <c r="G2218" s="2">
        <f t="shared" si="174"/>
        <v>1.6150749304182048</v>
      </c>
    </row>
    <row r="2219" spans="1:7" x14ac:dyDescent="0.35">
      <c r="A2219" s="2">
        <v>1212</v>
      </c>
      <c r="B2219" s="2">
        <f t="shared" si="170"/>
        <v>-126.35206382240722</v>
      </c>
      <c r="C2219" s="2">
        <f t="shared" si="171"/>
        <v>15964.844032181667</v>
      </c>
      <c r="D2219" s="2">
        <v>26231</v>
      </c>
      <c r="E2219" s="2">
        <f t="shared" si="172"/>
        <v>2.6231</v>
      </c>
      <c r="F2219" s="2">
        <f t="shared" si="173"/>
        <v>-0.75675598335067251</v>
      </c>
      <c r="G2219" s="2">
        <f t="shared" si="174"/>
        <v>0.57267961833704328</v>
      </c>
    </row>
    <row r="2220" spans="1:7" x14ac:dyDescent="0.35">
      <c r="A2220" s="2">
        <v>1212</v>
      </c>
      <c r="B2220" s="2">
        <f t="shared" si="170"/>
        <v>-126.35206382240722</v>
      </c>
      <c r="C2220" s="2">
        <f t="shared" si="171"/>
        <v>15964.844032181667</v>
      </c>
      <c r="D2220" s="2">
        <v>13652</v>
      </c>
      <c r="E2220" s="2">
        <f t="shared" si="172"/>
        <v>1.3652</v>
      </c>
      <c r="F2220" s="2">
        <f t="shared" si="173"/>
        <v>-2.0146559833506723</v>
      </c>
      <c r="G2220" s="2">
        <f t="shared" si="174"/>
        <v>4.0588387312506642</v>
      </c>
    </row>
    <row r="2221" spans="1:7" x14ac:dyDescent="0.35">
      <c r="A2221" s="2">
        <v>1212</v>
      </c>
      <c r="B2221" s="2">
        <f t="shared" si="170"/>
        <v>-126.35206382240722</v>
      </c>
      <c r="C2221" s="2">
        <f t="shared" si="171"/>
        <v>15964.844032181667</v>
      </c>
      <c r="D2221" s="2">
        <v>24118</v>
      </c>
      <c r="E2221" s="2">
        <f t="shared" si="172"/>
        <v>2.4117999999999999</v>
      </c>
      <c r="F2221" s="2">
        <f t="shared" si="173"/>
        <v>-0.96805598335067256</v>
      </c>
      <c r="G2221" s="2">
        <f t="shared" si="174"/>
        <v>0.93713238690103762</v>
      </c>
    </row>
    <row r="2222" spans="1:7" x14ac:dyDescent="0.35">
      <c r="A2222" s="2">
        <v>1212</v>
      </c>
      <c r="B2222" s="2">
        <f t="shared" si="170"/>
        <v>-126.35206382240722</v>
      </c>
      <c r="C2222" s="2">
        <f t="shared" si="171"/>
        <v>15964.844032181667</v>
      </c>
      <c r="D2222" s="2">
        <v>24030</v>
      </c>
      <c r="E2222" s="2">
        <f t="shared" si="172"/>
        <v>2.403</v>
      </c>
      <c r="F2222" s="2">
        <f t="shared" si="173"/>
        <v>-0.97685598335067247</v>
      </c>
      <c r="G2222" s="2">
        <f t="shared" si="174"/>
        <v>0.95424761220800924</v>
      </c>
    </row>
    <row r="2223" spans="1:7" x14ac:dyDescent="0.35">
      <c r="A2223" s="2">
        <v>1212</v>
      </c>
      <c r="B2223" s="2">
        <f t="shared" si="170"/>
        <v>-126.35206382240722</v>
      </c>
      <c r="C2223" s="2">
        <f t="shared" si="171"/>
        <v>15964.844032181667</v>
      </c>
      <c r="D2223" s="2">
        <v>26400</v>
      </c>
      <c r="E2223" s="2">
        <f t="shared" si="172"/>
        <v>2.64</v>
      </c>
      <c r="F2223" s="2">
        <f t="shared" si="173"/>
        <v>-0.73985598335067237</v>
      </c>
      <c r="G2223" s="2">
        <f t="shared" si="174"/>
        <v>0.54738687609979042</v>
      </c>
    </row>
    <row r="2224" spans="1:7" x14ac:dyDescent="0.35">
      <c r="A2224" s="2">
        <v>1212</v>
      </c>
      <c r="B2224" s="2">
        <f t="shared" si="170"/>
        <v>-126.35206382240722</v>
      </c>
      <c r="C2224" s="2">
        <f t="shared" si="171"/>
        <v>15964.844032181667</v>
      </c>
      <c r="D2224" s="2">
        <v>26471</v>
      </c>
      <c r="E2224" s="2">
        <f t="shared" si="172"/>
        <v>2.6471</v>
      </c>
      <c r="F2224" s="2">
        <f t="shared" si="173"/>
        <v>-0.73275598335067249</v>
      </c>
      <c r="G2224" s="2">
        <f t="shared" si="174"/>
        <v>0.53693133113621105</v>
      </c>
    </row>
    <row r="2225" spans="1:7" x14ac:dyDescent="0.35">
      <c r="A2225" s="2">
        <v>1212</v>
      </c>
      <c r="B2225" s="2">
        <f t="shared" si="170"/>
        <v>-126.35206382240722</v>
      </c>
      <c r="C2225" s="2">
        <f t="shared" si="171"/>
        <v>15964.844032181667</v>
      </c>
      <c r="D2225" s="2">
        <v>36508</v>
      </c>
      <c r="E2225" s="2">
        <f t="shared" si="172"/>
        <v>3.6507999999999998</v>
      </c>
      <c r="F2225" s="2">
        <f t="shared" si="173"/>
        <v>0.27094401664932732</v>
      </c>
      <c r="G2225" s="2">
        <f t="shared" si="174"/>
        <v>7.3410660158070962E-2</v>
      </c>
    </row>
    <row r="2226" spans="1:7" x14ac:dyDescent="0.35">
      <c r="A2226" s="2">
        <v>1212</v>
      </c>
      <c r="B2226" s="2">
        <f t="shared" si="170"/>
        <v>-126.35206382240722</v>
      </c>
      <c r="C2226" s="2">
        <f t="shared" si="171"/>
        <v>15964.844032181667</v>
      </c>
      <c r="D2226" s="2">
        <v>32980</v>
      </c>
      <c r="E2226" s="2">
        <f t="shared" si="172"/>
        <v>3.298</v>
      </c>
      <c r="F2226" s="2">
        <f t="shared" si="173"/>
        <v>-8.1855983350672457E-2</v>
      </c>
      <c r="G2226" s="2">
        <f t="shared" si="174"/>
        <v>6.7004020103055666E-3</v>
      </c>
    </row>
    <row r="2227" spans="1:7" x14ac:dyDescent="0.35">
      <c r="A2227" s="2">
        <v>1212</v>
      </c>
      <c r="B2227" s="2">
        <f t="shared" si="170"/>
        <v>-126.35206382240722</v>
      </c>
      <c r="C2227" s="2">
        <f t="shared" si="171"/>
        <v>15964.844032181667</v>
      </c>
      <c r="D2227" s="2">
        <v>30328</v>
      </c>
      <c r="E2227" s="2">
        <f t="shared" si="172"/>
        <v>3.0327999999999999</v>
      </c>
      <c r="F2227" s="2">
        <f t="shared" si="173"/>
        <v>-0.34705598335067256</v>
      </c>
      <c r="G2227" s="2">
        <f t="shared" si="174"/>
        <v>0.12044785557950231</v>
      </c>
    </row>
    <row r="2228" spans="1:7" x14ac:dyDescent="0.35">
      <c r="A2228" s="2">
        <v>1212</v>
      </c>
      <c r="B2228" s="2">
        <f t="shared" si="170"/>
        <v>-126.35206382240722</v>
      </c>
      <c r="C2228" s="2">
        <f t="shared" si="171"/>
        <v>15964.844032181667</v>
      </c>
      <c r="D2228" s="2">
        <v>19148</v>
      </c>
      <c r="E2228" s="2">
        <f t="shared" si="172"/>
        <v>1.9148000000000001</v>
      </c>
      <c r="F2228" s="2">
        <f t="shared" si="173"/>
        <v>-1.4650559833506724</v>
      </c>
      <c r="G2228" s="2">
        <f t="shared" si="174"/>
        <v>2.1463890343516057</v>
      </c>
    </row>
    <row r="2229" spans="1:7" x14ac:dyDescent="0.35">
      <c r="A2229" s="2">
        <v>1212</v>
      </c>
      <c r="B2229" s="2">
        <f t="shared" si="170"/>
        <v>-126.35206382240722</v>
      </c>
      <c r="C2229" s="2">
        <f t="shared" si="171"/>
        <v>15964.844032181667</v>
      </c>
      <c r="D2229" s="2">
        <v>18132</v>
      </c>
      <c r="E2229" s="2">
        <f t="shared" si="172"/>
        <v>1.8131999999999999</v>
      </c>
      <c r="F2229" s="2">
        <f t="shared" si="173"/>
        <v>-1.5666559833506726</v>
      </c>
      <c r="G2229" s="2">
        <f t="shared" si="174"/>
        <v>2.4544109701684627</v>
      </c>
    </row>
    <row r="2230" spans="1:7" x14ac:dyDescent="0.35">
      <c r="A2230" s="2">
        <v>1212</v>
      </c>
      <c r="B2230" s="2">
        <f t="shared" si="170"/>
        <v>-126.35206382240722</v>
      </c>
      <c r="C2230" s="2">
        <f t="shared" si="171"/>
        <v>15964.844032181667</v>
      </c>
      <c r="D2230" s="2">
        <v>27318</v>
      </c>
      <c r="E2230" s="2">
        <f t="shared" si="172"/>
        <v>2.7317999999999998</v>
      </c>
      <c r="F2230" s="2">
        <f t="shared" si="173"/>
        <v>-0.64805598335067272</v>
      </c>
      <c r="G2230" s="2">
        <f t="shared" si="174"/>
        <v>0.4199765575566074</v>
      </c>
    </row>
    <row r="2231" spans="1:7" x14ac:dyDescent="0.35">
      <c r="A2231" s="2">
        <v>1212</v>
      </c>
      <c r="B2231" s="2">
        <f t="shared" si="170"/>
        <v>-126.35206382240722</v>
      </c>
      <c r="C2231" s="2">
        <f t="shared" si="171"/>
        <v>15964.844032181667</v>
      </c>
      <c r="D2231" s="2">
        <v>30668</v>
      </c>
      <c r="E2231" s="2">
        <f t="shared" si="172"/>
        <v>3.0668000000000002</v>
      </c>
      <c r="F2231" s="2">
        <f t="shared" si="173"/>
        <v>-0.31305598335067231</v>
      </c>
      <c r="G2231" s="2">
        <f t="shared" si="174"/>
        <v>9.8004048711656411E-2</v>
      </c>
    </row>
    <row r="2232" spans="1:7" x14ac:dyDescent="0.35">
      <c r="A2232" s="2">
        <v>1212</v>
      </c>
      <c r="B2232" s="2">
        <f t="shared" si="170"/>
        <v>-126.35206382240722</v>
      </c>
      <c r="C2232" s="2">
        <f t="shared" si="171"/>
        <v>15964.844032181667</v>
      </c>
      <c r="D2232" s="2">
        <v>32658</v>
      </c>
      <c r="E2232" s="2">
        <f t="shared" si="172"/>
        <v>3.2658</v>
      </c>
      <c r="F2232" s="2">
        <f t="shared" si="173"/>
        <v>-0.11405598335067246</v>
      </c>
      <c r="G2232" s="2">
        <f t="shared" si="174"/>
        <v>1.3008767338088874E-2</v>
      </c>
    </row>
    <row r="2233" spans="1:7" x14ac:dyDescent="0.35">
      <c r="A2233" s="2">
        <v>1212</v>
      </c>
      <c r="B2233" s="2">
        <f t="shared" si="170"/>
        <v>-126.35206382240722</v>
      </c>
      <c r="C2233" s="2">
        <f t="shared" si="171"/>
        <v>15964.844032181667</v>
      </c>
      <c r="D2233" s="2">
        <v>37964</v>
      </c>
      <c r="E2233" s="2">
        <f t="shared" si="172"/>
        <v>3.7964000000000002</v>
      </c>
      <c r="F2233" s="2">
        <f t="shared" si="173"/>
        <v>0.41654401664932772</v>
      </c>
      <c r="G2233" s="2">
        <f t="shared" si="174"/>
        <v>0.17350891780635541</v>
      </c>
    </row>
    <row r="2234" spans="1:7" x14ac:dyDescent="0.35">
      <c r="A2234" s="2">
        <v>1212</v>
      </c>
      <c r="B2234" s="2">
        <f t="shared" si="170"/>
        <v>-126.35206382240722</v>
      </c>
      <c r="C2234" s="2">
        <f t="shared" si="171"/>
        <v>15964.844032181667</v>
      </c>
      <c r="D2234" s="2">
        <v>44673</v>
      </c>
      <c r="E2234" s="2">
        <f t="shared" si="172"/>
        <v>4.4672999999999998</v>
      </c>
      <c r="F2234" s="2">
        <f t="shared" si="173"/>
        <v>1.0874440166493273</v>
      </c>
      <c r="G2234" s="2">
        <f t="shared" si="174"/>
        <v>1.1825344893464225</v>
      </c>
    </row>
    <row r="2235" spans="1:7" x14ac:dyDescent="0.35">
      <c r="A2235" s="2">
        <v>1212</v>
      </c>
      <c r="B2235" s="2">
        <f t="shared" si="170"/>
        <v>-126.35206382240722</v>
      </c>
      <c r="C2235" s="2">
        <f t="shared" si="171"/>
        <v>15964.844032181667</v>
      </c>
      <c r="D2235" s="2">
        <v>44843</v>
      </c>
      <c r="E2235" s="2">
        <f t="shared" si="172"/>
        <v>4.4843000000000002</v>
      </c>
      <c r="F2235" s="2">
        <f t="shared" si="173"/>
        <v>1.1044440166493277</v>
      </c>
      <c r="G2235" s="2">
        <f t="shared" si="174"/>
        <v>1.2197965859125004</v>
      </c>
    </row>
    <row r="2236" spans="1:7" x14ac:dyDescent="0.35">
      <c r="A2236" s="2">
        <v>1212</v>
      </c>
      <c r="B2236" s="2">
        <f t="shared" si="170"/>
        <v>-126.35206382240722</v>
      </c>
      <c r="C2236" s="2">
        <f t="shared" si="171"/>
        <v>15964.844032181667</v>
      </c>
      <c r="D2236" s="2">
        <v>41320</v>
      </c>
      <c r="E2236" s="2">
        <f t="shared" si="172"/>
        <v>4.1319999999999997</v>
      </c>
      <c r="F2236" s="2">
        <f t="shared" si="173"/>
        <v>0.75214401664932717</v>
      </c>
      <c r="G2236" s="2">
        <f t="shared" si="174"/>
        <v>0.56572062178138338</v>
      </c>
    </row>
    <row r="2237" spans="1:7" x14ac:dyDescent="0.35">
      <c r="A2237" s="2">
        <v>1212</v>
      </c>
      <c r="B2237" s="2">
        <f t="shared" si="170"/>
        <v>-126.35206382240722</v>
      </c>
      <c r="C2237" s="2">
        <f t="shared" si="171"/>
        <v>15964.844032181667</v>
      </c>
      <c r="D2237" s="2">
        <v>44432</v>
      </c>
      <c r="E2237" s="2">
        <f t="shared" si="172"/>
        <v>4.4432</v>
      </c>
      <c r="F2237" s="2">
        <f t="shared" si="173"/>
        <v>1.0633440166493275</v>
      </c>
      <c r="G2237" s="2">
        <f t="shared" si="174"/>
        <v>1.1307004977439254</v>
      </c>
    </row>
    <row r="2238" spans="1:7" x14ac:dyDescent="0.35">
      <c r="A2238" s="2">
        <v>1212</v>
      </c>
      <c r="B2238" s="2">
        <f t="shared" si="170"/>
        <v>-126.35206382240722</v>
      </c>
      <c r="C2238" s="2">
        <f t="shared" si="171"/>
        <v>15964.844032181667</v>
      </c>
      <c r="D2238" s="2">
        <v>56178</v>
      </c>
      <c r="E2238" s="2">
        <f t="shared" si="172"/>
        <v>5.6177999999999999</v>
      </c>
      <c r="F2238" s="2">
        <f t="shared" si="173"/>
        <v>2.2379440166493274</v>
      </c>
      <c r="G2238" s="2">
        <f t="shared" si="174"/>
        <v>5.0083934216565247</v>
      </c>
    </row>
    <row r="2239" spans="1:7" x14ac:dyDescent="0.35">
      <c r="A2239" s="2">
        <v>1212</v>
      </c>
      <c r="B2239" s="2">
        <f t="shared" si="170"/>
        <v>-126.35206382240722</v>
      </c>
      <c r="C2239" s="2">
        <f t="shared" si="171"/>
        <v>15964.844032181667</v>
      </c>
      <c r="D2239" s="2">
        <v>51833</v>
      </c>
      <c r="E2239" s="2">
        <f t="shared" si="172"/>
        <v>5.1833</v>
      </c>
      <c r="F2239" s="2">
        <f t="shared" si="173"/>
        <v>1.8034440166493275</v>
      </c>
      <c r="G2239" s="2">
        <f t="shared" si="174"/>
        <v>3.2524103211882598</v>
      </c>
    </row>
    <row r="2240" spans="1:7" x14ac:dyDescent="0.35">
      <c r="A2240" s="2">
        <v>1212</v>
      </c>
      <c r="B2240" s="2">
        <f t="shared" si="170"/>
        <v>-126.35206382240722</v>
      </c>
      <c r="C2240" s="2">
        <f t="shared" si="171"/>
        <v>15964.844032181667</v>
      </c>
      <c r="D2240" s="2">
        <v>55195</v>
      </c>
      <c r="E2240" s="2">
        <f t="shared" si="172"/>
        <v>5.5194999999999999</v>
      </c>
      <c r="F2240" s="2">
        <f t="shared" si="173"/>
        <v>2.1396440166493274</v>
      </c>
      <c r="G2240" s="2">
        <f t="shared" si="174"/>
        <v>4.5780765179832672</v>
      </c>
    </row>
    <row r="2241" spans="1:7" x14ac:dyDescent="0.35">
      <c r="A2241" s="2">
        <v>1212</v>
      </c>
      <c r="B2241" s="2">
        <f t="shared" si="170"/>
        <v>-126.35206382240722</v>
      </c>
      <c r="C2241" s="2">
        <f t="shared" si="171"/>
        <v>15964.844032181667</v>
      </c>
      <c r="D2241" s="2">
        <v>57193</v>
      </c>
      <c r="E2241" s="2">
        <f t="shared" si="172"/>
        <v>5.7192999999999996</v>
      </c>
      <c r="F2241" s="2">
        <f t="shared" si="173"/>
        <v>2.3394440166493271</v>
      </c>
      <c r="G2241" s="2">
        <f t="shared" si="174"/>
        <v>5.4729983070363373</v>
      </c>
    </row>
    <row r="2242" spans="1:7" x14ac:dyDescent="0.35">
      <c r="A2242" s="2">
        <v>1212</v>
      </c>
      <c r="B2242" s="2">
        <f t="shared" si="170"/>
        <v>-126.35206382240722</v>
      </c>
      <c r="C2242" s="2">
        <f t="shared" si="171"/>
        <v>15964.844032181667</v>
      </c>
      <c r="D2242" s="2">
        <v>53362</v>
      </c>
      <c r="E2242" s="2">
        <f t="shared" si="172"/>
        <v>5.3361999999999998</v>
      </c>
      <c r="F2242" s="2">
        <f t="shared" si="173"/>
        <v>1.9563440166493273</v>
      </c>
      <c r="G2242" s="2">
        <f t="shared" si="174"/>
        <v>3.8272819114796235</v>
      </c>
    </row>
    <row r="2243" spans="1:7" x14ac:dyDescent="0.35">
      <c r="A2243" s="2">
        <v>1212</v>
      </c>
      <c r="B2243" s="2">
        <f t="shared" ref="B2243:B2306" si="175">A2243-$J$1</f>
        <v>-126.35206382240722</v>
      </c>
      <c r="C2243" s="2">
        <f t="shared" ref="C2243:C2306" si="176">B2243^2</f>
        <v>15964.844032181667</v>
      </c>
      <c r="D2243" s="2">
        <v>30594</v>
      </c>
      <c r="E2243" s="2">
        <f t="shared" ref="E2243:E2306" si="177">D2243/10000</f>
        <v>3.0594000000000001</v>
      </c>
      <c r="F2243" s="2">
        <f t="shared" ref="F2243:F2306" si="178">E2243-$J$2</f>
        <v>-0.32045598335067238</v>
      </c>
      <c r="G2243" s="2">
        <f t="shared" ref="G2243:G2306" si="179">F2243^2</f>
        <v>0.10269203726524641</v>
      </c>
    </row>
    <row r="2244" spans="1:7" x14ac:dyDescent="0.35">
      <c r="A2244" s="2">
        <v>1212</v>
      </c>
      <c r="B2244" s="2">
        <f t="shared" si="175"/>
        <v>-126.35206382240722</v>
      </c>
      <c r="C2244" s="2">
        <f t="shared" si="176"/>
        <v>15964.844032181667</v>
      </c>
      <c r="D2244" s="2">
        <v>32259</v>
      </c>
      <c r="E2244" s="2">
        <f t="shared" si="177"/>
        <v>3.2259000000000002</v>
      </c>
      <c r="F2244" s="2">
        <f t="shared" si="178"/>
        <v>-0.15395598335067229</v>
      </c>
      <c r="G2244" s="2">
        <f t="shared" si="179"/>
        <v>2.3702444809472482E-2</v>
      </c>
    </row>
    <row r="2245" spans="1:7" x14ac:dyDescent="0.35">
      <c r="A2245" s="2">
        <v>1212</v>
      </c>
      <c r="B2245" s="2">
        <f t="shared" si="175"/>
        <v>-126.35206382240722</v>
      </c>
      <c r="C2245" s="2">
        <f t="shared" si="176"/>
        <v>15964.844032181667</v>
      </c>
      <c r="D2245" s="2">
        <v>33067</v>
      </c>
      <c r="E2245" s="2">
        <f t="shared" si="177"/>
        <v>3.3067000000000002</v>
      </c>
      <c r="F2245" s="2">
        <f t="shared" si="178"/>
        <v>-7.3155983350672305E-2</v>
      </c>
      <c r="G2245" s="2">
        <f t="shared" si="179"/>
        <v>5.3517979000038433E-3</v>
      </c>
    </row>
    <row r="2246" spans="1:7" x14ac:dyDescent="0.35">
      <c r="A2246" s="2">
        <v>686</v>
      </c>
      <c r="B2246" s="2">
        <f t="shared" si="175"/>
        <v>-652.35206382240722</v>
      </c>
      <c r="C2246" s="2">
        <f t="shared" si="176"/>
        <v>425563.21517335408</v>
      </c>
      <c r="D2246" s="2">
        <v>18810</v>
      </c>
      <c r="E2246" s="2">
        <f t="shared" si="177"/>
        <v>1.881</v>
      </c>
      <c r="F2246" s="2">
        <f t="shared" si="178"/>
        <v>-1.4988559833506725</v>
      </c>
      <c r="G2246" s="2">
        <f t="shared" si="179"/>
        <v>2.2465692588261112</v>
      </c>
    </row>
    <row r="2247" spans="1:7" x14ac:dyDescent="0.35">
      <c r="A2247" s="2">
        <v>686</v>
      </c>
      <c r="B2247" s="2">
        <f t="shared" si="175"/>
        <v>-652.35206382240722</v>
      </c>
      <c r="C2247" s="2">
        <f t="shared" si="176"/>
        <v>425563.21517335408</v>
      </c>
      <c r="D2247" s="2">
        <v>19977</v>
      </c>
      <c r="E2247" s="2">
        <f t="shared" si="177"/>
        <v>1.9977</v>
      </c>
      <c r="F2247" s="2">
        <f t="shared" si="178"/>
        <v>-1.3821559833506725</v>
      </c>
      <c r="G2247" s="2">
        <f t="shared" si="179"/>
        <v>1.9103551623120645</v>
      </c>
    </row>
    <row r="2248" spans="1:7" x14ac:dyDescent="0.35">
      <c r="A2248" s="2">
        <v>686</v>
      </c>
      <c r="B2248" s="2">
        <f t="shared" si="175"/>
        <v>-652.35206382240722</v>
      </c>
      <c r="C2248" s="2">
        <f t="shared" si="176"/>
        <v>425563.21517335408</v>
      </c>
      <c r="D2248" s="2">
        <v>18265</v>
      </c>
      <c r="E2248" s="2">
        <f t="shared" si="177"/>
        <v>1.8265</v>
      </c>
      <c r="F2248" s="2">
        <f t="shared" si="178"/>
        <v>-1.5533559833506725</v>
      </c>
      <c r="G2248" s="2">
        <f t="shared" si="179"/>
        <v>2.4129148110113348</v>
      </c>
    </row>
    <row r="2249" spans="1:7" x14ac:dyDescent="0.35">
      <c r="A2249" s="2">
        <v>686</v>
      </c>
      <c r="B2249" s="2">
        <f t="shared" si="175"/>
        <v>-652.35206382240722</v>
      </c>
      <c r="C2249" s="2">
        <f t="shared" si="176"/>
        <v>425563.21517335408</v>
      </c>
      <c r="D2249" s="2">
        <v>21206</v>
      </c>
      <c r="E2249" s="2">
        <f t="shared" si="177"/>
        <v>2.1206</v>
      </c>
      <c r="F2249" s="2">
        <f t="shared" si="178"/>
        <v>-1.2592559833506725</v>
      </c>
      <c r="G2249" s="2">
        <f t="shared" si="179"/>
        <v>1.585725631604469</v>
      </c>
    </row>
    <row r="2250" spans="1:7" x14ac:dyDescent="0.35">
      <c r="A2250" s="2">
        <v>686</v>
      </c>
      <c r="B2250" s="2">
        <f t="shared" si="175"/>
        <v>-652.35206382240722</v>
      </c>
      <c r="C2250" s="2">
        <f t="shared" si="176"/>
        <v>425563.21517335408</v>
      </c>
      <c r="D2250" s="2">
        <v>24825</v>
      </c>
      <c r="E2250" s="2">
        <f t="shared" si="177"/>
        <v>2.4824999999999999</v>
      </c>
      <c r="F2250" s="2">
        <f t="shared" si="178"/>
        <v>-0.89735598335067257</v>
      </c>
      <c r="G2250" s="2">
        <f t="shared" si="179"/>
        <v>0.80524776085525251</v>
      </c>
    </row>
    <row r="2251" spans="1:7" x14ac:dyDescent="0.35">
      <c r="A2251" s="2">
        <v>686</v>
      </c>
      <c r="B2251" s="2">
        <f t="shared" si="175"/>
        <v>-652.35206382240722</v>
      </c>
      <c r="C2251" s="2">
        <f t="shared" si="176"/>
        <v>425563.21517335408</v>
      </c>
      <c r="D2251" s="2">
        <v>23497</v>
      </c>
      <c r="E2251" s="2">
        <f t="shared" si="177"/>
        <v>2.3496999999999999</v>
      </c>
      <c r="F2251" s="2">
        <f t="shared" si="178"/>
        <v>-1.0301559833506726</v>
      </c>
      <c r="G2251" s="2">
        <f t="shared" si="179"/>
        <v>1.0612213500331913</v>
      </c>
    </row>
    <row r="2252" spans="1:7" x14ac:dyDescent="0.35">
      <c r="A2252" s="2">
        <v>686</v>
      </c>
      <c r="B2252" s="2">
        <f t="shared" si="175"/>
        <v>-652.35206382240722</v>
      </c>
      <c r="C2252" s="2">
        <f t="shared" si="176"/>
        <v>425563.21517335408</v>
      </c>
      <c r="D2252" s="2">
        <v>24065</v>
      </c>
      <c r="E2252" s="2">
        <f t="shared" si="177"/>
        <v>2.4064999999999999</v>
      </c>
      <c r="F2252" s="2">
        <f t="shared" si="178"/>
        <v>-0.97335598335067264</v>
      </c>
      <c r="G2252" s="2">
        <f t="shared" si="179"/>
        <v>0.94742187032455494</v>
      </c>
    </row>
    <row r="2253" spans="1:7" x14ac:dyDescent="0.35">
      <c r="A2253" s="2">
        <v>686</v>
      </c>
      <c r="B2253" s="2">
        <f t="shared" si="175"/>
        <v>-652.35206382240722</v>
      </c>
      <c r="C2253" s="2">
        <f t="shared" si="176"/>
        <v>425563.21517335408</v>
      </c>
      <c r="D2253" s="2">
        <v>24809</v>
      </c>
      <c r="E2253" s="2">
        <f t="shared" si="177"/>
        <v>2.4809000000000001</v>
      </c>
      <c r="F2253" s="2">
        <f t="shared" si="178"/>
        <v>-0.89895598335067239</v>
      </c>
      <c r="G2253" s="2">
        <f t="shared" si="179"/>
        <v>0.80812186000197439</v>
      </c>
    </row>
    <row r="2254" spans="1:7" x14ac:dyDescent="0.35">
      <c r="A2254" s="2">
        <v>686</v>
      </c>
      <c r="B2254" s="2">
        <f t="shared" si="175"/>
        <v>-652.35206382240722</v>
      </c>
      <c r="C2254" s="2">
        <f t="shared" si="176"/>
        <v>425563.21517335408</v>
      </c>
      <c r="D2254" s="2">
        <v>20869</v>
      </c>
      <c r="E2254" s="2">
        <f t="shared" si="177"/>
        <v>2.0869</v>
      </c>
      <c r="F2254" s="2">
        <f t="shared" si="178"/>
        <v>-1.2929559833506725</v>
      </c>
      <c r="G2254" s="2">
        <f t="shared" si="179"/>
        <v>1.6717351748823046</v>
      </c>
    </row>
    <row r="2255" spans="1:7" x14ac:dyDescent="0.35">
      <c r="A2255" s="2">
        <v>686</v>
      </c>
      <c r="B2255" s="2">
        <f t="shared" si="175"/>
        <v>-652.35206382240722</v>
      </c>
      <c r="C2255" s="2">
        <f t="shared" si="176"/>
        <v>425563.21517335408</v>
      </c>
      <c r="D2255" s="2">
        <v>22497</v>
      </c>
      <c r="E2255" s="2">
        <f t="shared" si="177"/>
        <v>2.2496999999999998</v>
      </c>
      <c r="F2255" s="2">
        <f t="shared" si="178"/>
        <v>-1.1301559833506727</v>
      </c>
      <c r="G2255" s="2">
        <f t="shared" si="179"/>
        <v>1.277252546703326</v>
      </c>
    </row>
    <row r="2256" spans="1:7" x14ac:dyDescent="0.35">
      <c r="A2256" s="2">
        <v>686</v>
      </c>
      <c r="B2256" s="2">
        <f t="shared" si="175"/>
        <v>-652.35206382240722</v>
      </c>
      <c r="C2256" s="2">
        <f t="shared" si="176"/>
        <v>425563.21517335408</v>
      </c>
      <c r="D2256" s="2">
        <v>20157</v>
      </c>
      <c r="E2256" s="2">
        <f t="shared" si="177"/>
        <v>2.0156999999999998</v>
      </c>
      <c r="F2256" s="2">
        <f t="shared" si="178"/>
        <v>-1.3641559833506727</v>
      </c>
      <c r="G2256" s="2">
        <f t="shared" si="179"/>
        <v>1.8609215469114408</v>
      </c>
    </row>
    <row r="2257" spans="1:7" x14ac:dyDescent="0.35">
      <c r="A2257" s="2">
        <v>686</v>
      </c>
      <c r="B2257" s="2">
        <f t="shared" si="175"/>
        <v>-652.35206382240722</v>
      </c>
      <c r="C2257" s="2">
        <f t="shared" si="176"/>
        <v>425563.21517335408</v>
      </c>
      <c r="D2257" s="2">
        <v>23254</v>
      </c>
      <c r="E2257" s="2">
        <f t="shared" si="177"/>
        <v>2.3254000000000001</v>
      </c>
      <c r="F2257" s="2">
        <f t="shared" si="178"/>
        <v>-1.0544559833506724</v>
      </c>
      <c r="G2257" s="2">
        <f t="shared" si="179"/>
        <v>1.1118774208240334</v>
      </c>
    </row>
    <row r="2258" spans="1:7" x14ac:dyDescent="0.35">
      <c r="A2258" s="2">
        <v>686</v>
      </c>
      <c r="B2258" s="2">
        <f t="shared" si="175"/>
        <v>-652.35206382240722</v>
      </c>
      <c r="C2258" s="2">
        <f t="shared" si="176"/>
        <v>425563.21517335408</v>
      </c>
      <c r="D2258" s="2">
        <v>27204</v>
      </c>
      <c r="E2258" s="2">
        <f t="shared" si="177"/>
        <v>2.7204000000000002</v>
      </c>
      <c r="F2258" s="2">
        <f t="shared" si="178"/>
        <v>-0.65945598335067235</v>
      </c>
      <c r="G2258" s="2">
        <f t="shared" si="179"/>
        <v>0.43488219397700223</v>
      </c>
    </row>
    <row r="2259" spans="1:7" x14ac:dyDescent="0.35">
      <c r="A2259" s="2">
        <v>686</v>
      </c>
      <c r="B2259" s="2">
        <f t="shared" si="175"/>
        <v>-652.35206382240722</v>
      </c>
      <c r="C2259" s="2">
        <f t="shared" si="176"/>
        <v>425563.21517335408</v>
      </c>
      <c r="D2259" s="2">
        <v>28000</v>
      </c>
      <c r="E2259" s="2">
        <f t="shared" si="177"/>
        <v>2.8</v>
      </c>
      <c r="F2259" s="2">
        <f t="shared" si="178"/>
        <v>-0.57985598335067268</v>
      </c>
      <c r="G2259" s="2">
        <f t="shared" si="179"/>
        <v>0.33623296142757558</v>
      </c>
    </row>
    <row r="2260" spans="1:7" x14ac:dyDescent="0.35">
      <c r="A2260" s="2">
        <v>686</v>
      </c>
      <c r="B2260" s="2">
        <f t="shared" si="175"/>
        <v>-652.35206382240722</v>
      </c>
      <c r="C2260" s="2">
        <f t="shared" si="176"/>
        <v>425563.21517335408</v>
      </c>
      <c r="D2260" s="2">
        <v>23454</v>
      </c>
      <c r="E2260" s="2">
        <f t="shared" si="177"/>
        <v>2.3454000000000002</v>
      </c>
      <c r="F2260" s="2">
        <f t="shared" si="178"/>
        <v>-1.0344559833506723</v>
      </c>
      <c r="G2260" s="2">
        <f t="shared" si="179"/>
        <v>1.0700991814900065</v>
      </c>
    </row>
    <row r="2261" spans="1:7" x14ac:dyDescent="0.35">
      <c r="A2261" s="2">
        <v>686</v>
      </c>
      <c r="B2261" s="2">
        <f t="shared" si="175"/>
        <v>-652.35206382240722</v>
      </c>
      <c r="C2261" s="2">
        <f t="shared" si="176"/>
        <v>425563.21517335408</v>
      </c>
      <c r="D2261" s="2">
        <v>23729</v>
      </c>
      <c r="E2261" s="2">
        <f t="shared" si="177"/>
        <v>2.3729</v>
      </c>
      <c r="F2261" s="2">
        <f t="shared" si="178"/>
        <v>-1.0069559833506725</v>
      </c>
      <c r="G2261" s="2">
        <f t="shared" si="179"/>
        <v>1.0139603524057199</v>
      </c>
    </row>
    <row r="2262" spans="1:7" x14ac:dyDescent="0.35">
      <c r="A2262" s="2">
        <v>686</v>
      </c>
      <c r="B2262" s="2">
        <f t="shared" si="175"/>
        <v>-652.35206382240722</v>
      </c>
      <c r="C2262" s="2">
        <f t="shared" si="176"/>
        <v>425563.21517335408</v>
      </c>
      <c r="D2262" s="2">
        <v>22676</v>
      </c>
      <c r="E2262" s="2">
        <f t="shared" si="177"/>
        <v>2.2675999999999998</v>
      </c>
      <c r="F2262" s="2">
        <f t="shared" si="178"/>
        <v>-1.1122559833506727</v>
      </c>
      <c r="G2262" s="2">
        <f t="shared" si="179"/>
        <v>1.2371133724993719</v>
      </c>
    </row>
    <row r="2263" spans="1:7" x14ac:dyDescent="0.35">
      <c r="A2263" s="2">
        <v>686</v>
      </c>
      <c r="B2263" s="2">
        <f t="shared" si="175"/>
        <v>-652.35206382240722</v>
      </c>
      <c r="C2263" s="2">
        <f t="shared" si="176"/>
        <v>425563.21517335408</v>
      </c>
      <c r="D2263" s="2">
        <v>24758</v>
      </c>
      <c r="E2263" s="2">
        <f t="shared" si="177"/>
        <v>2.4758</v>
      </c>
      <c r="F2263" s="2">
        <f t="shared" si="178"/>
        <v>-0.9040559833506725</v>
      </c>
      <c r="G2263" s="2">
        <f t="shared" si="179"/>
        <v>0.81731722103215143</v>
      </c>
    </row>
    <row r="2264" spans="1:7" x14ac:dyDescent="0.35">
      <c r="A2264" s="2">
        <v>686</v>
      </c>
      <c r="B2264" s="2">
        <f t="shared" si="175"/>
        <v>-652.35206382240722</v>
      </c>
      <c r="C2264" s="2">
        <f t="shared" si="176"/>
        <v>425563.21517335408</v>
      </c>
      <c r="D2264" s="2">
        <v>28542</v>
      </c>
      <c r="E2264" s="2">
        <f t="shared" si="177"/>
        <v>2.8542000000000001</v>
      </c>
      <c r="F2264" s="2">
        <f t="shared" si="178"/>
        <v>-0.52565598335067243</v>
      </c>
      <c r="G2264" s="2">
        <f t="shared" si="179"/>
        <v>0.2763142128323624</v>
      </c>
    </row>
    <row r="2265" spans="1:7" x14ac:dyDescent="0.35">
      <c r="A2265" s="2">
        <v>686</v>
      </c>
      <c r="B2265" s="2">
        <f t="shared" si="175"/>
        <v>-652.35206382240722</v>
      </c>
      <c r="C2265" s="2">
        <f t="shared" si="176"/>
        <v>425563.21517335408</v>
      </c>
      <c r="D2265" s="2">
        <v>22401</v>
      </c>
      <c r="E2265" s="2">
        <f t="shared" si="177"/>
        <v>2.2401</v>
      </c>
      <c r="F2265" s="2">
        <f t="shared" si="178"/>
        <v>-1.1397559833506725</v>
      </c>
      <c r="G2265" s="2">
        <f t="shared" si="179"/>
        <v>1.2990437015836585</v>
      </c>
    </row>
    <row r="2266" spans="1:7" x14ac:dyDescent="0.35">
      <c r="A2266" s="2">
        <v>686</v>
      </c>
      <c r="B2266" s="2">
        <f t="shared" si="175"/>
        <v>-652.35206382240722</v>
      </c>
      <c r="C2266" s="2">
        <f t="shared" si="176"/>
        <v>425563.21517335408</v>
      </c>
      <c r="D2266" s="2">
        <v>24078</v>
      </c>
      <c r="E2266" s="2">
        <f t="shared" si="177"/>
        <v>2.4077999999999999</v>
      </c>
      <c r="F2266" s="2">
        <f t="shared" si="178"/>
        <v>-0.97205598335067256</v>
      </c>
      <c r="G2266" s="2">
        <f t="shared" si="179"/>
        <v>0.94489283476784303</v>
      </c>
    </row>
    <row r="2267" spans="1:7" x14ac:dyDescent="0.35">
      <c r="A2267" s="2">
        <v>686</v>
      </c>
      <c r="B2267" s="2">
        <f t="shared" si="175"/>
        <v>-652.35206382240722</v>
      </c>
      <c r="C2267" s="2">
        <f t="shared" si="176"/>
        <v>425563.21517335408</v>
      </c>
      <c r="D2267" s="2">
        <v>32572</v>
      </c>
      <c r="E2267" s="2">
        <f t="shared" si="177"/>
        <v>3.2572000000000001</v>
      </c>
      <c r="F2267" s="2">
        <f t="shared" si="178"/>
        <v>-0.1226559833506724</v>
      </c>
      <c r="G2267" s="2">
        <f t="shared" si="179"/>
        <v>1.5044490251720426E-2</v>
      </c>
    </row>
    <row r="2268" spans="1:7" x14ac:dyDescent="0.35">
      <c r="A2268" s="2">
        <v>686</v>
      </c>
      <c r="B2268" s="2">
        <f t="shared" si="175"/>
        <v>-652.35206382240722</v>
      </c>
      <c r="C2268" s="2">
        <f t="shared" si="176"/>
        <v>425563.21517335408</v>
      </c>
      <c r="D2268" s="2">
        <v>36022</v>
      </c>
      <c r="E2268" s="2">
        <f t="shared" si="177"/>
        <v>3.6021999999999998</v>
      </c>
      <c r="F2268" s="2">
        <f t="shared" si="178"/>
        <v>0.22234401664932735</v>
      </c>
      <c r="G2268" s="2">
        <f t="shared" si="179"/>
        <v>4.9436861739756359E-2</v>
      </c>
    </row>
    <row r="2269" spans="1:7" x14ac:dyDescent="0.35">
      <c r="A2269" s="2">
        <v>686</v>
      </c>
      <c r="B2269" s="2">
        <f t="shared" si="175"/>
        <v>-652.35206382240722</v>
      </c>
      <c r="C2269" s="2">
        <f t="shared" si="176"/>
        <v>425563.21517335408</v>
      </c>
      <c r="D2269" s="2">
        <v>41033</v>
      </c>
      <c r="E2269" s="2">
        <f t="shared" si="177"/>
        <v>4.1032999999999999</v>
      </c>
      <c r="F2269" s="2">
        <f t="shared" si="178"/>
        <v>0.72344401664932745</v>
      </c>
      <c r="G2269" s="2">
        <f t="shared" si="179"/>
        <v>0.52337124522571232</v>
      </c>
    </row>
    <row r="2270" spans="1:7" x14ac:dyDescent="0.35">
      <c r="A2270" s="2">
        <v>686</v>
      </c>
      <c r="B2270" s="2">
        <f t="shared" si="175"/>
        <v>-652.35206382240722</v>
      </c>
      <c r="C2270" s="2">
        <f t="shared" si="176"/>
        <v>425563.21517335408</v>
      </c>
      <c r="D2270" s="2">
        <v>37171</v>
      </c>
      <c r="E2270" s="2">
        <f t="shared" si="177"/>
        <v>3.7170999999999998</v>
      </c>
      <c r="F2270" s="2">
        <f t="shared" si="178"/>
        <v>0.33724401664932735</v>
      </c>
      <c r="G2270" s="2">
        <f t="shared" si="179"/>
        <v>0.11373352676577178</v>
      </c>
    </row>
    <row r="2271" spans="1:7" x14ac:dyDescent="0.35">
      <c r="A2271" s="2">
        <v>686</v>
      </c>
      <c r="B2271" s="2">
        <f t="shared" si="175"/>
        <v>-652.35206382240722</v>
      </c>
      <c r="C2271" s="2">
        <f t="shared" si="176"/>
        <v>425563.21517335408</v>
      </c>
      <c r="D2271" s="2">
        <v>39892</v>
      </c>
      <c r="E2271" s="2">
        <f t="shared" si="177"/>
        <v>3.9891999999999999</v>
      </c>
      <c r="F2271" s="2">
        <f t="shared" si="178"/>
        <v>0.60934401664932736</v>
      </c>
      <c r="G2271" s="2">
        <f t="shared" si="179"/>
        <v>0.37130013062633571</v>
      </c>
    </row>
    <row r="2272" spans="1:7" x14ac:dyDescent="0.35">
      <c r="A2272" s="2">
        <v>686</v>
      </c>
      <c r="B2272" s="2">
        <f t="shared" si="175"/>
        <v>-652.35206382240722</v>
      </c>
      <c r="C2272" s="2">
        <f t="shared" si="176"/>
        <v>425563.21517335408</v>
      </c>
      <c r="D2272" s="2">
        <v>40181</v>
      </c>
      <c r="E2272" s="2">
        <f t="shared" si="177"/>
        <v>4.0180999999999996</v>
      </c>
      <c r="F2272" s="2">
        <f t="shared" si="178"/>
        <v>0.63824401664932706</v>
      </c>
      <c r="G2272" s="2">
        <f t="shared" si="179"/>
        <v>0.40735542478866649</v>
      </c>
    </row>
    <row r="2273" spans="1:7" x14ac:dyDescent="0.35">
      <c r="A2273" s="2">
        <v>686</v>
      </c>
      <c r="B2273" s="2">
        <f t="shared" si="175"/>
        <v>-652.35206382240722</v>
      </c>
      <c r="C2273" s="2">
        <f t="shared" si="176"/>
        <v>425563.21517335408</v>
      </c>
      <c r="D2273" s="2">
        <v>41417</v>
      </c>
      <c r="E2273" s="2">
        <f t="shared" si="177"/>
        <v>4.1417000000000002</v>
      </c>
      <c r="F2273" s="2">
        <f t="shared" si="178"/>
        <v>0.76184401664932766</v>
      </c>
      <c r="G2273" s="2">
        <f t="shared" si="179"/>
        <v>0.58040630570438101</v>
      </c>
    </row>
    <row r="2274" spans="1:7" x14ac:dyDescent="0.35">
      <c r="A2274" s="2">
        <v>686</v>
      </c>
      <c r="B2274" s="2">
        <f t="shared" si="175"/>
        <v>-652.35206382240722</v>
      </c>
      <c r="C2274" s="2">
        <f t="shared" si="176"/>
        <v>425563.21517335408</v>
      </c>
      <c r="D2274" s="2">
        <v>38194</v>
      </c>
      <c r="E2274" s="2">
        <f t="shared" si="177"/>
        <v>3.8193999999999999</v>
      </c>
      <c r="F2274" s="2">
        <f t="shared" si="178"/>
        <v>0.43954401664932741</v>
      </c>
      <c r="G2274" s="2">
        <f t="shared" si="179"/>
        <v>0.1931989425722242</v>
      </c>
    </row>
    <row r="2275" spans="1:7" x14ac:dyDescent="0.35">
      <c r="A2275" s="2">
        <v>686</v>
      </c>
      <c r="B2275" s="2">
        <f t="shared" si="175"/>
        <v>-652.35206382240722</v>
      </c>
      <c r="C2275" s="2">
        <f t="shared" si="176"/>
        <v>425563.21517335408</v>
      </c>
      <c r="D2275" s="2">
        <v>39289</v>
      </c>
      <c r="E2275" s="2">
        <f t="shared" si="177"/>
        <v>3.9289000000000001</v>
      </c>
      <c r="F2275" s="2">
        <f t="shared" si="178"/>
        <v>0.54904401664932756</v>
      </c>
      <c r="G2275" s="2">
        <f t="shared" si="179"/>
        <v>0.30144933221842707</v>
      </c>
    </row>
    <row r="2276" spans="1:7" x14ac:dyDescent="0.35">
      <c r="A2276" s="2">
        <v>2526</v>
      </c>
      <c r="B2276" s="2">
        <f t="shared" si="175"/>
        <v>1187.6479361775928</v>
      </c>
      <c r="C2276" s="2">
        <f t="shared" si="176"/>
        <v>1410507.6203068956</v>
      </c>
      <c r="D2276" s="2">
        <v>12652</v>
      </c>
      <c r="E2276" s="2">
        <f t="shared" si="177"/>
        <v>1.2652000000000001</v>
      </c>
      <c r="F2276" s="2">
        <f t="shared" si="178"/>
        <v>-2.1146559833506724</v>
      </c>
      <c r="G2276" s="2">
        <f t="shared" si="179"/>
        <v>4.471769927920799</v>
      </c>
    </row>
    <row r="2277" spans="1:7" x14ac:dyDescent="0.35">
      <c r="A2277" s="2">
        <v>2526</v>
      </c>
      <c r="B2277" s="2">
        <f t="shared" si="175"/>
        <v>1187.6479361775928</v>
      </c>
      <c r="C2277" s="2">
        <f t="shared" si="176"/>
        <v>1410507.6203068956</v>
      </c>
      <c r="D2277" s="2">
        <v>15447</v>
      </c>
      <c r="E2277" s="2">
        <f t="shared" si="177"/>
        <v>1.5447</v>
      </c>
      <c r="F2277" s="2">
        <f t="shared" si="178"/>
        <v>-1.8351559833506725</v>
      </c>
      <c r="G2277" s="2">
        <f t="shared" si="179"/>
        <v>3.3677974832277737</v>
      </c>
    </row>
    <row r="2278" spans="1:7" x14ac:dyDescent="0.35">
      <c r="A2278" s="2">
        <v>2526</v>
      </c>
      <c r="B2278" s="2">
        <f t="shared" si="175"/>
        <v>1187.6479361775928</v>
      </c>
      <c r="C2278" s="2">
        <f t="shared" si="176"/>
        <v>1410507.6203068956</v>
      </c>
      <c r="D2278" s="2">
        <v>13030</v>
      </c>
      <c r="E2278" s="2">
        <f t="shared" si="177"/>
        <v>1.3029999999999999</v>
      </c>
      <c r="F2278" s="2">
        <f t="shared" si="178"/>
        <v>-2.0768559833506726</v>
      </c>
      <c r="G2278" s="2">
        <f t="shared" si="179"/>
        <v>4.3133307755794892</v>
      </c>
    </row>
    <row r="2279" spans="1:7" x14ac:dyDescent="0.35">
      <c r="A2279" s="2">
        <v>2526</v>
      </c>
      <c r="B2279" s="2">
        <f t="shared" si="175"/>
        <v>1187.6479361775928</v>
      </c>
      <c r="C2279" s="2">
        <f t="shared" si="176"/>
        <v>1410507.6203068956</v>
      </c>
      <c r="D2279" s="2">
        <v>12842</v>
      </c>
      <c r="E2279" s="2">
        <f t="shared" si="177"/>
        <v>1.2842</v>
      </c>
      <c r="F2279" s="2">
        <f t="shared" si="178"/>
        <v>-2.0956559833506727</v>
      </c>
      <c r="G2279" s="2">
        <f t="shared" si="179"/>
        <v>4.3917740005534753</v>
      </c>
    </row>
    <row r="2280" spans="1:7" x14ac:dyDescent="0.35">
      <c r="A2280" s="2">
        <v>2526</v>
      </c>
      <c r="B2280" s="2">
        <f t="shared" si="175"/>
        <v>1187.6479361775928</v>
      </c>
      <c r="C2280" s="2">
        <f t="shared" si="176"/>
        <v>1410507.6203068956</v>
      </c>
      <c r="D2280" s="2">
        <v>12830</v>
      </c>
      <c r="E2280" s="2">
        <f t="shared" si="177"/>
        <v>1.2829999999999999</v>
      </c>
      <c r="F2280" s="2">
        <f t="shared" si="178"/>
        <v>-2.0968559833506726</v>
      </c>
      <c r="G2280" s="2">
        <f t="shared" si="179"/>
        <v>4.3968050149135163</v>
      </c>
    </row>
    <row r="2281" spans="1:7" x14ac:dyDescent="0.35">
      <c r="A2281" s="2">
        <v>2526</v>
      </c>
      <c r="B2281" s="2">
        <f t="shared" si="175"/>
        <v>1187.6479361775928</v>
      </c>
      <c r="C2281" s="2">
        <f t="shared" si="176"/>
        <v>1410507.6203068956</v>
      </c>
      <c r="D2281" s="2">
        <v>13505</v>
      </c>
      <c r="E2281" s="2">
        <f t="shared" si="177"/>
        <v>1.3505</v>
      </c>
      <c r="F2281" s="2">
        <f t="shared" si="178"/>
        <v>-2.0293559833506727</v>
      </c>
      <c r="G2281" s="2">
        <f t="shared" si="179"/>
        <v>4.118285707161176</v>
      </c>
    </row>
    <row r="2282" spans="1:7" x14ac:dyDescent="0.35">
      <c r="A2282" s="2">
        <v>2526</v>
      </c>
      <c r="B2282" s="2">
        <f t="shared" si="175"/>
        <v>1187.6479361775928</v>
      </c>
      <c r="C2282" s="2">
        <f t="shared" si="176"/>
        <v>1410507.6203068956</v>
      </c>
      <c r="D2282" s="2">
        <v>13505</v>
      </c>
      <c r="E2282" s="2">
        <f t="shared" si="177"/>
        <v>1.3505</v>
      </c>
      <c r="F2282" s="2">
        <f t="shared" si="178"/>
        <v>-2.0293559833506727</v>
      </c>
      <c r="G2282" s="2">
        <f t="shared" si="179"/>
        <v>4.118285707161176</v>
      </c>
    </row>
    <row r="2283" spans="1:7" x14ac:dyDescent="0.35">
      <c r="A2283" s="2">
        <v>2526</v>
      </c>
      <c r="B2283" s="2">
        <f t="shared" si="175"/>
        <v>1187.6479361775928</v>
      </c>
      <c r="C2283" s="2">
        <f t="shared" si="176"/>
        <v>1410507.6203068956</v>
      </c>
      <c r="D2283" s="2">
        <v>12730</v>
      </c>
      <c r="E2283" s="2">
        <f t="shared" si="177"/>
        <v>1.2729999999999999</v>
      </c>
      <c r="F2283" s="2">
        <f t="shared" si="178"/>
        <v>-2.1068559833506724</v>
      </c>
      <c r="G2283" s="2">
        <f t="shared" si="179"/>
        <v>4.4388421345805282</v>
      </c>
    </row>
    <row r="2284" spans="1:7" x14ac:dyDescent="0.35">
      <c r="A2284" s="2">
        <v>2526</v>
      </c>
      <c r="B2284" s="2">
        <f t="shared" si="175"/>
        <v>1187.6479361775928</v>
      </c>
      <c r="C2284" s="2">
        <f t="shared" si="176"/>
        <v>1410507.6203068956</v>
      </c>
      <c r="D2284" s="2">
        <v>12342</v>
      </c>
      <c r="E2284" s="2">
        <f t="shared" si="177"/>
        <v>1.2342</v>
      </c>
      <c r="F2284" s="2">
        <f t="shared" si="178"/>
        <v>-2.1456559833506725</v>
      </c>
      <c r="G2284" s="2">
        <f t="shared" si="179"/>
        <v>4.6038395988885412</v>
      </c>
    </row>
    <row r="2285" spans="1:7" x14ac:dyDescent="0.35">
      <c r="A2285" s="2">
        <v>2526</v>
      </c>
      <c r="B2285" s="2">
        <f t="shared" si="175"/>
        <v>1187.6479361775928</v>
      </c>
      <c r="C2285" s="2">
        <f t="shared" si="176"/>
        <v>1410507.6203068956</v>
      </c>
      <c r="D2285" s="2">
        <v>12951</v>
      </c>
      <c r="E2285" s="2">
        <f t="shared" si="177"/>
        <v>1.2950999999999999</v>
      </c>
      <c r="F2285" s="2">
        <f t="shared" si="178"/>
        <v>-2.0847559833506724</v>
      </c>
      <c r="G2285" s="2">
        <f t="shared" si="179"/>
        <v>4.3462075101164288</v>
      </c>
    </row>
    <row r="2286" spans="1:7" x14ac:dyDescent="0.35">
      <c r="A2286" s="2">
        <v>2526</v>
      </c>
      <c r="B2286" s="2">
        <f t="shared" si="175"/>
        <v>1187.6479361775928</v>
      </c>
      <c r="C2286" s="2">
        <f t="shared" si="176"/>
        <v>1410507.6203068956</v>
      </c>
      <c r="D2286" s="2">
        <v>13544</v>
      </c>
      <c r="E2286" s="2">
        <f t="shared" si="177"/>
        <v>1.3544</v>
      </c>
      <c r="F2286" s="2">
        <f t="shared" si="178"/>
        <v>-2.0254559833506725</v>
      </c>
      <c r="G2286" s="2">
        <f t="shared" si="179"/>
        <v>4.1024719404910392</v>
      </c>
    </row>
    <row r="2287" spans="1:7" x14ac:dyDescent="0.35">
      <c r="A2287" s="2">
        <v>2526</v>
      </c>
      <c r="B2287" s="2">
        <f t="shared" si="175"/>
        <v>1187.6479361775928</v>
      </c>
      <c r="C2287" s="2">
        <f t="shared" si="176"/>
        <v>1410507.6203068956</v>
      </c>
      <c r="D2287" s="2">
        <v>12999</v>
      </c>
      <c r="E2287" s="2">
        <f t="shared" si="177"/>
        <v>1.2999000000000001</v>
      </c>
      <c r="F2287" s="2">
        <f t="shared" si="178"/>
        <v>-2.0799559833506724</v>
      </c>
      <c r="G2287" s="2">
        <f t="shared" si="179"/>
        <v>4.3262168926762632</v>
      </c>
    </row>
    <row r="2288" spans="1:7" x14ac:dyDescent="0.35">
      <c r="A2288" s="2">
        <v>2526</v>
      </c>
      <c r="B2288" s="2">
        <f t="shared" si="175"/>
        <v>1187.6479361775928</v>
      </c>
      <c r="C2288" s="2">
        <f t="shared" si="176"/>
        <v>1410507.6203068956</v>
      </c>
      <c r="D2288" s="2">
        <v>11529</v>
      </c>
      <c r="E2288" s="2">
        <f t="shared" si="177"/>
        <v>1.1529</v>
      </c>
      <c r="F2288" s="2">
        <f t="shared" si="178"/>
        <v>-2.2269559833506722</v>
      </c>
      <c r="G2288" s="2">
        <f t="shared" si="179"/>
        <v>4.9593329517813594</v>
      </c>
    </row>
    <row r="2289" spans="1:7" x14ac:dyDescent="0.35">
      <c r="A2289" s="2">
        <v>2526</v>
      </c>
      <c r="B2289" s="2">
        <f t="shared" si="175"/>
        <v>1187.6479361775928</v>
      </c>
      <c r="C2289" s="2">
        <f t="shared" si="176"/>
        <v>1410507.6203068956</v>
      </c>
      <c r="D2289" s="2">
        <v>11604</v>
      </c>
      <c r="E2289" s="2">
        <f t="shared" si="177"/>
        <v>1.1604000000000001</v>
      </c>
      <c r="F2289" s="2">
        <f t="shared" si="178"/>
        <v>-2.2194559833506724</v>
      </c>
      <c r="G2289" s="2">
        <f t="shared" si="179"/>
        <v>4.9259848620311004</v>
      </c>
    </row>
    <row r="2290" spans="1:7" x14ac:dyDescent="0.35">
      <c r="A2290" s="2">
        <v>2526</v>
      </c>
      <c r="B2290" s="2">
        <f t="shared" si="175"/>
        <v>1187.6479361775928</v>
      </c>
      <c r="C2290" s="2">
        <f t="shared" si="176"/>
        <v>1410507.6203068956</v>
      </c>
      <c r="D2290" s="2">
        <v>10869</v>
      </c>
      <c r="E2290" s="2">
        <f t="shared" si="177"/>
        <v>1.0869</v>
      </c>
      <c r="F2290" s="2">
        <f t="shared" si="178"/>
        <v>-2.2929559833506725</v>
      </c>
      <c r="G2290" s="2">
        <f t="shared" si="179"/>
        <v>5.2576471415836492</v>
      </c>
    </row>
    <row r="2291" spans="1:7" x14ac:dyDescent="0.35">
      <c r="A2291" s="2">
        <v>2526</v>
      </c>
      <c r="B2291" s="2">
        <f t="shared" si="175"/>
        <v>1187.6479361775928</v>
      </c>
      <c r="C2291" s="2">
        <f t="shared" si="176"/>
        <v>1410507.6203068956</v>
      </c>
      <c r="D2291" s="2">
        <v>10000</v>
      </c>
      <c r="E2291" s="2">
        <f t="shared" si="177"/>
        <v>1</v>
      </c>
      <c r="F2291" s="2">
        <f t="shared" si="178"/>
        <v>-2.3798559833506725</v>
      </c>
      <c r="G2291" s="2">
        <f t="shared" si="179"/>
        <v>5.6637145014899968</v>
      </c>
    </row>
    <row r="2292" spans="1:7" x14ac:dyDescent="0.35">
      <c r="A2292" s="2">
        <v>2526</v>
      </c>
      <c r="B2292" s="2">
        <f t="shared" si="175"/>
        <v>1187.6479361775928</v>
      </c>
      <c r="C2292" s="2">
        <f t="shared" si="176"/>
        <v>1410507.6203068956</v>
      </c>
      <c r="D2292" s="2">
        <v>10049</v>
      </c>
      <c r="E2292" s="2">
        <f t="shared" si="177"/>
        <v>1.0048999999999999</v>
      </c>
      <c r="F2292" s="2">
        <f t="shared" si="178"/>
        <v>-2.3749559833506728</v>
      </c>
      <c r="G2292" s="2">
        <f t="shared" si="179"/>
        <v>5.640415922853161</v>
      </c>
    </row>
    <row r="2293" spans="1:7" x14ac:dyDescent="0.35">
      <c r="A2293" s="2">
        <v>2526</v>
      </c>
      <c r="B2293" s="2">
        <f t="shared" si="175"/>
        <v>1187.6479361775928</v>
      </c>
      <c r="C2293" s="2">
        <f t="shared" si="176"/>
        <v>1410507.6203068956</v>
      </c>
      <c r="D2293" s="2">
        <v>10037</v>
      </c>
      <c r="E2293" s="2">
        <f t="shared" si="177"/>
        <v>1.0037</v>
      </c>
      <c r="F2293" s="2">
        <f t="shared" si="178"/>
        <v>-2.3761559833506727</v>
      </c>
      <c r="G2293" s="2">
        <f t="shared" si="179"/>
        <v>5.6461172572132021</v>
      </c>
    </row>
    <row r="2294" spans="1:7" x14ac:dyDescent="0.35">
      <c r="A2294" s="2">
        <v>2526</v>
      </c>
      <c r="B2294" s="2">
        <f t="shared" si="175"/>
        <v>1187.6479361775928</v>
      </c>
      <c r="C2294" s="2">
        <f t="shared" si="176"/>
        <v>1410507.6203068956</v>
      </c>
      <c r="D2294" s="2">
        <v>11354</v>
      </c>
      <c r="E2294" s="2">
        <f t="shared" si="177"/>
        <v>1.1354</v>
      </c>
      <c r="F2294" s="2">
        <f t="shared" si="178"/>
        <v>-2.2444559833506723</v>
      </c>
      <c r="G2294" s="2">
        <f t="shared" si="179"/>
        <v>5.0375826611986332</v>
      </c>
    </row>
    <row r="2295" spans="1:7" x14ac:dyDescent="0.35">
      <c r="A2295" s="2">
        <v>2526</v>
      </c>
      <c r="B2295" s="2">
        <f t="shared" si="175"/>
        <v>1187.6479361775928</v>
      </c>
      <c r="C2295" s="2">
        <f t="shared" si="176"/>
        <v>1410507.6203068956</v>
      </c>
      <c r="D2295" s="2">
        <v>14317</v>
      </c>
      <c r="E2295" s="2">
        <f t="shared" si="177"/>
        <v>1.4317</v>
      </c>
      <c r="F2295" s="2">
        <f t="shared" si="178"/>
        <v>-1.9481559833506725</v>
      </c>
      <c r="G2295" s="2">
        <f t="shared" si="179"/>
        <v>3.7953117354650256</v>
      </c>
    </row>
    <row r="2296" spans="1:7" x14ac:dyDescent="0.35">
      <c r="A2296" s="2">
        <v>2526</v>
      </c>
      <c r="B2296" s="2">
        <f t="shared" si="175"/>
        <v>1187.6479361775928</v>
      </c>
      <c r="C2296" s="2">
        <f t="shared" si="176"/>
        <v>1410507.6203068956</v>
      </c>
      <c r="D2296" s="2">
        <v>13600</v>
      </c>
      <c r="E2296" s="2">
        <f t="shared" si="177"/>
        <v>1.36</v>
      </c>
      <c r="F2296" s="2">
        <f t="shared" si="178"/>
        <v>-2.0198559833506726</v>
      </c>
      <c r="G2296" s="2">
        <f t="shared" si="179"/>
        <v>4.0798181934775126</v>
      </c>
    </row>
    <row r="2297" spans="1:7" x14ac:dyDescent="0.35">
      <c r="A2297" s="2">
        <v>2526</v>
      </c>
      <c r="B2297" s="2">
        <f t="shared" si="175"/>
        <v>1187.6479361775928</v>
      </c>
      <c r="C2297" s="2">
        <f t="shared" si="176"/>
        <v>1410507.6203068956</v>
      </c>
      <c r="D2297" s="2">
        <v>14300</v>
      </c>
      <c r="E2297" s="2">
        <f t="shared" si="177"/>
        <v>1.43</v>
      </c>
      <c r="F2297" s="2">
        <f t="shared" si="178"/>
        <v>-1.9498559833506726</v>
      </c>
      <c r="G2297" s="2">
        <f t="shared" si="179"/>
        <v>3.8019383558084181</v>
      </c>
    </row>
    <row r="2298" spans="1:7" x14ac:dyDescent="0.35">
      <c r="A2298" s="2">
        <v>2526</v>
      </c>
      <c r="B2298" s="2">
        <f t="shared" si="175"/>
        <v>1187.6479361775928</v>
      </c>
      <c r="C2298" s="2">
        <f t="shared" si="176"/>
        <v>1410507.6203068956</v>
      </c>
      <c r="D2298" s="2">
        <v>17800</v>
      </c>
      <c r="E2298" s="2">
        <f t="shared" si="177"/>
        <v>1.78</v>
      </c>
      <c r="F2298" s="2">
        <f t="shared" si="178"/>
        <v>-1.5998559833506725</v>
      </c>
      <c r="G2298" s="2">
        <f t="shared" si="179"/>
        <v>2.5595391674629471</v>
      </c>
    </row>
    <row r="2299" spans="1:7" x14ac:dyDescent="0.35">
      <c r="A2299" s="2">
        <v>2526</v>
      </c>
      <c r="B2299" s="2">
        <f t="shared" si="175"/>
        <v>1187.6479361775928</v>
      </c>
      <c r="C2299" s="2">
        <f t="shared" si="176"/>
        <v>1410507.6203068956</v>
      </c>
      <c r="D2299" s="2">
        <v>18700</v>
      </c>
      <c r="E2299" s="2">
        <f t="shared" si="177"/>
        <v>1.87</v>
      </c>
      <c r="F2299" s="2">
        <f t="shared" si="178"/>
        <v>-1.5098559833506724</v>
      </c>
      <c r="G2299" s="2">
        <f t="shared" si="179"/>
        <v>2.2796650904598259</v>
      </c>
    </row>
    <row r="2300" spans="1:7" x14ac:dyDescent="0.35">
      <c r="A2300" s="2">
        <v>2526</v>
      </c>
      <c r="B2300" s="2">
        <f t="shared" si="175"/>
        <v>1187.6479361775928</v>
      </c>
      <c r="C2300" s="2">
        <f t="shared" si="176"/>
        <v>1410507.6203068956</v>
      </c>
      <c r="D2300" s="2">
        <v>18700</v>
      </c>
      <c r="E2300" s="2">
        <f t="shared" si="177"/>
        <v>1.87</v>
      </c>
      <c r="F2300" s="2">
        <f t="shared" si="178"/>
        <v>-1.5098559833506724</v>
      </c>
      <c r="G2300" s="2">
        <f t="shared" si="179"/>
        <v>2.2796650904598259</v>
      </c>
    </row>
    <row r="2301" spans="1:7" x14ac:dyDescent="0.35">
      <c r="A2301" s="2">
        <v>2526</v>
      </c>
      <c r="B2301" s="2">
        <f t="shared" si="175"/>
        <v>1187.6479361775928</v>
      </c>
      <c r="C2301" s="2">
        <f t="shared" si="176"/>
        <v>1410507.6203068956</v>
      </c>
      <c r="D2301" s="2">
        <v>15900</v>
      </c>
      <c r="E2301" s="2">
        <f t="shared" si="177"/>
        <v>1.59</v>
      </c>
      <c r="F2301" s="2">
        <f t="shared" si="178"/>
        <v>-1.7898559833506724</v>
      </c>
      <c r="G2301" s="2">
        <f t="shared" si="179"/>
        <v>3.2035844411362024</v>
      </c>
    </row>
    <row r="2302" spans="1:7" x14ac:dyDescent="0.35">
      <c r="A2302" s="2">
        <v>2526</v>
      </c>
      <c r="B2302" s="2">
        <f t="shared" si="175"/>
        <v>1187.6479361775928</v>
      </c>
      <c r="C2302" s="2">
        <f t="shared" si="176"/>
        <v>1410507.6203068956</v>
      </c>
      <c r="D2302" s="2">
        <v>18700</v>
      </c>
      <c r="E2302" s="2">
        <f t="shared" si="177"/>
        <v>1.87</v>
      </c>
      <c r="F2302" s="2">
        <f t="shared" si="178"/>
        <v>-1.5098559833506724</v>
      </c>
      <c r="G2302" s="2">
        <f t="shared" si="179"/>
        <v>2.2796650904598259</v>
      </c>
    </row>
    <row r="2303" spans="1:7" x14ac:dyDescent="0.35">
      <c r="A2303" s="2">
        <v>2526</v>
      </c>
      <c r="B2303" s="2">
        <f t="shared" si="175"/>
        <v>1187.6479361775928</v>
      </c>
      <c r="C2303" s="2">
        <f t="shared" si="176"/>
        <v>1410507.6203068956</v>
      </c>
      <c r="D2303" s="2">
        <v>19524</v>
      </c>
      <c r="E2303" s="2">
        <f t="shared" si="177"/>
        <v>1.9523999999999999</v>
      </c>
      <c r="F2303" s="2">
        <f t="shared" si="178"/>
        <v>-1.4274559833506726</v>
      </c>
      <c r="G2303" s="2">
        <f t="shared" si="179"/>
        <v>2.0376305844036358</v>
      </c>
    </row>
    <row r="2304" spans="1:7" x14ac:dyDescent="0.35">
      <c r="A2304" s="2">
        <v>2526</v>
      </c>
      <c r="B2304" s="2">
        <f t="shared" si="175"/>
        <v>1187.6479361775928</v>
      </c>
      <c r="C2304" s="2">
        <f t="shared" si="176"/>
        <v>1410507.6203068956</v>
      </c>
      <c r="D2304" s="2">
        <v>19910</v>
      </c>
      <c r="E2304" s="2">
        <f t="shared" si="177"/>
        <v>1.9910000000000001</v>
      </c>
      <c r="F2304" s="2">
        <f t="shared" si="178"/>
        <v>-1.3888559833506724</v>
      </c>
      <c r="G2304" s="2">
        <f t="shared" si="179"/>
        <v>1.9289209424889633</v>
      </c>
    </row>
    <row r="2305" spans="1:7" x14ac:dyDescent="0.35">
      <c r="A2305" s="2">
        <v>2526</v>
      </c>
      <c r="B2305" s="2">
        <f t="shared" si="175"/>
        <v>1187.6479361775928</v>
      </c>
      <c r="C2305" s="2">
        <f t="shared" si="176"/>
        <v>1410507.6203068956</v>
      </c>
      <c r="D2305" s="2">
        <v>20691</v>
      </c>
      <c r="E2305" s="2">
        <f t="shared" si="177"/>
        <v>2.0691000000000002</v>
      </c>
      <c r="F2305" s="2">
        <f t="shared" si="178"/>
        <v>-1.3107559833506723</v>
      </c>
      <c r="G2305" s="2">
        <f t="shared" si="179"/>
        <v>1.7180812478895879</v>
      </c>
    </row>
    <row r="2306" spans="1:7" x14ac:dyDescent="0.35">
      <c r="A2306" s="2">
        <v>3028</v>
      </c>
      <c r="B2306" s="2">
        <f t="shared" si="175"/>
        <v>1689.6479361775928</v>
      </c>
      <c r="C2306" s="2">
        <f t="shared" si="176"/>
        <v>2854910.1482291985</v>
      </c>
      <c r="D2306" s="2">
        <v>27438</v>
      </c>
      <c r="E2306" s="2">
        <f t="shared" si="177"/>
        <v>2.7437999999999998</v>
      </c>
      <c r="F2306" s="2">
        <f t="shared" si="178"/>
        <v>-0.6360559833506727</v>
      </c>
      <c r="G2306" s="2">
        <f t="shared" si="179"/>
        <v>0.40456721395619122</v>
      </c>
    </row>
    <row r="2307" spans="1:7" x14ac:dyDescent="0.35">
      <c r="A2307" s="2">
        <v>3028</v>
      </c>
      <c r="B2307" s="2">
        <f t="shared" ref="B2307:B2370" si="180">A2307-$J$1</f>
        <v>1689.6479361775928</v>
      </c>
      <c r="C2307" s="2">
        <f t="shared" ref="C2307:C2370" si="181">B2307^2</f>
        <v>2854910.1482291985</v>
      </c>
      <c r="D2307" s="2">
        <v>27601</v>
      </c>
      <c r="E2307" s="2">
        <f t="shared" ref="E2307:E2370" si="182">D2307/10000</f>
        <v>2.7601</v>
      </c>
      <c r="F2307" s="2">
        <f t="shared" ref="F2307:F2370" si="183">E2307-$J$2</f>
        <v>-0.6197559833506725</v>
      </c>
      <c r="G2307" s="2">
        <f t="shared" ref="G2307:G2370" si="184">F2307^2</f>
        <v>0.38409747889895907</v>
      </c>
    </row>
    <row r="2308" spans="1:7" x14ac:dyDescent="0.35">
      <c r="A2308" s="2">
        <v>3028</v>
      </c>
      <c r="B2308" s="2">
        <f t="shared" si="180"/>
        <v>1689.6479361775928</v>
      </c>
      <c r="C2308" s="2">
        <f t="shared" si="181"/>
        <v>2854910.1482291985</v>
      </c>
      <c r="D2308" s="2">
        <v>35714</v>
      </c>
      <c r="E2308" s="2">
        <f t="shared" si="182"/>
        <v>3.5714000000000001</v>
      </c>
      <c r="F2308" s="2">
        <f t="shared" si="183"/>
        <v>0.19154401664932763</v>
      </c>
      <c r="G2308" s="2">
        <f t="shared" si="184"/>
        <v>3.6689110314157898E-2</v>
      </c>
    </row>
    <row r="2309" spans="1:7" x14ac:dyDescent="0.35">
      <c r="A2309" s="2">
        <v>3028</v>
      </c>
      <c r="B2309" s="2">
        <f t="shared" si="180"/>
        <v>1689.6479361775928</v>
      </c>
      <c r="C2309" s="2">
        <f t="shared" si="181"/>
        <v>2854910.1482291985</v>
      </c>
      <c r="D2309" s="2">
        <v>48513</v>
      </c>
      <c r="E2309" s="2">
        <f t="shared" si="182"/>
        <v>4.8513000000000002</v>
      </c>
      <c r="F2309" s="2">
        <f t="shared" si="183"/>
        <v>1.4714440166493277</v>
      </c>
      <c r="G2309" s="2">
        <f t="shared" si="184"/>
        <v>2.165147494133107</v>
      </c>
    </row>
    <row r="2310" spans="1:7" x14ac:dyDescent="0.35">
      <c r="A2310" s="2">
        <v>3028</v>
      </c>
      <c r="B2310" s="2">
        <f t="shared" si="180"/>
        <v>1689.6479361775928</v>
      </c>
      <c r="C2310" s="2">
        <f t="shared" si="181"/>
        <v>2854910.1482291985</v>
      </c>
      <c r="D2310" s="2">
        <v>47543</v>
      </c>
      <c r="E2310" s="2">
        <f t="shared" si="182"/>
        <v>4.7542999999999997</v>
      </c>
      <c r="F2310" s="2">
        <f t="shared" si="183"/>
        <v>1.3744440166493272</v>
      </c>
      <c r="G2310" s="2">
        <f t="shared" si="184"/>
        <v>1.8890963549031361</v>
      </c>
    </row>
    <row r="2311" spans="1:7" x14ac:dyDescent="0.35">
      <c r="A2311" s="2">
        <v>3028</v>
      </c>
      <c r="B2311" s="2">
        <f t="shared" si="180"/>
        <v>1689.6479361775928</v>
      </c>
      <c r="C2311" s="2">
        <f t="shared" si="181"/>
        <v>2854910.1482291985</v>
      </c>
      <c r="D2311" s="2">
        <v>46572</v>
      </c>
      <c r="E2311" s="2">
        <f t="shared" si="182"/>
        <v>4.6571999999999996</v>
      </c>
      <c r="F2311" s="2">
        <f t="shared" si="183"/>
        <v>1.2773440166493271</v>
      </c>
      <c r="G2311" s="2">
        <f t="shared" si="184"/>
        <v>1.6316077368698363</v>
      </c>
    </row>
    <row r="2312" spans="1:7" x14ac:dyDescent="0.35">
      <c r="A2312" s="2">
        <v>3028</v>
      </c>
      <c r="B2312" s="2">
        <f t="shared" si="180"/>
        <v>1689.6479361775928</v>
      </c>
      <c r="C2312" s="2">
        <f t="shared" si="181"/>
        <v>2854910.1482291985</v>
      </c>
      <c r="D2312" s="2">
        <v>45602</v>
      </c>
      <c r="E2312" s="2">
        <f t="shared" si="182"/>
        <v>4.5602</v>
      </c>
      <c r="F2312" s="2">
        <f t="shared" si="183"/>
        <v>1.1803440166493275</v>
      </c>
      <c r="G2312" s="2">
        <f t="shared" si="184"/>
        <v>1.393211997639868</v>
      </c>
    </row>
    <row r="2313" spans="1:7" x14ac:dyDescent="0.35">
      <c r="A2313" s="2">
        <v>3028</v>
      </c>
      <c r="B2313" s="2">
        <f t="shared" si="180"/>
        <v>1689.6479361775928</v>
      </c>
      <c r="C2313" s="2">
        <f t="shared" si="181"/>
        <v>2854910.1482291985</v>
      </c>
      <c r="D2313" s="2">
        <v>44631</v>
      </c>
      <c r="E2313" s="2">
        <f t="shared" si="182"/>
        <v>4.4630999999999998</v>
      </c>
      <c r="F2313" s="2">
        <f t="shared" si="183"/>
        <v>1.0832440166493273</v>
      </c>
      <c r="G2313" s="2">
        <f t="shared" si="184"/>
        <v>1.1734175996065681</v>
      </c>
    </row>
    <row r="2314" spans="1:7" x14ac:dyDescent="0.35">
      <c r="A2314" s="2">
        <v>3028</v>
      </c>
      <c r="B2314" s="2">
        <f t="shared" si="180"/>
        <v>1689.6479361775928</v>
      </c>
      <c r="C2314" s="2">
        <f t="shared" si="181"/>
        <v>2854910.1482291985</v>
      </c>
      <c r="D2314" s="2">
        <v>45581</v>
      </c>
      <c r="E2314" s="2">
        <f t="shared" si="182"/>
        <v>4.5580999999999996</v>
      </c>
      <c r="F2314" s="2">
        <f t="shared" si="183"/>
        <v>1.1782440166493271</v>
      </c>
      <c r="G2314" s="2">
        <f t="shared" si="184"/>
        <v>1.3882589627699398</v>
      </c>
    </row>
    <row r="2315" spans="1:7" x14ac:dyDescent="0.35">
      <c r="A2315" s="2">
        <v>3028</v>
      </c>
      <c r="B2315" s="2">
        <f t="shared" si="180"/>
        <v>1689.6479361775928</v>
      </c>
      <c r="C2315" s="2">
        <f t="shared" si="181"/>
        <v>2854910.1482291985</v>
      </c>
      <c r="D2315" s="2">
        <v>38089</v>
      </c>
      <c r="E2315" s="2">
        <f t="shared" si="182"/>
        <v>3.8089</v>
      </c>
      <c r="F2315" s="2">
        <f t="shared" si="183"/>
        <v>0.42904401664932745</v>
      </c>
      <c r="G2315" s="2">
        <f t="shared" si="184"/>
        <v>0.18407876822258837</v>
      </c>
    </row>
    <row r="2316" spans="1:7" x14ac:dyDescent="0.35">
      <c r="A2316" s="2">
        <v>3028</v>
      </c>
      <c r="B2316" s="2">
        <f t="shared" si="180"/>
        <v>1689.6479361775928</v>
      </c>
      <c r="C2316" s="2">
        <f t="shared" si="181"/>
        <v>2854910.1482291985</v>
      </c>
      <c r="D2316" s="2">
        <v>39394</v>
      </c>
      <c r="E2316" s="2">
        <f t="shared" si="182"/>
        <v>3.9394</v>
      </c>
      <c r="F2316" s="2">
        <f t="shared" si="183"/>
        <v>0.55954401664932751</v>
      </c>
      <c r="G2316" s="2">
        <f t="shared" si="184"/>
        <v>0.31308950656806289</v>
      </c>
    </row>
    <row r="2317" spans="1:7" x14ac:dyDescent="0.35">
      <c r="A2317" s="2">
        <v>3028</v>
      </c>
      <c r="B2317" s="2">
        <f t="shared" si="180"/>
        <v>1689.6479361775928</v>
      </c>
      <c r="C2317" s="2">
        <f t="shared" si="181"/>
        <v>2854910.1482291985</v>
      </c>
      <c r="D2317" s="2">
        <v>45000</v>
      </c>
      <c r="E2317" s="2">
        <f t="shared" si="182"/>
        <v>4.5</v>
      </c>
      <c r="F2317" s="2">
        <f t="shared" si="183"/>
        <v>1.1201440166493275</v>
      </c>
      <c r="G2317" s="2">
        <f t="shared" si="184"/>
        <v>1.2547226180352888</v>
      </c>
    </row>
    <row r="2318" spans="1:7" x14ac:dyDescent="0.35">
      <c r="A2318" s="2">
        <v>3028</v>
      </c>
      <c r="B2318" s="2">
        <f t="shared" si="180"/>
        <v>1689.6479361775928</v>
      </c>
      <c r="C2318" s="2">
        <f t="shared" si="181"/>
        <v>2854910.1482291985</v>
      </c>
      <c r="D2318" s="2">
        <v>46495</v>
      </c>
      <c r="E2318" s="2">
        <f t="shared" si="182"/>
        <v>4.6494999999999997</v>
      </c>
      <c r="F2318" s="2">
        <f t="shared" si="183"/>
        <v>1.2696440166493272</v>
      </c>
      <c r="G2318" s="2">
        <f t="shared" si="184"/>
        <v>1.6119959290134371</v>
      </c>
    </row>
    <row r="2319" spans="1:7" x14ac:dyDescent="0.35">
      <c r="A2319" s="2">
        <v>3028</v>
      </c>
      <c r="B2319" s="2">
        <f t="shared" si="180"/>
        <v>1689.6479361775928</v>
      </c>
      <c r="C2319" s="2">
        <f t="shared" si="181"/>
        <v>2854910.1482291985</v>
      </c>
      <c r="D2319" s="2">
        <v>46496</v>
      </c>
      <c r="E2319" s="2">
        <f t="shared" si="182"/>
        <v>4.6496000000000004</v>
      </c>
      <c r="F2319" s="2">
        <f t="shared" si="183"/>
        <v>1.2697440166493279</v>
      </c>
      <c r="G2319" s="2">
        <f t="shared" si="184"/>
        <v>1.6122498678167687</v>
      </c>
    </row>
    <row r="2320" spans="1:7" x14ac:dyDescent="0.35">
      <c r="A2320" s="2">
        <v>3028</v>
      </c>
      <c r="B2320" s="2">
        <f t="shared" si="180"/>
        <v>1689.6479361775928</v>
      </c>
      <c r="C2320" s="2">
        <f t="shared" si="181"/>
        <v>2854910.1482291985</v>
      </c>
      <c r="D2320" s="2">
        <v>45984</v>
      </c>
      <c r="E2320" s="2">
        <f t="shared" si="182"/>
        <v>4.5983999999999998</v>
      </c>
      <c r="F2320" s="2">
        <f t="shared" si="183"/>
        <v>1.2185440166493273</v>
      </c>
      <c r="G2320" s="2">
        <f t="shared" si="184"/>
        <v>1.4848495205118761</v>
      </c>
    </row>
    <row r="2321" spans="1:7" x14ac:dyDescent="0.35">
      <c r="A2321" s="2">
        <v>3028</v>
      </c>
      <c r="B2321" s="2">
        <f t="shared" si="180"/>
        <v>1689.6479361775928</v>
      </c>
      <c r="C2321" s="2">
        <f t="shared" si="181"/>
        <v>2854910.1482291985</v>
      </c>
      <c r="D2321" s="2">
        <v>31250</v>
      </c>
      <c r="E2321" s="2">
        <f t="shared" si="182"/>
        <v>3.125</v>
      </c>
      <c r="F2321" s="2">
        <f t="shared" si="183"/>
        <v>-0.2548559833506725</v>
      </c>
      <c r="G2321" s="2">
        <f t="shared" si="184"/>
        <v>6.4951572249638254E-2</v>
      </c>
    </row>
    <row r="2322" spans="1:7" x14ac:dyDescent="0.35">
      <c r="A2322" s="2">
        <v>3028</v>
      </c>
      <c r="B2322" s="2">
        <f t="shared" si="180"/>
        <v>1689.6479361775928</v>
      </c>
      <c r="C2322" s="2">
        <f t="shared" si="181"/>
        <v>2854910.1482291985</v>
      </c>
      <c r="D2322" s="2">
        <v>30000</v>
      </c>
      <c r="E2322" s="2">
        <f t="shared" si="182"/>
        <v>3</v>
      </c>
      <c r="F2322" s="2">
        <f t="shared" si="183"/>
        <v>-0.3798559833506725</v>
      </c>
      <c r="G2322" s="2">
        <f t="shared" si="184"/>
        <v>0.14429056808730639</v>
      </c>
    </row>
    <row r="2323" spans="1:7" x14ac:dyDescent="0.35">
      <c r="A2323" s="2">
        <v>3028</v>
      </c>
      <c r="B2323" s="2">
        <f t="shared" si="180"/>
        <v>1689.6479361775928</v>
      </c>
      <c r="C2323" s="2">
        <f t="shared" si="181"/>
        <v>2854910.1482291985</v>
      </c>
      <c r="D2323" s="2">
        <v>33505</v>
      </c>
      <c r="E2323" s="2">
        <f t="shared" si="182"/>
        <v>3.3504999999999998</v>
      </c>
      <c r="F2323" s="2">
        <f t="shared" si="183"/>
        <v>-2.9355983350672687E-2</v>
      </c>
      <c r="G2323" s="2">
        <f t="shared" si="184"/>
        <v>8.6177375848497202E-4</v>
      </c>
    </row>
    <row r="2324" spans="1:7" x14ac:dyDescent="0.35">
      <c r="A2324" s="2">
        <v>3028</v>
      </c>
      <c r="B2324" s="2">
        <f t="shared" si="180"/>
        <v>1689.6479361775928</v>
      </c>
      <c r="C2324" s="2">
        <f t="shared" si="181"/>
        <v>2854910.1482291985</v>
      </c>
      <c r="D2324" s="2">
        <v>30011</v>
      </c>
      <c r="E2324" s="2">
        <f t="shared" si="182"/>
        <v>3.0011000000000001</v>
      </c>
      <c r="F2324" s="2">
        <f t="shared" si="183"/>
        <v>-0.3787559833506724</v>
      </c>
      <c r="G2324" s="2">
        <f t="shared" si="184"/>
        <v>0.14345609492393482</v>
      </c>
    </row>
    <row r="2325" spans="1:7" x14ac:dyDescent="0.35">
      <c r="A2325" s="2">
        <v>3028</v>
      </c>
      <c r="B2325" s="2">
        <f t="shared" si="180"/>
        <v>1689.6479361775928</v>
      </c>
      <c r="C2325" s="2">
        <f t="shared" si="181"/>
        <v>2854910.1482291985</v>
      </c>
      <c r="D2325" s="2">
        <v>25455</v>
      </c>
      <c r="E2325" s="2">
        <f t="shared" si="182"/>
        <v>2.5455000000000001</v>
      </c>
      <c r="F2325" s="2">
        <f t="shared" si="183"/>
        <v>-0.8343559833506724</v>
      </c>
      <c r="G2325" s="2">
        <f t="shared" si="184"/>
        <v>0.69614990695306755</v>
      </c>
    </row>
    <row r="2326" spans="1:7" x14ac:dyDescent="0.35">
      <c r="A2326" s="2">
        <v>3028</v>
      </c>
      <c r="B2326" s="2">
        <f t="shared" si="180"/>
        <v>1689.6479361775928</v>
      </c>
      <c r="C2326" s="2">
        <f t="shared" si="181"/>
        <v>2854910.1482291985</v>
      </c>
      <c r="D2326" s="2">
        <v>22727</v>
      </c>
      <c r="E2326" s="2">
        <f t="shared" si="182"/>
        <v>2.2726999999999999</v>
      </c>
      <c r="F2326" s="2">
        <f t="shared" si="183"/>
        <v>-1.1071559833506726</v>
      </c>
      <c r="G2326" s="2">
        <f t="shared" si="184"/>
        <v>1.2257943714691948</v>
      </c>
    </row>
    <row r="2327" spans="1:7" x14ac:dyDescent="0.35">
      <c r="A2327" s="2">
        <v>3028</v>
      </c>
      <c r="B2327" s="2">
        <f t="shared" si="180"/>
        <v>1689.6479361775928</v>
      </c>
      <c r="C2327" s="2">
        <f t="shared" si="181"/>
        <v>2854910.1482291985</v>
      </c>
      <c r="D2327" s="2">
        <v>20837</v>
      </c>
      <c r="E2327" s="2">
        <f t="shared" si="182"/>
        <v>2.0836999999999999</v>
      </c>
      <c r="F2327" s="2">
        <f t="shared" si="183"/>
        <v>-1.2961559833506726</v>
      </c>
      <c r="G2327" s="2">
        <f t="shared" si="184"/>
        <v>1.6800203331757491</v>
      </c>
    </row>
    <row r="2328" spans="1:7" x14ac:dyDescent="0.35">
      <c r="A2328" s="2">
        <v>3028</v>
      </c>
      <c r="B2328" s="2">
        <f t="shared" si="180"/>
        <v>1689.6479361775928</v>
      </c>
      <c r="C2328" s="2">
        <f t="shared" si="181"/>
        <v>2854910.1482291985</v>
      </c>
      <c r="D2328" s="2">
        <v>22406</v>
      </c>
      <c r="E2328" s="2">
        <f t="shared" si="182"/>
        <v>2.2406000000000001</v>
      </c>
      <c r="F2328" s="2">
        <f t="shared" si="183"/>
        <v>-1.1392559833506724</v>
      </c>
      <c r="G2328" s="2">
        <f t="shared" si="184"/>
        <v>1.2979041956003075</v>
      </c>
    </row>
    <row r="2329" spans="1:7" x14ac:dyDescent="0.35">
      <c r="A2329" s="2">
        <v>3028</v>
      </c>
      <c r="B2329" s="2">
        <f t="shared" si="180"/>
        <v>1689.6479361775928</v>
      </c>
      <c r="C2329" s="2">
        <f t="shared" si="181"/>
        <v>2854910.1482291985</v>
      </c>
      <c r="D2329" s="2">
        <v>21353</v>
      </c>
      <c r="E2329" s="2">
        <f t="shared" si="182"/>
        <v>2.1353</v>
      </c>
      <c r="F2329" s="2">
        <f t="shared" si="183"/>
        <v>-1.2445559833506725</v>
      </c>
      <c r="G2329" s="2">
        <f t="shared" si="184"/>
        <v>1.5489195956939594</v>
      </c>
    </row>
    <row r="2330" spans="1:7" x14ac:dyDescent="0.35">
      <c r="A2330" s="2">
        <v>3028</v>
      </c>
      <c r="B2330" s="2">
        <f t="shared" si="180"/>
        <v>1689.6479361775928</v>
      </c>
      <c r="C2330" s="2">
        <f t="shared" si="181"/>
        <v>2854910.1482291985</v>
      </c>
      <c r="D2330" s="2">
        <v>20148</v>
      </c>
      <c r="E2330" s="2">
        <f t="shared" si="182"/>
        <v>2.0148000000000001</v>
      </c>
      <c r="F2330" s="2">
        <f t="shared" si="183"/>
        <v>-1.3650559833506724</v>
      </c>
      <c r="G2330" s="2">
        <f t="shared" si="184"/>
        <v>1.8633778376814711</v>
      </c>
    </row>
    <row r="2331" spans="1:7" x14ac:dyDescent="0.35">
      <c r="A2331" s="2">
        <v>3028</v>
      </c>
      <c r="B2331" s="2">
        <f t="shared" si="180"/>
        <v>1689.6479361775928</v>
      </c>
      <c r="C2331" s="2">
        <f t="shared" si="181"/>
        <v>2854910.1482291985</v>
      </c>
      <c r="D2331" s="2">
        <v>18944</v>
      </c>
      <c r="E2331" s="2">
        <f t="shared" si="182"/>
        <v>1.8944000000000001</v>
      </c>
      <c r="F2331" s="2">
        <f t="shared" si="183"/>
        <v>-1.4854559833506724</v>
      </c>
      <c r="G2331" s="2">
        <f t="shared" si="184"/>
        <v>2.2065794784723129</v>
      </c>
    </row>
    <row r="2332" spans="1:7" x14ac:dyDescent="0.35">
      <c r="A2332" s="2">
        <v>3028</v>
      </c>
      <c r="B2332" s="2">
        <f t="shared" si="180"/>
        <v>1689.6479361775928</v>
      </c>
      <c r="C2332" s="2">
        <f t="shared" si="181"/>
        <v>2854910.1482291985</v>
      </c>
      <c r="D2332" s="2">
        <v>17739</v>
      </c>
      <c r="E2332" s="2">
        <f t="shared" si="182"/>
        <v>1.7739</v>
      </c>
      <c r="F2332" s="2">
        <f t="shared" si="183"/>
        <v>-1.6059559833506725</v>
      </c>
      <c r="G2332" s="2">
        <f t="shared" si="184"/>
        <v>2.5790946204598253</v>
      </c>
    </row>
    <row r="2333" spans="1:7" x14ac:dyDescent="0.35">
      <c r="A2333" s="2">
        <v>3028</v>
      </c>
      <c r="B2333" s="2">
        <f t="shared" si="180"/>
        <v>1689.6479361775928</v>
      </c>
      <c r="C2333" s="2">
        <f t="shared" si="181"/>
        <v>2854910.1482291985</v>
      </c>
      <c r="D2333" s="2">
        <v>16570</v>
      </c>
      <c r="E2333" s="2">
        <f t="shared" si="182"/>
        <v>1.657</v>
      </c>
      <c r="F2333" s="2">
        <f t="shared" si="183"/>
        <v>-1.7228559833506725</v>
      </c>
      <c r="G2333" s="2">
        <f t="shared" si="184"/>
        <v>2.9682327393672128</v>
      </c>
    </row>
    <row r="2334" spans="1:7" x14ac:dyDescent="0.35">
      <c r="A2334" s="2">
        <v>282</v>
      </c>
      <c r="B2334" s="2">
        <f t="shared" si="180"/>
        <v>-1056.3520638224072</v>
      </c>
      <c r="C2334" s="2">
        <f t="shared" si="181"/>
        <v>1115879.682741859</v>
      </c>
      <c r="D2334" s="2">
        <v>40769</v>
      </c>
      <c r="E2334" s="2">
        <f t="shared" si="182"/>
        <v>4.0769000000000002</v>
      </c>
      <c r="F2334" s="2">
        <f t="shared" si="183"/>
        <v>0.69704401664932769</v>
      </c>
      <c r="G2334" s="2">
        <f t="shared" si="184"/>
        <v>0.48587036114662824</v>
      </c>
    </row>
    <row r="2335" spans="1:7" x14ac:dyDescent="0.35">
      <c r="A2335" s="2">
        <v>282</v>
      </c>
      <c r="B2335" s="2">
        <f t="shared" si="180"/>
        <v>-1056.3520638224072</v>
      </c>
      <c r="C2335" s="2">
        <f t="shared" si="181"/>
        <v>1115879.682741859</v>
      </c>
      <c r="D2335" s="2">
        <v>37188</v>
      </c>
      <c r="E2335" s="2">
        <f t="shared" si="182"/>
        <v>3.7187999999999999</v>
      </c>
      <c r="F2335" s="2">
        <f t="shared" si="183"/>
        <v>0.33894401664932738</v>
      </c>
      <c r="G2335" s="2">
        <f t="shared" si="184"/>
        <v>0.11488304642237952</v>
      </c>
    </row>
    <row r="2336" spans="1:7" x14ac:dyDescent="0.35">
      <c r="A2336" s="2">
        <v>282</v>
      </c>
      <c r="B2336" s="2">
        <f t="shared" si="180"/>
        <v>-1056.3520638224072</v>
      </c>
      <c r="C2336" s="2">
        <f t="shared" si="181"/>
        <v>1115879.682741859</v>
      </c>
      <c r="D2336" s="2">
        <v>33333</v>
      </c>
      <c r="E2336" s="2">
        <f t="shared" si="182"/>
        <v>3.3332999999999999</v>
      </c>
      <c r="F2336" s="2">
        <f t="shared" si="183"/>
        <v>-4.655598335067257E-2</v>
      </c>
      <c r="G2336" s="2">
        <f t="shared" si="184"/>
        <v>2.1674595857481016E-3</v>
      </c>
    </row>
    <row r="2337" spans="1:7" x14ac:dyDescent="0.35">
      <c r="A2337" s="2">
        <v>282</v>
      </c>
      <c r="B2337" s="2">
        <f t="shared" si="180"/>
        <v>-1056.3520638224072</v>
      </c>
      <c r="C2337" s="2">
        <f t="shared" si="181"/>
        <v>1115879.682741859</v>
      </c>
      <c r="D2337" s="2">
        <v>30308</v>
      </c>
      <c r="E2337" s="2">
        <f t="shared" si="182"/>
        <v>3.0308000000000002</v>
      </c>
      <c r="F2337" s="2">
        <f t="shared" si="183"/>
        <v>-0.34905598335067234</v>
      </c>
      <c r="G2337" s="2">
        <f t="shared" si="184"/>
        <v>0.12184007951290485</v>
      </c>
    </row>
    <row r="2338" spans="1:7" x14ac:dyDescent="0.35">
      <c r="A2338" s="2">
        <v>282</v>
      </c>
      <c r="B2338" s="2">
        <f t="shared" si="180"/>
        <v>-1056.3520638224072</v>
      </c>
      <c r="C2338" s="2">
        <f t="shared" si="181"/>
        <v>1115879.682741859</v>
      </c>
      <c r="D2338" s="2">
        <v>30000</v>
      </c>
      <c r="E2338" s="2">
        <f t="shared" si="182"/>
        <v>3</v>
      </c>
      <c r="F2338" s="2">
        <f t="shared" si="183"/>
        <v>-0.3798559833506725</v>
      </c>
      <c r="G2338" s="2">
        <f t="shared" si="184"/>
        <v>0.14429056808730639</v>
      </c>
    </row>
    <row r="2339" spans="1:7" x14ac:dyDescent="0.35">
      <c r="A2339" s="2">
        <v>282</v>
      </c>
      <c r="B2339" s="2">
        <f t="shared" si="180"/>
        <v>-1056.3520638224072</v>
      </c>
      <c r="C2339" s="2">
        <f t="shared" si="181"/>
        <v>1115879.682741859</v>
      </c>
      <c r="D2339" s="2">
        <v>25000</v>
      </c>
      <c r="E2339" s="2">
        <f t="shared" si="182"/>
        <v>2.5</v>
      </c>
      <c r="F2339" s="2">
        <f t="shared" si="183"/>
        <v>-0.8798559833506725</v>
      </c>
      <c r="G2339" s="2">
        <f t="shared" si="184"/>
        <v>0.77414655143797884</v>
      </c>
    </row>
    <row r="2340" spans="1:7" x14ac:dyDescent="0.35">
      <c r="A2340" s="2">
        <v>282</v>
      </c>
      <c r="B2340" s="2">
        <f t="shared" si="180"/>
        <v>-1056.3520638224072</v>
      </c>
      <c r="C2340" s="2">
        <f t="shared" si="181"/>
        <v>1115879.682741859</v>
      </c>
      <c r="D2340" s="2">
        <v>25694</v>
      </c>
      <c r="E2340" s="2">
        <f t="shared" si="182"/>
        <v>2.5693999999999999</v>
      </c>
      <c r="F2340" s="2">
        <f t="shared" si="183"/>
        <v>-0.81045598335067259</v>
      </c>
      <c r="G2340" s="2">
        <f t="shared" si="184"/>
        <v>0.65683890094890574</v>
      </c>
    </row>
    <row r="2341" spans="1:7" x14ac:dyDescent="0.35">
      <c r="A2341" s="2">
        <v>282</v>
      </c>
      <c r="B2341" s="2">
        <f t="shared" si="180"/>
        <v>-1056.3520638224072</v>
      </c>
      <c r="C2341" s="2">
        <f t="shared" si="181"/>
        <v>1115879.682741859</v>
      </c>
      <c r="D2341" s="2">
        <v>25000</v>
      </c>
      <c r="E2341" s="2">
        <f t="shared" si="182"/>
        <v>2.5</v>
      </c>
      <c r="F2341" s="2">
        <f t="shared" si="183"/>
        <v>-0.8798559833506725</v>
      </c>
      <c r="G2341" s="2">
        <f t="shared" si="184"/>
        <v>0.77414655143797884</v>
      </c>
    </row>
    <row r="2342" spans="1:7" x14ac:dyDescent="0.35">
      <c r="A2342" s="2">
        <v>282</v>
      </c>
      <c r="B2342" s="2">
        <f t="shared" si="180"/>
        <v>-1056.3520638224072</v>
      </c>
      <c r="C2342" s="2">
        <f t="shared" si="181"/>
        <v>1115879.682741859</v>
      </c>
      <c r="D2342" s="2">
        <v>15000</v>
      </c>
      <c r="E2342" s="2">
        <f t="shared" si="182"/>
        <v>1.5</v>
      </c>
      <c r="F2342" s="2">
        <f t="shared" si="183"/>
        <v>-1.8798559833506725</v>
      </c>
      <c r="G2342" s="2">
        <f t="shared" si="184"/>
        <v>3.5338585181393238</v>
      </c>
    </row>
    <row r="2343" spans="1:7" x14ac:dyDescent="0.35">
      <c r="A2343" s="2">
        <v>282</v>
      </c>
      <c r="B2343" s="2">
        <f t="shared" si="180"/>
        <v>-1056.3520638224072</v>
      </c>
      <c r="C2343" s="2">
        <f t="shared" si="181"/>
        <v>1115879.682741859</v>
      </c>
      <c r="D2343" s="2">
        <v>16667</v>
      </c>
      <c r="E2343" s="2">
        <f t="shared" si="182"/>
        <v>1.6667000000000001</v>
      </c>
      <c r="F2343" s="2">
        <f t="shared" si="183"/>
        <v>-1.7131559833506724</v>
      </c>
      <c r="G2343" s="2">
        <f t="shared" si="184"/>
        <v>2.9349034232902094</v>
      </c>
    </row>
    <row r="2344" spans="1:7" x14ac:dyDescent="0.35">
      <c r="A2344" s="2">
        <v>282</v>
      </c>
      <c r="B2344" s="2">
        <f t="shared" si="180"/>
        <v>-1056.3520638224072</v>
      </c>
      <c r="C2344" s="2">
        <f t="shared" si="181"/>
        <v>1115879.682741859</v>
      </c>
      <c r="D2344" s="2">
        <v>31290</v>
      </c>
      <c r="E2344" s="2">
        <f t="shared" si="182"/>
        <v>3.129</v>
      </c>
      <c r="F2344" s="2">
        <f t="shared" si="183"/>
        <v>-0.2508559833506725</v>
      </c>
      <c r="G2344" s="2">
        <f t="shared" si="184"/>
        <v>6.2928724382832882E-2</v>
      </c>
    </row>
    <row r="2345" spans="1:7" x14ac:dyDescent="0.35">
      <c r="A2345" s="2">
        <v>282</v>
      </c>
      <c r="B2345" s="2">
        <f t="shared" si="180"/>
        <v>-1056.3520638224072</v>
      </c>
      <c r="C2345" s="2">
        <f t="shared" si="181"/>
        <v>1115879.682741859</v>
      </c>
      <c r="D2345" s="2">
        <v>35937</v>
      </c>
      <c r="E2345" s="2">
        <f t="shared" si="182"/>
        <v>3.5937000000000001</v>
      </c>
      <c r="F2345" s="2">
        <f t="shared" si="183"/>
        <v>0.21384401664932762</v>
      </c>
      <c r="G2345" s="2">
        <f t="shared" si="184"/>
        <v>4.5729263456717906E-2</v>
      </c>
    </row>
    <row r="2346" spans="1:7" x14ac:dyDescent="0.35">
      <c r="A2346" s="2">
        <v>282</v>
      </c>
      <c r="B2346" s="2">
        <f t="shared" si="180"/>
        <v>-1056.3520638224072</v>
      </c>
      <c r="C2346" s="2">
        <f t="shared" si="181"/>
        <v>1115879.682741859</v>
      </c>
      <c r="D2346" s="2">
        <v>42459</v>
      </c>
      <c r="E2346" s="2">
        <f t="shared" si="182"/>
        <v>4.2458999999999998</v>
      </c>
      <c r="F2346" s="2">
        <f t="shared" si="183"/>
        <v>0.86604401664932729</v>
      </c>
      <c r="G2346" s="2">
        <f t="shared" si="184"/>
        <v>0.7500322387741003</v>
      </c>
    </row>
    <row r="2347" spans="1:7" x14ac:dyDescent="0.35">
      <c r="A2347" s="2">
        <v>282</v>
      </c>
      <c r="B2347" s="2">
        <f t="shared" si="180"/>
        <v>-1056.3520638224072</v>
      </c>
      <c r="C2347" s="2">
        <f t="shared" si="181"/>
        <v>1115879.682741859</v>
      </c>
      <c r="D2347" s="2">
        <v>57143</v>
      </c>
      <c r="E2347" s="2">
        <f t="shared" si="182"/>
        <v>5.7142999999999997</v>
      </c>
      <c r="F2347" s="2">
        <f t="shared" si="183"/>
        <v>2.3344440166493272</v>
      </c>
      <c r="G2347" s="2">
        <f t="shared" si="184"/>
        <v>5.449628866869844</v>
      </c>
    </row>
    <row r="2348" spans="1:7" x14ac:dyDescent="0.35">
      <c r="A2348" s="2">
        <v>282</v>
      </c>
      <c r="B2348" s="2">
        <f t="shared" si="180"/>
        <v>-1056.3520638224072</v>
      </c>
      <c r="C2348" s="2">
        <f t="shared" si="181"/>
        <v>1115879.682741859</v>
      </c>
      <c r="D2348" s="2">
        <v>20000</v>
      </c>
      <c r="E2348" s="2">
        <f t="shared" si="182"/>
        <v>2</v>
      </c>
      <c r="F2348" s="2">
        <f t="shared" si="183"/>
        <v>-1.3798559833506725</v>
      </c>
      <c r="G2348" s="2">
        <f t="shared" si="184"/>
        <v>1.9040025347886513</v>
      </c>
    </row>
    <row r="2349" spans="1:7" x14ac:dyDescent="0.35">
      <c r="A2349" s="2">
        <v>282</v>
      </c>
      <c r="B2349" s="2">
        <f t="shared" si="180"/>
        <v>-1056.3520638224072</v>
      </c>
      <c r="C2349" s="2">
        <f t="shared" si="181"/>
        <v>1115879.682741859</v>
      </c>
      <c r="D2349" s="2">
        <v>59701</v>
      </c>
      <c r="E2349" s="2">
        <f t="shared" si="182"/>
        <v>5.9701000000000004</v>
      </c>
      <c r="F2349" s="2">
        <f t="shared" si="183"/>
        <v>2.5902440166493279</v>
      </c>
      <c r="G2349" s="2">
        <f t="shared" si="184"/>
        <v>6.7093640657876437</v>
      </c>
    </row>
    <row r="2350" spans="1:7" x14ac:dyDescent="0.35">
      <c r="A2350" s="2">
        <v>282</v>
      </c>
      <c r="B2350" s="2">
        <f t="shared" si="180"/>
        <v>-1056.3520638224072</v>
      </c>
      <c r="C2350" s="2">
        <f t="shared" si="181"/>
        <v>1115879.682741859</v>
      </c>
      <c r="D2350" s="2">
        <v>60000</v>
      </c>
      <c r="E2350" s="2">
        <f t="shared" si="182"/>
        <v>6</v>
      </c>
      <c r="F2350" s="2">
        <f t="shared" si="183"/>
        <v>2.6201440166493275</v>
      </c>
      <c r="G2350" s="2">
        <f t="shared" si="184"/>
        <v>6.8651546679832718</v>
      </c>
    </row>
    <row r="2351" spans="1:7" x14ac:dyDescent="0.35">
      <c r="A2351" s="2">
        <v>282</v>
      </c>
      <c r="B2351" s="2">
        <f t="shared" si="180"/>
        <v>-1056.3520638224072</v>
      </c>
      <c r="C2351" s="2">
        <f t="shared" si="181"/>
        <v>1115879.682741859</v>
      </c>
      <c r="D2351" s="2">
        <v>60000</v>
      </c>
      <c r="E2351" s="2">
        <f t="shared" si="182"/>
        <v>6</v>
      </c>
      <c r="F2351" s="2">
        <f t="shared" si="183"/>
        <v>2.6201440166493275</v>
      </c>
      <c r="G2351" s="2">
        <f t="shared" si="184"/>
        <v>6.8651546679832718</v>
      </c>
    </row>
    <row r="2352" spans="1:7" x14ac:dyDescent="0.35">
      <c r="A2352" s="2">
        <v>282</v>
      </c>
      <c r="B2352" s="2">
        <f t="shared" si="180"/>
        <v>-1056.3520638224072</v>
      </c>
      <c r="C2352" s="2">
        <f t="shared" si="181"/>
        <v>1115879.682741859</v>
      </c>
      <c r="D2352" s="2">
        <v>54582</v>
      </c>
      <c r="E2352" s="2">
        <f t="shared" si="182"/>
        <v>5.4581999999999997</v>
      </c>
      <c r="F2352" s="2">
        <f t="shared" si="183"/>
        <v>2.0783440166493272</v>
      </c>
      <c r="G2352" s="2">
        <f t="shared" si="184"/>
        <v>4.3195138515420588</v>
      </c>
    </row>
    <row r="2353" spans="1:7" x14ac:dyDescent="0.35">
      <c r="A2353" s="2">
        <v>282</v>
      </c>
      <c r="B2353" s="2">
        <f t="shared" si="180"/>
        <v>-1056.3520638224072</v>
      </c>
      <c r="C2353" s="2">
        <f t="shared" si="181"/>
        <v>1115879.682741859</v>
      </c>
      <c r="D2353" s="2">
        <v>55057</v>
      </c>
      <c r="E2353" s="2">
        <f t="shared" si="182"/>
        <v>5.5057</v>
      </c>
      <c r="F2353" s="2">
        <f t="shared" si="183"/>
        <v>2.1258440166493275</v>
      </c>
      <c r="G2353" s="2">
        <f t="shared" si="184"/>
        <v>4.5192127831237467</v>
      </c>
    </row>
    <row r="2354" spans="1:7" x14ac:dyDescent="0.35">
      <c r="A2354" s="2">
        <v>282</v>
      </c>
      <c r="B2354" s="2">
        <f t="shared" si="180"/>
        <v>-1056.3520638224072</v>
      </c>
      <c r="C2354" s="2">
        <f t="shared" si="181"/>
        <v>1115879.682741859</v>
      </c>
      <c r="D2354" s="2">
        <v>61538</v>
      </c>
      <c r="E2354" s="2">
        <f t="shared" si="182"/>
        <v>6.1538000000000004</v>
      </c>
      <c r="F2354" s="2">
        <f t="shared" si="183"/>
        <v>2.7739440166493279</v>
      </c>
      <c r="G2354" s="2">
        <f t="shared" si="184"/>
        <v>7.6947654075046064</v>
      </c>
    </row>
    <row r="2355" spans="1:7" x14ac:dyDescent="0.35">
      <c r="A2355" s="2">
        <v>282</v>
      </c>
      <c r="B2355" s="2">
        <f t="shared" si="180"/>
        <v>-1056.3520638224072</v>
      </c>
      <c r="C2355" s="2">
        <f t="shared" si="181"/>
        <v>1115879.682741859</v>
      </c>
      <c r="D2355" s="2">
        <v>51579</v>
      </c>
      <c r="E2355" s="2">
        <f t="shared" si="182"/>
        <v>5.1578999999999997</v>
      </c>
      <c r="F2355" s="2">
        <f t="shared" si="183"/>
        <v>1.7780440166493272</v>
      </c>
      <c r="G2355" s="2">
        <f t="shared" si="184"/>
        <v>3.1614405251424729</v>
      </c>
    </row>
    <row r="2356" spans="1:7" x14ac:dyDescent="0.35">
      <c r="A2356" s="2">
        <v>282</v>
      </c>
      <c r="B2356" s="2">
        <f t="shared" si="180"/>
        <v>-1056.3520638224072</v>
      </c>
      <c r="C2356" s="2">
        <f t="shared" si="181"/>
        <v>1115879.682741859</v>
      </c>
      <c r="D2356" s="2">
        <v>47273</v>
      </c>
      <c r="E2356" s="2">
        <f t="shared" si="182"/>
        <v>4.7272999999999996</v>
      </c>
      <c r="F2356" s="2">
        <f t="shared" si="183"/>
        <v>1.3474440166493271</v>
      </c>
      <c r="G2356" s="2">
        <f t="shared" si="184"/>
        <v>1.8156053780040722</v>
      </c>
    </row>
    <row r="2357" spans="1:7" x14ac:dyDescent="0.35">
      <c r="A2357" s="2">
        <v>282</v>
      </c>
      <c r="B2357" s="2">
        <f t="shared" si="180"/>
        <v>-1056.3520638224072</v>
      </c>
      <c r="C2357" s="2">
        <f t="shared" si="181"/>
        <v>1115879.682741859</v>
      </c>
      <c r="D2357" s="2">
        <v>52000</v>
      </c>
      <c r="E2357" s="2">
        <f t="shared" si="182"/>
        <v>5.2</v>
      </c>
      <c r="F2357" s="2">
        <f t="shared" si="183"/>
        <v>1.8201440166493277</v>
      </c>
      <c r="G2357" s="2">
        <f t="shared" si="184"/>
        <v>3.3129242413443478</v>
      </c>
    </row>
    <row r="2358" spans="1:7" x14ac:dyDescent="0.35">
      <c r="A2358" s="2">
        <v>282</v>
      </c>
      <c r="B2358" s="2">
        <f t="shared" si="180"/>
        <v>-1056.3520638224072</v>
      </c>
      <c r="C2358" s="2">
        <f t="shared" si="181"/>
        <v>1115879.682741859</v>
      </c>
      <c r="D2358" s="2">
        <v>35583</v>
      </c>
      <c r="E2358" s="2">
        <f t="shared" si="182"/>
        <v>3.5583</v>
      </c>
      <c r="F2358" s="2">
        <f t="shared" si="183"/>
        <v>0.17844401664932752</v>
      </c>
      <c r="G2358" s="2">
        <f t="shared" si="184"/>
        <v>3.1842267077945477E-2</v>
      </c>
    </row>
    <row r="2359" spans="1:7" x14ac:dyDescent="0.35">
      <c r="A2359" s="2">
        <v>282</v>
      </c>
      <c r="B2359" s="2">
        <f t="shared" si="180"/>
        <v>-1056.3520638224072</v>
      </c>
      <c r="C2359" s="2">
        <f t="shared" si="181"/>
        <v>1115879.682741859</v>
      </c>
      <c r="D2359" s="2">
        <v>48691</v>
      </c>
      <c r="E2359" s="2">
        <f t="shared" si="182"/>
        <v>4.8691000000000004</v>
      </c>
      <c r="F2359" s="2">
        <f t="shared" si="183"/>
        <v>1.4892440166493279</v>
      </c>
      <c r="G2359" s="2">
        <f t="shared" si="184"/>
        <v>2.2178477411258237</v>
      </c>
    </row>
    <row r="2360" spans="1:7" x14ac:dyDescent="0.35">
      <c r="A2360" s="2">
        <v>282</v>
      </c>
      <c r="B2360" s="2">
        <f t="shared" si="180"/>
        <v>-1056.3520638224072</v>
      </c>
      <c r="C2360" s="2">
        <f t="shared" si="181"/>
        <v>1115879.682741859</v>
      </c>
      <c r="D2360" s="2">
        <v>14723</v>
      </c>
      <c r="E2360" s="2">
        <f t="shared" si="182"/>
        <v>1.4722999999999999</v>
      </c>
      <c r="F2360" s="2">
        <f t="shared" si="183"/>
        <v>-1.9075559833506726</v>
      </c>
      <c r="G2360" s="2">
        <f t="shared" si="184"/>
        <v>3.6387698296169515</v>
      </c>
    </row>
    <row r="2361" spans="1:7" x14ac:dyDescent="0.35">
      <c r="A2361" s="2">
        <v>282</v>
      </c>
      <c r="B2361" s="2">
        <f t="shared" si="180"/>
        <v>-1056.3520638224072</v>
      </c>
      <c r="C2361" s="2">
        <f t="shared" si="181"/>
        <v>1115879.682741859</v>
      </c>
      <c r="D2361" s="2">
        <v>20000</v>
      </c>
      <c r="E2361" s="2">
        <f t="shared" si="182"/>
        <v>2</v>
      </c>
      <c r="F2361" s="2">
        <f t="shared" si="183"/>
        <v>-1.3798559833506725</v>
      </c>
      <c r="G2361" s="2">
        <f t="shared" si="184"/>
        <v>1.9040025347886513</v>
      </c>
    </row>
    <row r="2362" spans="1:7" x14ac:dyDescent="0.35">
      <c r="A2362" s="2">
        <v>282</v>
      </c>
      <c r="B2362" s="2">
        <f t="shared" si="180"/>
        <v>-1056.3520638224072</v>
      </c>
      <c r="C2362" s="2">
        <f t="shared" si="181"/>
        <v>1115879.682741859</v>
      </c>
      <c r="D2362" s="2">
        <v>17500</v>
      </c>
      <c r="E2362" s="2">
        <f t="shared" si="182"/>
        <v>1.75</v>
      </c>
      <c r="F2362" s="2">
        <f t="shared" si="183"/>
        <v>-1.6298559833506725</v>
      </c>
      <c r="G2362" s="2">
        <f t="shared" si="184"/>
        <v>2.6564305264639878</v>
      </c>
    </row>
    <row r="2363" spans="1:7" x14ac:dyDescent="0.35">
      <c r="A2363" s="2">
        <v>282</v>
      </c>
      <c r="B2363" s="2">
        <f t="shared" si="180"/>
        <v>-1056.3520638224072</v>
      </c>
      <c r="C2363" s="2">
        <f t="shared" si="181"/>
        <v>1115879.682741859</v>
      </c>
      <c r="D2363" s="2">
        <v>18333</v>
      </c>
      <c r="E2363" s="2">
        <f t="shared" si="182"/>
        <v>1.8332999999999999</v>
      </c>
      <c r="F2363" s="2">
        <f t="shared" si="183"/>
        <v>-1.5465559833506726</v>
      </c>
      <c r="G2363" s="2">
        <f t="shared" si="184"/>
        <v>2.3918354096377659</v>
      </c>
    </row>
    <row r="2364" spans="1:7" x14ac:dyDescent="0.35">
      <c r="A2364" s="2">
        <v>495</v>
      </c>
      <c r="B2364" s="2">
        <f t="shared" si="180"/>
        <v>-843.35206382240722</v>
      </c>
      <c r="C2364" s="2">
        <f t="shared" si="181"/>
        <v>711242.70355351362</v>
      </c>
      <c r="D2364" s="2">
        <v>23077</v>
      </c>
      <c r="E2364" s="2">
        <f t="shared" si="182"/>
        <v>2.3077000000000001</v>
      </c>
      <c r="F2364" s="2">
        <f t="shared" si="183"/>
        <v>-1.0721559833506724</v>
      </c>
      <c r="G2364" s="2">
        <f t="shared" si="184"/>
        <v>1.1495184526346474</v>
      </c>
    </row>
    <row r="2365" spans="1:7" x14ac:dyDescent="0.35">
      <c r="A2365" s="2">
        <v>495</v>
      </c>
      <c r="B2365" s="2">
        <f t="shared" si="180"/>
        <v>-843.35206382240722</v>
      </c>
      <c r="C2365" s="2">
        <f t="shared" si="181"/>
        <v>711242.70355351362</v>
      </c>
      <c r="D2365" s="2">
        <v>23077</v>
      </c>
      <c r="E2365" s="2">
        <f t="shared" si="182"/>
        <v>2.3077000000000001</v>
      </c>
      <c r="F2365" s="2">
        <f t="shared" si="183"/>
        <v>-1.0721559833506724</v>
      </c>
      <c r="G2365" s="2">
        <f t="shared" si="184"/>
        <v>1.1495184526346474</v>
      </c>
    </row>
    <row r="2366" spans="1:7" x14ac:dyDescent="0.35">
      <c r="A2366" s="2">
        <v>495</v>
      </c>
      <c r="B2366" s="2">
        <f t="shared" si="180"/>
        <v>-843.35206382240722</v>
      </c>
      <c r="C2366" s="2">
        <f t="shared" si="181"/>
        <v>711242.70355351362</v>
      </c>
      <c r="D2366" s="2">
        <v>23077</v>
      </c>
      <c r="E2366" s="2">
        <f t="shared" si="182"/>
        <v>2.3077000000000001</v>
      </c>
      <c r="F2366" s="2">
        <f t="shared" si="183"/>
        <v>-1.0721559833506724</v>
      </c>
      <c r="G2366" s="2">
        <f t="shared" si="184"/>
        <v>1.1495184526346474</v>
      </c>
    </row>
    <row r="2367" spans="1:7" x14ac:dyDescent="0.35">
      <c r="A2367" s="2">
        <v>495</v>
      </c>
      <c r="B2367" s="2">
        <f t="shared" si="180"/>
        <v>-843.35206382240722</v>
      </c>
      <c r="C2367" s="2">
        <f t="shared" si="181"/>
        <v>711242.70355351362</v>
      </c>
      <c r="D2367" s="2">
        <v>23077</v>
      </c>
      <c r="E2367" s="2">
        <f t="shared" si="182"/>
        <v>2.3077000000000001</v>
      </c>
      <c r="F2367" s="2">
        <f t="shared" si="183"/>
        <v>-1.0721559833506724</v>
      </c>
      <c r="G2367" s="2">
        <f t="shared" si="184"/>
        <v>1.1495184526346474</v>
      </c>
    </row>
    <row r="2368" spans="1:7" x14ac:dyDescent="0.35">
      <c r="A2368" s="2">
        <v>495</v>
      </c>
      <c r="B2368" s="2">
        <f t="shared" si="180"/>
        <v>-843.35206382240722</v>
      </c>
      <c r="C2368" s="2">
        <f t="shared" si="181"/>
        <v>711242.70355351362</v>
      </c>
      <c r="D2368" s="2">
        <v>18976</v>
      </c>
      <c r="E2368" s="2">
        <f t="shared" si="182"/>
        <v>1.8976</v>
      </c>
      <c r="F2368" s="2">
        <f t="shared" si="183"/>
        <v>-1.4822559833506725</v>
      </c>
      <c r="G2368" s="2">
        <f t="shared" si="184"/>
        <v>2.1970828001788694</v>
      </c>
    </row>
    <row r="2369" spans="1:7" x14ac:dyDescent="0.35">
      <c r="A2369" s="2">
        <v>495</v>
      </c>
      <c r="B2369" s="2">
        <f t="shared" si="180"/>
        <v>-843.35206382240722</v>
      </c>
      <c r="C2369" s="2">
        <f t="shared" si="181"/>
        <v>711242.70355351362</v>
      </c>
      <c r="D2369" s="2">
        <v>21297</v>
      </c>
      <c r="E2369" s="2">
        <f t="shared" si="182"/>
        <v>2.1297000000000001</v>
      </c>
      <c r="F2369" s="2">
        <f t="shared" si="183"/>
        <v>-1.2501559833506724</v>
      </c>
      <c r="G2369" s="2">
        <f t="shared" si="184"/>
        <v>1.5628899827074865</v>
      </c>
    </row>
    <row r="2370" spans="1:7" x14ac:dyDescent="0.35">
      <c r="A2370" s="2">
        <v>495</v>
      </c>
      <c r="B2370" s="2">
        <f t="shared" si="180"/>
        <v>-843.35206382240722</v>
      </c>
      <c r="C2370" s="2">
        <f t="shared" si="181"/>
        <v>711242.70355351362</v>
      </c>
      <c r="D2370" s="2">
        <v>21503</v>
      </c>
      <c r="E2370" s="2">
        <f t="shared" si="182"/>
        <v>2.1503000000000001</v>
      </c>
      <c r="F2370" s="2">
        <f t="shared" si="183"/>
        <v>-1.2295559833506724</v>
      </c>
      <c r="G2370" s="2">
        <f t="shared" si="184"/>
        <v>1.511807916193439</v>
      </c>
    </row>
    <row r="2371" spans="1:7" x14ac:dyDescent="0.35">
      <c r="A2371" s="2">
        <v>495</v>
      </c>
      <c r="B2371" s="2">
        <f t="shared" ref="B2371:B2434" si="185">A2371-$J$1</f>
        <v>-843.35206382240722</v>
      </c>
      <c r="C2371" s="2">
        <f t="shared" ref="C2371:C2434" si="186">B2371^2</f>
        <v>711242.70355351362</v>
      </c>
      <c r="D2371" s="2">
        <v>21710</v>
      </c>
      <c r="E2371" s="2">
        <f t="shared" ref="E2371:E2434" si="187">D2371/10000</f>
        <v>2.1709999999999998</v>
      </c>
      <c r="F2371" s="2">
        <f t="shared" ref="F2371:F2434" si="188">E2371-$J$2</f>
        <v>-1.2088559833506727</v>
      </c>
      <c r="G2371" s="2">
        <f t="shared" ref="G2371:G2434" si="189">F2371^2</f>
        <v>1.4613327884827219</v>
      </c>
    </row>
    <row r="2372" spans="1:7" x14ac:dyDescent="0.35">
      <c r="A2372" s="2">
        <v>495</v>
      </c>
      <c r="B2372" s="2">
        <f t="shared" si="185"/>
        <v>-843.35206382240722</v>
      </c>
      <c r="C2372" s="2">
        <f t="shared" si="186"/>
        <v>711242.70355351362</v>
      </c>
      <c r="D2372" s="2">
        <v>21917</v>
      </c>
      <c r="E2372" s="2">
        <f t="shared" si="187"/>
        <v>2.1917</v>
      </c>
      <c r="F2372" s="2">
        <f t="shared" si="188"/>
        <v>-1.1881559833506725</v>
      </c>
      <c r="G2372" s="2">
        <f t="shared" si="189"/>
        <v>1.4117146407720036</v>
      </c>
    </row>
    <row r="2373" spans="1:7" x14ac:dyDescent="0.35">
      <c r="A2373" s="2">
        <v>495</v>
      </c>
      <c r="B2373" s="2">
        <f t="shared" si="185"/>
        <v>-843.35206382240722</v>
      </c>
      <c r="C2373" s="2">
        <f t="shared" si="186"/>
        <v>711242.70355351362</v>
      </c>
      <c r="D2373" s="2">
        <v>22124</v>
      </c>
      <c r="E2373" s="2">
        <f t="shared" si="187"/>
        <v>2.2124000000000001</v>
      </c>
      <c r="F2373" s="2">
        <f t="shared" si="188"/>
        <v>-1.1674559833506724</v>
      </c>
      <c r="G2373" s="2">
        <f t="shared" si="189"/>
        <v>1.3629534730612853</v>
      </c>
    </row>
    <row r="2374" spans="1:7" x14ac:dyDescent="0.35">
      <c r="A2374" s="2">
        <v>495</v>
      </c>
      <c r="B2374" s="2">
        <f t="shared" si="185"/>
        <v>-843.35206382240722</v>
      </c>
      <c r="C2374" s="2">
        <f t="shared" si="186"/>
        <v>711242.70355351362</v>
      </c>
      <c r="D2374" s="2">
        <v>22331</v>
      </c>
      <c r="E2374" s="2">
        <f t="shared" si="187"/>
        <v>2.2330999999999999</v>
      </c>
      <c r="F2374" s="2">
        <f t="shared" si="188"/>
        <v>-1.1467559833506726</v>
      </c>
      <c r="G2374" s="2">
        <f t="shared" si="189"/>
        <v>1.3150492853505682</v>
      </c>
    </row>
    <row r="2375" spans="1:7" x14ac:dyDescent="0.35">
      <c r="A2375" s="2">
        <v>495</v>
      </c>
      <c r="B2375" s="2">
        <f t="shared" si="185"/>
        <v>-843.35206382240722</v>
      </c>
      <c r="C2375" s="2">
        <f t="shared" si="186"/>
        <v>711242.70355351362</v>
      </c>
      <c r="D2375" s="2">
        <v>22537</v>
      </c>
      <c r="E2375" s="2">
        <f t="shared" si="187"/>
        <v>2.2536999999999998</v>
      </c>
      <c r="F2375" s="2">
        <f t="shared" si="188"/>
        <v>-1.1261559833506727</v>
      </c>
      <c r="G2375" s="2">
        <f t="shared" si="189"/>
        <v>1.2682272988365206</v>
      </c>
    </row>
    <row r="2376" spans="1:7" x14ac:dyDescent="0.35">
      <c r="A2376" s="2">
        <v>495</v>
      </c>
      <c r="B2376" s="2">
        <f t="shared" si="185"/>
        <v>-843.35206382240722</v>
      </c>
      <c r="C2376" s="2">
        <f t="shared" si="186"/>
        <v>711242.70355351362</v>
      </c>
      <c r="D2376" s="2">
        <v>22744</v>
      </c>
      <c r="E2376" s="2">
        <f t="shared" si="187"/>
        <v>2.2744</v>
      </c>
      <c r="F2376" s="2">
        <f t="shared" si="188"/>
        <v>-1.1054559833506725</v>
      </c>
      <c r="G2376" s="2">
        <f t="shared" si="189"/>
        <v>1.2220329311258025</v>
      </c>
    </row>
    <row r="2377" spans="1:7" x14ac:dyDescent="0.35">
      <c r="A2377" s="2">
        <v>495</v>
      </c>
      <c r="B2377" s="2">
        <f t="shared" si="185"/>
        <v>-843.35206382240722</v>
      </c>
      <c r="C2377" s="2">
        <f t="shared" si="186"/>
        <v>711242.70355351362</v>
      </c>
      <c r="D2377" s="2">
        <v>22949</v>
      </c>
      <c r="E2377" s="2">
        <f t="shared" si="187"/>
        <v>2.2949000000000002</v>
      </c>
      <c r="F2377" s="2">
        <f t="shared" si="188"/>
        <v>-1.0849559833506723</v>
      </c>
      <c r="G2377" s="2">
        <f t="shared" si="189"/>
        <v>1.1771294858084245</v>
      </c>
    </row>
    <row r="2378" spans="1:7" x14ac:dyDescent="0.35">
      <c r="A2378" s="2">
        <v>495</v>
      </c>
      <c r="B2378" s="2">
        <f t="shared" si="185"/>
        <v>-843.35206382240722</v>
      </c>
      <c r="C2378" s="2">
        <f t="shared" si="186"/>
        <v>711242.70355351362</v>
      </c>
      <c r="D2378" s="2">
        <v>22962</v>
      </c>
      <c r="E2378" s="2">
        <f t="shared" si="187"/>
        <v>2.2961999999999998</v>
      </c>
      <c r="F2378" s="2">
        <f t="shared" si="188"/>
        <v>-1.0836559833506727</v>
      </c>
      <c r="G2378" s="2">
        <f t="shared" si="189"/>
        <v>1.1743102902517135</v>
      </c>
    </row>
    <row r="2379" spans="1:7" x14ac:dyDescent="0.35">
      <c r="A2379" s="2">
        <v>495</v>
      </c>
      <c r="B2379" s="2">
        <f t="shared" si="185"/>
        <v>-843.35206382240722</v>
      </c>
      <c r="C2379" s="2">
        <f t="shared" si="186"/>
        <v>711242.70355351362</v>
      </c>
      <c r="D2379" s="2">
        <v>22857</v>
      </c>
      <c r="E2379" s="2">
        <f t="shared" si="187"/>
        <v>2.2856999999999998</v>
      </c>
      <c r="F2379" s="2">
        <f t="shared" si="188"/>
        <v>-1.0941559833506727</v>
      </c>
      <c r="G2379" s="2">
        <f t="shared" si="189"/>
        <v>1.1971773159020775</v>
      </c>
    </row>
    <row r="2380" spans="1:7" x14ac:dyDescent="0.35">
      <c r="A2380" s="2">
        <v>495</v>
      </c>
      <c r="B2380" s="2">
        <f t="shared" si="185"/>
        <v>-843.35206382240722</v>
      </c>
      <c r="C2380" s="2">
        <f t="shared" si="186"/>
        <v>711242.70355351362</v>
      </c>
      <c r="D2380" s="2">
        <v>23517</v>
      </c>
      <c r="E2380" s="2">
        <f t="shared" si="187"/>
        <v>2.3517000000000001</v>
      </c>
      <c r="F2380" s="2">
        <f t="shared" si="188"/>
        <v>-1.0281559833506724</v>
      </c>
      <c r="G2380" s="2">
        <f t="shared" si="189"/>
        <v>1.0571047260997881</v>
      </c>
    </row>
    <row r="2381" spans="1:7" x14ac:dyDescent="0.35">
      <c r="A2381" s="2">
        <v>495</v>
      </c>
      <c r="B2381" s="2">
        <f t="shared" si="185"/>
        <v>-843.35206382240722</v>
      </c>
      <c r="C2381" s="2">
        <f t="shared" si="186"/>
        <v>711242.70355351362</v>
      </c>
      <c r="D2381" s="2">
        <v>24139</v>
      </c>
      <c r="E2381" s="2">
        <f t="shared" si="187"/>
        <v>2.4138999999999999</v>
      </c>
      <c r="F2381" s="2">
        <f t="shared" si="188"/>
        <v>-0.96595598335067256</v>
      </c>
      <c r="G2381" s="2">
        <f t="shared" si="189"/>
        <v>0.93307096177096482</v>
      </c>
    </row>
    <row r="2382" spans="1:7" x14ac:dyDescent="0.35">
      <c r="A2382" s="2">
        <v>495</v>
      </c>
      <c r="B2382" s="2">
        <f t="shared" si="185"/>
        <v>-843.35206382240722</v>
      </c>
      <c r="C2382" s="2">
        <f t="shared" si="186"/>
        <v>711242.70355351362</v>
      </c>
      <c r="D2382" s="2">
        <v>24452</v>
      </c>
      <c r="E2382" s="2">
        <f t="shared" si="187"/>
        <v>2.4451999999999998</v>
      </c>
      <c r="F2382" s="2">
        <f t="shared" si="188"/>
        <v>-0.93465598335067268</v>
      </c>
      <c r="G2382" s="2">
        <f t="shared" si="189"/>
        <v>0.87358180721321288</v>
      </c>
    </row>
    <row r="2383" spans="1:7" x14ac:dyDescent="0.35">
      <c r="A2383" s="2">
        <v>495</v>
      </c>
      <c r="B2383" s="2">
        <f t="shared" si="185"/>
        <v>-843.35206382240722</v>
      </c>
      <c r="C2383" s="2">
        <f t="shared" si="186"/>
        <v>711242.70355351362</v>
      </c>
      <c r="D2383" s="2">
        <v>24755</v>
      </c>
      <c r="E2383" s="2">
        <f t="shared" si="187"/>
        <v>2.4754999999999998</v>
      </c>
      <c r="F2383" s="2">
        <f t="shared" si="188"/>
        <v>-0.90435598335067269</v>
      </c>
      <c r="G2383" s="2">
        <f t="shared" si="189"/>
        <v>0.81785974462216215</v>
      </c>
    </row>
    <row r="2384" spans="1:7" x14ac:dyDescent="0.35">
      <c r="A2384" s="2">
        <v>495</v>
      </c>
      <c r="B2384" s="2">
        <f t="shared" si="185"/>
        <v>-843.35206382240722</v>
      </c>
      <c r="C2384" s="2">
        <f t="shared" si="186"/>
        <v>711242.70355351362</v>
      </c>
      <c r="D2384" s="2">
        <v>25048</v>
      </c>
      <c r="E2384" s="2">
        <f t="shared" si="187"/>
        <v>2.5047999999999999</v>
      </c>
      <c r="F2384" s="2">
        <f t="shared" si="188"/>
        <v>-0.87505598335067258</v>
      </c>
      <c r="G2384" s="2">
        <f t="shared" si="189"/>
        <v>0.76572297399781253</v>
      </c>
    </row>
    <row r="2385" spans="1:7" x14ac:dyDescent="0.35">
      <c r="A2385" s="2">
        <v>495</v>
      </c>
      <c r="B2385" s="2">
        <f t="shared" si="185"/>
        <v>-843.35206382240722</v>
      </c>
      <c r="C2385" s="2">
        <f t="shared" si="186"/>
        <v>711242.70355351362</v>
      </c>
      <c r="D2385" s="2">
        <v>25334</v>
      </c>
      <c r="E2385" s="2">
        <f t="shared" si="187"/>
        <v>2.5333999999999999</v>
      </c>
      <c r="F2385" s="2">
        <f t="shared" si="188"/>
        <v>-0.84645598335067262</v>
      </c>
      <c r="G2385" s="2">
        <f t="shared" si="189"/>
        <v>0.71648773175015412</v>
      </c>
    </row>
    <row r="2386" spans="1:7" x14ac:dyDescent="0.35">
      <c r="A2386" s="2">
        <v>495</v>
      </c>
      <c r="B2386" s="2">
        <f t="shared" si="185"/>
        <v>-843.35206382240722</v>
      </c>
      <c r="C2386" s="2">
        <f t="shared" si="186"/>
        <v>711242.70355351362</v>
      </c>
      <c r="D2386" s="2">
        <v>25612</v>
      </c>
      <c r="E2386" s="2">
        <f t="shared" si="187"/>
        <v>2.5611999999999999</v>
      </c>
      <c r="F2386" s="2">
        <f t="shared" si="188"/>
        <v>-0.81865598335067258</v>
      </c>
      <c r="G2386" s="2">
        <f t="shared" si="189"/>
        <v>0.67019761907585673</v>
      </c>
    </row>
    <row r="2387" spans="1:7" x14ac:dyDescent="0.35">
      <c r="A2387" s="2">
        <v>495</v>
      </c>
      <c r="B2387" s="2">
        <f t="shared" si="185"/>
        <v>-843.35206382240722</v>
      </c>
      <c r="C2387" s="2">
        <f t="shared" si="186"/>
        <v>711242.70355351362</v>
      </c>
      <c r="D2387" s="2">
        <v>25885</v>
      </c>
      <c r="E2387" s="2">
        <f t="shared" si="187"/>
        <v>2.5884999999999998</v>
      </c>
      <c r="F2387" s="2">
        <f t="shared" si="188"/>
        <v>-0.7913559833506727</v>
      </c>
      <c r="G2387" s="2">
        <f t="shared" si="189"/>
        <v>0.6262442923849102</v>
      </c>
    </row>
    <row r="2388" spans="1:7" x14ac:dyDescent="0.35">
      <c r="A2388" s="2">
        <v>495</v>
      </c>
      <c r="B2388" s="2">
        <f t="shared" si="185"/>
        <v>-843.35206382240722</v>
      </c>
      <c r="C2388" s="2">
        <f t="shared" si="186"/>
        <v>711242.70355351362</v>
      </c>
      <c r="D2388" s="2">
        <v>26151</v>
      </c>
      <c r="E2388" s="2">
        <f t="shared" si="187"/>
        <v>2.6151</v>
      </c>
      <c r="F2388" s="2">
        <f t="shared" si="188"/>
        <v>-0.76475598335067252</v>
      </c>
      <c r="G2388" s="2">
        <f t="shared" si="189"/>
        <v>0.58485171407065406</v>
      </c>
    </row>
    <row r="2389" spans="1:7" x14ac:dyDescent="0.35">
      <c r="A2389" s="2">
        <v>495</v>
      </c>
      <c r="B2389" s="2">
        <f t="shared" si="185"/>
        <v>-843.35206382240722</v>
      </c>
      <c r="C2389" s="2">
        <f t="shared" si="186"/>
        <v>711242.70355351362</v>
      </c>
      <c r="D2389" s="2">
        <v>27273</v>
      </c>
      <c r="E2389" s="2">
        <f t="shared" si="187"/>
        <v>2.7273000000000001</v>
      </c>
      <c r="F2389" s="2">
        <f t="shared" si="188"/>
        <v>-0.65255598335067244</v>
      </c>
      <c r="G2389" s="2">
        <f t="shared" si="189"/>
        <v>0.42582931140676311</v>
      </c>
    </row>
    <row r="2390" spans="1:7" x14ac:dyDescent="0.35">
      <c r="A2390" s="2">
        <v>495</v>
      </c>
      <c r="B2390" s="2">
        <f t="shared" si="185"/>
        <v>-843.35206382240722</v>
      </c>
      <c r="C2390" s="2">
        <f t="shared" si="186"/>
        <v>711242.70355351362</v>
      </c>
      <c r="D2390" s="2">
        <v>26087</v>
      </c>
      <c r="E2390" s="2">
        <f t="shared" si="187"/>
        <v>2.6086999999999998</v>
      </c>
      <c r="F2390" s="2">
        <f t="shared" si="188"/>
        <v>-0.7711559833506727</v>
      </c>
      <c r="G2390" s="2">
        <f t="shared" si="189"/>
        <v>0.59468155065754302</v>
      </c>
    </row>
    <row r="2391" spans="1:7" x14ac:dyDescent="0.35">
      <c r="A2391" s="2">
        <v>495</v>
      </c>
      <c r="B2391" s="2">
        <f t="shared" si="185"/>
        <v>-843.35206382240722</v>
      </c>
      <c r="C2391" s="2">
        <f t="shared" si="186"/>
        <v>711242.70355351362</v>
      </c>
      <c r="D2391" s="2">
        <v>26702</v>
      </c>
      <c r="E2391" s="2">
        <f t="shared" si="187"/>
        <v>2.6701999999999999</v>
      </c>
      <c r="F2391" s="2">
        <f t="shared" si="188"/>
        <v>-0.70965598335067259</v>
      </c>
      <c r="G2391" s="2">
        <f t="shared" si="189"/>
        <v>0.50361161470541005</v>
      </c>
    </row>
    <row r="2392" spans="1:7" x14ac:dyDescent="0.35">
      <c r="A2392" s="2">
        <v>495</v>
      </c>
      <c r="B2392" s="2">
        <f t="shared" si="185"/>
        <v>-843.35206382240722</v>
      </c>
      <c r="C2392" s="2">
        <f t="shared" si="186"/>
        <v>711242.70355351362</v>
      </c>
      <c r="D2392" s="2">
        <v>26949</v>
      </c>
      <c r="E2392" s="2">
        <f t="shared" si="187"/>
        <v>2.6949000000000001</v>
      </c>
      <c r="F2392" s="2">
        <f t="shared" si="188"/>
        <v>-0.68495598335067243</v>
      </c>
      <c r="G2392" s="2">
        <f t="shared" si="189"/>
        <v>0.46916469912788666</v>
      </c>
    </row>
    <row r="2393" spans="1:7" x14ac:dyDescent="0.35">
      <c r="A2393" s="2">
        <v>495</v>
      </c>
      <c r="B2393" s="2">
        <f t="shared" si="185"/>
        <v>-843.35206382240722</v>
      </c>
      <c r="C2393" s="2">
        <f t="shared" si="186"/>
        <v>711242.70355351362</v>
      </c>
      <c r="D2393" s="2">
        <v>27212</v>
      </c>
      <c r="E2393" s="2">
        <f t="shared" si="187"/>
        <v>2.7212000000000001</v>
      </c>
      <c r="F2393" s="2">
        <f t="shared" si="188"/>
        <v>-0.65865598335067244</v>
      </c>
      <c r="G2393" s="2">
        <f t="shared" si="189"/>
        <v>0.43382770440364127</v>
      </c>
    </row>
    <row r="2394" spans="1:7" x14ac:dyDescent="0.35">
      <c r="A2394" s="2">
        <v>636</v>
      </c>
      <c r="B2394" s="2">
        <f t="shared" si="185"/>
        <v>-702.35206382240722</v>
      </c>
      <c r="C2394" s="2">
        <f t="shared" si="186"/>
        <v>493298.42155559477</v>
      </c>
      <c r="D2394" s="2">
        <v>61980</v>
      </c>
      <c r="E2394" s="2">
        <f t="shared" si="187"/>
        <v>6.1980000000000004</v>
      </c>
      <c r="F2394" s="2">
        <f t="shared" si="188"/>
        <v>2.8181440166493279</v>
      </c>
      <c r="G2394" s="2">
        <f t="shared" si="189"/>
        <v>7.9419356985764074</v>
      </c>
    </row>
    <row r="2395" spans="1:7" x14ac:dyDescent="0.35">
      <c r="A2395" s="2">
        <v>636</v>
      </c>
      <c r="B2395" s="2">
        <f t="shared" si="185"/>
        <v>-702.35206382240722</v>
      </c>
      <c r="C2395" s="2">
        <f t="shared" si="186"/>
        <v>493298.42155559477</v>
      </c>
      <c r="D2395" s="2">
        <v>63245</v>
      </c>
      <c r="E2395" s="2">
        <f t="shared" si="187"/>
        <v>6.3244999999999996</v>
      </c>
      <c r="F2395" s="2">
        <f t="shared" si="188"/>
        <v>2.9446440166493271</v>
      </c>
      <c r="G2395" s="2">
        <f t="shared" si="189"/>
        <v>8.6709283847886827</v>
      </c>
    </row>
    <row r="2396" spans="1:7" x14ac:dyDescent="0.35">
      <c r="A2396" s="2">
        <v>636</v>
      </c>
      <c r="B2396" s="2">
        <f t="shared" si="185"/>
        <v>-702.35206382240722</v>
      </c>
      <c r="C2396" s="2">
        <f t="shared" si="186"/>
        <v>493298.42155559477</v>
      </c>
      <c r="D2396" s="2">
        <v>63284</v>
      </c>
      <c r="E2396" s="2">
        <f t="shared" si="187"/>
        <v>6.3284000000000002</v>
      </c>
      <c r="F2396" s="2">
        <f t="shared" si="188"/>
        <v>2.9485440166493277</v>
      </c>
      <c r="G2396" s="2">
        <f t="shared" si="189"/>
        <v>8.6939118181185506</v>
      </c>
    </row>
    <row r="2397" spans="1:7" x14ac:dyDescent="0.35">
      <c r="A2397" s="2">
        <v>636</v>
      </c>
      <c r="B2397" s="2">
        <f t="shared" si="185"/>
        <v>-702.35206382240722</v>
      </c>
      <c r="C2397" s="2">
        <f t="shared" si="186"/>
        <v>493298.42155559477</v>
      </c>
      <c r="D2397" s="2">
        <v>58410</v>
      </c>
      <c r="E2397" s="2">
        <f t="shared" si="187"/>
        <v>5.8410000000000002</v>
      </c>
      <c r="F2397" s="2">
        <f t="shared" si="188"/>
        <v>2.4611440166493277</v>
      </c>
      <c r="G2397" s="2">
        <f t="shared" si="189"/>
        <v>6.0572298706887864</v>
      </c>
    </row>
    <row r="2398" spans="1:7" x14ac:dyDescent="0.35">
      <c r="A2398" s="2">
        <v>636</v>
      </c>
      <c r="B2398" s="2">
        <f t="shared" si="185"/>
        <v>-702.35206382240722</v>
      </c>
      <c r="C2398" s="2">
        <f t="shared" si="186"/>
        <v>493298.42155559477</v>
      </c>
      <c r="D2398" s="2">
        <v>63209</v>
      </c>
      <c r="E2398" s="2">
        <f t="shared" si="187"/>
        <v>6.3209</v>
      </c>
      <c r="F2398" s="2">
        <f t="shared" si="188"/>
        <v>2.9410440166493275</v>
      </c>
      <c r="G2398" s="2">
        <f t="shared" si="189"/>
        <v>8.6497399078688098</v>
      </c>
    </row>
    <row r="2399" spans="1:7" x14ac:dyDescent="0.35">
      <c r="A2399" s="2">
        <v>636</v>
      </c>
      <c r="B2399" s="2">
        <f t="shared" si="185"/>
        <v>-702.35206382240722</v>
      </c>
      <c r="C2399" s="2">
        <f t="shared" si="186"/>
        <v>493298.42155559477</v>
      </c>
      <c r="D2399" s="2">
        <v>62082</v>
      </c>
      <c r="E2399" s="2">
        <f t="shared" si="187"/>
        <v>6.2081999999999997</v>
      </c>
      <c r="F2399" s="2">
        <f t="shared" si="188"/>
        <v>2.8283440166493272</v>
      </c>
      <c r="G2399" s="2">
        <f t="shared" si="189"/>
        <v>7.9995298765160499</v>
      </c>
    </row>
    <row r="2400" spans="1:7" x14ac:dyDescent="0.35">
      <c r="A2400" s="2">
        <v>636</v>
      </c>
      <c r="B2400" s="2">
        <f t="shared" si="185"/>
        <v>-702.35206382240722</v>
      </c>
      <c r="C2400" s="2">
        <f t="shared" si="186"/>
        <v>493298.42155559477</v>
      </c>
      <c r="D2400" s="2">
        <v>64481</v>
      </c>
      <c r="E2400" s="2">
        <f t="shared" si="187"/>
        <v>6.4481000000000002</v>
      </c>
      <c r="F2400" s="2">
        <f t="shared" si="188"/>
        <v>3.0682440166493277</v>
      </c>
      <c r="G2400" s="2">
        <f t="shared" si="189"/>
        <v>9.4141213457044</v>
      </c>
    </row>
    <row r="2401" spans="1:7" x14ac:dyDescent="0.35">
      <c r="A2401" s="2">
        <v>636</v>
      </c>
      <c r="B2401" s="2">
        <f t="shared" si="185"/>
        <v>-702.35206382240722</v>
      </c>
      <c r="C2401" s="2">
        <f t="shared" si="186"/>
        <v>493298.42155559477</v>
      </c>
      <c r="D2401" s="2">
        <v>66694</v>
      </c>
      <c r="E2401" s="2">
        <f t="shared" si="187"/>
        <v>6.6694000000000004</v>
      </c>
      <c r="F2401" s="2">
        <f t="shared" si="188"/>
        <v>3.2895440166493279</v>
      </c>
      <c r="G2401" s="2">
        <f t="shared" si="189"/>
        <v>10.821099837473394</v>
      </c>
    </row>
    <row r="2402" spans="1:7" x14ac:dyDescent="0.35">
      <c r="A2402" s="2">
        <v>636</v>
      </c>
      <c r="B2402" s="2">
        <f t="shared" si="185"/>
        <v>-702.35206382240722</v>
      </c>
      <c r="C2402" s="2">
        <f t="shared" si="186"/>
        <v>493298.42155559477</v>
      </c>
      <c r="D2402" s="2">
        <v>61109</v>
      </c>
      <c r="E2402" s="2">
        <f t="shared" si="187"/>
        <v>6.1109</v>
      </c>
      <c r="F2402" s="2">
        <f t="shared" si="188"/>
        <v>2.7310440166493275</v>
      </c>
      <c r="G2402" s="2">
        <f t="shared" si="189"/>
        <v>7.458601420876092</v>
      </c>
    </row>
    <row r="2403" spans="1:7" x14ac:dyDescent="0.35">
      <c r="A2403" s="2">
        <v>636</v>
      </c>
      <c r="B2403" s="2">
        <f t="shared" si="185"/>
        <v>-702.35206382240722</v>
      </c>
      <c r="C2403" s="2">
        <f t="shared" si="186"/>
        <v>493298.42155559477</v>
      </c>
      <c r="D2403" s="2">
        <v>60459</v>
      </c>
      <c r="E2403" s="2">
        <f t="shared" si="187"/>
        <v>6.0458999999999996</v>
      </c>
      <c r="F2403" s="2">
        <f t="shared" si="188"/>
        <v>2.6660440166493271</v>
      </c>
      <c r="G2403" s="2">
        <f t="shared" si="189"/>
        <v>7.1077906987116775</v>
      </c>
    </row>
    <row r="2404" spans="1:7" x14ac:dyDescent="0.35">
      <c r="A2404" s="2">
        <v>636</v>
      </c>
      <c r="B2404" s="2">
        <f t="shared" si="185"/>
        <v>-702.35206382240722</v>
      </c>
      <c r="C2404" s="2">
        <f t="shared" si="186"/>
        <v>493298.42155559477</v>
      </c>
      <c r="D2404" s="2">
        <v>69838</v>
      </c>
      <c r="E2404" s="2">
        <f t="shared" si="187"/>
        <v>6.9837999999999996</v>
      </c>
      <c r="F2404" s="2">
        <f t="shared" si="188"/>
        <v>3.6039440166493271</v>
      </c>
      <c r="G2404" s="2">
        <f t="shared" si="189"/>
        <v>12.988412475142486</v>
      </c>
    </row>
    <row r="2405" spans="1:7" x14ac:dyDescent="0.35">
      <c r="A2405" s="2">
        <v>636</v>
      </c>
      <c r="B2405" s="2">
        <f t="shared" si="185"/>
        <v>-702.35206382240722</v>
      </c>
      <c r="C2405" s="2">
        <f t="shared" si="186"/>
        <v>493298.42155559477</v>
      </c>
      <c r="D2405" s="2">
        <v>68295</v>
      </c>
      <c r="E2405" s="2">
        <f t="shared" si="187"/>
        <v>6.8295000000000003</v>
      </c>
      <c r="F2405" s="2">
        <f t="shared" si="188"/>
        <v>3.4496440166493278</v>
      </c>
      <c r="G2405" s="2">
        <f t="shared" si="189"/>
        <v>11.900043841604509</v>
      </c>
    </row>
    <row r="2406" spans="1:7" x14ac:dyDescent="0.35">
      <c r="A2406" s="2">
        <v>636</v>
      </c>
      <c r="B2406" s="2">
        <f t="shared" si="185"/>
        <v>-702.35206382240722</v>
      </c>
      <c r="C2406" s="2">
        <f t="shared" si="186"/>
        <v>493298.42155559477</v>
      </c>
      <c r="D2406" s="2">
        <v>70657</v>
      </c>
      <c r="E2406" s="2">
        <f t="shared" si="187"/>
        <v>7.0656999999999996</v>
      </c>
      <c r="F2406" s="2">
        <f t="shared" si="188"/>
        <v>3.6858440166493271</v>
      </c>
      <c r="G2406" s="2">
        <f t="shared" si="189"/>
        <v>13.585446115069646</v>
      </c>
    </row>
    <row r="2407" spans="1:7" x14ac:dyDescent="0.35">
      <c r="A2407" s="2">
        <v>636</v>
      </c>
      <c r="B2407" s="2">
        <f t="shared" si="185"/>
        <v>-702.35206382240722</v>
      </c>
      <c r="C2407" s="2">
        <f t="shared" si="186"/>
        <v>493298.42155559477</v>
      </c>
      <c r="D2407" s="2">
        <v>75388</v>
      </c>
      <c r="E2407" s="2">
        <f t="shared" si="187"/>
        <v>7.5388000000000002</v>
      </c>
      <c r="F2407" s="2">
        <f t="shared" si="188"/>
        <v>4.1589440166493272</v>
      </c>
      <c r="G2407" s="2">
        <f t="shared" si="189"/>
        <v>17.29681533362324</v>
      </c>
    </row>
    <row r="2408" spans="1:7" x14ac:dyDescent="0.35">
      <c r="A2408" s="2">
        <v>636</v>
      </c>
      <c r="B2408" s="2">
        <f t="shared" si="185"/>
        <v>-702.35206382240722</v>
      </c>
      <c r="C2408" s="2">
        <f t="shared" si="186"/>
        <v>493298.42155559477</v>
      </c>
      <c r="D2408" s="2">
        <v>70661</v>
      </c>
      <c r="E2408" s="2">
        <f t="shared" si="187"/>
        <v>7.0660999999999996</v>
      </c>
      <c r="F2408" s="2">
        <f t="shared" si="188"/>
        <v>3.6862440166493271</v>
      </c>
      <c r="G2408" s="2">
        <f t="shared" si="189"/>
        <v>13.588394950282964</v>
      </c>
    </row>
    <row r="2409" spans="1:7" x14ac:dyDescent="0.35">
      <c r="A2409" s="2">
        <v>636</v>
      </c>
      <c r="B2409" s="2">
        <f t="shared" si="185"/>
        <v>-702.35206382240722</v>
      </c>
      <c r="C2409" s="2">
        <f t="shared" si="186"/>
        <v>493298.42155559477</v>
      </c>
      <c r="D2409" s="2">
        <v>75795</v>
      </c>
      <c r="E2409" s="2">
        <f t="shared" si="187"/>
        <v>7.5795000000000003</v>
      </c>
      <c r="F2409" s="2">
        <f t="shared" si="188"/>
        <v>4.1996440166493283</v>
      </c>
      <c r="G2409" s="2">
        <f t="shared" si="189"/>
        <v>17.637009866578502</v>
      </c>
    </row>
    <row r="2410" spans="1:7" x14ac:dyDescent="0.35">
      <c r="A2410" s="2">
        <v>636</v>
      </c>
      <c r="B2410" s="2">
        <f t="shared" si="185"/>
        <v>-702.35206382240722</v>
      </c>
      <c r="C2410" s="2">
        <f t="shared" si="186"/>
        <v>493298.42155559477</v>
      </c>
      <c r="D2410" s="2">
        <v>72172</v>
      </c>
      <c r="E2410" s="2">
        <f t="shared" si="187"/>
        <v>7.2172000000000001</v>
      </c>
      <c r="F2410" s="2">
        <f t="shared" si="188"/>
        <v>3.8373440166493276</v>
      </c>
      <c r="G2410" s="2">
        <f t="shared" si="189"/>
        <v>14.725209102114395</v>
      </c>
    </row>
    <row r="2411" spans="1:7" x14ac:dyDescent="0.35">
      <c r="A2411" s="2">
        <v>636</v>
      </c>
      <c r="B2411" s="2">
        <f t="shared" si="185"/>
        <v>-702.35206382240722</v>
      </c>
      <c r="C2411" s="2">
        <f t="shared" si="186"/>
        <v>493298.42155559477</v>
      </c>
      <c r="D2411" s="2">
        <v>72015</v>
      </c>
      <c r="E2411" s="2">
        <f t="shared" si="187"/>
        <v>7.2015000000000002</v>
      </c>
      <c r="F2411" s="2">
        <f t="shared" si="188"/>
        <v>3.8216440166493277</v>
      </c>
      <c r="G2411" s="2">
        <f t="shared" si="189"/>
        <v>14.604962989991607</v>
      </c>
    </row>
    <row r="2412" spans="1:7" x14ac:dyDescent="0.35">
      <c r="A2412" s="2">
        <v>636</v>
      </c>
      <c r="B2412" s="2">
        <f t="shared" si="185"/>
        <v>-702.35206382240722</v>
      </c>
      <c r="C2412" s="2">
        <f t="shared" si="186"/>
        <v>493298.42155559477</v>
      </c>
      <c r="D2412" s="2">
        <v>69166</v>
      </c>
      <c r="E2412" s="2">
        <f t="shared" si="187"/>
        <v>6.9165999999999999</v>
      </c>
      <c r="F2412" s="2">
        <f t="shared" si="188"/>
        <v>3.5367440166493274</v>
      </c>
      <c r="G2412" s="2">
        <f t="shared" si="189"/>
        <v>12.508558239304817</v>
      </c>
    </row>
    <row r="2413" spans="1:7" x14ac:dyDescent="0.35">
      <c r="A2413" s="2">
        <v>636</v>
      </c>
      <c r="B2413" s="2">
        <f t="shared" si="185"/>
        <v>-702.35206382240722</v>
      </c>
      <c r="C2413" s="2">
        <f t="shared" si="186"/>
        <v>493298.42155559477</v>
      </c>
      <c r="D2413" s="2">
        <v>67992</v>
      </c>
      <c r="E2413" s="2">
        <f t="shared" si="187"/>
        <v>6.7991999999999999</v>
      </c>
      <c r="F2413" s="2">
        <f t="shared" si="188"/>
        <v>3.4193440166493274</v>
      </c>
      <c r="G2413" s="2">
        <f t="shared" si="189"/>
        <v>11.691913504195556</v>
      </c>
    </row>
    <row r="2414" spans="1:7" x14ac:dyDescent="0.35">
      <c r="A2414" s="2">
        <v>636</v>
      </c>
      <c r="B2414" s="2">
        <f t="shared" si="185"/>
        <v>-702.35206382240722</v>
      </c>
      <c r="C2414" s="2">
        <f t="shared" si="186"/>
        <v>493298.42155559477</v>
      </c>
      <c r="D2414" s="2">
        <v>71228</v>
      </c>
      <c r="E2414" s="2">
        <f t="shared" si="187"/>
        <v>7.1227999999999998</v>
      </c>
      <c r="F2414" s="2">
        <f t="shared" si="188"/>
        <v>3.7429440166493273</v>
      </c>
      <c r="G2414" s="2">
        <f t="shared" si="189"/>
        <v>14.009629911771</v>
      </c>
    </row>
    <row r="2415" spans="1:7" x14ac:dyDescent="0.35">
      <c r="A2415" s="2">
        <v>636</v>
      </c>
      <c r="B2415" s="2">
        <f t="shared" si="185"/>
        <v>-702.35206382240722</v>
      </c>
      <c r="C2415" s="2">
        <f t="shared" si="186"/>
        <v>493298.42155559477</v>
      </c>
      <c r="D2415" s="2">
        <v>69220</v>
      </c>
      <c r="E2415" s="2">
        <f t="shared" si="187"/>
        <v>6.9219999999999997</v>
      </c>
      <c r="F2415" s="2">
        <f t="shared" si="188"/>
        <v>3.5421440166493272</v>
      </c>
      <c r="G2415" s="2">
        <f t="shared" si="189"/>
        <v>12.54678423468463</v>
      </c>
    </row>
    <row r="2416" spans="1:7" x14ac:dyDescent="0.35">
      <c r="A2416" s="2">
        <v>636</v>
      </c>
      <c r="B2416" s="2">
        <f t="shared" si="185"/>
        <v>-702.35206382240722</v>
      </c>
      <c r="C2416" s="2">
        <f t="shared" si="186"/>
        <v>493298.42155559477</v>
      </c>
      <c r="D2416" s="2">
        <v>76593</v>
      </c>
      <c r="E2416" s="2">
        <f t="shared" si="187"/>
        <v>7.6593</v>
      </c>
      <c r="F2416" s="2">
        <f t="shared" si="188"/>
        <v>4.2794440166493271</v>
      </c>
      <c r="G2416" s="2">
        <f t="shared" si="189"/>
        <v>18.313641091635727</v>
      </c>
    </row>
    <row r="2417" spans="1:7" x14ac:dyDescent="0.35">
      <c r="A2417" s="2">
        <v>636</v>
      </c>
      <c r="B2417" s="2">
        <f t="shared" si="185"/>
        <v>-702.35206382240722</v>
      </c>
      <c r="C2417" s="2">
        <f t="shared" si="186"/>
        <v>493298.42155559477</v>
      </c>
      <c r="D2417" s="2">
        <v>75936</v>
      </c>
      <c r="E2417" s="2">
        <f t="shared" si="187"/>
        <v>7.5936000000000003</v>
      </c>
      <c r="F2417" s="2">
        <f t="shared" si="188"/>
        <v>4.2137440166493274</v>
      </c>
      <c r="G2417" s="2">
        <f t="shared" si="189"/>
        <v>17.755638637848008</v>
      </c>
    </row>
    <row r="2418" spans="1:7" x14ac:dyDescent="0.35">
      <c r="A2418" s="2">
        <v>636</v>
      </c>
      <c r="B2418" s="2">
        <f t="shared" si="185"/>
        <v>-702.35206382240722</v>
      </c>
      <c r="C2418" s="2">
        <f t="shared" si="186"/>
        <v>493298.42155559477</v>
      </c>
      <c r="D2418" s="2">
        <v>75800</v>
      </c>
      <c r="E2418" s="2">
        <f t="shared" si="187"/>
        <v>7.58</v>
      </c>
      <c r="F2418" s="2">
        <f t="shared" si="188"/>
        <v>4.2001440166493271</v>
      </c>
      <c r="G2418" s="2">
        <f t="shared" si="189"/>
        <v>17.641209760595142</v>
      </c>
    </row>
    <row r="2419" spans="1:7" x14ac:dyDescent="0.35">
      <c r="A2419" s="2">
        <v>636</v>
      </c>
      <c r="B2419" s="2">
        <f t="shared" si="185"/>
        <v>-702.35206382240722</v>
      </c>
      <c r="C2419" s="2">
        <f t="shared" si="186"/>
        <v>493298.42155559477</v>
      </c>
      <c r="D2419" s="2">
        <v>79739</v>
      </c>
      <c r="E2419" s="2">
        <f t="shared" si="187"/>
        <v>7.9739000000000004</v>
      </c>
      <c r="F2419" s="2">
        <f t="shared" si="188"/>
        <v>4.5940440166493275</v>
      </c>
      <c r="G2419" s="2">
        <f t="shared" si="189"/>
        <v>21.105240426911486</v>
      </c>
    </row>
    <row r="2420" spans="1:7" x14ac:dyDescent="0.35">
      <c r="A2420" s="2">
        <v>636</v>
      </c>
      <c r="B2420" s="2">
        <f t="shared" si="185"/>
        <v>-702.35206382240722</v>
      </c>
      <c r="C2420" s="2">
        <f t="shared" si="186"/>
        <v>493298.42155559477</v>
      </c>
      <c r="D2420" s="2">
        <v>77902</v>
      </c>
      <c r="E2420" s="2">
        <f t="shared" si="187"/>
        <v>7.7901999999999996</v>
      </c>
      <c r="F2420" s="2">
        <f t="shared" si="188"/>
        <v>4.4103440166493275</v>
      </c>
      <c r="G2420" s="2">
        <f t="shared" si="189"/>
        <v>19.451134345194525</v>
      </c>
    </row>
    <row r="2421" spans="1:7" x14ac:dyDescent="0.35">
      <c r="A2421" s="2">
        <v>636</v>
      </c>
      <c r="B2421" s="2">
        <f t="shared" si="185"/>
        <v>-702.35206382240722</v>
      </c>
      <c r="C2421" s="2">
        <f t="shared" si="186"/>
        <v>493298.42155559477</v>
      </c>
      <c r="D2421" s="2">
        <v>77985</v>
      </c>
      <c r="E2421" s="2">
        <f t="shared" si="187"/>
        <v>7.7984999999999998</v>
      </c>
      <c r="F2421" s="2">
        <f t="shared" si="188"/>
        <v>4.4186440166493277</v>
      </c>
      <c r="G2421" s="2">
        <f t="shared" si="189"/>
        <v>19.524414945870905</v>
      </c>
    </row>
    <row r="2422" spans="1:7" x14ac:dyDescent="0.35">
      <c r="A2422" s="2">
        <v>636</v>
      </c>
      <c r="B2422" s="2">
        <f t="shared" si="185"/>
        <v>-702.35206382240722</v>
      </c>
      <c r="C2422" s="2">
        <f t="shared" si="186"/>
        <v>493298.42155559477</v>
      </c>
      <c r="D2422" s="2">
        <v>77503</v>
      </c>
      <c r="E2422" s="2">
        <f t="shared" si="187"/>
        <v>7.7503000000000002</v>
      </c>
      <c r="F2422" s="2">
        <f t="shared" si="188"/>
        <v>4.3704440166493281</v>
      </c>
      <c r="G2422" s="2">
        <f t="shared" si="189"/>
        <v>19.100780902665914</v>
      </c>
    </row>
    <row r="2423" spans="1:7" x14ac:dyDescent="0.35">
      <c r="A2423" s="2">
        <v>636</v>
      </c>
      <c r="B2423" s="2">
        <f t="shared" si="185"/>
        <v>-702.35206382240722</v>
      </c>
      <c r="C2423" s="2">
        <f t="shared" si="186"/>
        <v>493298.42155559477</v>
      </c>
      <c r="D2423" s="2">
        <v>78277</v>
      </c>
      <c r="E2423" s="2">
        <f t="shared" si="187"/>
        <v>7.8277000000000001</v>
      </c>
      <c r="F2423" s="2">
        <f t="shared" si="188"/>
        <v>4.4478440166493272</v>
      </c>
      <c r="G2423" s="2">
        <f t="shared" si="189"/>
        <v>19.783316396443219</v>
      </c>
    </row>
    <row r="2424" spans="1:7" x14ac:dyDescent="0.35">
      <c r="A2424" s="2">
        <v>1712</v>
      </c>
      <c r="B2424" s="2">
        <f t="shared" si="185"/>
        <v>373.64793617759278</v>
      </c>
      <c r="C2424" s="2">
        <f t="shared" si="186"/>
        <v>139612.78020977444</v>
      </c>
      <c r="D2424" s="2">
        <v>30777</v>
      </c>
      <c r="E2424" s="2">
        <f t="shared" si="187"/>
        <v>3.0777000000000001</v>
      </c>
      <c r="F2424" s="2">
        <f t="shared" si="188"/>
        <v>-0.3021559833506724</v>
      </c>
      <c r="G2424" s="2">
        <f t="shared" si="189"/>
        <v>9.1298238274611809E-2</v>
      </c>
    </row>
    <row r="2425" spans="1:7" x14ac:dyDescent="0.35">
      <c r="A2425" s="2">
        <v>1712</v>
      </c>
      <c r="B2425" s="2">
        <f t="shared" si="185"/>
        <v>373.64793617759278</v>
      </c>
      <c r="C2425" s="2">
        <f t="shared" si="186"/>
        <v>139612.78020977444</v>
      </c>
      <c r="D2425" s="2">
        <v>30944</v>
      </c>
      <c r="E2425" s="2">
        <f t="shared" si="187"/>
        <v>3.0943999999999998</v>
      </c>
      <c r="F2425" s="2">
        <f t="shared" si="188"/>
        <v>-0.28545598335067268</v>
      </c>
      <c r="G2425" s="2">
        <f t="shared" si="189"/>
        <v>8.1485118430699513E-2</v>
      </c>
    </row>
    <row r="2426" spans="1:7" x14ac:dyDescent="0.35">
      <c r="A2426" s="2">
        <v>1712</v>
      </c>
      <c r="B2426" s="2">
        <f t="shared" si="185"/>
        <v>373.64793617759278</v>
      </c>
      <c r="C2426" s="2">
        <f t="shared" si="186"/>
        <v>139612.78020977444</v>
      </c>
      <c r="D2426" s="2">
        <v>31318</v>
      </c>
      <c r="E2426" s="2">
        <f t="shared" si="187"/>
        <v>3.1318000000000001</v>
      </c>
      <c r="F2426" s="2">
        <f t="shared" si="188"/>
        <v>-0.24805598335067236</v>
      </c>
      <c r="G2426" s="2">
        <f t="shared" si="189"/>
        <v>6.1531770876069043E-2</v>
      </c>
    </row>
    <row r="2427" spans="1:7" x14ac:dyDescent="0.35">
      <c r="A2427" s="2">
        <v>1712</v>
      </c>
      <c r="B2427" s="2">
        <f t="shared" si="185"/>
        <v>373.64793617759278</v>
      </c>
      <c r="C2427" s="2">
        <f t="shared" si="186"/>
        <v>139612.78020977444</v>
      </c>
      <c r="D2427" s="2">
        <v>29916</v>
      </c>
      <c r="E2427" s="2">
        <f t="shared" si="187"/>
        <v>2.9916</v>
      </c>
      <c r="F2427" s="2">
        <f t="shared" si="188"/>
        <v>-0.38825598335067246</v>
      </c>
      <c r="G2427" s="2">
        <f t="shared" si="189"/>
        <v>0.15074270860759764</v>
      </c>
    </row>
    <row r="2428" spans="1:7" x14ac:dyDescent="0.35">
      <c r="A2428" s="2">
        <v>1712</v>
      </c>
      <c r="B2428" s="2">
        <f t="shared" si="185"/>
        <v>373.64793617759278</v>
      </c>
      <c r="C2428" s="2">
        <f t="shared" si="186"/>
        <v>139612.78020977444</v>
      </c>
      <c r="D2428" s="2">
        <v>30643</v>
      </c>
      <c r="E2428" s="2">
        <f t="shared" si="187"/>
        <v>3.0642999999999998</v>
      </c>
      <c r="F2428" s="2">
        <f t="shared" si="188"/>
        <v>-0.3155559833506727</v>
      </c>
      <c r="G2428" s="2">
        <f t="shared" si="189"/>
        <v>9.957557862841003E-2</v>
      </c>
    </row>
    <row r="2429" spans="1:7" x14ac:dyDescent="0.35">
      <c r="A2429" s="2">
        <v>1712</v>
      </c>
      <c r="B2429" s="2">
        <f t="shared" si="185"/>
        <v>373.64793617759278</v>
      </c>
      <c r="C2429" s="2">
        <f t="shared" si="186"/>
        <v>139612.78020977444</v>
      </c>
      <c r="D2429" s="2">
        <v>30215</v>
      </c>
      <c r="E2429" s="2">
        <f t="shared" si="187"/>
        <v>3.0215000000000001</v>
      </c>
      <c r="F2429" s="2">
        <f t="shared" si="188"/>
        <v>-0.35835598335067242</v>
      </c>
      <c r="G2429" s="2">
        <f t="shared" si="189"/>
        <v>0.1284190108032274</v>
      </c>
    </row>
    <row r="2430" spans="1:7" x14ac:dyDescent="0.35">
      <c r="A2430" s="2">
        <v>1712</v>
      </c>
      <c r="B2430" s="2">
        <f t="shared" si="185"/>
        <v>373.64793617759278</v>
      </c>
      <c r="C2430" s="2">
        <f t="shared" si="186"/>
        <v>139612.78020977444</v>
      </c>
      <c r="D2430" s="2">
        <v>30544</v>
      </c>
      <c r="E2430" s="2">
        <f t="shared" si="187"/>
        <v>3.0543999999999998</v>
      </c>
      <c r="F2430" s="2">
        <f t="shared" si="188"/>
        <v>-0.32545598335067272</v>
      </c>
      <c r="G2430" s="2">
        <f t="shared" si="189"/>
        <v>0.10592159709875336</v>
      </c>
    </row>
    <row r="2431" spans="1:7" x14ac:dyDescent="0.35">
      <c r="A2431" s="2">
        <v>1712</v>
      </c>
      <c r="B2431" s="2">
        <f t="shared" si="185"/>
        <v>373.64793617759278</v>
      </c>
      <c r="C2431" s="2">
        <f t="shared" si="186"/>
        <v>139612.78020977444</v>
      </c>
      <c r="D2431" s="2">
        <v>31350</v>
      </c>
      <c r="E2431" s="2">
        <f t="shared" si="187"/>
        <v>3.1349999999999998</v>
      </c>
      <c r="F2431" s="2">
        <f t="shared" si="188"/>
        <v>-0.24485598335067271</v>
      </c>
      <c r="G2431" s="2">
        <f t="shared" si="189"/>
        <v>5.9954452582624912E-2</v>
      </c>
    </row>
    <row r="2432" spans="1:7" x14ac:dyDescent="0.35">
      <c r="A2432" s="2">
        <v>1712</v>
      </c>
      <c r="B2432" s="2">
        <f t="shared" si="185"/>
        <v>373.64793617759278</v>
      </c>
      <c r="C2432" s="2">
        <f t="shared" si="186"/>
        <v>139612.78020977444</v>
      </c>
      <c r="D2432" s="2">
        <v>29933</v>
      </c>
      <c r="E2432" s="2">
        <f t="shared" si="187"/>
        <v>2.9933000000000001</v>
      </c>
      <c r="F2432" s="2">
        <f t="shared" si="188"/>
        <v>-0.38655598335067243</v>
      </c>
      <c r="G2432" s="2">
        <f t="shared" si="189"/>
        <v>0.14942552826420533</v>
      </c>
    </row>
    <row r="2433" spans="1:7" x14ac:dyDescent="0.35">
      <c r="A2433" s="2">
        <v>1712</v>
      </c>
      <c r="B2433" s="2">
        <f t="shared" si="185"/>
        <v>373.64793617759278</v>
      </c>
      <c r="C2433" s="2">
        <f t="shared" si="186"/>
        <v>139612.78020977444</v>
      </c>
      <c r="D2433" s="2">
        <v>31586</v>
      </c>
      <c r="E2433" s="2">
        <f t="shared" si="187"/>
        <v>3.1585999999999999</v>
      </c>
      <c r="F2433" s="2">
        <f t="shared" si="188"/>
        <v>-0.22125598335067265</v>
      </c>
      <c r="G2433" s="2">
        <f t="shared" si="189"/>
        <v>4.8954210168473129E-2</v>
      </c>
    </row>
    <row r="2434" spans="1:7" x14ac:dyDescent="0.35">
      <c r="A2434" s="2">
        <v>1712</v>
      </c>
      <c r="B2434" s="2">
        <f t="shared" si="185"/>
        <v>373.64793617759278</v>
      </c>
      <c r="C2434" s="2">
        <f t="shared" si="186"/>
        <v>139612.78020977444</v>
      </c>
      <c r="D2434" s="2">
        <v>31231</v>
      </c>
      <c r="E2434" s="2">
        <f t="shared" si="187"/>
        <v>3.1231</v>
      </c>
      <c r="F2434" s="2">
        <f t="shared" si="188"/>
        <v>-0.25675598335067251</v>
      </c>
      <c r="G2434" s="2">
        <f t="shared" si="189"/>
        <v>6.5923634986370827E-2</v>
      </c>
    </row>
    <row r="2435" spans="1:7" x14ac:dyDescent="0.35">
      <c r="A2435" s="2">
        <v>1712</v>
      </c>
      <c r="B2435" s="2">
        <f t="shared" ref="B2435:B2498" si="190">A2435-$J$1</f>
        <v>373.64793617759278</v>
      </c>
      <c r="C2435" s="2">
        <f t="shared" ref="C2435:C2498" si="191">B2435^2</f>
        <v>139612.78020977444</v>
      </c>
      <c r="D2435" s="2">
        <v>32451</v>
      </c>
      <c r="E2435" s="2">
        <f t="shared" ref="E2435:E2498" si="192">D2435/10000</f>
        <v>3.2450999999999999</v>
      </c>
      <c r="F2435" s="2">
        <f t="shared" ref="F2435:F2498" si="193">E2435-$J$2</f>
        <v>-0.13475598335067263</v>
      </c>
      <c r="G2435" s="2">
        <f t="shared" ref="G2435:G2498" si="194">F2435^2</f>
        <v>1.8159175048806757E-2</v>
      </c>
    </row>
    <row r="2436" spans="1:7" x14ac:dyDescent="0.35">
      <c r="A2436" s="2">
        <v>1712</v>
      </c>
      <c r="B2436" s="2">
        <f t="shared" si="190"/>
        <v>373.64793617759278</v>
      </c>
      <c r="C2436" s="2">
        <f t="shared" si="191"/>
        <v>139612.78020977444</v>
      </c>
      <c r="D2436" s="2">
        <v>35102</v>
      </c>
      <c r="E2436" s="2">
        <f t="shared" si="192"/>
        <v>3.5102000000000002</v>
      </c>
      <c r="F2436" s="2">
        <f t="shared" si="193"/>
        <v>0.13034401664932771</v>
      </c>
      <c r="G2436" s="2">
        <f t="shared" si="194"/>
        <v>1.6989562676280219E-2</v>
      </c>
    </row>
    <row r="2437" spans="1:7" x14ac:dyDescent="0.35">
      <c r="A2437" s="2">
        <v>1712</v>
      </c>
      <c r="B2437" s="2">
        <f t="shared" si="190"/>
        <v>373.64793617759278</v>
      </c>
      <c r="C2437" s="2">
        <f t="shared" si="191"/>
        <v>139612.78020977444</v>
      </c>
      <c r="D2437" s="2">
        <v>32810</v>
      </c>
      <c r="E2437" s="2">
        <f t="shared" si="192"/>
        <v>3.2810000000000001</v>
      </c>
      <c r="F2437" s="2">
        <f t="shared" si="193"/>
        <v>-9.8855983350672361E-2</v>
      </c>
      <c r="G2437" s="2">
        <f t="shared" si="194"/>
        <v>9.7725054442284118E-3</v>
      </c>
    </row>
    <row r="2438" spans="1:7" x14ac:dyDescent="0.35">
      <c r="A2438" s="2">
        <v>1712</v>
      </c>
      <c r="B2438" s="2">
        <f t="shared" si="190"/>
        <v>373.64793617759278</v>
      </c>
      <c r="C2438" s="2">
        <f t="shared" si="191"/>
        <v>139612.78020977444</v>
      </c>
      <c r="D2438" s="2">
        <v>34374</v>
      </c>
      <c r="E2438" s="2">
        <f t="shared" si="192"/>
        <v>3.4373999999999998</v>
      </c>
      <c r="F2438" s="2">
        <f t="shared" si="193"/>
        <v>5.754401664932729E-2</v>
      </c>
      <c r="G2438" s="2">
        <f t="shared" si="194"/>
        <v>3.3113138521380565E-3</v>
      </c>
    </row>
    <row r="2439" spans="1:7" x14ac:dyDescent="0.35">
      <c r="A2439" s="2">
        <v>1712</v>
      </c>
      <c r="B2439" s="2">
        <f t="shared" si="190"/>
        <v>373.64793617759278</v>
      </c>
      <c r="C2439" s="2">
        <f t="shared" si="191"/>
        <v>139612.78020977444</v>
      </c>
      <c r="D2439" s="2">
        <v>35228</v>
      </c>
      <c r="E2439" s="2">
        <f t="shared" si="192"/>
        <v>3.5228000000000002</v>
      </c>
      <c r="F2439" s="2">
        <f t="shared" si="193"/>
        <v>0.14294401664932765</v>
      </c>
      <c r="G2439" s="2">
        <f t="shared" si="194"/>
        <v>2.0432991895843262E-2</v>
      </c>
    </row>
    <row r="2440" spans="1:7" x14ac:dyDescent="0.35">
      <c r="A2440" s="2">
        <v>1712</v>
      </c>
      <c r="B2440" s="2">
        <f t="shared" si="190"/>
        <v>373.64793617759278</v>
      </c>
      <c r="C2440" s="2">
        <f t="shared" si="191"/>
        <v>139612.78020977444</v>
      </c>
      <c r="D2440" s="2">
        <v>34889</v>
      </c>
      <c r="E2440" s="2">
        <f t="shared" si="192"/>
        <v>3.4889000000000001</v>
      </c>
      <c r="F2440" s="2">
        <f t="shared" si="193"/>
        <v>0.10904401664932761</v>
      </c>
      <c r="G2440" s="2">
        <f t="shared" si="194"/>
        <v>1.1890597567018837E-2</v>
      </c>
    </row>
    <row r="2441" spans="1:7" x14ac:dyDescent="0.35">
      <c r="A2441" s="2">
        <v>1712</v>
      </c>
      <c r="B2441" s="2">
        <f t="shared" si="190"/>
        <v>373.64793617759278</v>
      </c>
      <c r="C2441" s="2">
        <f t="shared" si="191"/>
        <v>139612.78020977444</v>
      </c>
      <c r="D2441" s="2">
        <v>36516</v>
      </c>
      <c r="E2441" s="2">
        <f t="shared" si="192"/>
        <v>3.6516000000000002</v>
      </c>
      <c r="F2441" s="2">
        <f t="shared" si="193"/>
        <v>0.27174401664932768</v>
      </c>
      <c r="G2441" s="2">
        <f t="shared" si="194"/>
        <v>7.3844810584710083E-2</v>
      </c>
    </row>
    <row r="2442" spans="1:7" x14ac:dyDescent="0.35">
      <c r="A2442" s="2">
        <v>1712</v>
      </c>
      <c r="B2442" s="2">
        <f t="shared" si="190"/>
        <v>373.64793617759278</v>
      </c>
      <c r="C2442" s="2">
        <f t="shared" si="191"/>
        <v>139612.78020977444</v>
      </c>
      <c r="D2442" s="2">
        <v>35465</v>
      </c>
      <c r="E2442" s="2">
        <f t="shared" si="192"/>
        <v>3.5465</v>
      </c>
      <c r="F2442" s="2">
        <f t="shared" si="193"/>
        <v>0.16664401664932749</v>
      </c>
      <c r="G2442" s="2">
        <f t="shared" si="194"/>
        <v>2.7770228285021337E-2</v>
      </c>
    </row>
    <row r="2443" spans="1:7" x14ac:dyDescent="0.35">
      <c r="A2443" s="2">
        <v>1712</v>
      </c>
      <c r="B2443" s="2">
        <f t="shared" si="190"/>
        <v>373.64793617759278</v>
      </c>
      <c r="C2443" s="2">
        <f t="shared" si="191"/>
        <v>139612.78020977444</v>
      </c>
      <c r="D2443" s="2">
        <v>36705</v>
      </c>
      <c r="E2443" s="2">
        <f t="shared" si="192"/>
        <v>3.6705000000000001</v>
      </c>
      <c r="F2443" s="2">
        <f t="shared" si="193"/>
        <v>0.2906440166493276</v>
      </c>
      <c r="G2443" s="2">
        <f t="shared" si="194"/>
        <v>8.4473944414054619E-2</v>
      </c>
    </row>
    <row r="2444" spans="1:7" x14ac:dyDescent="0.35">
      <c r="A2444" s="2">
        <v>1712</v>
      </c>
      <c r="B2444" s="2">
        <f t="shared" si="190"/>
        <v>373.64793617759278</v>
      </c>
      <c r="C2444" s="2">
        <f t="shared" si="191"/>
        <v>139612.78020977444</v>
      </c>
      <c r="D2444" s="2">
        <v>38337</v>
      </c>
      <c r="E2444" s="2">
        <f t="shared" si="192"/>
        <v>3.8336999999999999</v>
      </c>
      <c r="F2444" s="2">
        <f t="shared" si="193"/>
        <v>0.45384401664932739</v>
      </c>
      <c r="G2444" s="2">
        <f t="shared" si="194"/>
        <v>0.20597439144839497</v>
      </c>
    </row>
    <row r="2445" spans="1:7" x14ac:dyDescent="0.35">
      <c r="A2445" s="2">
        <v>1712</v>
      </c>
      <c r="B2445" s="2">
        <f t="shared" si="190"/>
        <v>373.64793617759278</v>
      </c>
      <c r="C2445" s="2">
        <f t="shared" si="191"/>
        <v>139612.78020977444</v>
      </c>
      <c r="D2445" s="2">
        <v>36800</v>
      </c>
      <c r="E2445" s="2">
        <f t="shared" si="192"/>
        <v>3.68</v>
      </c>
      <c r="F2445" s="2">
        <f t="shared" si="193"/>
        <v>0.30014401664932766</v>
      </c>
      <c r="G2445" s="2">
        <f t="shared" si="194"/>
        <v>9.0086430730391881E-2</v>
      </c>
    </row>
    <row r="2446" spans="1:7" x14ac:dyDescent="0.35">
      <c r="A2446" s="2">
        <v>1712</v>
      </c>
      <c r="B2446" s="2">
        <f t="shared" si="190"/>
        <v>373.64793617759278</v>
      </c>
      <c r="C2446" s="2">
        <f t="shared" si="191"/>
        <v>139612.78020977444</v>
      </c>
      <c r="D2446" s="2">
        <v>38748</v>
      </c>
      <c r="E2446" s="2">
        <f t="shared" si="192"/>
        <v>3.8748</v>
      </c>
      <c r="F2446" s="2">
        <f t="shared" si="193"/>
        <v>0.49494401664932752</v>
      </c>
      <c r="G2446" s="2">
        <f t="shared" si="194"/>
        <v>0.2449695796169698</v>
      </c>
    </row>
    <row r="2447" spans="1:7" x14ac:dyDescent="0.35">
      <c r="A2447" s="2">
        <v>1712</v>
      </c>
      <c r="B2447" s="2">
        <f t="shared" si="190"/>
        <v>373.64793617759278</v>
      </c>
      <c r="C2447" s="2">
        <f t="shared" si="191"/>
        <v>139612.78020977444</v>
      </c>
      <c r="D2447" s="2">
        <v>40558</v>
      </c>
      <c r="E2447" s="2">
        <f t="shared" si="192"/>
        <v>4.0557999999999996</v>
      </c>
      <c r="F2447" s="2">
        <f t="shared" si="193"/>
        <v>0.67594401664932713</v>
      </c>
      <c r="G2447" s="2">
        <f t="shared" si="194"/>
        <v>0.45690031364402584</v>
      </c>
    </row>
    <row r="2448" spans="1:7" x14ac:dyDescent="0.35">
      <c r="A2448" s="2">
        <v>1712</v>
      </c>
      <c r="B2448" s="2">
        <f t="shared" si="190"/>
        <v>373.64793617759278</v>
      </c>
      <c r="C2448" s="2">
        <f t="shared" si="191"/>
        <v>139612.78020977444</v>
      </c>
      <c r="D2448" s="2">
        <v>35699</v>
      </c>
      <c r="E2448" s="2">
        <f t="shared" si="192"/>
        <v>3.5699000000000001</v>
      </c>
      <c r="F2448" s="2">
        <f t="shared" si="193"/>
        <v>0.19004401664932757</v>
      </c>
      <c r="G2448" s="2">
        <f t="shared" si="194"/>
        <v>3.6116728264209898E-2</v>
      </c>
    </row>
    <row r="2449" spans="1:7" x14ac:dyDescent="0.35">
      <c r="A2449" s="2">
        <v>1712</v>
      </c>
      <c r="B2449" s="2">
        <f t="shared" si="190"/>
        <v>373.64793617759278</v>
      </c>
      <c r="C2449" s="2">
        <f t="shared" si="191"/>
        <v>139612.78020977444</v>
      </c>
      <c r="D2449" s="2">
        <v>36057</v>
      </c>
      <c r="E2449" s="2">
        <f t="shared" si="192"/>
        <v>3.6057000000000001</v>
      </c>
      <c r="F2449" s="2">
        <f t="shared" si="193"/>
        <v>0.22584401664932763</v>
      </c>
      <c r="G2449" s="2">
        <f t="shared" si="194"/>
        <v>5.1005519856301772E-2</v>
      </c>
    </row>
    <row r="2450" spans="1:7" x14ac:dyDescent="0.35">
      <c r="A2450" s="2">
        <v>1712</v>
      </c>
      <c r="B2450" s="2">
        <f t="shared" si="190"/>
        <v>373.64793617759278</v>
      </c>
      <c r="C2450" s="2">
        <f t="shared" si="191"/>
        <v>139612.78020977444</v>
      </c>
      <c r="D2450" s="2">
        <v>38897</v>
      </c>
      <c r="E2450" s="2">
        <f t="shared" si="192"/>
        <v>3.8896999999999999</v>
      </c>
      <c r="F2450" s="2">
        <f t="shared" si="193"/>
        <v>0.50984401664932744</v>
      </c>
      <c r="G2450" s="2">
        <f t="shared" si="194"/>
        <v>0.25994092131311969</v>
      </c>
    </row>
    <row r="2451" spans="1:7" x14ac:dyDescent="0.35">
      <c r="A2451" s="2">
        <v>1712</v>
      </c>
      <c r="B2451" s="2">
        <f t="shared" si="190"/>
        <v>373.64793617759278</v>
      </c>
      <c r="C2451" s="2">
        <f t="shared" si="191"/>
        <v>139612.78020977444</v>
      </c>
      <c r="D2451" s="2">
        <v>38377</v>
      </c>
      <c r="E2451" s="2">
        <f t="shared" si="192"/>
        <v>3.8376999999999999</v>
      </c>
      <c r="F2451" s="2">
        <f t="shared" si="193"/>
        <v>0.45784401664932739</v>
      </c>
      <c r="G2451" s="2">
        <f t="shared" si="194"/>
        <v>0.20962114358158956</v>
      </c>
    </row>
    <row r="2452" spans="1:7" x14ac:dyDescent="0.35">
      <c r="A2452" s="2">
        <v>1712</v>
      </c>
      <c r="B2452" s="2">
        <f t="shared" si="190"/>
        <v>373.64793617759278</v>
      </c>
      <c r="C2452" s="2">
        <f t="shared" si="191"/>
        <v>139612.78020977444</v>
      </c>
      <c r="D2452" s="2">
        <v>38726</v>
      </c>
      <c r="E2452" s="2">
        <f t="shared" si="192"/>
        <v>3.8725999999999998</v>
      </c>
      <c r="F2452" s="2">
        <f t="shared" si="193"/>
        <v>0.49274401664932732</v>
      </c>
      <c r="G2452" s="2">
        <f t="shared" si="194"/>
        <v>0.24279666594371255</v>
      </c>
    </row>
    <row r="2453" spans="1:7" x14ac:dyDescent="0.35">
      <c r="A2453" s="2">
        <v>1712</v>
      </c>
      <c r="B2453" s="2">
        <f t="shared" si="190"/>
        <v>373.64793617759278</v>
      </c>
      <c r="C2453" s="2">
        <f t="shared" si="191"/>
        <v>139612.78020977444</v>
      </c>
      <c r="D2453" s="2">
        <v>39160</v>
      </c>
      <c r="E2453" s="2">
        <f t="shared" si="192"/>
        <v>3.9159999999999999</v>
      </c>
      <c r="F2453" s="2">
        <f t="shared" si="193"/>
        <v>0.53614401664932743</v>
      </c>
      <c r="G2453" s="2">
        <f t="shared" si="194"/>
        <v>0.28745040658887427</v>
      </c>
    </row>
    <row r="2454" spans="1:7" x14ac:dyDescent="0.35">
      <c r="A2454" s="2">
        <v>1712</v>
      </c>
      <c r="B2454" s="2">
        <f t="shared" si="190"/>
        <v>373.64793617759278</v>
      </c>
      <c r="C2454" s="2">
        <f t="shared" si="191"/>
        <v>139612.78020977444</v>
      </c>
      <c r="D2454" s="2">
        <v>31746</v>
      </c>
      <c r="E2454" s="2">
        <f t="shared" si="192"/>
        <v>3.1745999999999999</v>
      </c>
      <c r="F2454" s="2">
        <f t="shared" si="193"/>
        <v>-0.20525598335067263</v>
      </c>
      <c r="G2454" s="2">
        <f t="shared" si="194"/>
        <v>4.2130018701251604E-2</v>
      </c>
    </row>
    <row r="2455" spans="1:7" x14ac:dyDescent="0.35">
      <c r="A2455" s="2">
        <v>1712</v>
      </c>
      <c r="B2455" s="2">
        <f t="shared" si="190"/>
        <v>373.64793617759278</v>
      </c>
      <c r="C2455" s="2">
        <f t="shared" si="191"/>
        <v>139612.78020977444</v>
      </c>
      <c r="D2455" s="2">
        <v>33060</v>
      </c>
      <c r="E2455" s="2">
        <f t="shared" si="192"/>
        <v>3.306</v>
      </c>
      <c r="F2455" s="2">
        <f t="shared" si="193"/>
        <v>-7.3855983350672449E-2</v>
      </c>
      <c r="G2455" s="2">
        <f t="shared" si="194"/>
        <v>5.4547062766948061E-3</v>
      </c>
    </row>
    <row r="2456" spans="1:7" x14ac:dyDescent="0.35">
      <c r="A2456" s="2">
        <v>1712</v>
      </c>
      <c r="B2456" s="2">
        <f t="shared" si="190"/>
        <v>373.64793617759278</v>
      </c>
      <c r="C2456" s="2">
        <f t="shared" si="191"/>
        <v>139612.78020977444</v>
      </c>
      <c r="D2456" s="2">
        <v>10821</v>
      </c>
      <c r="E2456" s="2">
        <f t="shared" si="192"/>
        <v>1.0821000000000001</v>
      </c>
      <c r="F2456" s="2">
        <f t="shared" si="193"/>
        <v>-2.2977559833506724</v>
      </c>
      <c r="G2456" s="2">
        <f t="shared" si="194"/>
        <v>5.2796825590238159</v>
      </c>
    </row>
    <row r="2457" spans="1:7" x14ac:dyDescent="0.35">
      <c r="A2457" s="2">
        <v>1712</v>
      </c>
      <c r="B2457" s="2">
        <f t="shared" si="190"/>
        <v>373.64793617759278</v>
      </c>
      <c r="C2457" s="2">
        <f t="shared" si="191"/>
        <v>139612.78020977444</v>
      </c>
      <c r="D2457" s="2">
        <v>42328</v>
      </c>
      <c r="E2457" s="2">
        <f t="shared" si="192"/>
        <v>4.2328000000000001</v>
      </c>
      <c r="F2457" s="2">
        <f t="shared" si="193"/>
        <v>0.85294401664932762</v>
      </c>
      <c r="G2457" s="2">
        <f t="shared" si="194"/>
        <v>0.72751349553788847</v>
      </c>
    </row>
    <row r="2458" spans="1:7" x14ac:dyDescent="0.35">
      <c r="A2458" s="2">
        <v>1712</v>
      </c>
      <c r="B2458" s="2">
        <f t="shared" si="190"/>
        <v>373.64793617759278</v>
      </c>
      <c r="C2458" s="2">
        <f t="shared" si="191"/>
        <v>139612.78020977444</v>
      </c>
      <c r="D2458" s="2">
        <v>39216</v>
      </c>
      <c r="E2458" s="2">
        <f t="shared" si="192"/>
        <v>3.9216000000000002</v>
      </c>
      <c r="F2458" s="2">
        <f t="shared" si="193"/>
        <v>0.5417440166493277</v>
      </c>
      <c r="G2458" s="2">
        <f t="shared" si="194"/>
        <v>0.29348657957534707</v>
      </c>
    </row>
    <row r="2459" spans="1:7" x14ac:dyDescent="0.35">
      <c r="A2459" s="2">
        <v>2331</v>
      </c>
      <c r="B2459" s="2">
        <f t="shared" si="190"/>
        <v>992.64793617759278</v>
      </c>
      <c r="C2459" s="2">
        <f t="shared" si="191"/>
        <v>985349.92519763426</v>
      </c>
      <c r="D2459" s="2">
        <v>39950</v>
      </c>
      <c r="E2459" s="2">
        <f t="shared" si="192"/>
        <v>3.9950000000000001</v>
      </c>
      <c r="F2459" s="2">
        <f t="shared" si="193"/>
        <v>0.61514401664932761</v>
      </c>
      <c r="G2459" s="2">
        <f t="shared" si="194"/>
        <v>0.37840216121946824</v>
      </c>
    </row>
    <row r="2460" spans="1:7" x14ac:dyDescent="0.35">
      <c r="A2460" s="2">
        <v>2331</v>
      </c>
      <c r="B2460" s="2">
        <f t="shared" si="190"/>
        <v>992.64793617759278</v>
      </c>
      <c r="C2460" s="2">
        <f t="shared" si="191"/>
        <v>985349.92519763426</v>
      </c>
      <c r="D2460" s="2">
        <v>39921</v>
      </c>
      <c r="E2460" s="2">
        <f t="shared" si="192"/>
        <v>3.9921000000000002</v>
      </c>
      <c r="F2460" s="2">
        <f t="shared" si="193"/>
        <v>0.6122440166493277</v>
      </c>
      <c r="G2460" s="2">
        <f t="shared" si="194"/>
        <v>0.37484273592290224</v>
      </c>
    </row>
    <row r="2461" spans="1:7" x14ac:dyDescent="0.35">
      <c r="A2461" s="2">
        <v>2331</v>
      </c>
      <c r="B2461" s="2">
        <f t="shared" si="190"/>
        <v>992.64793617759278</v>
      </c>
      <c r="C2461" s="2">
        <f t="shared" si="191"/>
        <v>985349.92519763426</v>
      </c>
      <c r="D2461" s="2">
        <v>38170</v>
      </c>
      <c r="E2461" s="2">
        <f t="shared" si="192"/>
        <v>3.8170000000000002</v>
      </c>
      <c r="F2461" s="2">
        <f t="shared" si="193"/>
        <v>0.43714401664932767</v>
      </c>
      <c r="G2461" s="2">
        <f t="shared" si="194"/>
        <v>0.19109489129230767</v>
      </c>
    </row>
    <row r="2462" spans="1:7" x14ac:dyDescent="0.35">
      <c r="A2462" s="2">
        <v>2331</v>
      </c>
      <c r="B2462" s="2">
        <f t="shared" si="190"/>
        <v>992.64793617759278</v>
      </c>
      <c r="C2462" s="2">
        <f t="shared" si="191"/>
        <v>985349.92519763426</v>
      </c>
      <c r="D2462" s="2">
        <v>37345</v>
      </c>
      <c r="E2462" s="2">
        <f t="shared" si="192"/>
        <v>3.7345000000000002</v>
      </c>
      <c r="F2462" s="2">
        <f t="shared" si="193"/>
        <v>0.35464401664932765</v>
      </c>
      <c r="G2462" s="2">
        <f t="shared" si="194"/>
        <v>0.12577237854516859</v>
      </c>
    </row>
    <row r="2463" spans="1:7" x14ac:dyDescent="0.35">
      <c r="A2463" s="2">
        <v>2331</v>
      </c>
      <c r="B2463" s="2">
        <f t="shared" si="190"/>
        <v>992.64793617759278</v>
      </c>
      <c r="C2463" s="2">
        <f t="shared" si="191"/>
        <v>985349.92519763426</v>
      </c>
      <c r="D2463" s="2">
        <v>37691</v>
      </c>
      <c r="E2463" s="2">
        <f t="shared" si="192"/>
        <v>3.7690999999999999</v>
      </c>
      <c r="F2463" s="2">
        <f t="shared" si="193"/>
        <v>0.3892440166493274</v>
      </c>
      <c r="G2463" s="2">
        <f t="shared" si="194"/>
        <v>0.15151090449730187</v>
      </c>
    </row>
    <row r="2464" spans="1:7" x14ac:dyDescent="0.35">
      <c r="A2464" s="2">
        <v>2331</v>
      </c>
      <c r="B2464" s="2">
        <f t="shared" si="190"/>
        <v>992.64793617759278</v>
      </c>
      <c r="C2464" s="2">
        <f t="shared" si="191"/>
        <v>985349.92519763426</v>
      </c>
      <c r="D2464" s="2">
        <v>38156</v>
      </c>
      <c r="E2464" s="2">
        <f t="shared" si="192"/>
        <v>3.8155999999999999</v>
      </c>
      <c r="F2464" s="2">
        <f t="shared" si="193"/>
        <v>0.43574401664932738</v>
      </c>
      <c r="G2464" s="2">
        <f t="shared" si="194"/>
        <v>0.1898728480456893</v>
      </c>
    </row>
    <row r="2465" spans="1:7" x14ac:dyDescent="0.35">
      <c r="A2465" s="2">
        <v>2331</v>
      </c>
      <c r="B2465" s="2">
        <f t="shared" si="190"/>
        <v>992.64793617759278</v>
      </c>
      <c r="C2465" s="2">
        <f t="shared" si="191"/>
        <v>985349.92519763426</v>
      </c>
      <c r="D2465" s="2">
        <v>37975</v>
      </c>
      <c r="E2465" s="2">
        <f t="shared" si="192"/>
        <v>3.7974999999999999</v>
      </c>
      <c r="F2465" s="2">
        <f t="shared" si="193"/>
        <v>0.41764401664932738</v>
      </c>
      <c r="G2465" s="2">
        <f t="shared" si="194"/>
        <v>0.17442652464298364</v>
      </c>
    </row>
    <row r="2466" spans="1:7" x14ac:dyDescent="0.35">
      <c r="A2466" s="2">
        <v>2331</v>
      </c>
      <c r="B2466" s="2">
        <f t="shared" si="190"/>
        <v>992.64793617759278</v>
      </c>
      <c r="C2466" s="2">
        <f t="shared" si="191"/>
        <v>985349.92519763426</v>
      </c>
      <c r="D2466" s="2">
        <v>36987</v>
      </c>
      <c r="E2466" s="2">
        <f t="shared" si="192"/>
        <v>3.6987000000000001</v>
      </c>
      <c r="F2466" s="2">
        <f t="shared" si="193"/>
        <v>0.3188440166493276</v>
      </c>
      <c r="G2466" s="2">
        <f t="shared" si="194"/>
        <v>0.1016615069530767</v>
      </c>
    </row>
    <row r="2467" spans="1:7" x14ac:dyDescent="0.35">
      <c r="A2467" s="2">
        <v>2331</v>
      </c>
      <c r="B2467" s="2">
        <f t="shared" si="190"/>
        <v>992.64793617759278</v>
      </c>
      <c r="C2467" s="2">
        <f t="shared" si="191"/>
        <v>985349.92519763426</v>
      </c>
      <c r="D2467" s="2">
        <v>36325</v>
      </c>
      <c r="E2467" s="2">
        <f t="shared" si="192"/>
        <v>3.6324999999999998</v>
      </c>
      <c r="F2467" s="2">
        <f t="shared" si="193"/>
        <v>0.25264401664932734</v>
      </c>
      <c r="G2467" s="2">
        <f t="shared" si="194"/>
        <v>6.3828999148705587E-2</v>
      </c>
    </row>
    <row r="2468" spans="1:7" x14ac:dyDescent="0.35">
      <c r="A2468" s="2">
        <v>2331</v>
      </c>
      <c r="B2468" s="2">
        <f t="shared" si="190"/>
        <v>992.64793617759278</v>
      </c>
      <c r="C2468" s="2">
        <f t="shared" si="191"/>
        <v>985349.92519763426</v>
      </c>
      <c r="D2468" s="2">
        <v>35186</v>
      </c>
      <c r="E2468" s="2">
        <f t="shared" si="192"/>
        <v>3.5186000000000002</v>
      </c>
      <c r="F2468" s="2">
        <f t="shared" si="193"/>
        <v>0.13874401664932767</v>
      </c>
      <c r="G2468" s="2">
        <f t="shared" si="194"/>
        <v>1.9249902155988916E-2</v>
      </c>
    </row>
    <row r="2469" spans="1:7" x14ac:dyDescent="0.35">
      <c r="A2469" s="2">
        <v>2331</v>
      </c>
      <c r="B2469" s="2">
        <f t="shared" si="190"/>
        <v>992.64793617759278</v>
      </c>
      <c r="C2469" s="2">
        <f t="shared" si="191"/>
        <v>985349.92519763426</v>
      </c>
      <c r="D2469" s="2">
        <v>37025</v>
      </c>
      <c r="E2469" s="2">
        <f t="shared" si="192"/>
        <v>3.7025000000000001</v>
      </c>
      <c r="F2469" s="2">
        <f t="shared" si="193"/>
        <v>0.32264401664932763</v>
      </c>
      <c r="G2469" s="2">
        <f t="shared" si="194"/>
        <v>0.1040991614796116</v>
      </c>
    </row>
    <row r="2470" spans="1:7" x14ac:dyDescent="0.35">
      <c r="A2470" s="2">
        <v>2331</v>
      </c>
      <c r="B2470" s="2">
        <f t="shared" si="190"/>
        <v>992.64793617759278</v>
      </c>
      <c r="C2470" s="2">
        <f t="shared" si="191"/>
        <v>985349.92519763426</v>
      </c>
      <c r="D2470" s="2">
        <v>39827</v>
      </c>
      <c r="E2470" s="2">
        <f t="shared" si="192"/>
        <v>3.9826999999999999</v>
      </c>
      <c r="F2470" s="2">
        <f t="shared" si="193"/>
        <v>0.60284401664932741</v>
      </c>
      <c r="G2470" s="2">
        <f t="shared" si="194"/>
        <v>0.36342090840989455</v>
      </c>
    </row>
    <row r="2471" spans="1:7" x14ac:dyDescent="0.35">
      <c r="A2471" s="2">
        <v>2331</v>
      </c>
      <c r="B2471" s="2">
        <f t="shared" si="190"/>
        <v>992.64793617759278</v>
      </c>
      <c r="C2471" s="2">
        <f t="shared" si="191"/>
        <v>985349.92519763426</v>
      </c>
      <c r="D2471" s="2">
        <v>37581</v>
      </c>
      <c r="E2471" s="2">
        <f t="shared" si="192"/>
        <v>3.7581000000000002</v>
      </c>
      <c r="F2471" s="2">
        <f t="shared" si="193"/>
        <v>0.37824401664932772</v>
      </c>
      <c r="G2471" s="2">
        <f t="shared" si="194"/>
        <v>0.14306853613101692</v>
      </c>
    </row>
    <row r="2472" spans="1:7" x14ac:dyDescent="0.35">
      <c r="A2472" s="2">
        <v>2331</v>
      </c>
      <c r="B2472" s="2">
        <f t="shared" si="190"/>
        <v>992.64793617759278</v>
      </c>
      <c r="C2472" s="2">
        <f t="shared" si="191"/>
        <v>985349.92519763426</v>
      </c>
      <c r="D2472" s="2">
        <v>37205</v>
      </c>
      <c r="E2472" s="2">
        <f t="shared" si="192"/>
        <v>3.7204999999999999</v>
      </c>
      <c r="F2472" s="2">
        <f t="shared" si="193"/>
        <v>0.34064401664932742</v>
      </c>
      <c r="G2472" s="2">
        <f t="shared" si="194"/>
        <v>0.11603834607898726</v>
      </c>
    </row>
    <row r="2473" spans="1:7" x14ac:dyDescent="0.35">
      <c r="A2473" s="2">
        <v>2331</v>
      </c>
      <c r="B2473" s="2">
        <f t="shared" si="190"/>
        <v>992.64793617759278</v>
      </c>
      <c r="C2473" s="2">
        <f t="shared" si="191"/>
        <v>985349.92519763426</v>
      </c>
      <c r="D2473" s="2">
        <v>38970</v>
      </c>
      <c r="E2473" s="2">
        <f t="shared" si="192"/>
        <v>3.8969999999999998</v>
      </c>
      <c r="F2473" s="2">
        <f t="shared" si="193"/>
        <v>0.5171440166493273</v>
      </c>
      <c r="G2473" s="2">
        <f t="shared" si="194"/>
        <v>0.26743793395619969</v>
      </c>
    </row>
    <row r="2474" spans="1:7" x14ac:dyDescent="0.35">
      <c r="A2474" s="2">
        <v>2331</v>
      </c>
      <c r="B2474" s="2">
        <f t="shared" si="190"/>
        <v>992.64793617759278</v>
      </c>
      <c r="C2474" s="2">
        <f t="shared" si="191"/>
        <v>985349.92519763426</v>
      </c>
      <c r="D2474" s="2">
        <v>37671</v>
      </c>
      <c r="E2474" s="2">
        <f t="shared" si="192"/>
        <v>3.7671000000000001</v>
      </c>
      <c r="F2474" s="2">
        <f t="shared" si="193"/>
        <v>0.38724401664932762</v>
      </c>
      <c r="G2474" s="2">
        <f t="shared" si="194"/>
        <v>0.14995792843070471</v>
      </c>
    </row>
    <row r="2475" spans="1:7" x14ac:dyDescent="0.35">
      <c r="A2475" s="2">
        <v>2331</v>
      </c>
      <c r="B2475" s="2">
        <f t="shared" si="190"/>
        <v>992.64793617759278</v>
      </c>
      <c r="C2475" s="2">
        <f t="shared" si="191"/>
        <v>985349.92519763426</v>
      </c>
      <c r="D2475" s="2">
        <v>39227</v>
      </c>
      <c r="E2475" s="2">
        <f t="shared" si="192"/>
        <v>3.9226999999999999</v>
      </c>
      <c r="F2475" s="2">
        <f t="shared" si="193"/>
        <v>0.54284401664932735</v>
      </c>
      <c r="G2475" s="2">
        <f t="shared" si="194"/>
        <v>0.2946796264119752</v>
      </c>
    </row>
    <row r="2476" spans="1:7" x14ac:dyDescent="0.35">
      <c r="A2476" s="2">
        <v>2331</v>
      </c>
      <c r="B2476" s="2">
        <f t="shared" si="190"/>
        <v>992.64793617759278</v>
      </c>
      <c r="C2476" s="2">
        <f t="shared" si="191"/>
        <v>985349.92519763426</v>
      </c>
      <c r="D2476" s="2">
        <v>35596</v>
      </c>
      <c r="E2476" s="2">
        <f t="shared" si="192"/>
        <v>3.5596000000000001</v>
      </c>
      <c r="F2476" s="2">
        <f t="shared" si="193"/>
        <v>0.1797440166493276</v>
      </c>
      <c r="G2476" s="2">
        <f t="shared" si="194"/>
        <v>3.2307911521233759E-2</v>
      </c>
    </row>
    <row r="2477" spans="1:7" x14ac:dyDescent="0.35">
      <c r="A2477" s="2">
        <v>2331</v>
      </c>
      <c r="B2477" s="2">
        <f t="shared" si="190"/>
        <v>992.64793617759278</v>
      </c>
      <c r="C2477" s="2">
        <f t="shared" si="191"/>
        <v>985349.92519763426</v>
      </c>
      <c r="D2477" s="2">
        <v>35984</v>
      </c>
      <c r="E2477" s="2">
        <f t="shared" si="192"/>
        <v>3.5983999999999998</v>
      </c>
      <c r="F2477" s="2">
        <f t="shared" si="193"/>
        <v>0.21854401664932732</v>
      </c>
      <c r="G2477" s="2">
        <f t="shared" si="194"/>
        <v>4.776148721322146E-2</v>
      </c>
    </row>
    <row r="2478" spans="1:7" x14ac:dyDescent="0.35">
      <c r="A2478" s="2">
        <v>2331</v>
      </c>
      <c r="B2478" s="2">
        <f t="shared" si="190"/>
        <v>992.64793617759278</v>
      </c>
      <c r="C2478" s="2">
        <f t="shared" si="191"/>
        <v>985349.92519763426</v>
      </c>
      <c r="D2478" s="2">
        <v>41296</v>
      </c>
      <c r="E2478" s="2">
        <f t="shared" si="192"/>
        <v>4.1295999999999999</v>
      </c>
      <c r="F2478" s="2">
        <f t="shared" si="193"/>
        <v>0.74974401664932744</v>
      </c>
      <c r="G2478" s="2">
        <f t="shared" si="194"/>
        <v>0.56211609050146694</v>
      </c>
    </row>
    <row r="2479" spans="1:7" x14ac:dyDescent="0.35">
      <c r="A2479" s="2">
        <v>2331</v>
      </c>
      <c r="B2479" s="2">
        <f t="shared" si="190"/>
        <v>992.64793617759278</v>
      </c>
      <c r="C2479" s="2">
        <f t="shared" si="191"/>
        <v>985349.92519763426</v>
      </c>
      <c r="D2479" s="2">
        <v>42534</v>
      </c>
      <c r="E2479" s="2">
        <f t="shared" si="192"/>
        <v>4.2534000000000001</v>
      </c>
      <c r="F2479" s="2">
        <f t="shared" si="193"/>
        <v>0.87354401664932757</v>
      </c>
      <c r="G2479" s="2">
        <f t="shared" si="194"/>
        <v>0.76307914902384066</v>
      </c>
    </row>
    <row r="2480" spans="1:7" x14ac:dyDescent="0.35">
      <c r="A2480" s="2">
        <v>2331</v>
      </c>
      <c r="B2480" s="2">
        <f t="shared" si="190"/>
        <v>992.64793617759278</v>
      </c>
      <c r="C2480" s="2">
        <f t="shared" si="191"/>
        <v>985349.92519763426</v>
      </c>
      <c r="D2480" s="2">
        <v>41892</v>
      </c>
      <c r="E2480" s="2">
        <f t="shared" si="192"/>
        <v>4.1891999999999996</v>
      </c>
      <c r="F2480" s="2">
        <f t="shared" si="193"/>
        <v>0.80934401664932709</v>
      </c>
      <c r="G2480" s="2">
        <f t="shared" si="194"/>
        <v>0.65503773728606629</v>
      </c>
    </row>
    <row r="2481" spans="1:7" x14ac:dyDescent="0.35">
      <c r="A2481" s="2">
        <v>2331</v>
      </c>
      <c r="B2481" s="2">
        <f t="shared" si="190"/>
        <v>992.64793617759278</v>
      </c>
      <c r="C2481" s="2">
        <f t="shared" si="191"/>
        <v>985349.92519763426</v>
      </c>
      <c r="D2481" s="2">
        <v>42092</v>
      </c>
      <c r="E2481" s="2">
        <f t="shared" si="192"/>
        <v>4.2092000000000001</v>
      </c>
      <c r="F2481" s="2">
        <f t="shared" si="193"/>
        <v>0.82934401664932755</v>
      </c>
      <c r="G2481" s="2">
        <f t="shared" si="194"/>
        <v>0.68781149795204011</v>
      </c>
    </row>
    <row r="2482" spans="1:7" x14ac:dyDescent="0.35">
      <c r="A2482" s="2">
        <v>2331</v>
      </c>
      <c r="B2482" s="2">
        <f t="shared" si="190"/>
        <v>992.64793617759278</v>
      </c>
      <c r="C2482" s="2">
        <f t="shared" si="191"/>
        <v>985349.92519763426</v>
      </c>
      <c r="D2482" s="2">
        <v>42329</v>
      </c>
      <c r="E2482" s="2">
        <f t="shared" si="192"/>
        <v>4.2328999999999999</v>
      </c>
      <c r="F2482" s="2">
        <f t="shared" si="193"/>
        <v>0.85304401664932739</v>
      </c>
      <c r="G2482" s="2">
        <f t="shared" si="194"/>
        <v>0.72768409434121795</v>
      </c>
    </row>
    <row r="2483" spans="1:7" x14ac:dyDescent="0.35">
      <c r="A2483" s="2">
        <v>2331</v>
      </c>
      <c r="B2483" s="2">
        <f t="shared" si="190"/>
        <v>992.64793617759278</v>
      </c>
      <c r="C2483" s="2">
        <f t="shared" si="191"/>
        <v>985349.92519763426</v>
      </c>
      <c r="D2483" s="2">
        <v>41331</v>
      </c>
      <c r="E2483" s="2">
        <f t="shared" si="192"/>
        <v>4.1330999999999998</v>
      </c>
      <c r="F2483" s="2">
        <f t="shared" si="193"/>
        <v>0.75324401664932727</v>
      </c>
      <c r="G2483" s="2">
        <f t="shared" si="194"/>
        <v>0.56737654861801201</v>
      </c>
    </row>
    <row r="2484" spans="1:7" x14ac:dyDescent="0.35">
      <c r="A2484" s="2">
        <v>2331</v>
      </c>
      <c r="B2484" s="2">
        <f t="shared" si="190"/>
        <v>992.64793617759278</v>
      </c>
      <c r="C2484" s="2">
        <f t="shared" si="191"/>
        <v>985349.92519763426</v>
      </c>
      <c r="D2484" s="2">
        <v>43622</v>
      </c>
      <c r="E2484" s="2">
        <f t="shared" si="192"/>
        <v>4.3621999999999996</v>
      </c>
      <c r="F2484" s="2">
        <f t="shared" si="193"/>
        <v>0.98234401664932713</v>
      </c>
      <c r="G2484" s="2">
        <f t="shared" si="194"/>
        <v>0.96499976704673351</v>
      </c>
    </row>
    <row r="2485" spans="1:7" x14ac:dyDescent="0.35">
      <c r="A2485" s="2">
        <v>2331</v>
      </c>
      <c r="B2485" s="2">
        <f t="shared" si="190"/>
        <v>992.64793617759278</v>
      </c>
      <c r="C2485" s="2">
        <f t="shared" si="191"/>
        <v>985349.92519763426</v>
      </c>
      <c r="D2485" s="2">
        <v>44965</v>
      </c>
      <c r="E2485" s="2">
        <f t="shared" si="192"/>
        <v>4.4965000000000002</v>
      </c>
      <c r="F2485" s="2">
        <f t="shared" si="193"/>
        <v>1.1166440166493277</v>
      </c>
      <c r="G2485" s="2">
        <f t="shared" si="194"/>
        <v>1.246893859918744</v>
      </c>
    </row>
    <row r="2486" spans="1:7" x14ac:dyDescent="0.35">
      <c r="A2486" s="2">
        <v>2331</v>
      </c>
      <c r="B2486" s="2">
        <f t="shared" si="190"/>
        <v>992.64793617759278</v>
      </c>
      <c r="C2486" s="2">
        <f t="shared" si="191"/>
        <v>985349.92519763426</v>
      </c>
      <c r="D2486" s="2">
        <v>44341</v>
      </c>
      <c r="E2486" s="2">
        <f t="shared" si="192"/>
        <v>4.4340999999999999</v>
      </c>
      <c r="F2486" s="2">
        <f t="shared" si="193"/>
        <v>1.0542440166493274</v>
      </c>
      <c r="G2486" s="2">
        <f t="shared" si="194"/>
        <v>1.1114304466409073</v>
      </c>
    </row>
    <row r="2487" spans="1:7" x14ac:dyDescent="0.35">
      <c r="A2487" s="2">
        <v>2331</v>
      </c>
      <c r="B2487" s="2">
        <f t="shared" si="190"/>
        <v>992.64793617759278</v>
      </c>
      <c r="C2487" s="2">
        <f t="shared" si="191"/>
        <v>985349.92519763426</v>
      </c>
      <c r="D2487" s="2">
        <v>45309</v>
      </c>
      <c r="E2487" s="2">
        <f t="shared" si="192"/>
        <v>4.5308999999999999</v>
      </c>
      <c r="F2487" s="2">
        <f t="shared" si="193"/>
        <v>1.1510440166493274</v>
      </c>
      <c r="G2487" s="2">
        <f t="shared" si="194"/>
        <v>1.3249023282642172</v>
      </c>
    </row>
    <row r="2488" spans="1:7" x14ac:dyDescent="0.35">
      <c r="A2488" s="2">
        <v>2331</v>
      </c>
      <c r="B2488" s="2">
        <f t="shared" si="190"/>
        <v>992.64793617759278</v>
      </c>
      <c r="C2488" s="2">
        <f t="shared" si="191"/>
        <v>985349.92519763426</v>
      </c>
      <c r="D2488" s="2">
        <v>44341</v>
      </c>
      <c r="E2488" s="2">
        <f t="shared" si="192"/>
        <v>4.4340999999999999</v>
      </c>
      <c r="F2488" s="2">
        <f t="shared" si="193"/>
        <v>1.0542440166493274</v>
      </c>
      <c r="G2488" s="2">
        <f t="shared" si="194"/>
        <v>1.1114304466409073</v>
      </c>
    </row>
    <row r="2489" spans="1:7" x14ac:dyDescent="0.35">
      <c r="A2489" s="2">
        <v>788</v>
      </c>
      <c r="B2489" s="2">
        <f t="shared" si="190"/>
        <v>-550.35206382240722</v>
      </c>
      <c r="C2489" s="2">
        <f t="shared" si="191"/>
        <v>302887.39415358298</v>
      </c>
      <c r="D2489" s="2">
        <v>75000</v>
      </c>
      <c r="E2489" s="2">
        <f t="shared" si="192"/>
        <v>7.5</v>
      </c>
      <c r="F2489" s="2">
        <f t="shared" si="193"/>
        <v>4.1201440166493271</v>
      </c>
      <c r="G2489" s="2">
        <f t="shared" si="194"/>
        <v>16.97558671793125</v>
      </c>
    </row>
    <row r="2490" spans="1:7" x14ac:dyDescent="0.35">
      <c r="A2490" s="2">
        <v>788</v>
      </c>
      <c r="B2490" s="2">
        <f t="shared" si="190"/>
        <v>-550.35206382240722</v>
      </c>
      <c r="C2490" s="2">
        <f t="shared" si="191"/>
        <v>302887.39415358298</v>
      </c>
      <c r="D2490" s="2">
        <v>75000</v>
      </c>
      <c r="E2490" s="2">
        <f t="shared" si="192"/>
        <v>7.5</v>
      </c>
      <c r="F2490" s="2">
        <f t="shared" si="193"/>
        <v>4.1201440166493271</v>
      </c>
      <c r="G2490" s="2">
        <f t="shared" si="194"/>
        <v>16.97558671793125</v>
      </c>
    </row>
    <row r="2491" spans="1:7" x14ac:dyDescent="0.35">
      <c r="A2491" s="2">
        <v>788</v>
      </c>
      <c r="B2491" s="2">
        <f t="shared" si="190"/>
        <v>-550.35206382240722</v>
      </c>
      <c r="C2491" s="2">
        <f t="shared" si="191"/>
        <v>302887.39415358298</v>
      </c>
      <c r="D2491" s="2">
        <v>75000</v>
      </c>
      <c r="E2491" s="2">
        <f t="shared" si="192"/>
        <v>7.5</v>
      </c>
      <c r="F2491" s="2">
        <f t="shared" si="193"/>
        <v>4.1201440166493271</v>
      </c>
      <c r="G2491" s="2">
        <f t="shared" si="194"/>
        <v>16.97558671793125</v>
      </c>
    </row>
    <row r="2492" spans="1:7" x14ac:dyDescent="0.35">
      <c r="A2492" s="2">
        <v>788</v>
      </c>
      <c r="B2492" s="2">
        <f t="shared" si="190"/>
        <v>-550.35206382240722</v>
      </c>
      <c r="C2492" s="2">
        <f t="shared" si="191"/>
        <v>302887.39415358298</v>
      </c>
      <c r="D2492" s="2">
        <v>75000</v>
      </c>
      <c r="E2492" s="2">
        <f t="shared" si="192"/>
        <v>7.5</v>
      </c>
      <c r="F2492" s="2">
        <f t="shared" si="193"/>
        <v>4.1201440166493271</v>
      </c>
      <c r="G2492" s="2">
        <f t="shared" si="194"/>
        <v>16.97558671793125</v>
      </c>
    </row>
    <row r="2493" spans="1:7" x14ac:dyDescent="0.35">
      <c r="A2493" s="2">
        <v>788</v>
      </c>
      <c r="B2493" s="2">
        <f t="shared" si="190"/>
        <v>-550.35206382240722</v>
      </c>
      <c r="C2493" s="2">
        <f t="shared" si="191"/>
        <v>302887.39415358298</v>
      </c>
      <c r="D2493" s="2">
        <v>91492</v>
      </c>
      <c r="E2493" s="2">
        <f t="shared" si="192"/>
        <v>9.1492000000000004</v>
      </c>
      <c r="F2493" s="2">
        <f t="shared" si="193"/>
        <v>5.7693440166493275</v>
      </c>
      <c r="G2493" s="2">
        <f t="shared" si="194"/>
        <v>33.285330382447398</v>
      </c>
    </row>
    <row r="2494" spans="1:7" x14ac:dyDescent="0.35">
      <c r="A2494" s="2">
        <v>788</v>
      </c>
      <c r="B2494" s="2">
        <f t="shared" si="190"/>
        <v>-550.35206382240722</v>
      </c>
      <c r="C2494" s="2">
        <f t="shared" si="191"/>
        <v>302887.39415358298</v>
      </c>
      <c r="D2494" s="2">
        <v>75000</v>
      </c>
      <c r="E2494" s="2">
        <f t="shared" si="192"/>
        <v>7.5</v>
      </c>
      <c r="F2494" s="2">
        <f t="shared" si="193"/>
        <v>4.1201440166493271</v>
      </c>
      <c r="G2494" s="2">
        <f t="shared" si="194"/>
        <v>16.97558671793125</v>
      </c>
    </row>
    <row r="2495" spans="1:7" x14ac:dyDescent="0.35">
      <c r="A2495" s="2">
        <v>788</v>
      </c>
      <c r="B2495" s="2">
        <f t="shared" si="190"/>
        <v>-550.35206382240722</v>
      </c>
      <c r="C2495" s="2">
        <f t="shared" si="191"/>
        <v>302887.39415358298</v>
      </c>
      <c r="D2495" s="2">
        <v>61660</v>
      </c>
      <c r="E2495" s="2">
        <f t="shared" si="192"/>
        <v>6.1660000000000004</v>
      </c>
      <c r="F2495" s="2">
        <f t="shared" si="193"/>
        <v>2.7861440166493279</v>
      </c>
      <c r="G2495" s="2">
        <f t="shared" si="194"/>
        <v>7.7625984815108504</v>
      </c>
    </row>
    <row r="2496" spans="1:7" x14ac:dyDescent="0.35">
      <c r="A2496" s="2">
        <v>788</v>
      </c>
      <c r="B2496" s="2">
        <f t="shared" si="190"/>
        <v>-550.35206382240722</v>
      </c>
      <c r="C2496" s="2">
        <f t="shared" si="191"/>
        <v>302887.39415358298</v>
      </c>
      <c r="D2496" s="2">
        <v>50000</v>
      </c>
      <c r="E2496" s="2">
        <f t="shared" si="192"/>
        <v>5</v>
      </c>
      <c r="F2496" s="2">
        <f t="shared" si="193"/>
        <v>1.6201440166493275</v>
      </c>
      <c r="G2496" s="2">
        <f t="shared" si="194"/>
        <v>2.6248666346846163</v>
      </c>
    </row>
    <row r="2497" spans="1:7" x14ac:dyDescent="0.35">
      <c r="A2497" s="2">
        <v>788</v>
      </c>
      <c r="B2497" s="2">
        <f t="shared" si="190"/>
        <v>-550.35206382240722</v>
      </c>
      <c r="C2497" s="2">
        <f t="shared" si="191"/>
        <v>302887.39415358298</v>
      </c>
      <c r="D2497" s="2">
        <v>55000</v>
      </c>
      <c r="E2497" s="2">
        <f t="shared" si="192"/>
        <v>5.5</v>
      </c>
      <c r="F2497" s="2">
        <f t="shared" si="193"/>
        <v>2.1201440166493275</v>
      </c>
      <c r="G2497" s="2">
        <f t="shared" si="194"/>
        <v>4.4950106513339438</v>
      </c>
    </row>
    <row r="2498" spans="1:7" x14ac:dyDescent="0.35">
      <c r="A2498" s="2">
        <v>788</v>
      </c>
      <c r="B2498" s="2">
        <f t="shared" si="190"/>
        <v>-550.35206382240722</v>
      </c>
      <c r="C2498" s="2">
        <f t="shared" si="191"/>
        <v>302887.39415358298</v>
      </c>
      <c r="D2498" s="2">
        <v>53162</v>
      </c>
      <c r="E2498" s="2">
        <f t="shared" si="192"/>
        <v>5.3162000000000003</v>
      </c>
      <c r="F2498" s="2">
        <f t="shared" si="193"/>
        <v>1.9363440166493278</v>
      </c>
      <c r="G2498" s="2">
        <f t="shared" si="194"/>
        <v>3.7494281508136522</v>
      </c>
    </row>
    <row r="2499" spans="1:7" x14ac:dyDescent="0.35">
      <c r="A2499" s="2">
        <v>788</v>
      </c>
      <c r="B2499" s="2">
        <f t="shared" ref="B2499:B2562" si="195">A2499-$J$1</f>
        <v>-550.35206382240722</v>
      </c>
      <c r="C2499" s="2">
        <f t="shared" ref="C2499:C2562" si="196">B2499^2</f>
        <v>302887.39415358298</v>
      </c>
      <c r="D2499" s="2">
        <v>46491</v>
      </c>
      <c r="E2499" s="2">
        <f t="shared" ref="E2499:E2562" si="197">D2499/10000</f>
        <v>4.6490999999999998</v>
      </c>
      <c r="F2499" s="2">
        <f t="shared" ref="F2499:F2562" si="198">E2499-$J$2</f>
        <v>1.2692440166493273</v>
      </c>
      <c r="G2499" s="2">
        <f t="shared" ref="G2499:G2562" si="199">F2499^2</f>
        <v>1.6109803738001178</v>
      </c>
    </row>
    <row r="2500" spans="1:7" x14ac:dyDescent="0.35">
      <c r="A2500" s="2">
        <v>788</v>
      </c>
      <c r="B2500" s="2">
        <f t="shared" si="195"/>
        <v>-550.35206382240722</v>
      </c>
      <c r="C2500" s="2">
        <f t="shared" si="196"/>
        <v>302887.39415358298</v>
      </c>
      <c r="D2500" s="2">
        <v>51375</v>
      </c>
      <c r="E2500" s="2">
        <f t="shared" si="197"/>
        <v>5.1375000000000002</v>
      </c>
      <c r="F2500" s="2">
        <f t="shared" si="198"/>
        <v>1.7576440166493277</v>
      </c>
      <c r="G2500" s="2">
        <f t="shared" si="199"/>
        <v>3.089312489263182</v>
      </c>
    </row>
    <row r="2501" spans="1:7" x14ac:dyDescent="0.35">
      <c r="A2501" s="2">
        <v>788</v>
      </c>
      <c r="B2501" s="2">
        <f t="shared" si="195"/>
        <v>-550.35206382240722</v>
      </c>
      <c r="C2501" s="2">
        <f t="shared" si="196"/>
        <v>302887.39415358298</v>
      </c>
      <c r="D2501" s="2">
        <v>70000</v>
      </c>
      <c r="E2501" s="2">
        <f t="shared" si="197"/>
        <v>7</v>
      </c>
      <c r="F2501" s="2">
        <f t="shared" si="198"/>
        <v>3.6201440166493275</v>
      </c>
      <c r="G2501" s="2">
        <f t="shared" si="199"/>
        <v>13.105442701281927</v>
      </c>
    </row>
    <row r="2502" spans="1:7" x14ac:dyDescent="0.35">
      <c r="A2502" s="2">
        <v>788</v>
      </c>
      <c r="B2502" s="2">
        <f t="shared" si="195"/>
        <v>-550.35206382240722</v>
      </c>
      <c r="C2502" s="2">
        <f t="shared" si="196"/>
        <v>302887.39415358298</v>
      </c>
      <c r="D2502" s="2">
        <v>33333</v>
      </c>
      <c r="E2502" s="2">
        <f t="shared" si="197"/>
        <v>3.3332999999999999</v>
      </c>
      <c r="F2502" s="2">
        <f t="shared" si="198"/>
        <v>-4.655598335067257E-2</v>
      </c>
      <c r="G2502" s="2">
        <f t="shared" si="199"/>
        <v>2.1674595857481016E-3</v>
      </c>
    </row>
    <row r="2503" spans="1:7" x14ac:dyDescent="0.35">
      <c r="A2503" s="2">
        <v>788</v>
      </c>
      <c r="B2503" s="2">
        <f t="shared" si="195"/>
        <v>-550.35206382240722</v>
      </c>
      <c r="C2503" s="2">
        <f t="shared" si="196"/>
        <v>302887.39415358298</v>
      </c>
      <c r="D2503" s="2">
        <v>34000</v>
      </c>
      <c r="E2503" s="2">
        <f t="shared" si="197"/>
        <v>3.4</v>
      </c>
      <c r="F2503" s="2">
        <f t="shared" si="198"/>
        <v>2.0144016649327412E-2</v>
      </c>
      <c r="G2503" s="2">
        <f t="shared" si="199"/>
        <v>4.0578140676837996E-4</v>
      </c>
    </row>
    <row r="2504" spans="1:7" x14ac:dyDescent="0.35">
      <c r="A2504" s="2">
        <v>788</v>
      </c>
      <c r="B2504" s="2">
        <f t="shared" si="195"/>
        <v>-550.35206382240722</v>
      </c>
      <c r="C2504" s="2">
        <f t="shared" si="196"/>
        <v>302887.39415358298</v>
      </c>
      <c r="D2504" s="2">
        <v>37995</v>
      </c>
      <c r="E2504" s="2">
        <f t="shared" si="197"/>
        <v>3.7995000000000001</v>
      </c>
      <c r="F2504" s="2">
        <f t="shared" si="198"/>
        <v>0.4196440166493276</v>
      </c>
      <c r="G2504" s="2">
        <f t="shared" si="199"/>
        <v>0.17610110070958113</v>
      </c>
    </row>
    <row r="2505" spans="1:7" x14ac:dyDescent="0.35">
      <c r="A2505" s="2">
        <v>788</v>
      </c>
      <c r="B2505" s="2">
        <f t="shared" si="195"/>
        <v>-550.35206382240722</v>
      </c>
      <c r="C2505" s="2">
        <f t="shared" si="196"/>
        <v>302887.39415358298</v>
      </c>
      <c r="D2505" s="2">
        <v>39549</v>
      </c>
      <c r="E2505" s="2">
        <f t="shared" si="197"/>
        <v>3.9548999999999999</v>
      </c>
      <c r="F2505" s="2">
        <f t="shared" si="198"/>
        <v>0.57504401664932736</v>
      </c>
      <c r="G2505" s="2">
        <f t="shared" si="199"/>
        <v>0.33067562108419191</v>
      </c>
    </row>
    <row r="2506" spans="1:7" x14ac:dyDescent="0.35">
      <c r="A2506" s="2">
        <v>788</v>
      </c>
      <c r="B2506" s="2">
        <f t="shared" si="195"/>
        <v>-550.35206382240722</v>
      </c>
      <c r="C2506" s="2">
        <f t="shared" si="196"/>
        <v>302887.39415358298</v>
      </c>
      <c r="D2506" s="2">
        <v>39342</v>
      </c>
      <c r="E2506" s="2">
        <f t="shared" si="197"/>
        <v>3.9342000000000001</v>
      </c>
      <c r="F2506" s="2">
        <f t="shared" si="198"/>
        <v>0.55434401664932764</v>
      </c>
      <c r="G2506" s="2">
        <f t="shared" si="199"/>
        <v>0.30729728879491003</v>
      </c>
    </row>
    <row r="2507" spans="1:7" x14ac:dyDescent="0.35">
      <c r="A2507" s="2">
        <v>788</v>
      </c>
      <c r="B2507" s="2">
        <f t="shared" si="195"/>
        <v>-550.35206382240722</v>
      </c>
      <c r="C2507" s="2">
        <f t="shared" si="196"/>
        <v>302887.39415358298</v>
      </c>
      <c r="D2507" s="2">
        <v>38675</v>
      </c>
      <c r="E2507" s="2">
        <f t="shared" si="197"/>
        <v>3.8675000000000002</v>
      </c>
      <c r="F2507" s="2">
        <f t="shared" si="198"/>
        <v>0.48764401664932766</v>
      </c>
      <c r="G2507" s="2">
        <f t="shared" si="199"/>
        <v>0.23779668697388975</v>
      </c>
    </row>
    <row r="2508" spans="1:7" x14ac:dyDescent="0.35">
      <c r="A2508" s="2">
        <v>788</v>
      </c>
      <c r="B2508" s="2">
        <f t="shared" si="195"/>
        <v>-550.35206382240722</v>
      </c>
      <c r="C2508" s="2">
        <f t="shared" si="196"/>
        <v>302887.39415358298</v>
      </c>
      <c r="D2508" s="2">
        <v>38008</v>
      </c>
      <c r="E2508" s="2">
        <f t="shared" si="197"/>
        <v>3.8008000000000002</v>
      </c>
      <c r="F2508" s="2">
        <f t="shared" si="198"/>
        <v>0.42094401664932768</v>
      </c>
      <c r="G2508" s="2">
        <f t="shared" si="199"/>
        <v>0.17719386515286945</v>
      </c>
    </row>
    <row r="2509" spans="1:7" x14ac:dyDescent="0.35">
      <c r="A2509" s="2">
        <v>788</v>
      </c>
      <c r="B2509" s="2">
        <f t="shared" si="195"/>
        <v>-550.35206382240722</v>
      </c>
      <c r="C2509" s="2">
        <f t="shared" si="196"/>
        <v>302887.39415358298</v>
      </c>
      <c r="D2509" s="2">
        <v>37340</v>
      </c>
      <c r="E2509" s="2">
        <f t="shared" si="197"/>
        <v>3.734</v>
      </c>
      <c r="F2509" s="2">
        <f t="shared" si="198"/>
        <v>0.35414401664932749</v>
      </c>
      <c r="G2509" s="2">
        <f t="shared" si="199"/>
        <v>0.12541798452851916</v>
      </c>
    </row>
    <row r="2510" spans="1:7" x14ac:dyDescent="0.35">
      <c r="A2510" s="2">
        <v>788</v>
      </c>
      <c r="B2510" s="2">
        <f t="shared" si="195"/>
        <v>-550.35206382240722</v>
      </c>
      <c r="C2510" s="2">
        <f t="shared" si="196"/>
        <v>302887.39415358298</v>
      </c>
      <c r="D2510" s="2">
        <v>36673</v>
      </c>
      <c r="E2510" s="2">
        <f t="shared" si="197"/>
        <v>3.6673</v>
      </c>
      <c r="F2510" s="2">
        <f t="shared" si="198"/>
        <v>0.28744401664932751</v>
      </c>
      <c r="G2510" s="2">
        <f t="shared" si="199"/>
        <v>8.2624062707498863E-2</v>
      </c>
    </row>
    <row r="2511" spans="1:7" x14ac:dyDescent="0.35">
      <c r="A2511" s="2">
        <v>788</v>
      </c>
      <c r="B2511" s="2">
        <f t="shared" si="195"/>
        <v>-550.35206382240722</v>
      </c>
      <c r="C2511" s="2">
        <f t="shared" si="196"/>
        <v>302887.39415358298</v>
      </c>
      <c r="D2511" s="2">
        <v>36005</v>
      </c>
      <c r="E2511" s="2">
        <f t="shared" si="197"/>
        <v>3.6004999999999998</v>
      </c>
      <c r="F2511" s="2">
        <f t="shared" si="198"/>
        <v>0.22064401664932731</v>
      </c>
      <c r="G2511" s="2">
        <f t="shared" si="199"/>
        <v>4.8683782083148629E-2</v>
      </c>
    </row>
    <row r="2512" spans="1:7" x14ac:dyDescent="0.35">
      <c r="A2512" s="2">
        <v>788</v>
      </c>
      <c r="B2512" s="2">
        <f t="shared" si="195"/>
        <v>-550.35206382240722</v>
      </c>
      <c r="C2512" s="2">
        <f t="shared" si="196"/>
        <v>302887.39415358298</v>
      </c>
      <c r="D2512" s="2">
        <v>35338</v>
      </c>
      <c r="E2512" s="2">
        <f t="shared" si="197"/>
        <v>3.5337999999999998</v>
      </c>
      <c r="F2512" s="2">
        <f t="shared" si="198"/>
        <v>0.15394401664932733</v>
      </c>
      <c r="G2512" s="2">
        <f t="shared" si="199"/>
        <v>2.369876026212837E-2</v>
      </c>
    </row>
    <row r="2513" spans="1:7" x14ac:dyDescent="0.35">
      <c r="A2513" s="2">
        <v>788</v>
      </c>
      <c r="B2513" s="2">
        <f t="shared" si="195"/>
        <v>-550.35206382240722</v>
      </c>
      <c r="C2513" s="2">
        <f t="shared" si="196"/>
        <v>302887.39415358298</v>
      </c>
      <c r="D2513" s="2">
        <v>34670</v>
      </c>
      <c r="E2513" s="2">
        <f t="shared" si="197"/>
        <v>3.4670000000000001</v>
      </c>
      <c r="F2513" s="2">
        <f t="shared" si="198"/>
        <v>8.7144016649327583E-2</v>
      </c>
      <c r="G2513" s="2">
        <f t="shared" si="199"/>
        <v>7.5940796377782826E-3</v>
      </c>
    </row>
    <row r="2514" spans="1:7" x14ac:dyDescent="0.35">
      <c r="A2514" s="2">
        <v>788</v>
      </c>
      <c r="B2514" s="2">
        <f t="shared" si="195"/>
        <v>-550.35206382240722</v>
      </c>
      <c r="C2514" s="2">
        <f t="shared" si="196"/>
        <v>302887.39415358298</v>
      </c>
      <c r="D2514" s="2">
        <v>34003</v>
      </c>
      <c r="E2514" s="2">
        <f t="shared" si="197"/>
        <v>3.4003000000000001</v>
      </c>
      <c r="F2514" s="2">
        <f t="shared" si="198"/>
        <v>2.0444016649327601E-2</v>
      </c>
      <c r="G2514" s="2">
        <f t="shared" si="199"/>
        <v>4.1795781675798416E-4</v>
      </c>
    </row>
    <row r="2515" spans="1:7" x14ac:dyDescent="0.35">
      <c r="A2515" s="2">
        <v>788</v>
      </c>
      <c r="B2515" s="2">
        <f t="shared" si="195"/>
        <v>-550.35206382240722</v>
      </c>
      <c r="C2515" s="2">
        <f t="shared" si="196"/>
        <v>302887.39415358298</v>
      </c>
      <c r="D2515" s="2">
        <v>33782</v>
      </c>
      <c r="E2515" s="2">
        <f t="shared" si="197"/>
        <v>3.3782000000000001</v>
      </c>
      <c r="F2515" s="2">
        <f t="shared" si="198"/>
        <v>-1.6559833506724075E-3</v>
      </c>
      <c r="G2515" s="2">
        <f t="shared" si="199"/>
        <v>2.7422808577042138E-6</v>
      </c>
    </row>
    <row r="2516" spans="1:7" x14ac:dyDescent="0.35">
      <c r="A2516" s="2">
        <v>788</v>
      </c>
      <c r="B2516" s="2">
        <f t="shared" si="195"/>
        <v>-550.35206382240722</v>
      </c>
      <c r="C2516" s="2">
        <f t="shared" si="196"/>
        <v>302887.39415358298</v>
      </c>
      <c r="D2516" s="2">
        <v>34134</v>
      </c>
      <c r="E2516" s="2">
        <f t="shared" si="197"/>
        <v>3.4134000000000002</v>
      </c>
      <c r="F2516" s="2">
        <f t="shared" si="198"/>
        <v>3.3544016649327713E-2</v>
      </c>
      <c r="G2516" s="2">
        <f t="shared" si="199"/>
        <v>1.1252010529703748E-3</v>
      </c>
    </row>
    <row r="2517" spans="1:7" x14ac:dyDescent="0.35">
      <c r="A2517" s="2">
        <v>788</v>
      </c>
      <c r="B2517" s="2">
        <f t="shared" si="195"/>
        <v>-550.35206382240722</v>
      </c>
      <c r="C2517" s="2">
        <f t="shared" si="196"/>
        <v>302887.39415358298</v>
      </c>
      <c r="D2517" s="2">
        <v>34486</v>
      </c>
      <c r="E2517" s="2">
        <f t="shared" si="197"/>
        <v>3.4485999999999999</v>
      </c>
      <c r="F2517" s="2">
        <f t="shared" si="198"/>
        <v>6.8744016649327389E-2</v>
      </c>
      <c r="G2517" s="2">
        <f t="shared" si="199"/>
        <v>4.7257398250830016E-3</v>
      </c>
    </row>
    <row r="2518" spans="1:7" x14ac:dyDescent="0.35">
      <c r="A2518" s="2">
        <v>788</v>
      </c>
      <c r="B2518" s="2">
        <f t="shared" si="195"/>
        <v>-550.35206382240722</v>
      </c>
      <c r="C2518" s="2">
        <f t="shared" si="196"/>
        <v>302887.39415358298</v>
      </c>
      <c r="D2518" s="2">
        <v>34837</v>
      </c>
      <c r="E2518" s="2">
        <f t="shared" si="197"/>
        <v>3.4836999999999998</v>
      </c>
      <c r="F2518" s="2">
        <f t="shared" si="198"/>
        <v>0.1038440166493273</v>
      </c>
      <c r="G2518" s="2">
        <f t="shared" si="199"/>
        <v>1.0783579793865765E-2</v>
      </c>
    </row>
    <row r="2519" spans="1:7" x14ac:dyDescent="0.35">
      <c r="A2519" s="2">
        <v>691</v>
      </c>
      <c r="B2519" s="2">
        <f t="shared" si="195"/>
        <v>-647.35206382240722</v>
      </c>
      <c r="C2519" s="2">
        <f t="shared" si="196"/>
        <v>419064.69453512999</v>
      </c>
      <c r="D2519" s="2">
        <v>20184</v>
      </c>
      <c r="E2519" s="2">
        <f t="shared" si="197"/>
        <v>2.0184000000000002</v>
      </c>
      <c r="F2519" s="2">
        <f t="shared" si="198"/>
        <v>-1.3614559833506723</v>
      </c>
      <c r="G2519" s="2">
        <f t="shared" si="199"/>
        <v>1.8535623946013462</v>
      </c>
    </row>
    <row r="2520" spans="1:7" x14ac:dyDescent="0.35">
      <c r="A2520" s="2">
        <v>691</v>
      </c>
      <c r="B2520" s="2">
        <f t="shared" si="195"/>
        <v>-647.35206382240722</v>
      </c>
      <c r="C2520" s="2">
        <f t="shared" si="196"/>
        <v>419064.69453512999</v>
      </c>
      <c r="D2520" s="2">
        <v>18306</v>
      </c>
      <c r="E2520" s="2">
        <f t="shared" si="197"/>
        <v>1.8306</v>
      </c>
      <c r="F2520" s="2">
        <f t="shared" si="198"/>
        <v>-1.5492559833506725</v>
      </c>
      <c r="G2520" s="2">
        <f t="shared" si="199"/>
        <v>2.4001941019478594</v>
      </c>
    </row>
    <row r="2521" spans="1:7" x14ac:dyDescent="0.35">
      <c r="A2521" s="2">
        <v>691</v>
      </c>
      <c r="B2521" s="2">
        <f t="shared" si="195"/>
        <v>-647.35206382240722</v>
      </c>
      <c r="C2521" s="2">
        <f t="shared" si="196"/>
        <v>419064.69453512999</v>
      </c>
      <c r="D2521" s="2">
        <v>15385</v>
      </c>
      <c r="E2521" s="2">
        <f t="shared" si="197"/>
        <v>1.5385</v>
      </c>
      <c r="F2521" s="2">
        <f t="shared" si="198"/>
        <v>-1.8413559833506725</v>
      </c>
      <c r="G2521" s="2">
        <f t="shared" si="199"/>
        <v>3.3905918574213221</v>
      </c>
    </row>
    <row r="2522" spans="1:7" x14ac:dyDescent="0.35">
      <c r="A2522" s="2">
        <v>691</v>
      </c>
      <c r="B2522" s="2">
        <f t="shared" si="195"/>
        <v>-647.35206382240722</v>
      </c>
      <c r="C2522" s="2">
        <f t="shared" si="196"/>
        <v>419064.69453512999</v>
      </c>
      <c r="D2522" s="2">
        <v>18000</v>
      </c>
      <c r="E2522" s="2">
        <f t="shared" si="197"/>
        <v>1.8</v>
      </c>
      <c r="F2522" s="2">
        <f t="shared" si="198"/>
        <v>-1.5798559833506725</v>
      </c>
      <c r="G2522" s="2">
        <f t="shared" si="199"/>
        <v>2.4959449281289201</v>
      </c>
    </row>
    <row r="2523" spans="1:7" x14ac:dyDescent="0.35">
      <c r="A2523" s="2">
        <v>691</v>
      </c>
      <c r="B2523" s="2">
        <f t="shared" si="195"/>
        <v>-647.35206382240722</v>
      </c>
      <c r="C2523" s="2">
        <f t="shared" si="196"/>
        <v>419064.69453512999</v>
      </c>
      <c r="D2523" s="2">
        <v>17268</v>
      </c>
      <c r="E2523" s="2">
        <f t="shared" si="197"/>
        <v>1.7267999999999999</v>
      </c>
      <c r="F2523" s="2">
        <f t="shared" si="198"/>
        <v>-1.6530559833506726</v>
      </c>
      <c r="G2523" s="2">
        <f t="shared" si="199"/>
        <v>2.7325940840914593</v>
      </c>
    </row>
    <row r="2524" spans="1:7" x14ac:dyDescent="0.35">
      <c r="A2524" s="2">
        <v>691</v>
      </c>
      <c r="B2524" s="2">
        <f t="shared" si="195"/>
        <v>-647.35206382240722</v>
      </c>
      <c r="C2524" s="2">
        <f t="shared" si="196"/>
        <v>419064.69453512999</v>
      </c>
      <c r="D2524" s="2">
        <v>27093</v>
      </c>
      <c r="E2524" s="2">
        <f t="shared" si="197"/>
        <v>2.7092999999999998</v>
      </c>
      <c r="F2524" s="2">
        <f t="shared" si="198"/>
        <v>-0.67055598335067268</v>
      </c>
      <c r="G2524" s="2">
        <f t="shared" si="199"/>
        <v>0.44964532680738761</v>
      </c>
    </row>
    <row r="2525" spans="1:7" x14ac:dyDescent="0.35">
      <c r="A2525" s="2">
        <v>691</v>
      </c>
      <c r="B2525" s="2">
        <f t="shared" si="195"/>
        <v>-647.35206382240722</v>
      </c>
      <c r="C2525" s="2">
        <f t="shared" si="196"/>
        <v>419064.69453512999</v>
      </c>
      <c r="D2525" s="2">
        <v>24566</v>
      </c>
      <c r="E2525" s="2">
        <f t="shared" si="197"/>
        <v>2.4565999999999999</v>
      </c>
      <c r="F2525" s="2">
        <f t="shared" si="198"/>
        <v>-0.9232559833506726</v>
      </c>
      <c r="G2525" s="2">
        <f t="shared" si="199"/>
        <v>0.8524016107928174</v>
      </c>
    </row>
    <row r="2526" spans="1:7" x14ac:dyDescent="0.35">
      <c r="A2526" s="2">
        <v>691</v>
      </c>
      <c r="B2526" s="2">
        <f t="shared" si="195"/>
        <v>-647.35206382240722</v>
      </c>
      <c r="C2526" s="2">
        <f t="shared" si="196"/>
        <v>419064.69453512999</v>
      </c>
      <c r="D2526" s="2">
        <v>24908</v>
      </c>
      <c r="E2526" s="2">
        <f t="shared" si="197"/>
        <v>2.4908000000000001</v>
      </c>
      <c r="F2526" s="2">
        <f t="shared" si="198"/>
        <v>-0.88905598335067237</v>
      </c>
      <c r="G2526" s="2">
        <f t="shared" si="199"/>
        <v>0.79042054153163099</v>
      </c>
    </row>
    <row r="2527" spans="1:7" x14ac:dyDescent="0.35">
      <c r="A2527" s="2">
        <v>691</v>
      </c>
      <c r="B2527" s="2">
        <f t="shared" si="195"/>
        <v>-647.35206382240722</v>
      </c>
      <c r="C2527" s="2">
        <f t="shared" si="196"/>
        <v>419064.69453512999</v>
      </c>
      <c r="D2527" s="2">
        <v>37900</v>
      </c>
      <c r="E2527" s="2">
        <f t="shared" si="197"/>
        <v>3.79</v>
      </c>
      <c r="F2527" s="2">
        <f t="shared" si="198"/>
        <v>0.41014401664932754</v>
      </c>
      <c r="G2527" s="2">
        <f t="shared" si="199"/>
        <v>0.16821811439324386</v>
      </c>
    </row>
    <row r="2528" spans="1:7" x14ac:dyDescent="0.35">
      <c r="A2528" s="2">
        <v>691</v>
      </c>
      <c r="B2528" s="2">
        <f t="shared" si="195"/>
        <v>-647.35206382240722</v>
      </c>
      <c r="C2528" s="2">
        <f t="shared" si="196"/>
        <v>419064.69453512999</v>
      </c>
      <c r="D2528" s="2">
        <v>26100</v>
      </c>
      <c r="E2528" s="2">
        <f t="shared" si="197"/>
        <v>2.61</v>
      </c>
      <c r="F2528" s="2">
        <f t="shared" si="198"/>
        <v>-0.76985598335067262</v>
      </c>
      <c r="G2528" s="2">
        <f t="shared" si="199"/>
        <v>0.59267823510083117</v>
      </c>
    </row>
    <row r="2529" spans="1:7" x14ac:dyDescent="0.35">
      <c r="A2529" s="2">
        <v>691</v>
      </c>
      <c r="B2529" s="2">
        <f t="shared" si="195"/>
        <v>-647.35206382240722</v>
      </c>
      <c r="C2529" s="2">
        <f t="shared" si="196"/>
        <v>419064.69453512999</v>
      </c>
      <c r="D2529" s="2">
        <v>28523</v>
      </c>
      <c r="E2529" s="2">
        <f t="shared" si="197"/>
        <v>2.8523000000000001</v>
      </c>
      <c r="F2529" s="2">
        <f t="shared" si="198"/>
        <v>-0.52755598335067244</v>
      </c>
      <c r="G2529" s="2">
        <f t="shared" si="199"/>
        <v>0.278315315569095</v>
      </c>
    </row>
    <row r="2530" spans="1:7" x14ac:dyDescent="0.35">
      <c r="A2530" s="2">
        <v>691</v>
      </c>
      <c r="B2530" s="2">
        <f t="shared" si="195"/>
        <v>-647.35206382240722</v>
      </c>
      <c r="C2530" s="2">
        <f t="shared" si="196"/>
        <v>419064.69453512999</v>
      </c>
      <c r="D2530" s="2">
        <v>36408</v>
      </c>
      <c r="E2530" s="2">
        <f t="shared" si="197"/>
        <v>3.6408</v>
      </c>
      <c r="F2530" s="2">
        <f t="shared" si="198"/>
        <v>0.26094401664932754</v>
      </c>
      <c r="G2530" s="2">
        <f t="shared" si="199"/>
        <v>6.8091779825084534E-2</v>
      </c>
    </row>
    <row r="2531" spans="1:7" x14ac:dyDescent="0.35">
      <c r="A2531" s="2">
        <v>691</v>
      </c>
      <c r="B2531" s="2">
        <f t="shared" si="195"/>
        <v>-647.35206382240722</v>
      </c>
      <c r="C2531" s="2">
        <f t="shared" si="196"/>
        <v>419064.69453512999</v>
      </c>
      <c r="D2531" s="2">
        <v>32844</v>
      </c>
      <c r="E2531" s="2">
        <f t="shared" si="197"/>
        <v>3.2844000000000002</v>
      </c>
      <c r="F2531" s="2">
        <f t="shared" si="198"/>
        <v>-9.5455983350672291E-2</v>
      </c>
      <c r="G2531" s="2">
        <f t="shared" si="199"/>
        <v>9.1118447574438256E-3</v>
      </c>
    </row>
    <row r="2532" spans="1:7" x14ac:dyDescent="0.35">
      <c r="A2532" s="2">
        <v>691</v>
      </c>
      <c r="B2532" s="2">
        <f t="shared" si="195"/>
        <v>-647.35206382240722</v>
      </c>
      <c r="C2532" s="2">
        <f t="shared" si="196"/>
        <v>419064.69453512999</v>
      </c>
      <c r="D2532" s="2">
        <v>31415</v>
      </c>
      <c r="E2532" s="2">
        <f t="shared" si="197"/>
        <v>3.1415000000000002</v>
      </c>
      <c r="F2532" s="2">
        <f t="shared" si="198"/>
        <v>-0.23835598335067232</v>
      </c>
      <c r="G2532" s="2">
        <f t="shared" si="199"/>
        <v>5.6813574799065979E-2</v>
      </c>
    </row>
    <row r="2533" spans="1:7" x14ac:dyDescent="0.35">
      <c r="A2533" s="2">
        <v>691</v>
      </c>
      <c r="B2533" s="2">
        <f t="shared" si="195"/>
        <v>-647.35206382240722</v>
      </c>
      <c r="C2533" s="2">
        <f t="shared" si="196"/>
        <v>419064.69453512999</v>
      </c>
      <c r="D2533" s="2">
        <v>30707</v>
      </c>
      <c r="E2533" s="2">
        <f t="shared" si="197"/>
        <v>3.0707</v>
      </c>
      <c r="F2533" s="2">
        <f t="shared" si="198"/>
        <v>-0.30915598335067251</v>
      </c>
      <c r="G2533" s="2">
        <f t="shared" si="199"/>
        <v>9.5577422041521296E-2</v>
      </c>
    </row>
    <row r="2534" spans="1:7" x14ac:dyDescent="0.35">
      <c r="A2534" s="2">
        <v>691</v>
      </c>
      <c r="B2534" s="2">
        <f t="shared" si="195"/>
        <v>-647.35206382240722</v>
      </c>
      <c r="C2534" s="2">
        <f t="shared" si="196"/>
        <v>419064.69453512999</v>
      </c>
      <c r="D2534" s="2">
        <v>52616</v>
      </c>
      <c r="E2534" s="2">
        <f t="shared" si="197"/>
        <v>5.2615999999999996</v>
      </c>
      <c r="F2534" s="2">
        <f t="shared" si="198"/>
        <v>1.8817440166493271</v>
      </c>
      <c r="G2534" s="2">
        <f t="shared" si="199"/>
        <v>3.540960544195543</v>
      </c>
    </row>
    <row r="2535" spans="1:7" x14ac:dyDescent="0.35">
      <c r="A2535" s="2">
        <v>691</v>
      </c>
      <c r="B2535" s="2">
        <f t="shared" si="195"/>
        <v>-647.35206382240722</v>
      </c>
      <c r="C2535" s="2">
        <f t="shared" si="196"/>
        <v>419064.69453512999</v>
      </c>
      <c r="D2535" s="2">
        <v>43558</v>
      </c>
      <c r="E2535" s="2">
        <f t="shared" si="197"/>
        <v>4.3558000000000003</v>
      </c>
      <c r="F2535" s="2">
        <f t="shared" si="198"/>
        <v>0.97594401664932784</v>
      </c>
      <c r="G2535" s="2">
        <f t="shared" si="199"/>
        <v>0.9524667236336235</v>
      </c>
    </row>
    <row r="2536" spans="1:7" x14ac:dyDescent="0.35">
      <c r="A2536" s="2">
        <v>691</v>
      </c>
      <c r="B2536" s="2">
        <f t="shared" si="195"/>
        <v>-647.35206382240722</v>
      </c>
      <c r="C2536" s="2">
        <f t="shared" si="196"/>
        <v>419064.69453512999</v>
      </c>
      <c r="D2536" s="2">
        <v>51740</v>
      </c>
      <c r="E2536" s="2">
        <f t="shared" si="197"/>
        <v>5.1740000000000004</v>
      </c>
      <c r="F2536" s="2">
        <f t="shared" si="198"/>
        <v>1.7941440166493279</v>
      </c>
      <c r="G2536" s="2">
        <f t="shared" si="199"/>
        <v>3.2189527524785837</v>
      </c>
    </row>
    <row r="2537" spans="1:7" x14ac:dyDescent="0.35">
      <c r="A2537" s="2">
        <v>691</v>
      </c>
      <c r="B2537" s="2">
        <f t="shared" si="195"/>
        <v>-647.35206382240722</v>
      </c>
      <c r="C2537" s="2">
        <f t="shared" si="196"/>
        <v>419064.69453512999</v>
      </c>
      <c r="D2537" s="2">
        <v>58186</v>
      </c>
      <c r="E2537" s="2">
        <f t="shared" si="197"/>
        <v>5.8186</v>
      </c>
      <c r="F2537" s="2">
        <f t="shared" si="198"/>
        <v>2.4387440166493275</v>
      </c>
      <c r="G2537" s="2">
        <f t="shared" si="199"/>
        <v>5.9474723787428951</v>
      </c>
    </row>
    <row r="2538" spans="1:7" x14ac:dyDescent="0.35">
      <c r="A2538" s="2">
        <v>691</v>
      </c>
      <c r="B2538" s="2">
        <f t="shared" si="195"/>
        <v>-647.35206382240722</v>
      </c>
      <c r="C2538" s="2">
        <f t="shared" si="196"/>
        <v>419064.69453512999</v>
      </c>
      <c r="D2538" s="2">
        <v>62517</v>
      </c>
      <c r="E2538" s="2">
        <f t="shared" si="197"/>
        <v>6.2516999999999996</v>
      </c>
      <c r="F2538" s="2">
        <f t="shared" si="198"/>
        <v>2.8718440166493271</v>
      </c>
      <c r="G2538" s="2">
        <f t="shared" si="199"/>
        <v>8.2474880559645403</v>
      </c>
    </row>
    <row r="2539" spans="1:7" x14ac:dyDescent="0.35">
      <c r="A2539" s="2">
        <v>691</v>
      </c>
      <c r="B2539" s="2">
        <f t="shared" si="195"/>
        <v>-647.35206382240722</v>
      </c>
      <c r="C2539" s="2">
        <f t="shared" si="196"/>
        <v>419064.69453512999</v>
      </c>
      <c r="D2539" s="2">
        <v>66592</v>
      </c>
      <c r="E2539" s="2">
        <f t="shared" si="197"/>
        <v>6.6592000000000002</v>
      </c>
      <c r="F2539" s="2">
        <f t="shared" si="198"/>
        <v>3.2793440166493277</v>
      </c>
      <c r="G2539" s="2">
        <f t="shared" si="199"/>
        <v>10.754097179533746</v>
      </c>
    </row>
    <row r="2540" spans="1:7" x14ac:dyDescent="0.35">
      <c r="A2540" s="2">
        <v>691</v>
      </c>
      <c r="B2540" s="2">
        <f t="shared" si="195"/>
        <v>-647.35206382240722</v>
      </c>
      <c r="C2540" s="2">
        <f t="shared" si="196"/>
        <v>419064.69453512999</v>
      </c>
      <c r="D2540" s="2">
        <v>71960</v>
      </c>
      <c r="E2540" s="2">
        <f t="shared" si="197"/>
        <v>7.1959999999999997</v>
      </c>
      <c r="F2540" s="2">
        <f t="shared" si="198"/>
        <v>3.8161440166493272</v>
      </c>
      <c r="G2540" s="2">
        <f t="shared" si="199"/>
        <v>14.56295515580846</v>
      </c>
    </row>
    <row r="2541" spans="1:7" x14ac:dyDescent="0.35">
      <c r="A2541" s="2">
        <v>691</v>
      </c>
      <c r="B2541" s="2">
        <f t="shared" si="195"/>
        <v>-647.35206382240722</v>
      </c>
      <c r="C2541" s="2">
        <f t="shared" si="196"/>
        <v>419064.69453512999</v>
      </c>
      <c r="D2541" s="2">
        <v>72909</v>
      </c>
      <c r="E2541" s="2">
        <f t="shared" si="197"/>
        <v>7.2908999999999997</v>
      </c>
      <c r="F2541" s="2">
        <f t="shared" si="198"/>
        <v>3.9110440166493272</v>
      </c>
      <c r="G2541" s="2">
        <f t="shared" si="199"/>
        <v>15.296265300168503</v>
      </c>
    </row>
    <row r="2542" spans="1:7" x14ac:dyDescent="0.35">
      <c r="A2542" s="2">
        <v>691</v>
      </c>
      <c r="B2542" s="2">
        <f t="shared" si="195"/>
        <v>-647.35206382240722</v>
      </c>
      <c r="C2542" s="2">
        <f t="shared" si="196"/>
        <v>419064.69453512999</v>
      </c>
      <c r="D2542" s="2">
        <v>70534</v>
      </c>
      <c r="E2542" s="2">
        <f t="shared" si="197"/>
        <v>7.0533999999999999</v>
      </c>
      <c r="F2542" s="2">
        <f t="shared" si="198"/>
        <v>3.6735440166493274</v>
      </c>
      <c r="G2542" s="2">
        <f t="shared" si="199"/>
        <v>13.494925642260073</v>
      </c>
    </row>
    <row r="2543" spans="1:7" x14ac:dyDescent="0.35">
      <c r="A2543" s="2">
        <v>1622</v>
      </c>
      <c r="B2543" s="2">
        <f t="shared" si="195"/>
        <v>283.64793617759278</v>
      </c>
      <c r="C2543" s="2">
        <f t="shared" si="196"/>
        <v>80456.151697807742</v>
      </c>
      <c r="D2543" s="2">
        <v>20608</v>
      </c>
      <c r="E2543" s="2">
        <f t="shared" si="197"/>
        <v>2.0608</v>
      </c>
      <c r="F2543" s="2">
        <f t="shared" si="198"/>
        <v>-1.3190559833506725</v>
      </c>
      <c r="G2543" s="2">
        <f t="shared" si="199"/>
        <v>1.7399086872132097</v>
      </c>
    </row>
    <row r="2544" spans="1:7" x14ac:dyDescent="0.35">
      <c r="A2544" s="2">
        <v>1622</v>
      </c>
      <c r="B2544" s="2">
        <f t="shared" si="195"/>
        <v>283.64793617759278</v>
      </c>
      <c r="C2544" s="2">
        <f t="shared" si="196"/>
        <v>80456.151697807742</v>
      </c>
      <c r="D2544" s="2">
        <v>20522</v>
      </c>
      <c r="E2544" s="2">
        <f t="shared" si="197"/>
        <v>2.0522</v>
      </c>
      <c r="F2544" s="2">
        <f t="shared" si="198"/>
        <v>-1.3276559833506725</v>
      </c>
      <c r="G2544" s="2">
        <f t="shared" si="199"/>
        <v>1.7626704101268411</v>
      </c>
    </row>
    <row r="2545" spans="1:7" x14ac:dyDescent="0.35">
      <c r="A2545" s="2">
        <v>1622</v>
      </c>
      <c r="B2545" s="2">
        <f t="shared" si="195"/>
        <v>283.64793617759278</v>
      </c>
      <c r="C2545" s="2">
        <f t="shared" si="196"/>
        <v>80456.151697807742</v>
      </c>
      <c r="D2545" s="2">
        <v>20147</v>
      </c>
      <c r="E2545" s="2">
        <f t="shared" si="197"/>
        <v>2.0146999999999999</v>
      </c>
      <c r="F2545" s="2">
        <f t="shared" si="198"/>
        <v>-1.3651559833506726</v>
      </c>
      <c r="G2545" s="2">
        <f t="shared" si="199"/>
        <v>1.8636508588781417</v>
      </c>
    </row>
    <row r="2546" spans="1:7" x14ac:dyDescent="0.35">
      <c r="A2546" s="2">
        <v>1622</v>
      </c>
      <c r="B2546" s="2">
        <f t="shared" si="195"/>
        <v>283.64793617759278</v>
      </c>
      <c r="C2546" s="2">
        <f t="shared" si="196"/>
        <v>80456.151697807742</v>
      </c>
      <c r="D2546" s="2">
        <v>20853</v>
      </c>
      <c r="E2546" s="2">
        <f t="shared" si="197"/>
        <v>2.0853000000000002</v>
      </c>
      <c r="F2546" s="2">
        <f t="shared" si="198"/>
        <v>-1.2945559833506723</v>
      </c>
      <c r="G2546" s="2">
        <f t="shared" si="199"/>
        <v>1.6758751940290262</v>
      </c>
    </row>
    <row r="2547" spans="1:7" x14ac:dyDescent="0.35">
      <c r="A2547" s="2">
        <v>1622</v>
      </c>
      <c r="B2547" s="2">
        <f t="shared" si="195"/>
        <v>283.64793617759278</v>
      </c>
      <c r="C2547" s="2">
        <f t="shared" si="196"/>
        <v>80456.151697807742</v>
      </c>
      <c r="D2547" s="2">
        <v>19556</v>
      </c>
      <c r="E2547" s="2">
        <f t="shared" si="197"/>
        <v>1.9556</v>
      </c>
      <c r="F2547" s="2">
        <f t="shared" si="198"/>
        <v>-1.4242559833506725</v>
      </c>
      <c r="G2547" s="2">
        <f t="shared" si="199"/>
        <v>2.0285051061101913</v>
      </c>
    </row>
    <row r="2548" spans="1:7" x14ac:dyDescent="0.35">
      <c r="A2548" s="2">
        <v>1622</v>
      </c>
      <c r="B2548" s="2">
        <f t="shared" si="195"/>
        <v>283.64793617759278</v>
      </c>
      <c r="C2548" s="2">
        <f t="shared" si="196"/>
        <v>80456.151697807742</v>
      </c>
      <c r="D2548" s="2">
        <v>22534</v>
      </c>
      <c r="E2548" s="2">
        <f t="shared" si="197"/>
        <v>2.2534000000000001</v>
      </c>
      <c r="F2548" s="2">
        <f t="shared" si="198"/>
        <v>-1.1264559833506724</v>
      </c>
      <c r="G2548" s="2">
        <f t="shared" si="199"/>
        <v>1.2689030824265304</v>
      </c>
    </row>
    <row r="2549" spans="1:7" x14ac:dyDescent="0.35">
      <c r="A2549" s="2">
        <v>1622</v>
      </c>
      <c r="B2549" s="2">
        <f t="shared" si="195"/>
        <v>283.64793617759278</v>
      </c>
      <c r="C2549" s="2">
        <f t="shared" si="196"/>
        <v>80456.151697807742</v>
      </c>
      <c r="D2549" s="2">
        <v>21745</v>
      </c>
      <c r="E2549" s="2">
        <f t="shared" si="197"/>
        <v>2.1745000000000001</v>
      </c>
      <c r="F2549" s="2">
        <f t="shared" si="198"/>
        <v>-1.2053559833506724</v>
      </c>
      <c r="G2549" s="2">
        <f t="shared" si="199"/>
        <v>1.4528830465992664</v>
      </c>
    </row>
    <row r="2550" spans="1:7" x14ac:dyDescent="0.35">
      <c r="A2550" s="2">
        <v>1622</v>
      </c>
      <c r="B2550" s="2">
        <f t="shared" si="195"/>
        <v>283.64793617759278</v>
      </c>
      <c r="C2550" s="2">
        <f t="shared" si="196"/>
        <v>80456.151697807742</v>
      </c>
      <c r="D2550" s="2">
        <v>20497</v>
      </c>
      <c r="E2550" s="2">
        <f t="shared" si="197"/>
        <v>2.0497000000000001</v>
      </c>
      <c r="F2550" s="2">
        <f t="shared" si="198"/>
        <v>-1.3301559833506724</v>
      </c>
      <c r="G2550" s="2">
        <f t="shared" si="199"/>
        <v>1.7693149400435944</v>
      </c>
    </row>
    <row r="2551" spans="1:7" x14ac:dyDescent="0.35">
      <c r="A2551" s="2">
        <v>1622</v>
      </c>
      <c r="B2551" s="2">
        <f t="shared" si="195"/>
        <v>283.64793617759278</v>
      </c>
      <c r="C2551" s="2">
        <f t="shared" si="196"/>
        <v>80456.151697807742</v>
      </c>
      <c r="D2551" s="2">
        <v>23521</v>
      </c>
      <c r="E2551" s="2">
        <f t="shared" si="197"/>
        <v>2.3521000000000001</v>
      </c>
      <c r="F2551" s="2">
        <f t="shared" si="198"/>
        <v>-1.0277559833506724</v>
      </c>
      <c r="G2551" s="2">
        <f t="shared" si="199"/>
        <v>1.0562823613131076</v>
      </c>
    </row>
    <row r="2552" spans="1:7" x14ac:dyDescent="0.35">
      <c r="A2552" s="2">
        <v>1622</v>
      </c>
      <c r="B2552" s="2">
        <f t="shared" si="195"/>
        <v>283.64793617759278</v>
      </c>
      <c r="C2552" s="2">
        <f t="shared" si="196"/>
        <v>80456.151697807742</v>
      </c>
      <c r="D2552" s="2">
        <v>24158</v>
      </c>
      <c r="E2552" s="2">
        <f t="shared" si="197"/>
        <v>2.4157999999999999</v>
      </c>
      <c r="F2552" s="2">
        <f t="shared" si="198"/>
        <v>-0.96405598335067255</v>
      </c>
      <c r="G2552" s="2">
        <f t="shared" si="199"/>
        <v>0.92940393903423224</v>
      </c>
    </row>
    <row r="2553" spans="1:7" x14ac:dyDescent="0.35">
      <c r="A2553" s="2">
        <v>1622</v>
      </c>
      <c r="B2553" s="2">
        <f t="shared" si="195"/>
        <v>283.64793617759278</v>
      </c>
      <c r="C2553" s="2">
        <f t="shared" si="196"/>
        <v>80456.151697807742</v>
      </c>
      <c r="D2553" s="2">
        <v>24098</v>
      </c>
      <c r="E2553" s="2">
        <f t="shared" si="197"/>
        <v>2.4098000000000002</v>
      </c>
      <c r="F2553" s="2">
        <f t="shared" si="198"/>
        <v>-0.97005598335067234</v>
      </c>
      <c r="G2553" s="2">
        <f t="shared" si="199"/>
        <v>0.94100861083443987</v>
      </c>
    </row>
    <row r="2554" spans="1:7" x14ac:dyDescent="0.35">
      <c r="A2554" s="2">
        <v>1622</v>
      </c>
      <c r="B2554" s="2">
        <f t="shared" si="195"/>
        <v>283.64793617759278</v>
      </c>
      <c r="C2554" s="2">
        <f t="shared" si="196"/>
        <v>80456.151697807742</v>
      </c>
      <c r="D2554" s="2">
        <v>23788</v>
      </c>
      <c r="E2554" s="2">
        <f t="shared" si="197"/>
        <v>2.3788</v>
      </c>
      <c r="F2554" s="2">
        <f t="shared" si="198"/>
        <v>-1.0010559833506725</v>
      </c>
      <c r="G2554" s="2">
        <f t="shared" si="199"/>
        <v>1.0021130818021819</v>
      </c>
    </row>
    <row r="2555" spans="1:7" x14ac:dyDescent="0.35">
      <c r="A2555" s="2">
        <v>1622</v>
      </c>
      <c r="B2555" s="2">
        <f t="shared" si="195"/>
        <v>283.64793617759278</v>
      </c>
      <c r="C2555" s="2">
        <f t="shared" si="196"/>
        <v>80456.151697807742</v>
      </c>
      <c r="D2555" s="2">
        <v>24180</v>
      </c>
      <c r="E2555" s="2">
        <f t="shared" si="197"/>
        <v>2.4180000000000001</v>
      </c>
      <c r="F2555" s="2">
        <f t="shared" si="198"/>
        <v>-0.96185598335067235</v>
      </c>
      <c r="G2555" s="2">
        <f t="shared" si="199"/>
        <v>0.92516693270748884</v>
      </c>
    </row>
    <row r="2556" spans="1:7" x14ac:dyDescent="0.35">
      <c r="A2556" s="2">
        <v>1622</v>
      </c>
      <c r="B2556" s="2">
        <f t="shared" si="195"/>
        <v>283.64793617759278</v>
      </c>
      <c r="C2556" s="2">
        <f t="shared" si="196"/>
        <v>80456.151697807742</v>
      </c>
      <c r="D2556" s="2">
        <v>24244</v>
      </c>
      <c r="E2556" s="2">
        <f t="shared" si="197"/>
        <v>2.4243999999999999</v>
      </c>
      <c r="F2556" s="2">
        <f t="shared" si="198"/>
        <v>-0.95545598335067261</v>
      </c>
      <c r="G2556" s="2">
        <f t="shared" si="199"/>
        <v>0.91289613612060083</v>
      </c>
    </row>
    <row r="2557" spans="1:7" x14ac:dyDescent="0.35">
      <c r="A2557" s="2">
        <v>1622</v>
      </c>
      <c r="B2557" s="2">
        <f t="shared" si="195"/>
        <v>283.64793617759278</v>
      </c>
      <c r="C2557" s="2">
        <f t="shared" si="196"/>
        <v>80456.151697807742</v>
      </c>
      <c r="D2557" s="2">
        <v>26128</v>
      </c>
      <c r="E2557" s="2">
        <f t="shared" si="197"/>
        <v>2.6128</v>
      </c>
      <c r="F2557" s="2">
        <f t="shared" si="198"/>
        <v>-0.76705598335067249</v>
      </c>
      <c r="G2557" s="2">
        <f t="shared" si="199"/>
        <v>0.58837488159406715</v>
      </c>
    </row>
    <row r="2558" spans="1:7" x14ac:dyDescent="0.35">
      <c r="A2558" s="2">
        <v>1622</v>
      </c>
      <c r="B2558" s="2">
        <f t="shared" si="195"/>
        <v>283.64793617759278</v>
      </c>
      <c r="C2558" s="2">
        <f t="shared" si="196"/>
        <v>80456.151697807742</v>
      </c>
      <c r="D2558" s="2">
        <v>28739</v>
      </c>
      <c r="E2558" s="2">
        <f t="shared" si="197"/>
        <v>2.8738999999999999</v>
      </c>
      <c r="F2558" s="2">
        <f t="shared" si="198"/>
        <v>-0.5059559833506726</v>
      </c>
      <c r="G2558" s="2">
        <f t="shared" si="199"/>
        <v>0.25599145708834609</v>
      </c>
    </row>
    <row r="2559" spans="1:7" x14ac:dyDescent="0.35">
      <c r="A2559" s="2">
        <v>1622</v>
      </c>
      <c r="B2559" s="2">
        <f t="shared" si="195"/>
        <v>283.64793617759278</v>
      </c>
      <c r="C2559" s="2">
        <f t="shared" si="196"/>
        <v>80456.151697807742</v>
      </c>
      <c r="D2559" s="2">
        <v>29338</v>
      </c>
      <c r="E2559" s="2">
        <f t="shared" si="197"/>
        <v>2.9338000000000002</v>
      </c>
      <c r="F2559" s="2">
        <f t="shared" si="198"/>
        <v>-0.44605598335067231</v>
      </c>
      <c r="G2559" s="2">
        <f t="shared" si="199"/>
        <v>0.19896594028293527</v>
      </c>
    </row>
    <row r="2560" spans="1:7" x14ac:dyDescent="0.35">
      <c r="A2560" s="2">
        <v>1622</v>
      </c>
      <c r="B2560" s="2">
        <f t="shared" si="195"/>
        <v>283.64793617759278</v>
      </c>
      <c r="C2560" s="2">
        <f t="shared" si="196"/>
        <v>80456.151697807742</v>
      </c>
      <c r="D2560" s="2">
        <v>28895</v>
      </c>
      <c r="E2560" s="2">
        <f t="shared" si="197"/>
        <v>2.8895</v>
      </c>
      <c r="F2560" s="2">
        <f t="shared" si="198"/>
        <v>-0.49035598335067254</v>
      </c>
      <c r="G2560" s="2">
        <f t="shared" si="199"/>
        <v>0.24044899040780504</v>
      </c>
    </row>
    <row r="2561" spans="1:7" x14ac:dyDescent="0.35">
      <c r="A2561" s="2">
        <v>1622</v>
      </c>
      <c r="B2561" s="2">
        <f t="shared" si="195"/>
        <v>283.64793617759278</v>
      </c>
      <c r="C2561" s="2">
        <f t="shared" si="196"/>
        <v>80456.151697807742</v>
      </c>
      <c r="D2561" s="2">
        <v>29974</v>
      </c>
      <c r="E2561" s="2">
        <f t="shared" si="197"/>
        <v>2.9973999999999998</v>
      </c>
      <c r="F2561" s="2">
        <f t="shared" si="198"/>
        <v>-0.38245598335067266</v>
      </c>
      <c r="G2561" s="2">
        <f t="shared" si="199"/>
        <v>0.14627257920073</v>
      </c>
    </row>
    <row r="2562" spans="1:7" x14ac:dyDescent="0.35">
      <c r="A2562" s="2">
        <v>1622</v>
      </c>
      <c r="B2562" s="2">
        <f t="shared" si="195"/>
        <v>283.64793617759278</v>
      </c>
      <c r="C2562" s="2">
        <f t="shared" si="196"/>
        <v>80456.151697807742</v>
      </c>
      <c r="D2562" s="2">
        <v>29503</v>
      </c>
      <c r="E2562" s="2">
        <f t="shared" si="197"/>
        <v>2.9502999999999999</v>
      </c>
      <c r="F2562" s="2">
        <f t="shared" si="198"/>
        <v>-0.42955598335067258</v>
      </c>
      <c r="G2562" s="2">
        <f t="shared" si="199"/>
        <v>0.18451834283236329</v>
      </c>
    </row>
    <row r="2563" spans="1:7" x14ac:dyDescent="0.35">
      <c r="A2563" s="2">
        <v>1622</v>
      </c>
      <c r="B2563" s="2">
        <f t="shared" ref="B2563:B2626" si="200">A2563-$J$1</f>
        <v>283.64793617759278</v>
      </c>
      <c r="C2563" s="2">
        <f t="shared" ref="C2563:C2626" si="201">B2563^2</f>
        <v>80456.151697807742</v>
      </c>
      <c r="D2563" s="2">
        <v>30441</v>
      </c>
      <c r="E2563" s="2">
        <f t="shared" ref="E2563:E2626" si="202">D2563/10000</f>
        <v>3.0440999999999998</v>
      </c>
      <c r="F2563" s="2">
        <f t="shared" ref="F2563:F2626" si="203">E2563-$J$2</f>
        <v>-0.33575598335067269</v>
      </c>
      <c r="G2563" s="2">
        <f t="shared" ref="G2563:G2626" si="204">F2563^2</f>
        <v>0.1127320803557772</v>
      </c>
    </row>
    <row r="2564" spans="1:7" x14ac:dyDescent="0.35">
      <c r="A2564" s="2">
        <v>1622</v>
      </c>
      <c r="B2564" s="2">
        <f t="shared" si="200"/>
        <v>283.64793617759278</v>
      </c>
      <c r="C2564" s="2">
        <f t="shared" si="201"/>
        <v>80456.151697807742</v>
      </c>
      <c r="D2564" s="2">
        <v>29974</v>
      </c>
      <c r="E2564" s="2">
        <f t="shared" si="202"/>
        <v>2.9973999999999998</v>
      </c>
      <c r="F2564" s="2">
        <f t="shared" si="203"/>
        <v>-0.38245598335067266</v>
      </c>
      <c r="G2564" s="2">
        <f t="shared" si="204"/>
        <v>0.14627257920073</v>
      </c>
    </row>
    <row r="2565" spans="1:7" x14ac:dyDescent="0.35">
      <c r="A2565" s="2">
        <v>1622</v>
      </c>
      <c r="B2565" s="2">
        <f t="shared" si="200"/>
        <v>283.64793617759278</v>
      </c>
      <c r="C2565" s="2">
        <f t="shared" si="201"/>
        <v>80456.151697807742</v>
      </c>
      <c r="D2565" s="2">
        <v>29079</v>
      </c>
      <c r="E2565" s="2">
        <f t="shared" si="202"/>
        <v>2.9079000000000002</v>
      </c>
      <c r="F2565" s="2">
        <f t="shared" si="203"/>
        <v>-0.47195598335067235</v>
      </c>
      <c r="G2565" s="2">
        <f t="shared" si="204"/>
        <v>0.22274245022050013</v>
      </c>
    </row>
    <row r="2566" spans="1:7" x14ac:dyDescent="0.35">
      <c r="A2566" s="2">
        <v>1622</v>
      </c>
      <c r="B2566" s="2">
        <f t="shared" si="200"/>
        <v>283.64793617759278</v>
      </c>
      <c r="C2566" s="2">
        <f t="shared" si="201"/>
        <v>80456.151697807742</v>
      </c>
      <c r="D2566" s="2">
        <v>29921</v>
      </c>
      <c r="E2566" s="2">
        <f t="shared" si="202"/>
        <v>2.9921000000000002</v>
      </c>
      <c r="F2566" s="2">
        <f t="shared" si="203"/>
        <v>-0.3877559833506723</v>
      </c>
      <c r="G2566" s="2">
        <f t="shared" si="204"/>
        <v>0.15035470262424686</v>
      </c>
    </row>
    <row r="2567" spans="1:7" x14ac:dyDescent="0.35">
      <c r="A2567" s="2">
        <v>1622</v>
      </c>
      <c r="B2567" s="2">
        <f t="shared" si="200"/>
        <v>283.64793617759278</v>
      </c>
      <c r="C2567" s="2">
        <f t="shared" si="201"/>
        <v>80456.151697807742</v>
      </c>
      <c r="D2567" s="2">
        <v>31867</v>
      </c>
      <c r="E2567" s="2">
        <f t="shared" si="202"/>
        <v>3.1867000000000001</v>
      </c>
      <c r="F2567" s="2">
        <f t="shared" si="203"/>
        <v>-0.19315598335067241</v>
      </c>
      <c r="G2567" s="2">
        <f t="shared" si="204"/>
        <v>3.730923390416524E-2</v>
      </c>
    </row>
    <row r="2568" spans="1:7" x14ac:dyDescent="0.35">
      <c r="A2568" s="2">
        <v>1622</v>
      </c>
      <c r="B2568" s="2">
        <f t="shared" si="200"/>
        <v>283.64793617759278</v>
      </c>
      <c r="C2568" s="2">
        <f t="shared" si="201"/>
        <v>80456.151697807742</v>
      </c>
      <c r="D2568" s="2">
        <v>31865</v>
      </c>
      <c r="E2568" s="2">
        <f t="shared" si="202"/>
        <v>3.1865000000000001</v>
      </c>
      <c r="F2568" s="2">
        <f t="shared" si="203"/>
        <v>-0.19335598335067239</v>
      </c>
      <c r="G2568" s="2">
        <f t="shared" si="204"/>
        <v>3.7386536297505497E-2</v>
      </c>
    </row>
    <row r="2569" spans="1:7" x14ac:dyDescent="0.35">
      <c r="A2569" s="2">
        <v>1622</v>
      </c>
      <c r="B2569" s="2">
        <f t="shared" si="200"/>
        <v>283.64793617759278</v>
      </c>
      <c r="C2569" s="2">
        <f t="shared" si="201"/>
        <v>80456.151697807742</v>
      </c>
      <c r="D2569" s="2">
        <v>31463</v>
      </c>
      <c r="E2569" s="2">
        <f t="shared" si="202"/>
        <v>3.1463000000000001</v>
      </c>
      <c r="F2569" s="2">
        <f t="shared" si="203"/>
        <v>-0.2335559833506724</v>
      </c>
      <c r="G2569" s="2">
        <f t="shared" si="204"/>
        <v>5.4548397358899561E-2</v>
      </c>
    </row>
    <row r="2570" spans="1:7" x14ac:dyDescent="0.35">
      <c r="A2570" s="2">
        <v>1622</v>
      </c>
      <c r="B2570" s="2">
        <f t="shared" si="200"/>
        <v>283.64793617759278</v>
      </c>
      <c r="C2570" s="2">
        <f t="shared" si="201"/>
        <v>80456.151697807742</v>
      </c>
      <c r="D2570" s="2">
        <v>30586</v>
      </c>
      <c r="E2570" s="2">
        <f t="shared" si="202"/>
        <v>3.0586000000000002</v>
      </c>
      <c r="F2570" s="2">
        <f t="shared" si="203"/>
        <v>-0.32125598335067229</v>
      </c>
      <c r="G2570" s="2">
        <f t="shared" si="204"/>
        <v>0.10320540683860743</v>
      </c>
    </row>
    <row r="2571" spans="1:7" x14ac:dyDescent="0.35">
      <c r="A2571" s="2">
        <v>1622</v>
      </c>
      <c r="B2571" s="2">
        <f t="shared" si="200"/>
        <v>283.64793617759278</v>
      </c>
      <c r="C2571" s="2">
        <f t="shared" si="201"/>
        <v>80456.151697807742</v>
      </c>
      <c r="D2571" s="2">
        <v>28506</v>
      </c>
      <c r="E2571" s="2">
        <f t="shared" si="202"/>
        <v>2.8506</v>
      </c>
      <c r="F2571" s="2">
        <f t="shared" si="203"/>
        <v>-0.52925598335067248</v>
      </c>
      <c r="G2571" s="2">
        <f t="shared" si="204"/>
        <v>0.28011189591248731</v>
      </c>
    </row>
    <row r="2572" spans="1:7" x14ac:dyDescent="0.35">
      <c r="A2572" s="2">
        <v>1622</v>
      </c>
      <c r="B2572" s="2">
        <f t="shared" si="200"/>
        <v>283.64793617759278</v>
      </c>
      <c r="C2572" s="2">
        <f t="shared" si="201"/>
        <v>80456.151697807742</v>
      </c>
      <c r="D2572" s="2">
        <v>29118</v>
      </c>
      <c r="E2572" s="2">
        <f t="shared" si="202"/>
        <v>2.9117999999999999</v>
      </c>
      <c r="F2572" s="2">
        <f t="shared" si="203"/>
        <v>-0.46805598335067256</v>
      </c>
      <c r="G2572" s="2">
        <f t="shared" si="204"/>
        <v>0.21907640355036506</v>
      </c>
    </row>
    <row r="2573" spans="1:7" x14ac:dyDescent="0.35">
      <c r="A2573" s="2">
        <v>1500</v>
      </c>
      <c r="B2573" s="2">
        <f t="shared" si="200"/>
        <v>161.64793617759278</v>
      </c>
      <c r="C2573" s="2">
        <f t="shared" si="201"/>
        <v>26130.05527047511</v>
      </c>
      <c r="D2573" s="2">
        <v>20000</v>
      </c>
      <c r="E2573" s="2">
        <f t="shared" si="202"/>
        <v>2</v>
      </c>
      <c r="F2573" s="2">
        <f t="shared" si="203"/>
        <v>-1.3798559833506725</v>
      </c>
      <c r="G2573" s="2">
        <f t="shared" si="204"/>
        <v>1.9040025347886513</v>
      </c>
    </row>
    <row r="2574" spans="1:7" x14ac:dyDescent="0.35">
      <c r="A2574" s="2">
        <v>1500</v>
      </c>
      <c r="B2574" s="2">
        <f t="shared" si="200"/>
        <v>161.64793617759278</v>
      </c>
      <c r="C2574" s="2">
        <f t="shared" si="201"/>
        <v>26130.05527047511</v>
      </c>
      <c r="D2574" s="2">
        <v>20000</v>
      </c>
      <c r="E2574" s="2">
        <f t="shared" si="202"/>
        <v>2</v>
      </c>
      <c r="F2574" s="2">
        <f t="shared" si="203"/>
        <v>-1.3798559833506725</v>
      </c>
      <c r="G2574" s="2">
        <f t="shared" si="204"/>
        <v>1.9040025347886513</v>
      </c>
    </row>
    <row r="2575" spans="1:7" x14ac:dyDescent="0.35">
      <c r="A2575" s="2">
        <v>1500</v>
      </c>
      <c r="B2575" s="2">
        <f t="shared" si="200"/>
        <v>161.64793617759278</v>
      </c>
      <c r="C2575" s="2">
        <f t="shared" si="201"/>
        <v>26130.05527047511</v>
      </c>
      <c r="D2575" s="2">
        <v>21305</v>
      </c>
      <c r="E2575" s="2">
        <f t="shared" si="202"/>
        <v>2.1305000000000001</v>
      </c>
      <c r="F2575" s="2">
        <f t="shared" si="203"/>
        <v>-1.2493559833506724</v>
      </c>
      <c r="G2575" s="2">
        <f t="shared" si="204"/>
        <v>1.5608903731341257</v>
      </c>
    </row>
    <row r="2576" spans="1:7" x14ac:dyDescent="0.35">
      <c r="A2576" s="2">
        <v>1500</v>
      </c>
      <c r="B2576" s="2">
        <f t="shared" si="200"/>
        <v>161.64793617759278</v>
      </c>
      <c r="C2576" s="2">
        <f t="shared" si="201"/>
        <v>26130.05527047511</v>
      </c>
      <c r="D2576" s="2">
        <v>25873</v>
      </c>
      <c r="E2576" s="2">
        <f t="shared" si="202"/>
        <v>2.5872999999999999</v>
      </c>
      <c r="F2576" s="2">
        <f t="shared" si="203"/>
        <v>-0.79255598335067257</v>
      </c>
      <c r="G2576" s="2">
        <f t="shared" si="204"/>
        <v>0.62814498674495156</v>
      </c>
    </row>
    <row r="2577" spans="1:7" x14ac:dyDescent="0.35">
      <c r="A2577" s="2">
        <v>1500</v>
      </c>
      <c r="B2577" s="2">
        <f t="shared" si="200"/>
        <v>161.64793617759278</v>
      </c>
      <c r="C2577" s="2">
        <f t="shared" si="201"/>
        <v>26130.05527047511</v>
      </c>
      <c r="D2577" s="2">
        <v>26361</v>
      </c>
      <c r="E2577" s="2">
        <f t="shared" si="202"/>
        <v>2.6360999999999999</v>
      </c>
      <c r="F2577" s="2">
        <f t="shared" si="203"/>
        <v>-0.74375598335067261</v>
      </c>
      <c r="G2577" s="2">
        <f t="shared" si="204"/>
        <v>0.553172962769926</v>
      </c>
    </row>
    <row r="2578" spans="1:7" x14ac:dyDescent="0.35">
      <c r="A2578" s="2">
        <v>1500</v>
      </c>
      <c r="B2578" s="2">
        <f t="shared" si="200"/>
        <v>161.64793617759278</v>
      </c>
      <c r="C2578" s="2">
        <f t="shared" si="201"/>
        <v>26130.05527047511</v>
      </c>
      <c r="D2578" s="2">
        <v>26237</v>
      </c>
      <c r="E2578" s="2">
        <f t="shared" si="202"/>
        <v>2.6236999999999999</v>
      </c>
      <c r="F2578" s="2">
        <f t="shared" si="203"/>
        <v>-0.75615598335067258</v>
      </c>
      <c r="G2578" s="2">
        <f t="shared" si="204"/>
        <v>0.57177187115702266</v>
      </c>
    </row>
    <row r="2579" spans="1:7" x14ac:dyDescent="0.35">
      <c r="A2579" s="2">
        <v>1500</v>
      </c>
      <c r="B2579" s="2">
        <f t="shared" si="200"/>
        <v>161.64793617759278</v>
      </c>
      <c r="C2579" s="2">
        <f t="shared" si="201"/>
        <v>26130.05527047511</v>
      </c>
      <c r="D2579" s="2">
        <v>27169</v>
      </c>
      <c r="E2579" s="2">
        <f t="shared" si="202"/>
        <v>2.7168999999999999</v>
      </c>
      <c r="F2579" s="2">
        <f t="shared" si="203"/>
        <v>-0.66295598335067263</v>
      </c>
      <c r="G2579" s="2">
        <f t="shared" si="204"/>
        <v>0.4395106358604573</v>
      </c>
    </row>
    <row r="2580" spans="1:7" x14ac:dyDescent="0.35">
      <c r="A2580" s="2">
        <v>1500</v>
      </c>
      <c r="B2580" s="2">
        <f t="shared" si="200"/>
        <v>161.64793617759278</v>
      </c>
      <c r="C2580" s="2">
        <f t="shared" si="201"/>
        <v>26130.05527047511</v>
      </c>
      <c r="D2580" s="2">
        <v>27453</v>
      </c>
      <c r="E2580" s="2">
        <f t="shared" si="202"/>
        <v>2.7452999999999999</v>
      </c>
      <c r="F2580" s="2">
        <f t="shared" si="203"/>
        <v>-0.63455598335067265</v>
      </c>
      <c r="G2580" s="2">
        <f t="shared" si="204"/>
        <v>0.40266129600613915</v>
      </c>
    </row>
    <row r="2581" spans="1:7" x14ac:dyDescent="0.35">
      <c r="A2581" s="2">
        <v>1500</v>
      </c>
      <c r="B2581" s="2">
        <f t="shared" si="200"/>
        <v>161.64793617759278</v>
      </c>
      <c r="C2581" s="2">
        <f t="shared" si="201"/>
        <v>26130.05527047511</v>
      </c>
      <c r="D2581" s="2">
        <v>25759</v>
      </c>
      <c r="E2581" s="2">
        <f t="shared" si="202"/>
        <v>2.5758999999999999</v>
      </c>
      <c r="F2581" s="2">
        <f t="shared" si="203"/>
        <v>-0.80395598335067264</v>
      </c>
      <c r="G2581" s="2">
        <f t="shared" si="204"/>
        <v>0.64634522316534704</v>
      </c>
    </row>
    <row r="2582" spans="1:7" x14ac:dyDescent="0.35">
      <c r="A2582" s="2">
        <v>1500</v>
      </c>
      <c r="B2582" s="2">
        <f t="shared" si="200"/>
        <v>161.64793617759278</v>
      </c>
      <c r="C2582" s="2">
        <f t="shared" si="201"/>
        <v>26130.05527047511</v>
      </c>
      <c r="D2582" s="2">
        <v>25822</v>
      </c>
      <c r="E2582" s="2">
        <f t="shared" si="202"/>
        <v>2.5821999999999998</v>
      </c>
      <c r="F2582" s="2">
        <f t="shared" si="203"/>
        <v>-0.79765598335067267</v>
      </c>
      <c r="G2582" s="2">
        <f t="shared" si="204"/>
        <v>0.63625506777512864</v>
      </c>
    </row>
    <row r="2583" spans="1:7" x14ac:dyDescent="0.35">
      <c r="A2583" s="2">
        <v>1500</v>
      </c>
      <c r="B2583" s="2">
        <f t="shared" si="200"/>
        <v>161.64793617759278</v>
      </c>
      <c r="C2583" s="2">
        <f t="shared" si="201"/>
        <v>26130.05527047511</v>
      </c>
      <c r="D2583" s="2">
        <v>26726</v>
      </c>
      <c r="E2583" s="2">
        <f t="shared" si="202"/>
        <v>2.6726000000000001</v>
      </c>
      <c r="F2583" s="2">
        <f t="shared" si="203"/>
        <v>-0.70725598335067241</v>
      </c>
      <c r="G2583" s="2">
        <f t="shared" si="204"/>
        <v>0.50021102598532663</v>
      </c>
    </row>
    <row r="2584" spans="1:7" x14ac:dyDescent="0.35">
      <c r="A2584" s="2">
        <v>1500</v>
      </c>
      <c r="B2584" s="2">
        <f t="shared" si="200"/>
        <v>161.64793617759278</v>
      </c>
      <c r="C2584" s="2">
        <f t="shared" si="201"/>
        <v>26130.05527047511</v>
      </c>
      <c r="D2584" s="2">
        <v>26742</v>
      </c>
      <c r="E2584" s="2">
        <f t="shared" si="202"/>
        <v>2.6741999999999999</v>
      </c>
      <c r="F2584" s="2">
        <f t="shared" si="203"/>
        <v>-0.70565598335067259</v>
      </c>
      <c r="G2584" s="2">
        <f t="shared" si="204"/>
        <v>0.49795036683860472</v>
      </c>
    </row>
    <row r="2585" spans="1:7" x14ac:dyDescent="0.35">
      <c r="A2585" s="2">
        <v>1500</v>
      </c>
      <c r="B2585" s="2">
        <f t="shared" si="200"/>
        <v>161.64793617759278</v>
      </c>
      <c r="C2585" s="2">
        <f t="shared" si="201"/>
        <v>26130.05527047511</v>
      </c>
      <c r="D2585" s="2">
        <v>26651</v>
      </c>
      <c r="E2585" s="2">
        <f t="shared" si="202"/>
        <v>2.6650999999999998</v>
      </c>
      <c r="F2585" s="2">
        <f t="shared" si="203"/>
        <v>-0.7147559833506727</v>
      </c>
      <c r="G2585" s="2">
        <f t="shared" si="204"/>
        <v>0.51087611573558711</v>
      </c>
    </row>
    <row r="2586" spans="1:7" x14ac:dyDescent="0.35">
      <c r="A2586" s="2">
        <v>1500</v>
      </c>
      <c r="B2586" s="2">
        <f t="shared" si="200"/>
        <v>161.64793617759278</v>
      </c>
      <c r="C2586" s="2">
        <f t="shared" si="201"/>
        <v>26130.05527047511</v>
      </c>
      <c r="D2586" s="2">
        <v>26489</v>
      </c>
      <c r="E2586" s="2">
        <f t="shared" si="202"/>
        <v>2.6488999999999998</v>
      </c>
      <c r="F2586" s="2">
        <f t="shared" si="203"/>
        <v>-0.73095598335067269</v>
      </c>
      <c r="G2586" s="2">
        <f t="shared" si="204"/>
        <v>0.53429664959614886</v>
      </c>
    </row>
    <row r="2587" spans="1:7" x14ac:dyDescent="0.35">
      <c r="A2587" s="2">
        <v>1500</v>
      </c>
      <c r="B2587" s="2">
        <f t="shared" si="200"/>
        <v>161.64793617759278</v>
      </c>
      <c r="C2587" s="2">
        <f t="shared" si="201"/>
        <v>26130.05527047511</v>
      </c>
      <c r="D2587" s="2">
        <v>30000</v>
      </c>
      <c r="E2587" s="2">
        <f t="shared" si="202"/>
        <v>3</v>
      </c>
      <c r="F2587" s="2">
        <f t="shared" si="203"/>
        <v>-0.3798559833506725</v>
      </c>
      <c r="G2587" s="2">
        <f t="shared" si="204"/>
        <v>0.14429056808730639</v>
      </c>
    </row>
    <row r="2588" spans="1:7" x14ac:dyDescent="0.35">
      <c r="A2588" s="2">
        <v>1500</v>
      </c>
      <c r="B2588" s="2">
        <f t="shared" si="200"/>
        <v>161.64793617759278</v>
      </c>
      <c r="C2588" s="2">
        <f t="shared" si="201"/>
        <v>26130.05527047511</v>
      </c>
      <c r="D2588" s="2">
        <v>15384</v>
      </c>
      <c r="E2588" s="2">
        <f t="shared" si="202"/>
        <v>1.5384</v>
      </c>
      <c r="F2588" s="2">
        <f t="shared" si="203"/>
        <v>-1.8414559833506725</v>
      </c>
      <c r="G2588" s="2">
        <f t="shared" si="204"/>
        <v>3.3909601386179924</v>
      </c>
    </row>
    <row r="2589" spans="1:7" x14ac:dyDescent="0.35">
      <c r="A2589" s="2">
        <v>1500</v>
      </c>
      <c r="B2589" s="2">
        <f t="shared" si="200"/>
        <v>161.64793617759278</v>
      </c>
      <c r="C2589" s="2">
        <f t="shared" si="201"/>
        <v>26130.05527047511</v>
      </c>
      <c r="D2589" s="2">
        <v>15330</v>
      </c>
      <c r="E2589" s="2">
        <f t="shared" si="202"/>
        <v>1.5329999999999999</v>
      </c>
      <c r="F2589" s="2">
        <f t="shared" si="203"/>
        <v>-1.8468559833506726</v>
      </c>
      <c r="G2589" s="2">
        <f t="shared" si="204"/>
        <v>3.41087702323818</v>
      </c>
    </row>
    <row r="2590" spans="1:7" x14ac:dyDescent="0.35">
      <c r="A2590" s="2">
        <v>1500</v>
      </c>
      <c r="B2590" s="2">
        <f t="shared" si="200"/>
        <v>161.64793617759278</v>
      </c>
      <c r="C2590" s="2">
        <f t="shared" si="201"/>
        <v>26130.05527047511</v>
      </c>
      <c r="D2590" s="2">
        <v>15215</v>
      </c>
      <c r="E2590" s="2">
        <f t="shared" si="202"/>
        <v>1.5215000000000001</v>
      </c>
      <c r="F2590" s="2">
        <f t="shared" si="203"/>
        <v>-1.8583559833506724</v>
      </c>
      <c r="G2590" s="2">
        <f t="shared" si="204"/>
        <v>3.4534869608552445</v>
      </c>
    </row>
    <row r="2591" spans="1:7" x14ac:dyDescent="0.35">
      <c r="A2591" s="2">
        <v>1500</v>
      </c>
      <c r="B2591" s="2">
        <f t="shared" si="200"/>
        <v>161.64793617759278</v>
      </c>
      <c r="C2591" s="2">
        <f t="shared" si="201"/>
        <v>26130.05527047511</v>
      </c>
      <c r="D2591" s="2">
        <v>14722</v>
      </c>
      <c r="E2591" s="2">
        <f t="shared" si="202"/>
        <v>1.4722</v>
      </c>
      <c r="F2591" s="2">
        <f t="shared" si="203"/>
        <v>-1.9076559833506725</v>
      </c>
      <c r="G2591" s="2">
        <f t="shared" si="204"/>
        <v>3.6391513508136213</v>
      </c>
    </row>
    <row r="2592" spans="1:7" x14ac:dyDescent="0.35">
      <c r="A2592" s="2">
        <v>1500</v>
      </c>
      <c r="B2592" s="2">
        <f t="shared" si="200"/>
        <v>161.64793617759278</v>
      </c>
      <c r="C2592" s="2">
        <f t="shared" si="201"/>
        <v>26130.05527047511</v>
      </c>
      <c r="D2592" s="2">
        <v>12313</v>
      </c>
      <c r="E2592" s="2">
        <f t="shared" si="202"/>
        <v>1.2313000000000001</v>
      </c>
      <c r="F2592" s="2">
        <f t="shared" si="203"/>
        <v>-2.1485559833506724</v>
      </c>
      <c r="G2592" s="2">
        <f t="shared" si="204"/>
        <v>4.6162928135919747</v>
      </c>
    </row>
    <row r="2593" spans="1:7" x14ac:dyDescent="0.35">
      <c r="A2593" s="2">
        <v>1500</v>
      </c>
      <c r="B2593" s="2">
        <f t="shared" si="200"/>
        <v>161.64793617759278</v>
      </c>
      <c r="C2593" s="2">
        <f t="shared" si="201"/>
        <v>26130.05527047511</v>
      </c>
      <c r="D2593" s="2">
        <v>15105</v>
      </c>
      <c r="E2593" s="2">
        <f t="shared" si="202"/>
        <v>1.5105</v>
      </c>
      <c r="F2593" s="2">
        <f t="shared" si="203"/>
        <v>-1.8693559833506725</v>
      </c>
      <c r="G2593" s="2">
        <f t="shared" si="204"/>
        <v>3.4944917924889598</v>
      </c>
    </row>
    <row r="2594" spans="1:7" x14ac:dyDescent="0.35">
      <c r="A2594" s="2">
        <v>1500</v>
      </c>
      <c r="B2594" s="2">
        <f t="shared" si="200"/>
        <v>161.64793617759278</v>
      </c>
      <c r="C2594" s="2">
        <f t="shared" si="201"/>
        <v>26130.05527047511</v>
      </c>
      <c r="D2594" s="2">
        <v>17587</v>
      </c>
      <c r="E2594" s="2">
        <f t="shared" si="202"/>
        <v>1.7586999999999999</v>
      </c>
      <c r="F2594" s="2">
        <f t="shared" si="203"/>
        <v>-1.6211559833506726</v>
      </c>
      <c r="G2594" s="2">
        <f t="shared" si="204"/>
        <v>2.6281467223536863</v>
      </c>
    </row>
    <row r="2595" spans="1:7" x14ac:dyDescent="0.35">
      <c r="A2595" s="2">
        <v>1500</v>
      </c>
      <c r="B2595" s="2">
        <f t="shared" si="200"/>
        <v>161.64793617759278</v>
      </c>
      <c r="C2595" s="2">
        <f t="shared" si="201"/>
        <v>26130.05527047511</v>
      </c>
      <c r="D2595" s="2">
        <v>30970</v>
      </c>
      <c r="E2595" s="2">
        <f t="shared" si="202"/>
        <v>3.097</v>
      </c>
      <c r="F2595" s="2">
        <f t="shared" si="203"/>
        <v>-0.28285598335067252</v>
      </c>
      <c r="G2595" s="2">
        <f t="shared" si="204"/>
        <v>8.0007507317275933E-2</v>
      </c>
    </row>
    <row r="2596" spans="1:7" x14ac:dyDescent="0.35">
      <c r="A2596" s="2">
        <v>1500</v>
      </c>
      <c r="B2596" s="2">
        <f t="shared" si="200"/>
        <v>161.64793617759278</v>
      </c>
      <c r="C2596" s="2">
        <f t="shared" si="201"/>
        <v>26130.05527047511</v>
      </c>
      <c r="D2596" s="2">
        <v>30898</v>
      </c>
      <c r="E2596" s="2">
        <f t="shared" si="202"/>
        <v>3.0897999999999999</v>
      </c>
      <c r="F2596" s="2">
        <f t="shared" si="203"/>
        <v>-0.29005598335067262</v>
      </c>
      <c r="G2596" s="2">
        <f t="shared" si="204"/>
        <v>8.4132473477525671E-2</v>
      </c>
    </row>
    <row r="2597" spans="1:7" x14ac:dyDescent="0.35">
      <c r="A2597" s="2">
        <v>1500</v>
      </c>
      <c r="B2597" s="2">
        <f t="shared" si="200"/>
        <v>161.64793617759278</v>
      </c>
      <c r="C2597" s="2">
        <f t="shared" si="201"/>
        <v>26130.05527047511</v>
      </c>
      <c r="D2597" s="2">
        <v>27642</v>
      </c>
      <c r="E2597" s="2">
        <f t="shared" si="202"/>
        <v>2.7642000000000002</v>
      </c>
      <c r="F2597" s="2">
        <f t="shared" si="203"/>
        <v>-0.61565598335067229</v>
      </c>
      <c r="G2597" s="2">
        <f t="shared" si="204"/>
        <v>0.37903228983548326</v>
      </c>
    </row>
    <row r="2598" spans="1:7" x14ac:dyDescent="0.35">
      <c r="A2598" s="2">
        <v>1500</v>
      </c>
      <c r="B2598" s="2">
        <f t="shared" si="200"/>
        <v>161.64793617759278</v>
      </c>
      <c r="C2598" s="2">
        <f t="shared" si="201"/>
        <v>26130.05527047511</v>
      </c>
      <c r="D2598" s="2">
        <v>28451</v>
      </c>
      <c r="E2598" s="2">
        <f t="shared" si="202"/>
        <v>2.8451</v>
      </c>
      <c r="F2598" s="2">
        <f t="shared" si="203"/>
        <v>-0.53475598335067254</v>
      </c>
      <c r="G2598" s="2">
        <f t="shared" si="204"/>
        <v>0.28596396172934474</v>
      </c>
    </row>
    <row r="2599" spans="1:7" x14ac:dyDescent="0.35">
      <c r="A2599" s="2">
        <v>1500</v>
      </c>
      <c r="B2599" s="2">
        <f t="shared" si="200"/>
        <v>161.64793617759278</v>
      </c>
      <c r="C2599" s="2">
        <f t="shared" si="201"/>
        <v>26130.05527047511</v>
      </c>
      <c r="D2599" s="2">
        <v>31192</v>
      </c>
      <c r="E2599" s="2">
        <f t="shared" si="202"/>
        <v>3.1192000000000002</v>
      </c>
      <c r="F2599" s="2">
        <f t="shared" si="203"/>
        <v>-0.2606559833506723</v>
      </c>
      <c r="G2599" s="2">
        <f t="shared" si="204"/>
        <v>6.7941541656505955E-2</v>
      </c>
    </row>
    <row r="2600" spans="1:7" x14ac:dyDescent="0.35">
      <c r="A2600" s="2">
        <v>1500</v>
      </c>
      <c r="B2600" s="2">
        <f t="shared" si="200"/>
        <v>161.64793617759278</v>
      </c>
      <c r="C2600" s="2">
        <f t="shared" si="201"/>
        <v>26130.05527047511</v>
      </c>
      <c r="D2600" s="2">
        <v>31186</v>
      </c>
      <c r="E2600" s="2">
        <f t="shared" si="202"/>
        <v>3.1185999999999998</v>
      </c>
      <c r="F2600" s="2">
        <f t="shared" si="203"/>
        <v>-0.26125598335067268</v>
      </c>
      <c r="G2600" s="2">
        <f t="shared" si="204"/>
        <v>6.8254688836526967E-2</v>
      </c>
    </row>
    <row r="2601" spans="1:7" x14ac:dyDescent="0.35">
      <c r="A2601" s="2">
        <v>1500</v>
      </c>
      <c r="B2601" s="2">
        <f t="shared" si="200"/>
        <v>161.64793617759278</v>
      </c>
      <c r="C2601" s="2">
        <f t="shared" si="201"/>
        <v>26130.05527047511</v>
      </c>
      <c r="D2601" s="2">
        <v>31160</v>
      </c>
      <c r="E2601" s="2">
        <f t="shared" si="202"/>
        <v>3.1160000000000001</v>
      </c>
      <c r="F2601" s="2">
        <f t="shared" si="203"/>
        <v>-0.2638559833506724</v>
      </c>
      <c r="G2601" s="2">
        <f t="shared" si="204"/>
        <v>6.9619979949950311E-2</v>
      </c>
    </row>
    <row r="2602" spans="1:7" x14ac:dyDescent="0.35">
      <c r="A2602" s="2">
        <v>1500</v>
      </c>
      <c r="B2602" s="2">
        <f t="shared" si="200"/>
        <v>161.64793617759278</v>
      </c>
      <c r="C2602" s="2">
        <f t="shared" si="201"/>
        <v>26130.05527047511</v>
      </c>
      <c r="D2602" s="2">
        <v>30340</v>
      </c>
      <c r="E2602" s="2">
        <f t="shared" si="202"/>
        <v>3.0339999999999998</v>
      </c>
      <c r="F2602" s="2">
        <f t="shared" si="203"/>
        <v>-0.34585598335067269</v>
      </c>
      <c r="G2602" s="2">
        <f t="shared" si="204"/>
        <v>0.11961636121946079</v>
      </c>
    </row>
    <row r="2603" spans="1:7" x14ac:dyDescent="0.35">
      <c r="A2603" s="2">
        <v>1168</v>
      </c>
      <c r="B2603" s="2">
        <f t="shared" si="200"/>
        <v>-170.35206382240722</v>
      </c>
      <c r="C2603" s="2">
        <f t="shared" si="201"/>
        <v>29019.825648553502</v>
      </c>
      <c r="D2603" s="2">
        <v>6998</v>
      </c>
      <c r="E2603" s="2">
        <f t="shared" si="202"/>
        <v>0.69979999999999998</v>
      </c>
      <c r="F2603" s="2">
        <f t="shared" si="203"/>
        <v>-2.6800559833506723</v>
      </c>
      <c r="G2603" s="2">
        <f t="shared" si="204"/>
        <v>7.1827000738937388</v>
      </c>
    </row>
    <row r="2604" spans="1:7" x14ac:dyDescent="0.35">
      <c r="A2604" s="2">
        <v>1168</v>
      </c>
      <c r="B2604" s="2">
        <f t="shared" si="200"/>
        <v>-170.35206382240722</v>
      </c>
      <c r="C2604" s="2">
        <f t="shared" si="201"/>
        <v>29019.825648553502</v>
      </c>
      <c r="D2604" s="2">
        <v>11508</v>
      </c>
      <c r="E2604" s="2">
        <f t="shared" si="202"/>
        <v>1.1508</v>
      </c>
      <c r="F2604" s="2">
        <f t="shared" si="203"/>
        <v>-2.2290559833506727</v>
      </c>
      <c r="G2604" s="2">
        <f t="shared" si="204"/>
        <v>4.9686905769114347</v>
      </c>
    </row>
    <row r="2605" spans="1:7" x14ac:dyDescent="0.35">
      <c r="A2605" s="2">
        <v>1168</v>
      </c>
      <c r="B2605" s="2">
        <f t="shared" si="200"/>
        <v>-170.35206382240722</v>
      </c>
      <c r="C2605" s="2">
        <f t="shared" si="201"/>
        <v>29019.825648553502</v>
      </c>
      <c r="D2605" s="2">
        <v>14963</v>
      </c>
      <c r="E2605" s="2">
        <f t="shared" si="202"/>
        <v>1.4963</v>
      </c>
      <c r="F2605" s="2">
        <f t="shared" si="203"/>
        <v>-1.8835559833506725</v>
      </c>
      <c r="G2605" s="2">
        <f t="shared" si="204"/>
        <v>3.5477831424161188</v>
      </c>
    </row>
    <row r="2606" spans="1:7" x14ac:dyDescent="0.35">
      <c r="A2606" s="2">
        <v>1168</v>
      </c>
      <c r="B2606" s="2">
        <f t="shared" si="200"/>
        <v>-170.35206382240722</v>
      </c>
      <c r="C2606" s="2">
        <f t="shared" si="201"/>
        <v>29019.825648553502</v>
      </c>
      <c r="D2606" s="2">
        <v>13931</v>
      </c>
      <c r="E2606" s="2">
        <f t="shared" si="202"/>
        <v>1.3931</v>
      </c>
      <c r="F2606" s="2">
        <f t="shared" si="203"/>
        <v>-1.9867559833506725</v>
      </c>
      <c r="G2606" s="2">
        <f t="shared" si="204"/>
        <v>3.9471993373796979</v>
      </c>
    </row>
    <row r="2607" spans="1:7" x14ac:dyDescent="0.35">
      <c r="A2607" s="2">
        <v>1168</v>
      </c>
      <c r="B2607" s="2">
        <f t="shared" si="200"/>
        <v>-170.35206382240722</v>
      </c>
      <c r="C2607" s="2">
        <f t="shared" si="201"/>
        <v>29019.825648553502</v>
      </c>
      <c r="D2607" s="2">
        <v>13098</v>
      </c>
      <c r="E2607" s="2">
        <f t="shared" si="202"/>
        <v>1.3098000000000001</v>
      </c>
      <c r="F2607" s="2">
        <f t="shared" si="203"/>
        <v>-2.0700559833506724</v>
      </c>
      <c r="G2607" s="2">
        <f t="shared" si="204"/>
        <v>4.2851317742059196</v>
      </c>
    </row>
    <row r="2608" spans="1:7" x14ac:dyDescent="0.35">
      <c r="A2608" s="2">
        <v>1168</v>
      </c>
      <c r="B2608" s="2">
        <f t="shared" si="200"/>
        <v>-170.35206382240722</v>
      </c>
      <c r="C2608" s="2">
        <f t="shared" si="201"/>
        <v>29019.825648553502</v>
      </c>
      <c r="D2608" s="2">
        <v>15665</v>
      </c>
      <c r="E2608" s="2">
        <f t="shared" si="202"/>
        <v>1.5665</v>
      </c>
      <c r="F2608" s="2">
        <f t="shared" si="203"/>
        <v>-1.8133559833506725</v>
      </c>
      <c r="G2608" s="2">
        <f t="shared" si="204"/>
        <v>3.2882599223536846</v>
      </c>
    </row>
    <row r="2609" spans="1:7" x14ac:dyDescent="0.35">
      <c r="A2609" s="2">
        <v>1168</v>
      </c>
      <c r="B2609" s="2">
        <f t="shared" si="200"/>
        <v>-170.35206382240722</v>
      </c>
      <c r="C2609" s="2">
        <f t="shared" si="201"/>
        <v>29019.825648553502</v>
      </c>
      <c r="D2609" s="2">
        <v>18509</v>
      </c>
      <c r="E2609" s="2">
        <f t="shared" si="202"/>
        <v>1.8509</v>
      </c>
      <c r="F2609" s="2">
        <f t="shared" si="203"/>
        <v>-1.5289559833506725</v>
      </c>
      <c r="G2609" s="2">
        <f t="shared" si="204"/>
        <v>2.3377063990238218</v>
      </c>
    </row>
    <row r="2610" spans="1:7" x14ac:dyDescent="0.35">
      <c r="A2610" s="2">
        <v>1168</v>
      </c>
      <c r="B2610" s="2">
        <f t="shared" si="200"/>
        <v>-170.35206382240722</v>
      </c>
      <c r="C2610" s="2">
        <f t="shared" si="201"/>
        <v>29019.825648553502</v>
      </c>
      <c r="D2610" s="2">
        <v>11975</v>
      </c>
      <c r="E2610" s="2">
        <f t="shared" si="202"/>
        <v>1.1975</v>
      </c>
      <c r="F2610" s="2">
        <f t="shared" si="203"/>
        <v>-2.1823559833506723</v>
      </c>
      <c r="G2610" s="2">
        <f t="shared" si="204"/>
        <v>4.7626776380664797</v>
      </c>
    </row>
    <row r="2611" spans="1:7" x14ac:dyDescent="0.35">
      <c r="A2611" s="2">
        <v>1168</v>
      </c>
      <c r="B2611" s="2">
        <f t="shared" si="200"/>
        <v>-170.35206382240722</v>
      </c>
      <c r="C2611" s="2">
        <f t="shared" si="201"/>
        <v>29019.825648553502</v>
      </c>
      <c r="D2611" s="2">
        <v>9498</v>
      </c>
      <c r="E2611" s="2">
        <f t="shared" si="202"/>
        <v>0.94979999999999998</v>
      </c>
      <c r="F2611" s="2">
        <f t="shared" si="203"/>
        <v>-2.4300559833506723</v>
      </c>
      <c r="G2611" s="2">
        <f t="shared" si="204"/>
        <v>5.9051720822184031</v>
      </c>
    </row>
    <row r="2612" spans="1:7" x14ac:dyDescent="0.35">
      <c r="A2612" s="2">
        <v>1168</v>
      </c>
      <c r="B2612" s="2">
        <f t="shared" si="200"/>
        <v>-170.35206382240722</v>
      </c>
      <c r="C2612" s="2">
        <f t="shared" si="201"/>
        <v>29019.825648553502</v>
      </c>
      <c r="D2612" s="2">
        <v>12221</v>
      </c>
      <c r="E2612" s="2">
        <f t="shared" si="202"/>
        <v>1.2221</v>
      </c>
      <c r="F2612" s="2">
        <f t="shared" si="203"/>
        <v>-2.1577559833506728</v>
      </c>
      <c r="G2612" s="2">
        <f t="shared" si="204"/>
        <v>4.6559108836856291</v>
      </c>
    </row>
    <row r="2613" spans="1:7" x14ac:dyDescent="0.35">
      <c r="A2613" s="2">
        <v>1168</v>
      </c>
      <c r="B2613" s="2">
        <f t="shared" si="200"/>
        <v>-170.35206382240722</v>
      </c>
      <c r="C2613" s="2">
        <f t="shared" si="201"/>
        <v>29019.825648553502</v>
      </c>
      <c r="D2613" s="2">
        <v>13320</v>
      </c>
      <c r="E2613" s="2">
        <f t="shared" si="202"/>
        <v>1.3320000000000001</v>
      </c>
      <c r="F2613" s="2">
        <f t="shared" si="203"/>
        <v>-2.0478559833506722</v>
      </c>
      <c r="G2613" s="2">
        <f t="shared" si="204"/>
        <v>4.1937141285451487</v>
      </c>
    </row>
    <row r="2614" spans="1:7" x14ac:dyDescent="0.35">
      <c r="A2614" s="2">
        <v>1168</v>
      </c>
      <c r="B2614" s="2">
        <f t="shared" si="200"/>
        <v>-170.35206382240722</v>
      </c>
      <c r="C2614" s="2">
        <f t="shared" si="201"/>
        <v>29019.825648553502</v>
      </c>
      <c r="D2614" s="2">
        <v>26977</v>
      </c>
      <c r="E2614" s="2">
        <f t="shared" si="202"/>
        <v>2.6977000000000002</v>
      </c>
      <c r="F2614" s="2">
        <f t="shared" si="203"/>
        <v>-0.68215598335067229</v>
      </c>
      <c r="G2614" s="2">
        <f t="shared" si="204"/>
        <v>0.46533678562112268</v>
      </c>
    </row>
    <row r="2615" spans="1:7" x14ac:dyDescent="0.35">
      <c r="A2615" s="2">
        <v>1168</v>
      </c>
      <c r="B2615" s="2">
        <f t="shared" si="200"/>
        <v>-170.35206382240722</v>
      </c>
      <c r="C2615" s="2">
        <f t="shared" si="201"/>
        <v>29019.825648553502</v>
      </c>
      <c r="D2615" s="2">
        <v>20441</v>
      </c>
      <c r="E2615" s="2">
        <f t="shared" si="202"/>
        <v>2.0440999999999998</v>
      </c>
      <c r="F2615" s="2">
        <f t="shared" si="203"/>
        <v>-1.3357559833506727</v>
      </c>
      <c r="G2615" s="2">
        <f t="shared" si="204"/>
        <v>1.7842440470571226</v>
      </c>
    </row>
    <row r="2616" spans="1:7" x14ac:dyDescent="0.35">
      <c r="A2616" s="2">
        <v>1168</v>
      </c>
      <c r="B2616" s="2">
        <f t="shared" si="200"/>
        <v>-170.35206382240722</v>
      </c>
      <c r="C2616" s="2">
        <f t="shared" si="201"/>
        <v>29019.825648553502</v>
      </c>
      <c r="D2616" s="2">
        <v>21254</v>
      </c>
      <c r="E2616" s="2">
        <f t="shared" si="202"/>
        <v>2.1254</v>
      </c>
      <c r="F2616" s="2">
        <f t="shared" si="203"/>
        <v>-1.2544559833506725</v>
      </c>
      <c r="G2616" s="2">
        <f t="shared" si="204"/>
        <v>1.5736598141643028</v>
      </c>
    </row>
    <row r="2617" spans="1:7" x14ac:dyDescent="0.35">
      <c r="A2617" s="2">
        <v>1168</v>
      </c>
      <c r="B2617" s="2">
        <f t="shared" si="200"/>
        <v>-170.35206382240722</v>
      </c>
      <c r="C2617" s="2">
        <f t="shared" si="201"/>
        <v>29019.825648553502</v>
      </c>
      <c r="D2617" s="2">
        <v>19223</v>
      </c>
      <c r="E2617" s="2">
        <f t="shared" si="202"/>
        <v>1.9222999999999999</v>
      </c>
      <c r="F2617" s="2">
        <f t="shared" si="203"/>
        <v>-1.4575559833506726</v>
      </c>
      <c r="G2617" s="2">
        <f t="shared" si="204"/>
        <v>2.1244694446013463</v>
      </c>
    </row>
    <row r="2618" spans="1:7" x14ac:dyDescent="0.35">
      <c r="A2618" s="2">
        <v>1168</v>
      </c>
      <c r="B2618" s="2">
        <f t="shared" si="200"/>
        <v>-170.35206382240722</v>
      </c>
      <c r="C2618" s="2">
        <f t="shared" si="201"/>
        <v>29019.825648553502</v>
      </c>
      <c r="D2618" s="2">
        <v>19324</v>
      </c>
      <c r="E2618" s="2">
        <f t="shared" si="202"/>
        <v>1.9323999999999999</v>
      </c>
      <c r="F2618" s="2">
        <f t="shared" si="203"/>
        <v>-1.4474559833506726</v>
      </c>
      <c r="G2618" s="2">
        <f t="shared" si="204"/>
        <v>2.0951288237376624</v>
      </c>
    </row>
    <row r="2619" spans="1:7" x14ac:dyDescent="0.35">
      <c r="A2619" s="2">
        <v>1168</v>
      </c>
      <c r="B2619" s="2">
        <f t="shared" si="200"/>
        <v>-170.35206382240722</v>
      </c>
      <c r="C2619" s="2">
        <f t="shared" si="201"/>
        <v>29019.825648553502</v>
      </c>
      <c r="D2619" s="2">
        <v>21627</v>
      </c>
      <c r="E2619" s="2">
        <f t="shared" si="202"/>
        <v>2.1627000000000001</v>
      </c>
      <c r="F2619" s="2">
        <f t="shared" si="203"/>
        <v>-1.2171559833506724</v>
      </c>
      <c r="G2619" s="2">
        <f t="shared" si="204"/>
        <v>1.4814686878063423</v>
      </c>
    </row>
    <row r="2620" spans="1:7" x14ac:dyDescent="0.35">
      <c r="A2620" s="2">
        <v>1168</v>
      </c>
      <c r="B2620" s="2">
        <f t="shared" si="200"/>
        <v>-170.35206382240722</v>
      </c>
      <c r="C2620" s="2">
        <f t="shared" si="201"/>
        <v>29019.825648553502</v>
      </c>
      <c r="D2620" s="2">
        <v>21228</v>
      </c>
      <c r="E2620" s="2">
        <f t="shared" si="202"/>
        <v>2.1227999999999998</v>
      </c>
      <c r="F2620" s="2">
        <f t="shared" si="203"/>
        <v>-1.2570559833506727</v>
      </c>
      <c r="G2620" s="2">
        <f t="shared" si="204"/>
        <v>1.5801897452777267</v>
      </c>
    </row>
    <row r="2621" spans="1:7" x14ac:dyDescent="0.35">
      <c r="A2621" s="2">
        <v>1168</v>
      </c>
      <c r="B2621" s="2">
        <f t="shared" si="200"/>
        <v>-170.35206382240722</v>
      </c>
      <c r="C2621" s="2">
        <f t="shared" si="201"/>
        <v>29019.825648553502</v>
      </c>
      <c r="D2621" s="2">
        <v>22090</v>
      </c>
      <c r="E2621" s="2">
        <f t="shared" si="202"/>
        <v>2.2090000000000001</v>
      </c>
      <c r="F2621" s="2">
        <f t="shared" si="203"/>
        <v>-1.1708559833506724</v>
      </c>
      <c r="G2621" s="2">
        <f t="shared" si="204"/>
        <v>1.3709037337480701</v>
      </c>
    </row>
    <row r="2622" spans="1:7" x14ac:dyDescent="0.35">
      <c r="A2622" s="2">
        <v>1168</v>
      </c>
      <c r="B2622" s="2">
        <f t="shared" si="200"/>
        <v>-170.35206382240722</v>
      </c>
      <c r="C2622" s="2">
        <f t="shared" si="201"/>
        <v>29019.825648553502</v>
      </c>
      <c r="D2622" s="2">
        <v>24830</v>
      </c>
      <c r="E2622" s="2">
        <f t="shared" si="202"/>
        <v>2.4830000000000001</v>
      </c>
      <c r="F2622" s="2">
        <f t="shared" si="203"/>
        <v>-0.8968559833506724</v>
      </c>
      <c r="G2622" s="2">
        <f t="shared" si="204"/>
        <v>0.8043506548719016</v>
      </c>
    </row>
    <row r="2623" spans="1:7" x14ac:dyDescent="0.35">
      <c r="A2623" s="2">
        <v>1168</v>
      </c>
      <c r="B2623" s="2">
        <f t="shared" si="200"/>
        <v>-170.35206382240722</v>
      </c>
      <c r="C2623" s="2">
        <f t="shared" si="201"/>
        <v>29019.825648553502</v>
      </c>
      <c r="D2623" s="2">
        <v>22836</v>
      </c>
      <c r="E2623" s="2">
        <f t="shared" si="202"/>
        <v>2.2835999999999999</v>
      </c>
      <c r="F2623" s="2">
        <f t="shared" si="203"/>
        <v>-1.0962559833506726</v>
      </c>
      <c r="G2623" s="2">
        <f t="shared" si="204"/>
        <v>1.2017771810321503</v>
      </c>
    </row>
    <row r="2624" spans="1:7" x14ac:dyDescent="0.35">
      <c r="A2624" s="2">
        <v>1168</v>
      </c>
      <c r="B2624" s="2">
        <f t="shared" si="200"/>
        <v>-170.35206382240722</v>
      </c>
      <c r="C2624" s="2">
        <f t="shared" si="201"/>
        <v>29019.825648553502</v>
      </c>
      <c r="D2624" s="2">
        <v>23441</v>
      </c>
      <c r="E2624" s="2">
        <f t="shared" si="202"/>
        <v>2.3441000000000001</v>
      </c>
      <c r="F2624" s="2">
        <f t="shared" si="203"/>
        <v>-1.0357559833506724</v>
      </c>
      <c r="G2624" s="2">
        <f t="shared" si="204"/>
        <v>1.0727904570467184</v>
      </c>
    </row>
    <row r="2625" spans="1:7" x14ac:dyDescent="0.35">
      <c r="A2625" s="2">
        <v>1168</v>
      </c>
      <c r="B2625" s="2">
        <f t="shared" si="200"/>
        <v>-170.35206382240722</v>
      </c>
      <c r="C2625" s="2">
        <f t="shared" si="201"/>
        <v>29019.825648553502</v>
      </c>
      <c r="D2625" s="2">
        <v>26540</v>
      </c>
      <c r="E2625" s="2">
        <f t="shared" si="202"/>
        <v>2.6539999999999999</v>
      </c>
      <c r="F2625" s="2">
        <f t="shared" si="203"/>
        <v>-0.72585598335067258</v>
      </c>
      <c r="G2625" s="2">
        <f t="shared" si="204"/>
        <v>0.52686690856597185</v>
      </c>
    </row>
    <row r="2626" spans="1:7" x14ac:dyDescent="0.35">
      <c r="A2626" s="2">
        <v>1168</v>
      </c>
      <c r="B2626" s="2">
        <f t="shared" si="200"/>
        <v>-170.35206382240722</v>
      </c>
      <c r="C2626" s="2">
        <f t="shared" si="201"/>
        <v>29019.825648553502</v>
      </c>
      <c r="D2626" s="2">
        <v>23228</v>
      </c>
      <c r="E2626" s="2">
        <f t="shared" si="202"/>
        <v>2.3228</v>
      </c>
      <c r="F2626" s="2">
        <f t="shared" si="203"/>
        <v>-1.0570559833506725</v>
      </c>
      <c r="G2626" s="2">
        <f t="shared" si="204"/>
        <v>1.1173673519374572</v>
      </c>
    </row>
    <row r="2627" spans="1:7" x14ac:dyDescent="0.35">
      <c r="A2627" s="2">
        <v>1168</v>
      </c>
      <c r="B2627" s="2">
        <f t="shared" ref="B2627:B2690" si="205">A2627-$J$1</f>
        <v>-170.35206382240722</v>
      </c>
      <c r="C2627" s="2">
        <f t="shared" ref="C2627:C2690" si="206">B2627^2</f>
        <v>29019.825648553502</v>
      </c>
      <c r="D2627" s="2">
        <v>25101</v>
      </c>
      <c r="E2627" s="2">
        <f t="shared" ref="E2627:E2690" si="207">D2627/10000</f>
        <v>2.5101</v>
      </c>
      <c r="F2627" s="2">
        <f t="shared" ref="F2627:F2690" si="208">E2627-$J$2</f>
        <v>-0.8697559833506725</v>
      </c>
      <c r="G2627" s="2">
        <f t="shared" ref="G2627:G2690" si="209">F2627^2</f>
        <v>0.75647547057429532</v>
      </c>
    </row>
    <row r="2628" spans="1:7" x14ac:dyDescent="0.35">
      <c r="A2628" s="2">
        <v>1168</v>
      </c>
      <c r="B2628" s="2">
        <f t="shared" si="205"/>
        <v>-170.35206382240722</v>
      </c>
      <c r="C2628" s="2">
        <f t="shared" si="206"/>
        <v>29019.825648553502</v>
      </c>
      <c r="D2628" s="2">
        <v>16724</v>
      </c>
      <c r="E2628" s="2">
        <f t="shared" si="207"/>
        <v>1.6724000000000001</v>
      </c>
      <c r="F2628" s="2">
        <f t="shared" si="208"/>
        <v>-1.7074559833506724</v>
      </c>
      <c r="G2628" s="2">
        <f t="shared" si="209"/>
        <v>2.9154059350800114</v>
      </c>
    </row>
    <row r="2629" spans="1:7" x14ac:dyDescent="0.35">
      <c r="A2629" s="2">
        <v>1168</v>
      </c>
      <c r="B2629" s="2">
        <f t="shared" si="205"/>
        <v>-170.35206382240722</v>
      </c>
      <c r="C2629" s="2">
        <f t="shared" si="206"/>
        <v>29019.825648553502</v>
      </c>
      <c r="D2629" s="2">
        <v>28233</v>
      </c>
      <c r="E2629" s="2">
        <f t="shared" si="207"/>
        <v>2.8233000000000001</v>
      </c>
      <c r="F2629" s="2">
        <f t="shared" si="208"/>
        <v>-0.55655598335067236</v>
      </c>
      <c r="G2629" s="2">
        <f t="shared" si="209"/>
        <v>0.30975456260343387</v>
      </c>
    </row>
    <row r="2630" spans="1:7" x14ac:dyDescent="0.35">
      <c r="A2630" s="2">
        <v>1168</v>
      </c>
      <c r="B2630" s="2">
        <f t="shared" si="205"/>
        <v>-170.35206382240722</v>
      </c>
      <c r="C2630" s="2">
        <f t="shared" si="206"/>
        <v>29019.825648553502</v>
      </c>
      <c r="D2630" s="2">
        <v>17633</v>
      </c>
      <c r="E2630" s="2">
        <f t="shared" si="207"/>
        <v>1.7633000000000001</v>
      </c>
      <c r="F2630" s="2">
        <f t="shared" si="208"/>
        <v>-1.6165559833506724</v>
      </c>
      <c r="G2630" s="2">
        <f t="shared" si="209"/>
        <v>2.6132532473068593</v>
      </c>
    </row>
    <row r="2631" spans="1:7" x14ac:dyDescent="0.35">
      <c r="A2631" s="2">
        <v>1168</v>
      </c>
      <c r="B2631" s="2">
        <f t="shared" si="205"/>
        <v>-170.35206382240722</v>
      </c>
      <c r="C2631" s="2">
        <f t="shared" si="206"/>
        <v>29019.825648553502</v>
      </c>
      <c r="D2631" s="2">
        <v>17273</v>
      </c>
      <c r="E2631" s="2">
        <f t="shared" si="207"/>
        <v>1.7273000000000001</v>
      </c>
      <c r="F2631" s="2">
        <f t="shared" si="208"/>
        <v>-1.6525559833506724</v>
      </c>
      <c r="G2631" s="2">
        <f t="shared" si="209"/>
        <v>2.7309412781081082</v>
      </c>
    </row>
    <row r="2632" spans="1:7" x14ac:dyDescent="0.35">
      <c r="A2632" s="2">
        <v>1168</v>
      </c>
      <c r="B2632" s="2">
        <f t="shared" si="205"/>
        <v>-170.35206382240722</v>
      </c>
      <c r="C2632" s="2">
        <f t="shared" si="206"/>
        <v>29019.825648553502</v>
      </c>
      <c r="D2632" s="2">
        <v>16536</v>
      </c>
      <c r="E2632" s="2">
        <f t="shared" si="207"/>
        <v>1.6536</v>
      </c>
      <c r="F2632" s="2">
        <f t="shared" si="208"/>
        <v>-1.7262559833506725</v>
      </c>
      <c r="G2632" s="2">
        <f t="shared" si="209"/>
        <v>2.9799597200539973</v>
      </c>
    </row>
    <row r="2633" spans="1:7" x14ac:dyDescent="0.35">
      <c r="A2633" s="2">
        <v>2200</v>
      </c>
      <c r="B2633" s="2">
        <f t="shared" si="205"/>
        <v>861.64793617759278</v>
      </c>
      <c r="C2633" s="2">
        <f t="shared" si="206"/>
        <v>742437.16591910506</v>
      </c>
      <c r="D2633" s="2">
        <v>20831</v>
      </c>
      <c r="E2633" s="2">
        <f t="shared" si="207"/>
        <v>2.0831</v>
      </c>
      <c r="F2633" s="2">
        <f t="shared" si="208"/>
        <v>-1.2967559833506725</v>
      </c>
      <c r="G2633" s="2">
        <f t="shared" si="209"/>
        <v>1.6815760803557698</v>
      </c>
    </row>
    <row r="2634" spans="1:7" x14ac:dyDescent="0.35">
      <c r="A2634" s="2">
        <v>2200</v>
      </c>
      <c r="B2634" s="2">
        <f t="shared" si="205"/>
        <v>861.64793617759278</v>
      </c>
      <c r="C2634" s="2">
        <f t="shared" si="206"/>
        <v>742437.16591910506</v>
      </c>
      <c r="D2634" s="2">
        <v>21768</v>
      </c>
      <c r="E2634" s="2">
        <f t="shared" si="207"/>
        <v>2.1768000000000001</v>
      </c>
      <c r="F2634" s="2">
        <f t="shared" si="208"/>
        <v>-1.2030559833506724</v>
      </c>
      <c r="G2634" s="2">
        <f t="shared" si="209"/>
        <v>1.4473436990758535</v>
      </c>
    </row>
    <row r="2635" spans="1:7" x14ac:dyDescent="0.35">
      <c r="A2635" s="2">
        <v>2200</v>
      </c>
      <c r="B2635" s="2">
        <f t="shared" si="205"/>
        <v>861.64793617759278</v>
      </c>
      <c r="C2635" s="2">
        <f t="shared" si="206"/>
        <v>742437.16591910506</v>
      </c>
      <c r="D2635" s="2">
        <v>24478</v>
      </c>
      <c r="E2635" s="2">
        <f t="shared" si="207"/>
        <v>2.4478</v>
      </c>
      <c r="F2635" s="2">
        <f t="shared" si="208"/>
        <v>-0.93205598335067252</v>
      </c>
      <c r="G2635" s="2">
        <f t="shared" si="209"/>
        <v>0.86872835609978916</v>
      </c>
    </row>
    <row r="2636" spans="1:7" x14ac:dyDescent="0.35">
      <c r="A2636" s="2">
        <v>2200</v>
      </c>
      <c r="B2636" s="2">
        <f t="shared" si="205"/>
        <v>861.64793617759278</v>
      </c>
      <c r="C2636" s="2">
        <f t="shared" si="206"/>
        <v>742437.16591910506</v>
      </c>
      <c r="D2636" s="2">
        <v>25017</v>
      </c>
      <c r="E2636" s="2">
        <f t="shared" si="207"/>
        <v>2.5017</v>
      </c>
      <c r="F2636" s="2">
        <f t="shared" si="208"/>
        <v>-0.87815598335067246</v>
      </c>
      <c r="G2636" s="2">
        <f t="shared" si="209"/>
        <v>0.77115793109458652</v>
      </c>
    </row>
    <row r="2637" spans="1:7" x14ac:dyDescent="0.35">
      <c r="A2637" s="2">
        <v>2200</v>
      </c>
      <c r="B2637" s="2">
        <f t="shared" si="205"/>
        <v>861.64793617759278</v>
      </c>
      <c r="C2637" s="2">
        <f t="shared" si="206"/>
        <v>742437.16591910506</v>
      </c>
      <c r="D2637" s="2">
        <v>31397</v>
      </c>
      <c r="E2637" s="2">
        <f t="shared" si="207"/>
        <v>3.1396999999999999</v>
      </c>
      <c r="F2637" s="2">
        <f t="shared" si="208"/>
        <v>-0.24015598335067256</v>
      </c>
      <c r="G2637" s="2">
        <f t="shared" si="209"/>
        <v>5.767489633912852E-2</v>
      </c>
    </row>
    <row r="2638" spans="1:7" x14ac:dyDescent="0.35">
      <c r="A2638" s="2">
        <v>2200</v>
      </c>
      <c r="B2638" s="2">
        <f t="shared" si="205"/>
        <v>861.64793617759278</v>
      </c>
      <c r="C2638" s="2">
        <f t="shared" si="206"/>
        <v>742437.16591910506</v>
      </c>
      <c r="D2638" s="2">
        <v>30769</v>
      </c>
      <c r="E2638" s="2">
        <f t="shared" si="207"/>
        <v>3.0769000000000002</v>
      </c>
      <c r="F2638" s="2">
        <f t="shared" si="208"/>
        <v>-0.30295598335067231</v>
      </c>
      <c r="G2638" s="2">
        <f t="shared" si="209"/>
        <v>9.1782327847972842E-2</v>
      </c>
    </row>
    <row r="2639" spans="1:7" x14ac:dyDescent="0.35">
      <c r="A2639" s="2">
        <v>2200</v>
      </c>
      <c r="B2639" s="2">
        <f t="shared" si="205"/>
        <v>861.64793617759278</v>
      </c>
      <c r="C2639" s="2">
        <f t="shared" si="206"/>
        <v>742437.16591910506</v>
      </c>
      <c r="D2639" s="2">
        <v>36703</v>
      </c>
      <c r="E2639" s="2">
        <f t="shared" si="207"/>
        <v>3.6703000000000001</v>
      </c>
      <c r="F2639" s="2">
        <f t="shared" si="208"/>
        <v>0.29044401664932762</v>
      </c>
      <c r="G2639" s="2">
        <f t="shared" si="209"/>
        <v>8.4357726807394895E-2</v>
      </c>
    </row>
    <row r="2640" spans="1:7" x14ac:dyDescent="0.35">
      <c r="A2640" s="2">
        <v>2200</v>
      </c>
      <c r="B2640" s="2">
        <f t="shared" si="205"/>
        <v>861.64793617759278</v>
      </c>
      <c r="C2640" s="2">
        <f t="shared" si="206"/>
        <v>742437.16591910506</v>
      </c>
      <c r="D2640" s="2">
        <v>32408</v>
      </c>
      <c r="E2640" s="2">
        <f t="shared" si="207"/>
        <v>3.2408000000000001</v>
      </c>
      <c r="F2640" s="2">
        <f t="shared" si="208"/>
        <v>-0.13905598335067237</v>
      </c>
      <c r="G2640" s="2">
        <f t="shared" si="209"/>
        <v>1.9336566505622474E-2</v>
      </c>
    </row>
    <row r="2641" spans="1:7" x14ac:dyDescent="0.35">
      <c r="A2641" s="2">
        <v>2200</v>
      </c>
      <c r="B2641" s="2">
        <f t="shared" si="205"/>
        <v>861.64793617759278</v>
      </c>
      <c r="C2641" s="2">
        <f t="shared" si="206"/>
        <v>742437.16591910506</v>
      </c>
      <c r="D2641" s="2">
        <v>37264</v>
      </c>
      <c r="E2641" s="2">
        <f t="shared" si="207"/>
        <v>3.7263999999999999</v>
      </c>
      <c r="F2641" s="2">
        <f t="shared" si="208"/>
        <v>0.34654401664932744</v>
      </c>
      <c r="G2641" s="2">
        <f t="shared" si="209"/>
        <v>0.12009275547544933</v>
      </c>
    </row>
    <row r="2642" spans="1:7" x14ac:dyDescent="0.35">
      <c r="A2642" s="2">
        <v>2200</v>
      </c>
      <c r="B2642" s="2">
        <f t="shared" si="205"/>
        <v>861.64793617759278</v>
      </c>
      <c r="C2642" s="2">
        <f t="shared" si="206"/>
        <v>742437.16591910506</v>
      </c>
      <c r="D2642" s="2">
        <v>39204</v>
      </c>
      <c r="E2642" s="2">
        <f t="shared" si="207"/>
        <v>3.9203999999999999</v>
      </c>
      <c r="F2642" s="2">
        <f t="shared" si="208"/>
        <v>0.54054401664932739</v>
      </c>
      <c r="G2642" s="2">
        <f t="shared" si="209"/>
        <v>0.29218783393538833</v>
      </c>
    </row>
    <row r="2643" spans="1:7" x14ac:dyDescent="0.35">
      <c r="A2643" s="2">
        <v>2200</v>
      </c>
      <c r="B2643" s="2">
        <f t="shared" si="205"/>
        <v>861.64793617759278</v>
      </c>
      <c r="C2643" s="2">
        <f t="shared" si="206"/>
        <v>742437.16591910506</v>
      </c>
      <c r="D2643" s="2">
        <v>35716</v>
      </c>
      <c r="E2643" s="2">
        <f t="shared" si="207"/>
        <v>3.5716000000000001</v>
      </c>
      <c r="F2643" s="2">
        <f t="shared" si="208"/>
        <v>0.19174401664932761</v>
      </c>
      <c r="G2643" s="2">
        <f t="shared" si="209"/>
        <v>3.6765767920817621E-2</v>
      </c>
    </row>
    <row r="2644" spans="1:7" x14ac:dyDescent="0.35">
      <c r="A2644" s="2">
        <v>2200</v>
      </c>
      <c r="B2644" s="2">
        <f t="shared" si="205"/>
        <v>861.64793617759278</v>
      </c>
      <c r="C2644" s="2">
        <f t="shared" si="206"/>
        <v>742437.16591910506</v>
      </c>
      <c r="D2644" s="2">
        <v>22653</v>
      </c>
      <c r="E2644" s="2">
        <f t="shared" si="207"/>
        <v>2.2652999999999999</v>
      </c>
      <c r="F2644" s="2">
        <f t="shared" si="208"/>
        <v>-1.1145559833506726</v>
      </c>
      <c r="G2644" s="2">
        <f t="shared" si="209"/>
        <v>1.2422350400227848</v>
      </c>
    </row>
    <row r="2645" spans="1:7" x14ac:dyDescent="0.35">
      <c r="A2645" s="2">
        <v>2200</v>
      </c>
      <c r="B2645" s="2">
        <f t="shared" si="205"/>
        <v>861.64793617759278</v>
      </c>
      <c r="C2645" s="2">
        <f t="shared" si="206"/>
        <v>742437.16591910506</v>
      </c>
      <c r="D2645" s="2">
        <v>23457</v>
      </c>
      <c r="E2645" s="2">
        <f t="shared" si="207"/>
        <v>2.3456999999999999</v>
      </c>
      <c r="F2645" s="2">
        <f t="shared" si="208"/>
        <v>-1.0341559833506726</v>
      </c>
      <c r="G2645" s="2">
        <f t="shared" si="209"/>
        <v>1.0694785978999966</v>
      </c>
    </row>
    <row r="2646" spans="1:7" x14ac:dyDescent="0.35">
      <c r="A2646" s="2">
        <v>2200</v>
      </c>
      <c r="B2646" s="2">
        <f t="shared" si="205"/>
        <v>861.64793617759278</v>
      </c>
      <c r="C2646" s="2">
        <f t="shared" si="206"/>
        <v>742437.16591910506</v>
      </c>
      <c r="D2646" s="2">
        <v>15549</v>
      </c>
      <c r="E2646" s="2">
        <f t="shared" si="207"/>
        <v>1.5548999999999999</v>
      </c>
      <c r="F2646" s="2">
        <f t="shared" si="208"/>
        <v>-1.8249559833506726</v>
      </c>
      <c r="G2646" s="2">
        <f t="shared" si="209"/>
        <v>3.3304643411674202</v>
      </c>
    </row>
    <row r="2647" spans="1:7" x14ac:dyDescent="0.35">
      <c r="A2647" s="2">
        <v>2200</v>
      </c>
      <c r="B2647" s="2">
        <f t="shared" si="205"/>
        <v>861.64793617759278</v>
      </c>
      <c r="C2647" s="2">
        <f t="shared" si="206"/>
        <v>742437.16591910506</v>
      </c>
      <c r="D2647" s="2">
        <v>22343</v>
      </c>
      <c r="E2647" s="2">
        <f t="shared" si="207"/>
        <v>2.2343000000000002</v>
      </c>
      <c r="F2647" s="2">
        <f t="shared" si="208"/>
        <v>-1.1455559833506723</v>
      </c>
      <c r="G2647" s="2">
        <f t="shared" si="209"/>
        <v>1.3122985109905259</v>
      </c>
    </row>
    <row r="2648" spans="1:7" x14ac:dyDescent="0.35">
      <c r="A2648" s="2">
        <v>2200</v>
      </c>
      <c r="B2648" s="2">
        <f t="shared" si="205"/>
        <v>861.64793617759278</v>
      </c>
      <c r="C2648" s="2">
        <f t="shared" si="206"/>
        <v>742437.16591910506</v>
      </c>
      <c r="D2648" s="2">
        <v>11650</v>
      </c>
      <c r="E2648" s="2">
        <f t="shared" si="207"/>
        <v>1.165</v>
      </c>
      <c r="F2648" s="2">
        <f t="shared" si="208"/>
        <v>-2.2148559833506725</v>
      </c>
      <c r="G2648" s="2">
        <f t="shared" si="209"/>
        <v>4.9055870269842741</v>
      </c>
    </row>
    <row r="2649" spans="1:7" x14ac:dyDescent="0.35">
      <c r="A2649" s="2">
        <v>2200</v>
      </c>
      <c r="B2649" s="2">
        <f t="shared" si="205"/>
        <v>861.64793617759278</v>
      </c>
      <c r="C2649" s="2">
        <f t="shared" si="206"/>
        <v>742437.16591910506</v>
      </c>
      <c r="D2649" s="2">
        <v>12940</v>
      </c>
      <c r="E2649" s="2">
        <f t="shared" si="207"/>
        <v>1.294</v>
      </c>
      <c r="F2649" s="2">
        <f t="shared" si="208"/>
        <v>-2.0858559833506725</v>
      </c>
      <c r="G2649" s="2">
        <f t="shared" si="209"/>
        <v>4.3507951832798009</v>
      </c>
    </row>
    <row r="2650" spans="1:7" x14ac:dyDescent="0.35">
      <c r="A2650" s="2">
        <v>2200</v>
      </c>
      <c r="B2650" s="2">
        <f t="shared" si="205"/>
        <v>861.64793617759278</v>
      </c>
      <c r="C2650" s="2">
        <f t="shared" si="206"/>
        <v>742437.16591910506</v>
      </c>
      <c r="D2650" s="2">
        <v>9556</v>
      </c>
      <c r="E2650" s="2">
        <f t="shared" si="207"/>
        <v>0.9556</v>
      </c>
      <c r="F2650" s="2">
        <f t="shared" si="208"/>
        <v>-2.4242559833506725</v>
      </c>
      <c r="G2650" s="2">
        <f t="shared" si="209"/>
        <v>5.8770170728115358</v>
      </c>
    </row>
    <row r="2651" spans="1:7" x14ac:dyDescent="0.35">
      <c r="A2651" s="2">
        <v>2200</v>
      </c>
      <c r="B2651" s="2">
        <f t="shared" si="205"/>
        <v>861.64793617759278</v>
      </c>
      <c r="C2651" s="2">
        <f t="shared" si="206"/>
        <v>742437.16591910506</v>
      </c>
      <c r="D2651" s="2">
        <v>10410</v>
      </c>
      <c r="E2651" s="2">
        <f t="shared" si="207"/>
        <v>1.0409999999999999</v>
      </c>
      <c r="F2651" s="2">
        <f t="shared" si="208"/>
        <v>-2.3388559833506726</v>
      </c>
      <c r="G2651" s="2">
        <f t="shared" si="209"/>
        <v>5.4702473108552416</v>
      </c>
    </row>
    <row r="2652" spans="1:7" x14ac:dyDescent="0.35">
      <c r="A2652" s="2">
        <v>2200</v>
      </c>
      <c r="B2652" s="2">
        <f t="shared" si="205"/>
        <v>861.64793617759278</v>
      </c>
      <c r="C2652" s="2">
        <f t="shared" si="206"/>
        <v>742437.16591910506</v>
      </c>
      <c r="D2652" s="2">
        <v>8267</v>
      </c>
      <c r="E2652" s="2">
        <f t="shared" si="207"/>
        <v>0.82669999999999999</v>
      </c>
      <c r="F2652" s="2">
        <f t="shared" si="208"/>
        <v>-2.5531559833506723</v>
      </c>
      <c r="G2652" s="2">
        <f t="shared" si="209"/>
        <v>6.5186054753193385</v>
      </c>
    </row>
    <row r="2653" spans="1:7" x14ac:dyDescent="0.35">
      <c r="A2653" s="2">
        <v>2200</v>
      </c>
      <c r="B2653" s="2">
        <f t="shared" si="205"/>
        <v>861.64793617759278</v>
      </c>
      <c r="C2653" s="2">
        <f t="shared" si="206"/>
        <v>742437.16591910506</v>
      </c>
      <c r="D2653" s="2">
        <v>11059</v>
      </c>
      <c r="E2653" s="2">
        <f t="shared" si="207"/>
        <v>1.1059000000000001</v>
      </c>
      <c r="F2653" s="2">
        <f t="shared" si="208"/>
        <v>-2.2739559833506724</v>
      </c>
      <c r="G2653" s="2">
        <f t="shared" si="209"/>
        <v>5.1708758142163234</v>
      </c>
    </row>
    <row r="2654" spans="1:7" x14ac:dyDescent="0.35">
      <c r="A2654" s="2">
        <v>2200</v>
      </c>
      <c r="B2654" s="2">
        <f t="shared" si="205"/>
        <v>861.64793617759278</v>
      </c>
      <c r="C2654" s="2">
        <f t="shared" si="206"/>
        <v>742437.16591910506</v>
      </c>
      <c r="D2654" s="2">
        <v>12269</v>
      </c>
      <c r="E2654" s="2">
        <f t="shared" si="207"/>
        <v>1.2269000000000001</v>
      </c>
      <c r="F2654" s="2">
        <f t="shared" si="208"/>
        <v>-2.1529559833506724</v>
      </c>
      <c r="G2654" s="2">
        <f t="shared" si="209"/>
        <v>4.6352194662454611</v>
      </c>
    </row>
    <row r="2655" spans="1:7" x14ac:dyDescent="0.35">
      <c r="A2655" s="2">
        <v>2200</v>
      </c>
      <c r="B2655" s="2">
        <f t="shared" si="205"/>
        <v>861.64793617759278</v>
      </c>
      <c r="C2655" s="2">
        <f t="shared" si="206"/>
        <v>742437.16591910506</v>
      </c>
      <c r="D2655" s="2">
        <v>11398</v>
      </c>
      <c r="E2655" s="2">
        <f t="shared" si="207"/>
        <v>1.1397999999999999</v>
      </c>
      <c r="F2655" s="2">
        <f t="shared" si="208"/>
        <v>-2.2400559833506728</v>
      </c>
      <c r="G2655" s="2">
        <f t="shared" si="209"/>
        <v>5.0178508085451501</v>
      </c>
    </row>
    <row r="2656" spans="1:7" x14ac:dyDescent="0.35">
      <c r="A2656" s="2">
        <v>2200</v>
      </c>
      <c r="B2656" s="2">
        <f t="shared" si="205"/>
        <v>861.64793617759278</v>
      </c>
      <c r="C2656" s="2">
        <f t="shared" si="206"/>
        <v>742437.16591910506</v>
      </c>
      <c r="D2656" s="2">
        <v>11398</v>
      </c>
      <c r="E2656" s="2">
        <f t="shared" si="207"/>
        <v>1.1397999999999999</v>
      </c>
      <c r="F2656" s="2">
        <f t="shared" si="208"/>
        <v>-2.2400559833506728</v>
      </c>
      <c r="G2656" s="2">
        <f t="shared" si="209"/>
        <v>5.0178508085451501</v>
      </c>
    </row>
    <row r="2657" spans="1:7" x14ac:dyDescent="0.35">
      <c r="A2657" s="2">
        <v>2200</v>
      </c>
      <c r="B2657" s="2">
        <f t="shared" si="205"/>
        <v>861.64793617759278</v>
      </c>
      <c r="C2657" s="2">
        <f t="shared" si="206"/>
        <v>742437.16591910506</v>
      </c>
      <c r="D2657" s="2">
        <v>11404</v>
      </c>
      <c r="E2657" s="2">
        <f t="shared" si="207"/>
        <v>1.1404000000000001</v>
      </c>
      <c r="F2657" s="2">
        <f t="shared" si="208"/>
        <v>-2.2394559833506724</v>
      </c>
      <c r="G2657" s="2">
        <f t="shared" si="209"/>
        <v>5.0151631013651272</v>
      </c>
    </row>
    <row r="2658" spans="1:7" x14ac:dyDescent="0.35">
      <c r="A2658" s="2">
        <v>2200</v>
      </c>
      <c r="B2658" s="2">
        <f t="shared" si="205"/>
        <v>861.64793617759278</v>
      </c>
      <c r="C2658" s="2">
        <f t="shared" si="206"/>
        <v>742437.16591910506</v>
      </c>
      <c r="D2658" s="2">
        <v>8768</v>
      </c>
      <c r="E2658" s="2">
        <f t="shared" si="207"/>
        <v>0.87680000000000002</v>
      </c>
      <c r="F2658" s="2">
        <f t="shared" si="208"/>
        <v>-2.5030559833506727</v>
      </c>
      <c r="G2658" s="2">
        <f t="shared" si="209"/>
        <v>6.2652892557876028</v>
      </c>
    </row>
    <row r="2659" spans="1:7" x14ac:dyDescent="0.35">
      <c r="A2659" s="2">
        <v>2200</v>
      </c>
      <c r="B2659" s="2">
        <f t="shared" si="205"/>
        <v>861.64793617759278</v>
      </c>
      <c r="C2659" s="2">
        <f t="shared" si="206"/>
        <v>742437.16591910506</v>
      </c>
      <c r="D2659" s="2">
        <v>11404</v>
      </c>
      <c r="E2659" s="2">
        <f t="shared" si="207"/>
        <v>1.1404000000000001</v>
      </c>
      <c r="F2659" s="2">
        <f t="shared" si="208"/>
        <v>-2.2394559833506724</v>
      </c>
      <c r="G2659" s="2">
        <f t="shared" si="209"/>
        <v>5.0151631013651272</v>
      </c>
    </row>
    <row r="2660" spans="1:7" x14ac:dyDescent="0.35">
      <c r="A2660" s="2">
        <v>2200</v>
      </c>
      <c r="B2660" s="2">
        <f t="shared" si="205"/>
        <v>861.64793617759278</v>
      </c>
      <c r="C2660" s="2">
        <f t="shared" si="206"/>
        <v>742437.16591910506</v>
      </c>
      <c r="D2660" s="2">
        <v>8771</v>
      </c>
      <c r="E2660" s="2">
        <f t="shared" si="207"/>
        <v>0.87709999999999999</v>
      </c>
      <c r="F2660" s="2">
        <f t="shared" si="208"/>
        <v>-2.5027559833506725</v>
      </c>
      <c r="G2660" s="2">
        <f t="shared" si="209"/>
        <v>6.2637875121975917</v>
      </c>
    </row>
    <row r="2661" spans="1:7" x14ac:dyDescent="0.35">
      <c r="A2661" s="2">
        <v>2200</v>
      </c>
      <c r="B2661" s="2">
        <f t="shared" si="205"/>
        <v>861.64793617759278</v>
      </c>
      <c r="C2661" s="2">
        <f t="shared" si="206"/>
        <v>742437.16591910506</v>
      </c>
      <c r="D2661" s="2">
        <v>5721</v>
      </c>
      <c r="E2661" s="2">
        <f t="shared" si="207"/>
        <v>0.57210000000000005</v>
      </c>
      <c r="F2661" s="2">
        <f t="shared" si="208"/>
        <v>-2.8077559833506722</v>
      </c>
      <c r="G2661" s="2">
        <f t="shared" si="209"/>
        <v>7.8834936620415004</v>
      </c>
    </row>
    <row r="2662" spans="1:7" x14ac:dyDescent="0.35">
      <c r="A2662" s="2">
        <v>2200</v>
      </c>
      <c r="B2662" s="2">
        <f t="shared" si="205"/>
        <v>861.64793617759278</v>
      </c>
      <c r="C2662" s="2">
        <f t="shared" si="206"/>
        <v>742437.16591910506</v>
      </c>
      <c r="D2662" s="2">
        <v>8769</v>
      </c>
      <c r="E2662" s="2">
        <f t="shared" si="207"/>
        <v>0.87690000000000001</v>
      </c>
      <c r="F2662" s="2">
        <f t="shared" si="208"/>
        <v>-2.5029559833506725</v>
      </c>
      <c r="G2662" s="2">
        <f t="shared" si="209"/>
        <v>6.2647886545909319</v>
      </c>
    </row>
    <row r="2663" spans="1:7" x14ac:dyDescent="0.35">
      <c r="A2663" s="2">
        <v>593</v>
      </c>
      <c r="B2663" s="2">
        <f t="shared" si="205"/>
        <v>-745.35206382240722</v>
      </c>
      <c r="C2663" s="2">
        <f t="shared" si="206"/>
        <v>555549.69904432178</v>
      </c>
      <c r="D2663" s="2">
        <v>45166</v>
      </c>
      <c r="E2663" s="2">
        <f t="shared" si="207"/>
        <v>4.5166000000000004</v>
      </c>
      <c r="F2663" s="2">
        <f t="shared" si="208"/>
        <v>1.1367440166493279</v>
      </c>
      <c r="G2663" s="2">
        <f t="shared" si="209"/>
        <v>1.2921869593880475</v>
      </c>
    </row>
    <row r="2664" spans="1:7" x14ac:dyDescent="0.35">
      <c r="A2664" s="2">
        <v>593</v>
      </c>
      <c r="B2664" s="2">
        <f t="shared" si="205"/>
        <v>-745.35206382240722</v>
      </c>
      <c r="C2664" s="2">
        <f t="shared" si="206"/>
        <v>555549.69904432178</v>
      </c>
      <c r="D2664" s="2">
        <v>50000</v>
      </c>
      <c r="E2664" s="2">
        <f t="shared" si="207"/>
        <v>5</v>
      </c>
      <c r="F2664" s="2">
        <f t="shared" si="208"/>
        <v>1.6201440166493275</v>
      </c>
      <c r="G2664" s="2">
        <f t="shared" si="209"/>
        <v>2.6248666346846163</v>
      </c>
    </row>
    <row r="2665" spans="1:7" x14ac:dyDescent="0.35">
      <c r="A2665" s="2">
        <v>593</v>
      </c>
      <c r="B2665" s="2">
        <f t="shared" si="205"/>
        <v>-745.35206382240722</v>
      </c>
      <c r="C2665" s="2">
        <f t="shared" si="206"/>
        <v>555549.69904432178</v>
      </c>
      <c r="D2665" s="2">
        <v>51887</v>
      </c>
      <c r="E2665" s="2">
        <f t="shared" si="207"/>
        <v>5.1886999999999999</v>
      </c>
      <c r="F2665" s="2">
        <f t="shared" si="208"/>
        <v>1.8088440166493274</v>
      </c>
      <c r="G2665" s="2">
        <f t="shared" si="209"/>
        <v>3.2719166765680723</v>
      </c>
    </row>
    <row r="2666" spans="1:7" x14ac:dyDescent="0.35">
      <c r="A2666" s="2">
        <v>593</v>
      </c>
      <c r="B2666" s="2">
        <f t="shared" si="205"/>
        <v>-745.35206382240722</v>
      </c>
      <c r="C2666" s="2">
        <f t="shared" si="206"/>
        <v>555549.69904432178</v>
      </c>
      <c r="D2666" s="2">
        <v>50000</v>
      </c>
      <c r="E2666" s="2">
        <f t="shared" si="207"/>
        <v>5</v>
      </c>
      <c r="F2666" s="2">
        <f t="shared" si="208"/>
        <v>1.6201440166493275</v>
      </c>
      <c r="G2666" s="2">
        <f t="shared" si="209"/>
        <v>2.6248666346846163</v>
      </c>
    </row>
    <row r="2667" spans="1:7" x14ac:dyDescent="0.35">
      <c r="A2667" s="2">
        <v>593</v>
      </c>
      <c r="B2667" s="2">
        <f t="shared" si="205"/>
        <v>-745.35206382240722</v>
      </c>
      <c r="C2667" s="2">
        <f t="shared" si="206"/>
        <v>555549.69904432178</v>
      </c>
      <c r="D2667" s="2">
        <v>49625</v>
      </c>
      <c r="E2667" s="2">
        <f t="shared" si="207"/>
        <v>4.9625000000000004</v>
      </c>
      <c r="F2667" s="2">
        <f t="shared" si="208"/>
        <v>1.5826440166493279</v>
      </c>
      <c r="G2667" s="2">
        <f t="shared" si="209"/>
        <v>2.5047620834359181</v>
      </c>
    </row>
    <row r="2668" spans="1:7" x14ac:dyDescent="0.35">
      <c r="A2668" s="2">
        <v>593</v>
      </c>
      <c r="B2668" s="2">
        <f t="shared" si="205"/>
        <v>-745.35206382240722</v>
      </c>
      <c r="C2668" s="2">
        <f t="shared" si="206"/>
        <v>555549.69904432178</v>
      </c>
      <c r="D2668" s="2">
        <v>49505</v>
      </c>
      <c r="E2668" s="2">
        <f t="shared" si="207"/>
        <v>4.9504999999999999</v>
      </c>
      <c r="F2668" s="2">
        <f t="shared" si="208"/>
        <v>1.5706440166493274</v>
      </c>
      <c r="G2668" s="2">
        <f t="shared" si="209"/>
        <v>2.4669226270363325</v>
      </c>
    </row>
    <row r="2669" spans="1:7" x14ac:dyDescent="0.35">
      <c r="A2669" s="2">
        <v>593</v>
      </c>
      <c r="B2669" s="2">
        <f t="shared" si="205"/>
        <v>-745.35206382240722</v>
      </c>
      <c r="C2669" s="2">
        <f t="shared" si="206"/>
        <v>555549.69904432178</v>
      </c>
      <c r="D2669" s="2">
        <v>50026</v>
      </c>
      <c r="E2669" s="2">
        <f t="shared" si="207"/>
        <v>5.0026000000000002</v>
      </c>
      <c r="F2669" s="2">
        <f t="shared" si="208"/>
        <v>1.6227440166493277</v>
      </c>
      <c r="G2669" s="2">
        <f t="shared" si="209"/>
        <v>2.6332981435711935</v>
      </c>
    </row>
    <row r="2670" spans="1:7" x14ac:dyDescent="0.35">
      <c r="A2670" s="2">
        <v>593</v>
      </c>
      <c r="B2670" s="2">
        <f t="shared" si="205"/>
        <v>-745.35206382240722</v>
      </c>
      <c r="C2670" s="2">
        <f t="shared" si="206"/>
        <v>555549.69904432178</v>
      </c>
      <c r="D2670" s="2">
        <v>50176</v>
      </c>
      <c r="E2670" s="2">
        <f t="shared" si="207"/>
        <v>5.0175999999999998</v>
      </c>
      <c r="F2670" s="2">
        <f t="shared" si="208"/>
        <v>1.6377440166493273</v>
      </c>
      <c r="G2670" s="2">
        <f t="shared" si="209"/>
        <v>2.6822054640706723</v>
      </c>
    </row>
    <row r="2671" spans="1:7" x14ac:dyDescent="0.35">
      <c r="A2671" s="2">
        <v>593</v>
      </c>
      <c r="B2671" s="2">
        <f t="shared" si="205"/>
        <v>-745.35206382240722</v>
      </c>
      <c r="C2671" s="2">
        <f t="shared" si="206"/>
        <v>555549.69904432178</v>
      </c>
      <c r="D2671" s="2">
        <v>50554</v>
      </c>
      <c r="E2671" s="2">
        <f t="shared" si="207"/>
        <v>5.0553999999999997</v>
      </c>
      <c r="F2671" s="2">
        <f t="shared" si="208"/>
        <v>1.6755440166493272</v>
      </c>
      <c r="G2671" s="2">
        <f t="shared" si="209"/>
        <v>2.8074477517293608</v>
      </c>
    </row>
    <row r="2672" spans="1:7" x14ac:dyDescent="0.35">
      <c r="A2672" s="2">
        <v>593</v>
      </c>
      <c r="B2672" s="2">
        <f t="shared" si="205"/>
        <v>-745.35206382240722</v>
      </c>
      <c r="C2672" s="2">
        <f t="shared" si="206"/>
        <v>555549.69904432178</v>
      </c>
      <c r="D2672" s="2">
        <v>50045</v>
      </c>
      <c r="E2672" s="2">
        <f t="shared" si="207"/>
        <v>5.0045000000000002</v>
      </c>
      <c r="F2672" s="2">
        <f t="shared" si="208"/>
        <v>1.6246440166493277</v>
      </c>
      <c r="G2672" s="2">
        <f t="shared" si="209"/>
        <v>2.6394681808344611</v>
      </c>
    </row>
    <row r="2673" spans="1:7" x14ac:dyDescent="0.35">
      <c r="A2673" s="2">
        <v>593</v>
      </c>
      <c r="B2673" s="2">
        <f t="shared" si="205"/>
        <v>-745.35206382240722</v>
      </c>
      <c r="C2673" s="2">
        <f t="shared" si="206"/>
        <v>555549.69904432178</v>
      </c>
      <c r="D2673" s="2">
        <v>51114</v>
      </c>
      <c r="E2673" s="2">
        <f t="shared" si="207"/>
        <v>5.1113999999999997</v>
      </c>
      <c r="F2673" s="2">
        <f t="shared" si="208"/>
        <v>1.7315440166493272</v>
      </c>
      <c r="G2673" s="2">
        <f t="shared" si="209"/>
        <v>2.9982446815940857</v>
      </c>
    </row>
    <row r="2674" spans="1:7" x14ac:dyDescent="0.35">
      <c r="A2674" s="2">
        <v>593</v>
      </c>
      <c r="B2674" s="2">
        <f t="shared" si="205"/>
        <v>-745.35206382240722</v>
      </c>
      <c r="C2674" s="2">
        <f t="shared" si="206"/>
        <v>555549.69904432178</v>
      </c>
      <c r="D2674" s="2">
        <v>50005</v>
      </c>
      <c r="E2674" s="2">
        <f t="shared" si="207"/>
        <v>5.0004999999999997</v>
      </c>
      <c r="F2674" s="2">
        <f t="shared" si="208"/>
        <v>1.6206440166493272</v>
      </c>
      <c r="G2674" s="2">
        <f t="shared" si="209"/>
        <v>2.6264870287012649</v>
      </c>
    </row>
    <row r="2675" spans="1:7" x14ac:dyDescent="0.35">
      <c r="A2675" s="2">
        <v>593</v>
      </c>
      <c r="B2675" s="2">
        <f t="shared" si="205"/>
        <v>-745.35206382240722</v>
      </c>
      <c r="C2675" s="2">
        <f t="shared" si="206"/>
        <v>555549.69904432178</v>
      </c>
      <c r="D2675" s="2">
        <v>52601</v>
      </c>
      <c r="E2675" s="2">
        <f t="shared" si="207"/>
        <v>5.2601000000000004</v>
      </c>
      <c r="F2675" s="2">
        <f t="shared" si="208"/>
        <v>1.8802440166493279</v>
      </c>
      <c r="G2675" s="2">
        <f t="shared" si="209"/>
        <v>3.5353175621455981</v>
      </c>
    </row>
    <row r="2676" spans="1:7" x14ac:dyDescent="0.35">
      <c r="A2676" s="2">
        <v>593</v>
      </c>
      <c r="B2676" s="2">
        <f t="shared" si="205"/>
        <v>-745.35206382240722</v>
      </c>
      <c r="C2676" s="2">
        <f t="shared" si="206"/>
        <v>555549.69904432178</v>
      </c>
      <c r="D2676" s="2">
        <v>52321</v>
      </c>
      <c r="E2676" s="2">
        <f t="shared" si="207"/>
        <v>5.2321</v>
      </c>
      <c r="F2676" s="2">
        <f t="shared" si="208"/>
        <v>1.8522440166493275</v>
      </c>
      <c r="G2676" s="2">
        <f t="shared" si="209"/>
        <v>3.4308078972132341</v>
      </c>
    </row>
    <row r="2677" spans="1:7" x14ac:dyDescent="0.35">
      <c r="A2677" s="2">
        <v>593</v>
      </c>
      <c r="B2677" s="2">
        <f t="shared" si="205"/>
        <v>-745.35206382240722</v>
      </c>
      <c r="C2677" s="2">
        <f t="shared" si="206"/>
        <v>555549.69904432178</v>
      </c>
      <c r="D2677" s="2">
        <v>60492</v>
      </c>
      <c r="E2677" s="2">
        <f t="shared" si="207"/>
        <v>6.0491999999999999</v>
      </c>
      <c r="F2677" s="2">
        <f t="shared" si="208"/>
        <v>2.6693440166493274</v>
      </c>
      <c r="G2677" s="2">
        <f t="shared" si="209"/>
        <v>7.1253974792215651</v>
      </c>
    </row>
    <row r="2678" spans="1:7" x14ac:dyDescent="0.35">
      <c r="A2678" s="2">
        <v>593</v>
      </c>
      <c r="B2678" s="2">
        <f t="shared" si="205"/>
        <v>-745.35206382240722</v>
      </c>
      <c r="C2678" s="2">
        <f t="shared" si="206"/>
        <v>555549.69904432178</v>
      </c>
      <c r="D2678" s="2">
        <v>61017</v>
      </c>
      <c r="E2678" s="2">
        <f t="shared" si="207"/>
        <v>6.1017000000000001</v>
      </c>
      <c r="F2678" s="2">
        <f t="shared" si="208"/>
        <v>2.7218440166493276</v>
      </c>
      <c r="G2678" s="2">
        <f t="shared" si="209"/>
        <v>7.4084348509697451</v>
      </c>
    </row>
    <row r="2679" spans="1:7" x14ac:dyDescent="0.35">
      <c r="A2679" s="2">
        <v>593</v>
      </c>
      <c r="B2679" s="2">
        <f t="shared" si="205"/>
        <v>-745.35206382240722</v>
      </c>
      <c r="C2679" s="2">
        <f t="shared" si="206"/>
        <v>555549.69904432178</v>
      </c>
      <c r="D2679" s="2">
        <v>60192</v>
      </c>
      <c r="E2679" s="2">
        <f t="shared" si="207"/>
        <v>6.0191999999999997</v>
      </c>
      <c r="F2679" s="2">
        <f t="shared" si="208"/>
        <v>2.6393440166493272</v>
      </c>
      <c r="G2679" s="2">
        <f t="shared" si="209"/>
        <v>6.9661368382226039</v>
      </c>
    </row>
    <row r="2680" spans="1:7" x14ac:dyDescent="0.35">
      <c r="A2680" s="2">
        <v>593</v>
      </c>
      <c r="B2680" s="2">
        <f t="shared" si="205"/>
        <v>-745.35206382240722</v>
      </c>
      <c r="C2680" s="2">
        <f t="shared" si="206"/>
        <v>555549.69904432178</v>
      </c>
      <c r="D2680" s="2">
        <v>70010</v>
      </c>
      <c r="E2680" s="2">
        <f t="shared" si="207"/>
        <v>7.0010000000000003</v>
      </c>
      <c r="F2680" s="2">
        <f t="shared" si="208"/>
        <v>3.6211440166493278</v>
      </c>
      <c r="G2680" s="2">
        <f t="shared" si="209"/>
        <v>13.112683989315228</v>
      </c>
    </row>
    <row r="2681" spans="1:7" x14ac:dyDescent="0.35">
      <c r="A2681" s="2">
        <v>593</v>
      </c>
      <c r="B2681" s="2">
        <f t="shared" si="205"/>
        <v>-745.35206382240722</v>
      </c>
      <c r="C2681" s="2">
        <f t="shared" si="206"/>
        <v>555549.69904432178</v>
      </c>
      <c r="D2681" s="2">
        <v>70664</v>
      </c>
      <c r="E2681" s="2">
        <f t="shared" si="207"/>
        <v>7.0663999999999998</v>
      </c>
      <c r="F2681" s="2">
        <f t="shared" si="208"/>
        <v>3.6865440166493273</v>
      </c>
      <c r="G2681" s="2">
        <f t="shared" si="209"/>
        <v>13.590606786692955</v>
      </c>
    </row>
    <row r="2682" spans="1:7" x14ac:dyDescent="0.35">
      <c r="A2682" s="2">
        <v>593</v>
      </c>
      <c r="B2682" s="2">
        <f t="shared" si="205"/>
        <v>-745.35206382240722</v>
      </c>
      <c r="C2682" s="2">
        <f t="shared" si="206"/>
        <v>555549.69904432178</v>
      </c>
      <c r="D2682" s="2">
        <v>70273</v>
      </c>
      <c r="E2682" s="2">
        <f t="shared" si="207"/>
        <v>7.0273000000000003</v>
      </c>
      <c r="F2682" s="2">
        <f t="shared" si="208"/>
        <v>3.6474440166493278</v>
      </c>
      <c r="G2682" s="2">
        <f t="shared" si="209"/>
        <v>13.303847854590982</v>
      </c>
    </row>
    <row r="2683" spans="1:7" x14ac:dyDescent="0.35">
      <c r="A2683" s="2">
        <v>593</v>
      </c>
      <c r="B2683" s="2">
        <f t="shared" si="205"/>
        <v>-745.35206382240722</v>
      </c>
      <c r="C2683" s="2">
        <f t="shared" si="206"/>
        <v>555549.69904432178</v>
      </c>
      <c r="D2683" s="2">
        <v>69084</v>
      </c>
      <c r="E2683" s="2">
        <f t="shared" si="207"/>
        <v>6.9084000000000003</v>
      </c>
      <c r="F2683" s="2">
        <f t="shared" si="208"/>
        <v>3.5285440166493278</v>
      </c>
      <c r="G2683" s="2">
        <f t="shared" si="209"/>
        <v>12.450622877431773</v>
      </c>
    </row>
    <row r="2684" spans="1:7" x14ac:dyDescent="0.35">
      <c r="A2684" s="2">
        <v>593</v>
      </c>
      <c r="B2684" s="2">
        <f t="shared" si="205"/>
        <v>-745.35206382240722</v>
      </c>
      <c r="C2684" s="2">
        <f t="shared" si="206"/>
        <v>555549.69904432178</v>
      </c>
      <c r="D2684" s="2">
        <v>75716</v>
      </c>
      <c r="E2684" s="2">
        <f t="shared" si="207"/>
        <v>7.5716000000000001</v>
      </c>
      <c r="F2684" s="2">
        <f t="shared" si="208"/>
        <v>4.1917440166493272</v>
      </c>
      <c r="G2684" s="2">
        <f t="shared" si="209"/>
        <v>17.570717901115433</v>
      </c>
    </row>
    <row r="2685" spans="1:7" x14ac:dyDescent="0.35">
      <c r="A2685" s="2">
        <v>593</v>
      </c>
      <c r="B2685" s="2">
        <f t="shared" si="205"/>
        <v>-745.35206382240722</v>
      </c>
      <c r="C2685" s="2">
        <f t="shared" si="206"/>
        <v>555549.69904432178</v>
      </c>
      <c r="D2685" s="2">
        <v>77765</v>
      </c>
      <c r="E2685" s="2">
        <f t="shared" si="207"/>
        <v>7.7765000000000004</v>
      </c>
      <c r="F2685" s="2">
        <f t="shared" si="208"/>
        <v>4.3966440166493275</v>
      </c>
      <c r="G2685" s="2">
        <f t="shared" si="209"/>
        <v>19.330478609138332</v>
      </c>
    </row>
    <row r="2686" spans="1:7" x14ac:dyDescent="0.35">
      <c r="A2686" s="2">
        <v>593</v>
      </c>
      <c r="B2686" s="2">
        <f t="shared" si="205"/>
        <v>-745.35206382240722</v>
      </c>
      <c r="C2686" s="2">
        <f t="shared" si="206"/>
        <v>555549.69904432178</v>
      </c>
      <c r="D2686" s="2">
        <v>86899</v>
      </c>
      <c r="E2686" s="2">
        <f t="shared" si="207"/>
        <v>8.6898999999999997</v>
      </c>
      <c r="F2686" s="2">
        <f t="shared" si="208"/>
        <v>5.3100440166493268</v>
      </c>
      <c r="G2686" s="2">
        <f t="shared" si="209"/>
        <v>28.196567458753314</v>
      </c>
    </row>
    <row r="2687" spans="1:7" x14ac:dyDescent="0.35">
      <c r="A2687" s="2">
        <v>593</v>
      </c>
      <c r="B2687" s="2">
        <f t="shared" si="205"/>
        <v>-745.35206382240722</v>
      </c>
      <c r="C2687" s="2">
        <f t="shared" si="206"/>
        <v>555549.69904432178</v>
      </c>
      <c r="D2687" s="2">
        <v>90559</v>
      </c>
      <c r="E2687" s="2">
        <f t="shared" si="207"/>
        <v>9.0558999999999994</v>
      </c>
      <c r="F2687" s="2">
        <f t="shared" si="208"/>
        <v>5.6760440166493265</v>
      </c>
      <c r="G2687" s="2">
        <f t="shared" si="209"/>
        <v>32.217475678940616</v>
      </c>
    </row>
    <row r="2688" spans="1:7" x14ac:dyDescent="0.35">
      <c r="A2688" s="2">
        <v>593</v>
      </c>
      <c r="B2688" s="2">
        <f t="shared" si="205"/>
        <v>-745.35206382240722</v>
      </c>
      <c r="C2688" s="2">
        <f t="shared" si="206"/>
        <v>555549.69904432178</v>
      </c>
      <c r="D2688" s="2">
        <v>73539</v>
      </c>
      <c r="E2688" s="2">
        <f t="shared" si="207"/>
        <v>7.3539000000000003</v>
      </c>
      <c r="F2688" s="2">
        <f t="shared" si="208"/>
        <v>3.9740440166493278</v>
      </c>
      <c r="G2688" s="2">
        <f t="shared" si="209"/>
        <v>15.793025846266323</v>
      </c>
    </row>
    <row r="2689" spans="1:7" x14ac:dyDescent="0.35">
      <c r="A2689" s="2">
        <v>593</v>
      </c>
      <c r="B2689" s="2">
        <f t="shared" si="205"/>
        <v>-745.35206382240722</v>
      </c>
      <c r="C2689" s="2">
        <f t="shared" si="206"/>
        <v>555549.69904432178</v>
      </c>
      <c r="D2689" s="2">
        <v>81380</v>
      </c>
      <c r="E2689" s="2">
        <f t="shared" si="207"/>
        <v>8.1379999999999999</v>
      </c>
      <c r="F2689" s="2">
        <f t="shared" si="208"/>
        <v>4.758144016649327</v>
      </c>
      <c r="G2689" s="2">
        <f t="shared" si="209"/>
        <v>22.639934483175789</v>
      </c>
    </row>
    <row r="2690" spans="1:7" x14ac:dyDescent="0.35">
      <c r="A2690" s="2">
        <v>593</v>
      </c>
      <c r="B2690" s="2">
        <f t="shared" si="205"/>
        <v>-745.35206382240722</v>
      </c>
      <c r="C2690" s="2">
        <f t="shared" si="206"/>
        <v>555549.69904432178</v>
      </c>
      <c r="D2690" s="2">
        <v>74856</v>
      </c>
      <c r="E2690" s="2">
        <f t="shared" si="207"/>
        <v>7.4855999999999998</v>
      </c>
      <c r="F2690" s="2">
        <f t="shared" si="208"/>
        <v>4.1057440166493269</v>
      </c>
      <c r="G2690" s="2">
        <f t="shared" si="209"/>
        <v>16.857133930251749</v>
      </c>
    </row>
    <row r="2691" spans="1:7" x14ac:dyDescent="0.35">
      <c r="A2691" s="2">
        <v>593</v>
      </c>
      <c r="B2691" s="2">
        <f t="shared" ref="B2691:B2754" si="210">A2691-$J$1</f>
        <v>-745.35206382240722</v>
      </c>
      <c r="C2691" s="2">
        <f t="shared" ref="C2691:C2754" si="211">B2691^2</f>
        <v>555549.69904432178</v>
      </c>
      <c r="D2691" s="2">
        <v>79409</v>
      </c>
      <c r="E2691" s="2">
        <f t="shared" ref="E2691:E2754" si="212">D2691/10000</f>
        <v>7.9409000000000001</v>
      </c>
      <c r="F2691" s="2">
        <f t="shared" ref="F2691:F2754" si="213">E2691-$J$2</f>
        <v>4.561044016649328</v>
      </c>
      <c r="G2691" s="2">
        <f t="shared" ref="G2691:G2754" si="214">F2691^2</f>
        <v>20.803122521812636</v>
      </c>
    </row>
    <row r="2692" spans="1:7" x14ac:dyDescent="0.35">
      <c r="A2692" s="2">
        <v>593</v>
      </c>
      <c r="B2692" s="2">
        <f t="shared" si="210"/>
        <v>-745.35206382240722</v>
      </c>
      <c r="C2692" s="2">
        <f t="shared" si="211"/>
        <v>555549.69904432178</v>
      </c>
      <c r="D2692" s="2">
        <v>79272</v>
      </c>
      <c r="E2692" s="2">
        <f t="shared" si="212"/>
        <v>7.9272</v>
      </c>
      <c r="F2692" s="2">
        <f t="shared" si="213"/>
        <v>4.547344016649328</v>
      </c>
      <c r="G2692" s="2">
        <f t="shared" si="214"/>
        <v>20.678337605756443</v>
      </c>
    </row>
    <row r="2693" spans="1:7" x14ac:dyDescent="0.35">
      <c r="A2693" s="2">
        <v>161</v>
      </c>
      <c r="B2693" s="2">
        <f t="shared" si="210"/>
        <v>-1177.3520638224072</v>
      </c>
      <c r="C2693" s="2">
        <f t="shared" si="211"/>
        <v>1386157.8821868817</v>
      </c>
      <c r="D2693" s="2">
        <v>22794</v>
      </c>
      <c r="E2693" s="2">
        <f t="shared" si="212"/>
        <v>2.2793999999999999</v>
      </c>
      <c r="F2693" s="2">
        <f t="shared" si="213"/>
        <v>-1.1004559833506726</v>
      </c>
      <c r="G2693" s="2">
        <f t="shared" si="214"/>
        <v>1.2110033712922958</v>
      </c>
    </row>
    <row r="2694" spans="1:7" x14ac:dyDescent="0.35">
      <c r="A2694" s="2">
        <v>161</v>
      </c>
      <c r="B2694" s="2">
        <f t="shared" si="210"/>
        <v>-1177.3520638224072</v>
      </c>
      <c r="C2694" s="2">
        <f t="shared" si="211"/>
        <v>1386157.8821868817</v>
      </c>
      <c r="D2694" s="2">
        <v>22746</v>
      </c>
      <c r="E2694" s="2">
        <f t="shared" si="212"/>
        <v>2.2746</v>
      </c>
      <c r="F2694" s="2">
        <f t="shared" si="213"/>
        <v>-1.1052559833506725</v>
      </c>
      <c r="G2694" s="2">
        <f t="shared" si="214"/>
        <v>1.2215907887324622</v>
      </c>
    </row>
    <row r="2695" spans="1:7" x14ac:dyDescent="0.35">
      <c r="A2695" s="2">
        <v>161</v>
      </c>
      <c r="B2695" s="2">
        <f t="shared" si="210"/>
        <v>-1177.3520638224072</v>
      </c>
      <c r="C2695" s="2">
        <f t="shared" si="211"/>
        <v>1386157.8821868817</v>
      </c>
      <c r="D2695" s="2">
        <v>24865</v>
      </c>
      <c r="E2695" s="2">
        <f t="shared" si="212"/>
        <v>2.4864999999999999</v>
      </c>
      <c r="F2695" s="2">
        <f t="shared" si="213"/>
        <v>-0.89335598335067257</v>
      </c>
      <c r="G2695" s="2">
        <f t="shared" si="214"/>
        <v>0.79808491298844719</v>
      </c>
    </row>
    <row r="2696" spans="1:7" x14ac:dyDescent="0.35">
      <c r="A2696" s="2">
        <v>161</v>
      </c>
      <c r="B2696" s="2">
        <f t="shared" si="210"/>
        <v>-1177.3520638224072</v>
      </c>
      <c r="C2696" s="2">
        <f t="shared" si="211"/>
        <v>1386157.8821868817</v>
      </c>
      <c r="D2696" s="2">
        <v>27103</v>
      </c>
      <c r="E2696" s="2">
        <f t="shared" si="212"/>
        <v>2.7103000000000002</v>
      </c>
      <c r="F2696" s="2">
        <f t="shared" si="213"/>
        <v>-0.66955598335067235</v>
      </c>
      <c r="G2696" s="2">
        <f t="shared" si="214"/>
        <v>0.44830521484068581</v>
      </c>
    </row>
    <row r="2697" spans="1:7" x14ac:dyDescent="0.35">
      <c r="A2697" s="2">
        <v>161</v>
      </c>
      <c r="B2697" s="2">
        <f t="shared" si="210"/>
        <v>-1177.3520638224072</v>
      </c>
      <c r="C2697" s="2">
        <f t="shared" si="211"/>
        <v>1386157.8821868817</v>
      </c>
      <c r="D2697" s="2">
        <v>12750</v>
      </c>
      <c r="E2697" s="2">
        <f t="shared" si="212"/>
        <v>1.2749999999999999</v>
      </c>
      <c r="F2697" s="2">
        <f t="shared" si="213"/>
        <v>-2.1048559833506726</v>
      </c>
      <c r="G2697" s="2">
        <f t="shared" si="214"/>
        <v>4.4304187106471264</v>
      </c>
    </row>
    <row r="2698" spans="1:7" x14ac:dyDescent="0.35">
      <c r="A2698" s="2">
        <v>161</v>
      </c>
      <c r="B2698" s="2">
        <f t="shared" si="210"/>
        <v>-1177.3520638224072</v>
      </c>
      <c r="C2698" s="2">
        <f t="shared" si="211"/>
        <v>1386157.8821868817</v>
      </c>
      <c r="D2698" s="2">
        <v>8406</v>
      </c>
      <c r="E2698" s="2">
        <f t="shared" si="212"/>
        <v>0.84060000000000001</v>
      </c>
      <c r="F2698" s="2">
        <f t="shared" si="213"/>
        <v>-2.5392559833506727</v>
      </c>
      <c r="G2698" s="2">
        <f t="shared" si="214"/>
        <v>6.4478209489821916</v>
      </c>
    </row>
    <row r="2699" spans="1:7" x14ac:dyDescent="0.35">
      <c r="A2699" s="2">
        <v>161</v>
      </c>
      <c r="B2699" s="2">
        <f t="shared" si="210"/>
        <v>-1177.3520638224072</v>
      </c>
      <c r="C2699" s="2">
        <f t="shared" si="211"/>
        <v>1386157.8821868817</v>
      </c>
      <c r="D2699" s="2">
        <v>6850</v>
      </c>
      <c r="E2699" s="2">
        <f t="shared" si="212"/>
        <v>0.68500000000000005</v>
      </c>
      <c r="F2699" s="2">
        <f t="shared" si="213"/>
        <v>-2.6948559833506724</v>
      </c>
      <c r="G2699" s="2">
        <f t="shared" si="214"/>
        <v>7.2622487710009196</v>
      </c>
    </row>
    <row r="2700" spans="1:7" x14ac:dyDescent="0.35">
      <c r="A2700" s="2">
        <v>161</v>
      </c>
      <c r="B2700" s="2">
        <f t="shared" si="210"/>
        <v>-1177.3520638224072</v>
      </c>
      <c r="C2700" s="2">
        <f t="shared" si="211"/>
        <v>1386157.8821868817</v>
      </c>
      <c r="D2700" s="2">
        <v>11100</v>
      </c>
      <c r="E2700" s="2">
        <f t="shared" si="212"/>
        <v>1.1100000000000001</v>
      </c>
      <c r="F2700" s="2">
        <f t="shared" si="213"/>
        <v>-2.2698559833506726</v>
      </c>
      <c r="G2700" s="2">
        <f t="shared" si="214"/>
        <v>5.1522461851528494</v>
      </c>
    </row>
    <row r="2701" spans="1:7" x14ac:dyDescent="0.35">
      <c r="A2701" s="2">
        <v>161</v>
      </c>
      <c r="B2701" s="2">
        <f t="shared" si="210"/>
        <v>-1177.3520638224072</v>
      </c>
      <c r="C2701" s="2">
        <f t="shared" si="211"/>
        <v>1386157.8821868817</v>
      </c>
      <c r="D2701" s="2">
        <v>3900</v>
      </c>
      <c r="E2701" s="2">
        <f t="shared" si="212"/>
        <v>0.39</v>
      </c>
      <c r="F2701" s="2">
        <f t="shared" si="213"/>
        <v>-2.9898559833506724</v>
      </c>
      <c r="G2701" s="2">
        <f t="shared" si="214"/>
        <v>8.9392388011778152</v>
      </c>
    </row>
    <row r="2702" spans="1:7" x14ac:dyDescent="0.35">
      <c r="A2702" s="2">
        <v>161</v>
      </c>
      <c r="B2702" s="2">
        <f t="shared" si="210"/>
        <v>-1177.3520638224072</v>
      </c>
      <c r="C2702" s="2">
        <f t="shared" si="211"/>
        <v>1386157.8821868817</v>
      </c>
      <c r="D2702" s="2">
        <v>11143</v>
      </c>
      <c r="E2702" s="2">
        <f t="shared" si="212"/>
        <v>1.1143000000000001</v>
      </c>
      <c r="F2702" s="2">
        <f t="shared" si="213"/>
        <v>-2.2655559833506724</v>
      </c>
      <c r="G2702" s="2">
        <f t="shared" si="214"/>
        <v>5.1327439136960322</v>
      </c>
    </row>
    <row r="2703" spans="1:7" x14ac:dyDescent="0.35">
      <c r="A2703" s="2">
        <v>161</v>
      </c>
      <c r="B2703" s="2">
        <f t="shared" si="210"/>
        <v>-1177.3520638224072</v>
      </c>
      <c r="C2703" s="2">
        <f t="shared" si="211"/>
        <v>1386157.8821868817</v>
      </c>
      <c r="D2703" s="2">
        <v>19048</v>
      </c>
      <c r="E2703" s="2">
        <f t="shared" si="212"/>
        <v>1.9048</v>
      </c>
      <c r="F2703" s="2">
        <f t="shared" si="213"/>
        <v>-1.4750559833506725</v>
      </c>
      <c r="G2703" s="2">
        <f t="shared" si="214"/>
        <v>2.1757901540186193</v>
      </c>
    </row>
    <row r="2704" spans="1:7" x14ac:dyDescent="0.35">
      <c r="A2704" s="2">
        <v>161</v>
      </c>
      <c r="B2704" s="2">
        <f t="shared" si="210"/>
        <v>-1177.3520638224072</v>
      </c>
      <c r="C2704" s="2">
        <f t="shared" si="211"/>
        <v>1386157.8821868817</v>
      </c>
      <c r="D2704" s="2">
        <v>22000</v>
      </c>
      <c r="E2704" s="2">
        <f t="shared" si="212"/>
        <v>2.2000000000000002</v>
      </c>
      <c r="F2704" s="2">
        <f t="shared" si="213"/>
        <v>-1.1798559833506723</v>
      </c>
      <c r="G2704" s="2">
        <f t="shared" si="214"/>
        <v>1.392060141448382</v>
      </c>
    </row>
    <row r="2705" spans="1:7" x14ac:dyDescent="0.35">
      <c r="A2705" s="2">
        <v>161</v>
      </c>
      <c r="B2705" s="2">
        <f t="shared" si="210"/>
        <v>-1177.3520638224072</v>
      </c>
      <c r="C2705" s="2">
        <f t="shared" si="211"/>
        <v>1386157.8821868817</v>
      </c>
      <c r="D2705" s="2">
        <v>21818</v>
      </c>
      <c r="E2705" s="2">
        <f t="shared" si="212"/>
        <v>2.1818</v>
      </c>
      <c r="F2705" s="2">
        <f t="shared" si="213"/>
        <v>-1.1980559833506725</v>
      </c>
      <c r="G2705" s="2">
        <f t="shared" si="214"/>
        <v>1.435338139242347</v>
      </c>
    </row>
    <row r="2706" spans="1:7" x14ac:dyDescent="0.35">
      <c r="A2706" s="2">
        <v>161</v>
      </c>
      <c r="B2706" s="2">
        <f t="shared" si="210"/>
        <v>-1177.3520638224072</v>
      </c>
      <c r="C2706" s="2">
        <f t="shared" si="211"/>
        <v>1386157.8821868817</v>
      </c>
      <c r="D2706" s="2">
        <v>24107</v>
      </c>
      <c r="E2706" s="2">
        <f t="shared" si="212"/>
        <v>2.4106999999999998</v>
      </c>
      <c r="F2706" s="2">
        <f t="shared" si="213"/>
        <v>-0.96915598335067266</v>
      </c>
      <c r="G2706" s="2">
        <f t="shared" si="214"/>
        <v>0.93926332006440927</v>
      </c>
    </row>
    <row r="2707" spans="1:7" x14ac:dyDescent="0.35">
      <c r="A2707" s="2">
        <v>161</v>
      </c>
      <c r="B2707" s="2">
        <f t="shared" si="210"/>
        <v>-1177.3520638224072</v>
      </c>
      <c r="C2707" s="2">
        <f t="shared" si="211"/>
        <v>1386157.8821868817</v>
      </c>
      <c r="D2707" s="2">
        <v>13000</v>
      </c>
      <c r="E2707" s="2">
        <f t="shared" si="212"/>
        <v>1.3</v>
      </c>
      <c r="F2707" s="2">
        <f t="shared" si="213"/>
        <v>-2.0798559833506722</v>
      </c>
      <c r="G2707" s="2">
        <f t="shared" si="214"/>
        <v>4.3258009114795914</v>
      </c>
    </row>
    <row r="2708" spans="1:7" x14ac:dyDescent="0.35">
      <c r="A2708" s="2">
        <v>161</v>
      </c>
      <c r="B2708" s="2">
        <f t="shared" si="210"/>
        <v>-1177.3520638224072</v>
      </c>
      <c r="C2708" s="2">
        <f t="shared" si="211"/>
        <v>1386157.8821868817</v>
      </c>
      <c r="D2708" s="2">
        <v>11000</v>
      </c>
      <c r="E2708" s="2">
        <f t="shared" si="212"/>
        <v>1.1000000000000001</v>
      </c>
      <c r="F2708" s="2">
        <f t="shared" si="213"/>
        <v>-2.2798559833506724</v>
      </c>
      <c r="G2708" s="2">
        <f t="shared" si="214"/>
        <v>5.1977433048198618</v>
      </c>
    </row>
    <row r="2709" spans="1:7" x14ac:dyDescent="0.35">
      <c r="A2709" s="2">
        <v>161</v>
      </c>
      <c r="B2709" s="2">
        <f t="shared" si="210"/>
        <v>-1177.3520638224072</v>
      </c>
      <c r="C2709" s="2">
        <f t="shared" si="211"/>
        <v>1386157.8821868817</v>
      </c>
      <c r="D2709" s="2">
        <v>16000</v>
      </c>
      <c r="E2709" s="2">
        <f t="shared" si="212"/>
        <v>1.6</v>
      </c>
      <c r="F2709" s="2">
        <f t="shared" si="213"/>
        <v>-1.7798559833506724</v>
      </c>
      <c r="G2709" s="2">
        <f t="shared" si="214"/>
        <v>3.1678873214691889</v>
      </c>
    </row>
    <row r="2710" spans="1:7" x14ac:dyDescent="0.35">
      <c r="A2710" s="2">
        <v>161</v>
      </c>
      <c r="B2710" s="2">
        <f t="shared" si="210"/>
        <v>-1177.3520638224072</v>
      </c>
      <c r="C2710" s="2">
        <f t="shared" si="211"/>
        <v>1386157.8821868817</v>
      </c>
      <c r="D2710" s="2">
        <v>17000</v>
      </c>
      <c r="E2710" s="2">
        <f t="shared" si="212"/>
        <v>1.7</v>
      </c>
      <c r="F2710" s="2">
        <f t="shared" si="213"/>
        <v>-1.6798559833506725</v>
      </c>
      <c r="G2710" s="2">
        <f t="shared" si="214"/>
        <v>2.821916124799055</v>
      </c>
    </row>
    <row r="2711" spans="1:7" x14ac:dyDescent="0.35">
      <c r="A2711" s="2">
        <v>161</v>
      </c>
      <c r="B2711" s="2">
        <f t="shared" si="210"/>
        <v>-1177.3520638224072</v>
      </c>
      <c r="C2711" s="2">
        <f t="shared" si="211"/>
        <v>1386157.8821868817</v>
      </c>
      <c r="D2711" s="2">
        <v>15000</v>
      </c>
      <c r="E2711" s="2">
        <f t="shared" si="212"/>
        <v>1.5</v>
      </c>
      <c r="F2711" s="2">
        <f t="shared" si="213"/>
        <v>-1.8798559833506725</v>
      </c>
      <c r="G2711" s="2">
        <f t="shared" si="214"/>
        <v>3.5338585181393238</v>
      </c>
    </row>
    <row r="2712" spans="1:7" x14ac:dyDescent="0.35">
      <c r="A2712" s="2">
        <v>161</v>
      </c>
      <c r="B2712" s="2">
        <f t="shared" si="210"/>
        <v>-1177.3520638224072</v>
      </c>
      <c r="C2712" s="2">
        <f t="shared" si="211"/>
        <v>1386157.8821868817</v>
      </c>
      <c r="D2712" s="2">
        <v>13309</v>
      </c>
      <c r="E2712" s="2">
        <f t="shared" si="212"/>
        <v>1.3309</v>
      </c>
      <c r="F2712" s="2">
        <f t="shared" si="213"/>
        <v>-2.0489559833506723</v>
      </c>
      <c r="G2712" s="2">
        <f t="shared" si="214"/>
        <v>4.1982206217085203</v>
      </c>
    </row>
    <row r="2713" spans="1:7" x14ac:dyDescent="0.35">
      <c r="A2713" s="2">
        <v>161</v>
      </c>
      <c r="B2713" s="2">
        <f t="shared" si="210"/>
        <v>-1177.3520638224072</v>
      </c>
      <c r="C2713" s="2">
        <f t="shared" si="211"/>
        <v>1386157.8821868817</v>
      </c>
      <c r="D2713" s="2">
        <v>11533</v>
      </c>
      <c r="E2713" s="2">
        <f t="shared" si="212"/>
        <v>1.1533</v>
      </c>
      <c r="F2713" s="2">
        <f t="shared" si="213"/>
        <v>-2.2265559833506723</v>
      </c>
      <c r="G2713" s="2">
        <f t="shared" si="214"/>
        <v>4.9575515469946794</v>
      </c>
    </row>
    <row r="2714" spans="1:7" x14ac:dyDescent="0.35">
      <c r="A2714" s="2">
        <v>161</v>
      </c>
      <c r="B2714" s="2">
        <f t="shared" si="210"/>
        <v>-1177.3520638224072</v>
      </c>
      <c r="C2714" s="2">
        <f t="shared" si="211"/>
        <v>1386157.8821868817</v>
      </c>
      <c r="D2714" s="2">
        <v>10298</v>
      </c>
      <c r="E2714" s="2">
        <f t="shared" si="212"/>
        <v>1.0298</v>
      </c>
      <c r="F2714" s="2">
        <f t="shared" si="213"/>
        <v>-2.3500559833506722</v>
      </c>
      <c r="G2714" s="2">
        <f t="shared" si="214"/>
        <v>5.522763124882295</v>
      </c>
    </row>
    <row r="2715" spans="1:7" x14ac:dyDescent="0.35">
      <c r="A2715" s="2">
        <v>161</v>
      </c>
      <c r="B2715" s="2">
        <f t="shared" si="210"/>
        <v>-1177.3520638224072</v>
      </c>
      <c r="C2715" s="2">
        <f t="shared" si="211"/>
        <v>1386157.8821868817</v>
      </c>
      <c r="D2715" s="2">
        <v>9562</v>
      </c>
      <c r="E2715" s="2">
        <f t="shared" si="212"/>
        <v>0.95620000000000005</v>
      </c>
      <c r="F2715" s="2">
        <f t="shared" si="213"/>
        <v>-2.4236559833506726</v>
      </c>
      <c r="G2715" s="2">
        <f t="shared" si="214"/>
        <v>5.8741083256315152</v>
      </c>
    </row>
    <row r="2716" spans="1:7" x14ac:dyDescent="0.35">
      <c r="A2716" s="2">
        <v>161</v>
      </c>
      <c r="B2716" s="2">
        <f t="shared" si="210"/>
        <v>-1177.3520638224072</v>
      </c>
      <c r="C2716" s="2">
        <f t="shared" si="211"/>
        <v>1386157.8821868817</v>
      </c>
      <c r="D2716" s="2">
        <v>9064</v>
      </c>
      <c r="E2716" s="2">
        <f t="shared" si="212"/>
        <v>0.90639999999999998</v>
      </c>
      <c r="F2716" s="2">
        <f t="shared" si="213"/>
        <v>-2.4734559833506724</v>
      </c>
      <c r="G2716" s="2">
        <f t="shared" si="214"/>
        <v>6.1179845015732415</v>
      </c>
    </row>
    <row r="2717" spans="1:7" x14ac:dyDescent="0.35">
      <c r="A2717" s="2">
        <v>1180</v>
      </c>
      <c r="B2717" s="2">
        <f t="shared" si="210"/>
        <v>-158.35206382240722</v>
      </c>
      <c r="C2717" s="2">
        <f t="shared" si="211"/>
        <v>25075.376116815729</v>
      </c>
      <c r="D2717" s="2">
        <v>13571</v>
      </c>
      <c r="E2717" s="2">
        <f t="shared" si="212"/>
        <v>1.3571</v>
      </c>
      <c r="F2717" s="2">
        <f t="shared" si="213"/>
        <v>-2.0227559833506725</v>
      </c>
      <c r="G2717" s="2">
        <f t="shared" si="214"/>
        <v>4.0915417681809458</v>
      </c>
    </row>
    <row r="2718" spans="1:7" x14ac:dyDescent="0.35">
      <c r="A2718" s="2">
        <v>1180</v>
      </c>
      <c r="B2718" s="2">
        <f t="shared" si="210"/>
        <v>-158.35206382240722</v>
      </c>
      <c r="C2718" s="2">
        <f t="shared" si="211"/>
        <v>25075.376116815729</v>
      </c>
      <c r="D2718" s="2">
        <v>11053</v>
      </c>
      <c r="E2718" s="2">
        <f t="shared" si="212"/>
        <v>1.1052999999999999</v>
      </c>
      <c r="F2718" s="2">
        <f t="shared" si="213"/>
        <v>-2.2745559833506723</v>
      </c>
      <c r="G2718" s="2">
        <f t="shared" si="214"/>
        <v>5.1736049213963442</v>
      </c>
    </row>
    <row r="2719" spans="1:7" x14ac:dyDescent="0.35">
      <c r="A2719" s="2">
        <v>1180</v>
      </c>
      <c r="B2719" s="2">
        <f t="shared" si="210"/>
        <v>-158.35206382240722</v>
      </c>
      <c r="C2719" s="2">
        <f t="shared" si="211"/>
        <v>25075.376116815729</v>
      </c>
      <c r="D2719" s="2">
        <v>12500</v>
      </c>
      <c r="E2719" s="2">
        <f t="shared" si="212"/>
        <v>1.25</v>
      </c>
      <c r="F2719" s="2">
        <f t="shared" si="213"/>
        <v>-2.1298559833506725</v>
      </c>
      <c r="G2719" s="2">
        <f t="shared" si="214"/>
        <v>4.5362865098146603</v>
      </c>
    </row>
    <row r="2720" spans="1:7" x14ac:dyDescent="0.35">
      <c r="A2720" s="2">
        <v>1180</v>
      </c>
      <c r="B2720" s="2">
        <f t="shared" si="210"/>
        <v>-158.35206382240722</v>
      </c>
      <c r="C2720" s="2">
        <f t="shared" si="211"/>
        <v>25075.376116815729</v>
      </c>
      <c r="D2720" s="2">
        <v>14063</v>
      </c>
      <c r="E2720" s="2">
        <f t="shared" si="212"/>
        <v>1.4063000000000001</v>
      </c>
      <c r="F2720" s="2">
        <f t="shared" si="213"/>
        <v>-1.9735559833506724</v>
      </c>
      <c r="G2720" s="2">
        <f t="shared" si="214"/>
        <v>3.8949232194192396</v>
      </c>
    </row>
    <row r="2721" spans="1:7" x14ac:dyDescent="0.35">
      <c r="A2721" s="2">
        <v>1180</v>
      </c>
      <c r="B2721" s="2">
        <f t="shared" si="210"/>
        <v>-158.35206382240722</v>
      </c>
      <c r="C2721" s="2">
        <f t="shared" si="211"/>
        <v>25075.376116815729</v>
      </c>
      <c r="D2721" s="2">
        <v>13846</v>
      </c>
      <c r="E2721" s="2">
        <f t="shared" si="212"/>
        <v>1.3846000000000001</v>
      </c>
      <c r="F2721" s="2">
        <f t="shared" si="213"/>
        <v>-1.9952559833506724</v>
      </c>
      <c r="G2721" s="2">
        <f t="shared" si="214"/>
        <v>3.9810464390966587</v>
      </c>
    </row>
    <row r="2722" spans="1:7" x14ac:dyDescent="0.35">
      <c r="A2722" s="2">
        <v>1180</v>
      </c>
      <c r="B2722" s="2">
        <f t="shared" si="210"/>
        <v>-158.35206382240722</v>
      </c>
      <c r="C2722" s="2">
        <f t="shared" si="211"/>
        <v>25075.376116815729</v>
      </c>
      <c r="D2722" s="2">
        <v>13556</v>
      </c>
      <c r="E2722" s="2">
        <f t="shared" si="212"/>
        <v>1.3555999999999999</v>
      </c>
      <c r="F2722" s="2">
        <f t="shared" si="213"/>
        <v>-2.0242559833506726</v>
      </c>
      <c r="G2722" s="2">
        <f t="shared" si="214"/>
        <v>4.0976122861309987</v>
      </c>
    </row>
    <row r="2723" spans="1:7" x14ac:dyDescent="0.35">
      <c r="A2723" s="2">
        <v>1180</v>
      </c>
      <c r="B2723" s="2">
        <f t="shared" si="210"/>
        <v>-158.35206382240722</v>
      </c>
      <c r="C2723" s="2">
        <f t="shared" si="211"/>
        <v>25075.376116815729</v>
      </c>
      <c r="D2723" s="2">
        <v>13600</v>
      </c>
      <c r="E2723" s="2">
        <f t="shared" si="212"/>
        <v>1.36</v>
      </c>
      <c r="F2723" s="2">
        <f t="shared" si="213"/>
        <v>-2.0198559833506726</v>
      </c>
      <c r="G2723" s="2">
        <f t="shared" si="214"/>
        <v>4.0798181934775126</v>
      </c>
    </row>
    <row r="2724" spans="1:7" x14ac:dyDescent="0.35">
      <c r="A2724" s="2">
        <v>1180</v>
      </c>
      <c r="B2724" s="2">
        <f t="shared" si="210"/>
        <v>-158.35206382240722</v>
      </c>
      <c r="C2724" s="2">
        <f t="shared" si="211"/>
        <v>25075.376116815729</v>
      </c>
      <c r="D2724" s="2">
        <v>13962</v>
      </c>
      <c r="E2724" s="2">
        <f t="shared" si="212"/>
        <v>1.3962000000000001</v>
      </c>
      <c r="F2724" s="2">
        <f t="shared" si="213"/>
        <v>-1.9836559833506724</v>
      </c>
      <c r="G2724" s="2">
        <f t="shared" si="214"/>
        <v>3.934891060282923</v>
      </c>
    </row>
    <row r="2725" spans="1:7" x14ac:dyDescent="0.35">
      <c r="A2725" s="2">
        <v>1180</v>
      </c>
      <c r="B2725" s="2">
        <f t="shared" si="210"/>
        <v>-158.35206382240722</v>
      </c>
      <c r="C2725" s="2">
        <f t="shared" si="211"/>
        <v>25075.376116815729</v>
      </c>
      <c r="D2725" s="2">
        <v>14000</v>
      </c>
      <c r="E2725" s="2">
        <f t="shared" si="212"/>
        <v>1.4</v>
      </c>
      <c r="F2725" s="2">
        <f t="shared" si="213"/>
        <v>-1.9798559833506726</v>
      </c>
      <c r="G2725" s="2">
        <f t="shared" si="214"/>
        <v>3.9198297148094587</v>
      </c>
    </row>
    <row r="2726" spans="1:7" x14ac:dyDescent="0.35">
      <c r="A2726" s="2">
        <v>1180</v>
      </c>
      <c r="B2726" s="2">
        <f t="shared" si="210"/>
        <v>-158.35206382240722</v>
      </c>
      <c r="C2726" s="2">
        <f t="shared" si="211"/>
        <v>25075.376116815729</v>
      </c>
      <c r="D2726" s="2">
        <v>14000</v>
      </c>
      <c r="E2726" s="2">
        <f t="shared" si="212"/>
        <v>1.4</v>
      </c>
      <c r="F2726" s="2">
        <f t="shared" si="213"/>
        <v>-1.9798559833506726</v>
      </c>
      <c r="G2726" s="2">
        <f t="shared" si="214"/>
        <v>3.9198297148094587</v>
      </c>
    </row>
    <row r="2727" spans="1:7" x14ac:dyDescent="0.35">
      <c r="A2727" s="2">
        <v>1180</v>
      </c>
      <c r="B2727" s="2">
        <f t="shared" si="210"/>
        <v>-158.35206382240722</v>
      </c>
      <c r="C2727" s="2">
        <f t="shared" si="211"/>
        <v>25075.376116815729</v>
      </c>
      <c r="D2727" s="2">
        <v>14138</v>
      </c>
      <c r="E2727" s="2">
        <f t="shared" si="212"/>
        <v>1.4137999999999999</v>
      </c>
      <c r="F2727" s="2">
        <f t="shared" si="213"/>
        <v>-1.9660559833506726</v>
      </c>
      <c r="G2727" s="2">
        <f t="shared" si="214"/>
        <v>3.8653761296689799</v>
      </c>
    </row>
    <row r="2728" spans="1:7" x14ac:dyDescent="0.35">
      <c r="A2728" s="2">
        <v>1180</v>
      </c>
      <c r="B2728" s="2">
        <f t="shared" si="210"/>
        <v>-158.35206382240722</v>
      </c>
      <c r="C2728" s="2">
        <f t="shared" si="211"/>
        <v>25075.376116815729</v>
      </c>
      <c r="D2728" s="2">
        <v>13333</v>
      </c>
      <c r="E2728" s="2">
        <f t="shared" si="212"/>
        <v>1.3332999999999999</v>
      </c>
      <c r="F2728" s="2">
        <f t="shared" si="213"/>
        <v>-2.0465559833506726</v>
      </c>
      <c r="G2728" s="2">
        <f t="shared" si="214"/>
        <v>4.1883913929884384</v>
      </c>
    </row>
    <row r="2729" spans="1:7" x14ac:dyDescent="0.35">
      <c r="A2729" s="2">
        <v>1180</v>
      </c>
      <c r="B2729" s="2">
        <f t="shared" si="210"/>
        <v>-158.35206382240722</v>
      </c>
      <c r="C2729" s="2">
        <f t="shared" si="211"/>
        <v>25075.376116815729</v>
      </c>
      <c r="D2729" s="2">
        <v>14063</v>
      </c>
      <c r="E2729" s="2">
        <f t="shared" si="212"/>
        <v>1.4063000000000001</v>
      </c>
      <c r="F2729" s="2">
        <f t="shared" si="213"/>
        <v>-1.9735559833506724</v>
      </c>
      <c r="G2729" s="2">
        <f t="shared" si="214"/>
        <v>3.8949232194192396</v>
      </c>
    </row>
    <row r="2730" spans="1:7" x14ac:dyDescent="0.35">
      <c r="A2730" s="2">
        <v>1180</v>
      </c>
      <c r="B2730" s="2">
        <f t="shared" si="210"/>
        <v>-158.35206382240722</v>
      </c>
      <c r="C2730" s="2">
        <f t="shared" si="211"/>
        <v>25075.376116815729</v>
      </c>
      <c r="D2730" s="2">
        <v>13971</v>
      </c>
      <c r="E2730" s="2">
        <f t="shared" si="212"/>
        <v>1.3971</v>
      </c>
      <c r="F2730" s="2">
        <f t="shared" si="213"/>
        <v>-1.9827559833506725</v>
      </c>
      <c r="G2730" s="2">
        <f t="shared" si="214"/>
        <v>3.9313212895128924</v>
      </c>
    </row>
    <row r="2731" spans="1:7" x14ac:dyDescent="0.35">
      <c r="A2731" s="2">
        <v>1180</v>
      </c>
      <c r="B2731" s="2">
        <f t="shared" si="210"/>
        <v>-158.35206382240722</v>
      </c>
      <c r="C2731" s="2">
        <f t="shared" si="211"/>
        <v>25075.376116815729</v>
      </c>
      <c r="D2731" s="2">
        <v>15139</v>
      </c>
      <c r="E2731" s="2">
        <f t="shared" si="212"/>
        <v>1.5139</v>
      </c>
      <c r="F2731" s="2">
        <f t="shared" si="213"/>
        <v>-1.8659559833506725</v>
      </c>
      <c r="G2731" s="2">
        <f t="shared" si="214"/>
        <v>3.4817917318021752</v>
      </c>
    </row>
    <row r="2732" spans="1:7" x14ac:dyDescent="0.35">
      <c r="A2732" s="2">
        <v>1180</v>
      </c>
      <c r="B2732" s="2">
        <f t="shared" si="210"/>
        <v>-158.35206382240722</v>
      </c>
      <c r="C2732" s="2">
        <f t="shared" si="211"/>
        <v>25075.376116815729</v>
      </c>
      <c r="D2732" s="2">
        <v>15000</v>
      </c>
      <c r="E2732" s="2">
        <f t="shared" si="212"/>
        <v>1.5</v>
      </c>
      <c r="F2732" s="2">
        <f t="shared" si="213"/>
        <v>-1.8798559833506725</v>
      </c>
      <c r="G2732" s="2">
        <f t="shared" si="214"/>
        <v>3.5338585181393238</v>
      </c>
    </row>
    <row r="2733" spans="1:7" x14ac:dyDescent="0.35">
      <c r="A2733" s="2">
        <v>1180</v>
      </c>
      <c r="B2733" s="2">
        <f t="shared" si="210"/>
        <v>-158.35206382240722</v>
      </c>
      <c r="C2733" s="2">
        <f t="shared" si="211"/>
        <v>25075.376116815729</v>
      </c>
      <c r="D2733" s="2">
        <v>15000</v>
      </c>
      <c r="E2733" s="2">
        <f t="shared" si="212"/>
        <v>1.5</v>
      </c>
      <c r="F2733" s="2">
        <f t="shared" si="213"/>
        <v>-1.8798559833506725</v>
      </c>
      <c r="G2733" s="2">
        <f t="shared" si="214"/>
        <v>3.5338585181393238</v>
      </c>
    </row>
    <row r="2734" spans="1:7" x14ac:dyDescent="0.35">
      <c r="A2734" s="2">
        <v>1180</v>
      </c>
      <c r="B2734" s="2">
        <f t="shared" si="210"/>
        <v>-158.35206382240722</v>
      </c>
      <c r="C2734" s="2">
        <f t="shared" si="211"/>
        <v>25075.376116815729</v>
      </c>
      <c r="D2734" s="2">
        <v>13011</v>
      </c>
      <c r="E2734" s="2">
        <f t="shared" si="212"/>
        <v>1.3010999999999999</v>
      </c>
      <c r="F2734" s="2">
        <f t="shared" si="213"/>
        <v>-2.0787559833506726</v>
      </c>
      <c r="G2734" s="2">
        <f t="shared" si="214"/>
        <v>4.3212264383162218</v>
      </c>
    </row>
    <row r="2735" spans="1:7" x14ac:dyDescent="0.35">
      <c r="A2735" s="2">
        <v>1180</v>
      </c>
      <c r="B2735" s="2">
        <f t="shared" si="210"/>
        <v>-158.35206382240722</v>
      </c>
      <c r="C2735" s="2">
        <f t="shared" si="211"/>
        <v>25075.376116815729</v>
      </c>
      <c r="D2735" s="2">
        <v>15000</v>
      </c>
      <c r="E2735" s="2">
        <f t="shared" si="212"/>
        <v>1.5</v>
      </c>
      <c r="F2735" s="2">
        <f t="shared" si="213"/>
        <v>-1.8798559833506725</v>
      </c>
      <c r="G2735" s="2">
        <f t="shared" si="214"/>
        <v>3.5338585181393238</v>
      </c>
    </row>
    <row r="2736" spans="1:7" x14ac:dyDescent="0.35">
      <c r="A2736" s="2">
        <v>1180</v>
      </c>
      <c r="B2736" s="2">
        <f t="shared" si="210"/>
        <v>-158.35206382240722</v>
      </c>
      <c r="C2736" s="2">
        <f t="shared" si="211"/>
        <v>25075.376116815729</v>
      </c>
      <c r="D2736" s="2">
        <v>13628</v>
      </c>
      <c r="E2736" s="2">
        <f t="shared" si="212"/>
        <v>1.3628</v>
      </c>
      <c r="F2736" s="2">
        <f t="shared" si="213"/>
        <v>-2.0170559833506725</v>
      </c>
      <c r="G2736" s="2">
        <f t="shared" si="214"/>
        <v>4.0685148399707485</v>
      </c>
    </row>
    <row r="2737" spans="1:7" x14ac:dyDescent="0.35">
      <c r="A2737" s="2">
        <v>1180</v>
      </c>
      <c r="B2737" s="2">
        <f t="shared" si="210"/>
        <v>-158.35206382240722</v>
      </c>
      <c r="C2737" s="2">
        <f t="shared" si="211"/>
        <v>25075.376116815729</v>
      </c>
      <c r="D2737" s="2">
        <v>13613</v>
      </c>
      <c r="E2737" s="2">
        <f t="shared" si="212"/>
        <v>1.3613</v>
      </c>
      <c r="F2737" s="2">
        <f t="shared" si="213"/>
        <v>-2.0185559833506725</v>
      </c>
      <c r="G2737" s="2">
        <f t="shared" si="214"/>
        <v>4.0745682579208005</v>
      </c>
    </row>
    <row r="2738" spans="1:7" x14ac:dyDescent="0.35">
      <c r="A2738" s="2">
        <v>1180</v>
      </c>
      <c r="B2738" s="2">
        <f t="shared" si="210"/>
        <v>-158.35206382240722</v>
      </c>
      <c r="C2738" s="2">
        <f t="shared" si="211"/>
        <v>25075.376116815729</v>
      </c>
      <c r="D2738" s="2">
        <v>13895</v>
      </c>
      <c r="E2738" s="2">
        <f t="shared" si="212"/>
        <v>1.3895</v>
      </c>
      <c r="F2738" s="2">
        <f t="shared" si="213"/>
        <v>-1.9903559833506725</v>
      </c>
      <c r="G2738" s="2">
        <f t="shared" si="214"/>
        <v>3.9615169404598225</v>
      </c>
    </row>
    <row r="2739" spans="1:7" x14ac:dyDescent="0.35">
      <c r="A2739" s="2">
        <v>1180</v>
      </c>
      <c r="B2739" s="2">
        <f t="shared" si="210"/>
        <v>-158.35206382240722</v>
      </c>
      <c r="C2739" s="2">
        <f t="shared" si="211"/>
        <v>25075.376116815729</v>
      </c>
      <c r="D2739" s="2">
        <v>23926</v>
      </c>
      <c r="E2739" s="2">
        <f t="shared" si="212"/>
        <v>2.3925999999999998</v>
      </c>
      <c r="F2739" s="2">
        <f t="shared" si="213"/>
        <v>-0.98725598335067266</v>
      </c>
      <c r="G2739" s="2">
        <f t="shared" si="214"/>
        <v>0.97467437666170365</v>
      </c>
    </row>
    <row r="2740" spans="1:7" x14ac:dyDescent="0.35">
      <c r="A2740" s="2">
        <v>1180</v>
      </c>
      <c r="B2740" s="2">
        <f t="shared" si="210"/>
        <v>-158.35206382240722</v>
      </c>
      <c r="C2740" s="2">
        <f t="shared" si="211"/>
        <v>25075.376116815729</v>
      </c>
      <c r="D2740" s="2">
        <v>25070</v>
      </c>
      <c r="E2740" s="2">
        <f t="shared" si="212"/>
        <v>2.5070000000000001</v>
      </c>
      <c r="F2740" s="2">
        <f t="shared" si="213"/>
        <v>-0.87285598335067238</v>
      </c>
      <c r="G2740" s="2">
        <f t="shared" si="214"/>
        <v>0.76187756767106929</v>
      </c>
    </row>
    <row r="2741" spans="1:7" x14ac:dyDescent="0.35">
      <c r="A2741" s="2">
        <v>1180</v>
      </c>
      <c r="B2741" s="2">
        <f t="shared" si="210"/>
        <v>-158.35206382240722</v>
      </c>
      <c r="C2741" s="2">
        <f t="shared" si="211"/>
        <v>25075.376116815729</v>
      </c>
      <c r="D2741" s="2">
        <v>25889</v>
      </c>
      <c r="E2741" s="2">
        <f t="shared" si="212"/>
        <v>2.5889000000000002</v>
      </c>
      <c r="F2741" s="2">
        <f t="shared" si="213"/>
        <v>-0.7909559833506723</v>
      </c>
      <c r="G2741" s="2">
        <f t="shared" si="214"/>
        <v>0.625611367598229</v>
      </c>
    </row>
    <row r="2742" spans="1:7" x14ac:dyDescent="0.35">
      <c r="A2742" s="2">
        <v>1180</v>
      </c>
      <c r="B2742" s="2">
        <f t="shared" si="210"/>
        <v>-158.35206382240722</v>
      </c>
      <c r="C2742" s="2">
        <f t="shared" si="211"/>
        <v>25075.376116815729</v>
      </c>
      <c r="D2742" s="2">
        <v>23043</v>
      </c>
      <c r="E2742" s="2">
        <f t="shared" si="212"/>
        <v>2.3043</v>
      </c>
      <c r="F2742" s="2">
        <f t="shared" si="213"/>
        <v>-1.0755559833506725</v>
      </c>
      <c r="G2742" s="2">
        <f t="shared" si="214"/>
        <v>1.1568206733214321</v>
      </c>
    </row>
    <row r="2743" spans="1:7" x14ac:dyDescent="0.35">
      <c r="A2743" s="2">
        <v>1180</v>
      </c>
      <c r="B2743" s="2">
        <f t="shared" si="210"/>
        <v>-158.35206382240722</v>
      </c>
      <c r="C2743" s="2">
        <f t="shared" si="211"/>
        <v>25075.376116815729</v>
      </c>
      <c r="D2743" s="2">
        <v>23011</v>
      </c>
      <c r="E2743" s="2">
        <f t="shared" si="212"/>
        <v>2.3010999999999999</v>
      </c>
      <c r="F2743" s="2">
        <f t="shared" si="213"/>
        <v>-1.0787559833506726</v>
      </c>
      <c r="G2743" s="2">
        <f t="shared" si="214"/>
        <v>1.1637144716148766</v>
      </c>
    </row>
    <row r="2744" spans="1:7" x14ac:dyDescent="0.35">
      <c r="A2744" s="2">
        <v>1180</v>
      </c>
      <c r="B2744" s="2">
        <f t="shared" si="210"/>
        <v>-158.35206382240722</v>
      </c>
      <c r="C2744" s="2">
        <f t="shared" si="211"/>
        <v>25075.376116815729</v>
      </c>
      <c r="D2744" s="2">
        <v>24947</v>
      </c>
      <c r="E2744" s="2">
        <f t="shared" si="212"/>
        <v>2.4946999999999999</v>
      </c>
      <c r="F2744" s="2">
        <f t="shared" si="213"/>
        <v>-0.88515598335067258</v>
      </c>
      <c r="G2744" s="2">
        <f t="shared" si="214"/>
        <v>0.78350111486149621</v>
      </c>
    </row>
    <row r="2745" spans="1:7" x14ac:dyDescent="0.35">
      <c r="A2745" s="2">
        <v>1180</v>
      </c>
      <c r="B2745" s="2">
        <f t="shared" si="210"/>
        <v>-158.35206382240722</v>
      </c>
      <c r="C2745" s="2">
        <f t="shared" si="211"/>
        <v>25075.376116815729</v>
      </c>
      <c r="D2745" s="2">
        <v>24876</v>
      </c>
      <c r="E2745" s="2">
        <f t="shared" si="212"/>
        <v>2.4876</v>
      </c>
      <c r="F2745" s="2">
        <f t="shared" si="213"/>
        <v>-0.89225598335067247</v>
      </c>
      <c r="G2745" s="2">
        <f t="shared" si="214"/>
        <v>0.79612073982507547</v>
      </c>
    </row>
    <row r="2746" spans="1:7" x14ac:dyDescent="0.35">
      <c r="A2746" s="2">
        <v>1180</v>
      </c>
      <c r="B2746" s="2">
        <f t="shared" si="210"/>
        <v>-158.35206382240722</v>
      </c>
      <c r="C2746" s="2">
        <f t="shared" si="211"/>
        <v>25075.376116815729</v>
      </c>
      <c r="D2746" s="2">
        <v>25276</v>
      </c>
      <c r="E2746" s="2">
        <f t="shared" si="212"/>
        <v>2.5276000000000001</v>
      </c>
      <c r="F2746" s="2">
        <f t="shared" si="213"/>
        <v>-0.85225598335067243</v>
      </c>
      <c r="G2746" s="2">
        <f t="shared" si="214"/>
        <v>0.72634026115702166</v>
      </c>
    </row>
    <row r="2747" spans="1:7" x14ac:dyDescent="0.35">
      <c r="A2747" s="2">
        <v>565</v>
      </c>
      <c r="B2747" s="2">
        <f t="shared" si="210"/>
        <v>-773.35206382240722</v>
      </c>
      <c r="C2747" s="2">
        <f t="shared" si="211"/>
        <v>598073.41461837664</v>
      </c>
      <c r="D2747" s="2">
        <v>37722</v>
      </c>
      <c r="E2747" s="2">
        <f t="shared" si="212"/>
        <v>3.7722000000000002</v>
      </c>
      <c r="F2747" s="2">
        <f t="shared" si="213"/>
        <v>0.39234401664932772</v>
      </c>
      <c r="G2747" s="2">
        <f t="shared" si="214"/>
        <v>0.15393382740052794</v>
      </c>
    </row>
    <row r="2748" spans="1:7" x14ac:dyDescent="0.35">
      <c r="A2748" s="2">
        <v>565</v>
      </c>
      <c r="B2748" s="2">
        <f t="shared" si="210"/>
        <v>-773.35206382240722</v>
      </c>
      <c r="C2748" s="2">
        <f t="shared" si="211"/>
        <v>598073.41461837664</v>
      </c>
      <c r="D2748" s="2">
        <v>29565</v>
      </c>
      <c r="E2748" s="2">
        <f t="shared" si="212"/>
        <v>2.9565000000000001</v>
      </c>
      <c r="F2748" s="2">
        <f t="shared" si="213"/>
        <v>-0.42335598335067237</v>
      </c>
      <c r="G2748" s="2">
        <f t="shared" si="214"/>
        <v>0.17923028863881479</v>
      </c>
    </row>
    <row r="2749" spans="1:7" x14ac:dyDescent="0.35">
      <c r="A2749" s="2">
        <v>565</v>
      </c>
      <c r="B2749" s="2">
        <f t="shared" si="210"/>
        <v>-773.35206382240722</v>
      </c>
      <c r="C2749" s="2">
        <f t="shared" si="211"/>
        <v>598073.41461837664</v>
      </c>
      <c r="D2749" s="2">
        <v>35909</v>
      </c>
      <c r="E2749" s="2">
        <f t="shared" si="212"/>
        <v>3.5909</v>
      </c>
      <c r="F2749" s="2">
        <f t="shared" si="213"/>
        <v>0.21104401664932748</v>
      </c>
      <c r="G2749" s="2">
        <f t="shared" si="214"/>
        <v>4.4539576963481618E-2</v>
      </c>
    </row>
    <row r="2750" spans="1:7" x14ac:dyDescent="0.35">
      <c r="A2750" s="2">
        <v>565</v>
      </c>
      <c r="B2750" s="2">
        <f t="shared" si="210"/>
        <v>-773.35206382240722</v>
      </c>
      <c r="C2750" s="2">
        <f t="shared" si="211"/>
        <v>598073.41461837664</v>
      </c>
      <c r="D2750" s="2">
        <v>36409</v>
      </c>
      <c r="E2750" s="2">
        <f t="shared" si="212"/>
        <v>3.6408999999999998</v>
      </c>
      <c r="F2750" s="2">
        <f t="shared" si="213"/>
        <v>0.2610440166493273</v>
      </c>
      <c r="G2750" s="2">
        <f t="shared" si="214"/>
        <v>6.8143978628414273E-2</v>
      </c>
    </row>
    <row r="2751" spans="1:7" x14ac:dyDescent="0.35">
      <c r="A2751" s="2">
        <v>565</v>
      </c>
      <c r="B2751" s="2">
        <f t="shared" si="210"/>
        <v>-773.35206382240722</v>
      </c>
      <c r="C2751" s="2">
        <f t="shared" si="211"/>
        <v>598073.41461837664</v>
      </c>
      <c r="D2751" s="2">
        <v>35518</v>
      </c>
      <c r="E2751" s="2">
        <f t="shared" si="212"/>
        <v>3.5518000000000001</v>
      </c>
      <c r="F2751" s="2">
        <f t="shared" si="213"/>
        <v>0.17194401664932757</v>
      </c>
      <c r="G2751" s="2">
        <f t="shared" si="214"/>
        <v>2.9564744861504236E-2</v>
      </c>
    </row>
    <row r="2752" spans="1:7" x14ac:dyDescent="0.35">
      <c r="A2752" s="2">
        <v>565</v>
      </c>
      <c r="B2752" s="2">
        <f t="shared" si="210"/>
        <v>-773.35206382240722</v>
      </c>
      <c r="C2752" s="2">
        <f t="shared" si="211"/>
        <v>598073.41461837664</v>
      </c>
      <c r="D2752" s="2">
        <v>28889</v>
      </c>
      <c r="E2752" s="2">
        <f t="shared" si="212"/>
        <v>2.8889</v>
      </c>
      <c r="F2752" s="2">
        <f t="shared" si="213"/>
        <v>-0.49095598335067248</v>
      </c>
      <c r="G2752" s="2">
        <f t="shared" si="214"/>
        <v>0.2410377775878258</v>
      </c>
    </row>
    <row r="2753" spans="1:7" x14ac:dyDescent="0.35">
      <c r="A2753" s="2">
        <v>565</v>
      </c>
      <c r="B2753" s="2">
        <f t="shared" si="210"/>
        <v>-773.35206382240722</v>
      </c>
      <c r="C2753" s="2">
        <f t="shared" si="211"/>
        <v>598073.41461837664</v>
      </c>
      <c r="D2753" s="2">
        <v>30286</v>
      </c>
      <c r="E2753" s="2">
        <f t="shared" si="212"/>
        <v>3.0286</v>
      </c>
      <c r="F2753" s="2">
        <f t="shared" si="213"/>
        <v>-0.35125598335067254</v>
      </c>
      <c r="G2753" s="2">
        <f t="shared" si="214"/>
        <v>0.12338076583964795</v>
      </c>
    </row>
    <row r="2754" spans="1:7" x14ac:dyDescent="0.35">
      <c r="A2754" s="2">
        <v>565</v>
      </c>
      <c r="B2754" s="2">
        <f t="shared" si="210"/>
        <v>-773.35206382240722</v>
      </c>
      <c r="C2754" s="2">
        <f t="shared" si="211"/>
        <v>598073.41461837664</v>
      </c>
      <c r="D2754" s="2">
        <v>29041</v>
      </c>
      <c r="E2754" s="2">
        <f t="shared" si="212"/>
        <v>2.9041000000000001</v>
      </c>
      <c r="F2754" s="2">
        <f t="shared" si="213"/>
        <v>-0.47575598335067237</v>
      </c>
      <c r="G2754" s="2">
        <f t="shared" si="214"/>
        <v>0.22634375569396525</v>
      </c>
    </row>
    <row r="2755" spans="1:7" x14ac:dyDescent="0.35">
      <c r="A2755" s="2">
        <v>565</v>
      </c>
      <c r="B2755" s="2">
        <f t="shared" ref="B2755:B2818" si="215">A2755-$J$1</f>
        <v>-773.35206382240722</v>
      </c>
      <c r="C2755" s="2">
        <f t="shared" ref="C2755:C2818" si="216">B2755^2</f>
        <v>598073.41461837664</v>
      </c>
      <c r="D2755" s="2">
        <v>35595</v>
      </c>
      <c r="E2755" s="2">
        <f t="shared" ref="E2755:E2818" si="217">D2755/10000</f>
        <v>3.5594999999999999</v>
      </c>
      <c r="F2755" s="2">
        <f t="shared" ref="F2755:F2818" si="218">E2755-$J$2</f>
        <v>0.17964401664932739</v>
      </c>
      <c r="G2755" s="2">
        <f t="shared" ref="G2755:G2818" si="219">F2755^2</f>
        <v>3.2271972717903816E-2</v>
      </c>
    </row>
    <row r="2756" spans="1:7" x14ac:dyDescent="0.35">
      <c r="A2756" s="2">
        <v>565</v>
      </c>
      <c r="B2756" s="2">
        <f t="shared" si="215"/>
        <v>-773.35206382240722</v>
      </c>
      <c r="C2756" s="2">
        <f t="shared" si="216"/>
        <v>598073.41461837664</v>
      </c>
      <c r="D2756" s="2">
        <v>36548</v>
      </c>
      <c r="E2756" s="2">
        <f t="shared" si="217"/>
        <v>3.6547999999999998</v>
      </c>
      <c r="F2756" s="2">
        <f t="shared" si="218"/>
        <v>0.27494401664932733</v>
      </c>
      <c r="G2756" s="2">
        <f t="shared" si="219"/>
        <v>7.5594212291265589E-2</v>
      </c>
    </row>
    <row r="2757" spans="1:7" x14ac:dyDescent="0.35">
      <c r="A2757" s="2">
        <v>565</v>
      </c>
      <c r="B2757" s="2">
        <f t="shared" si="215"/>
        <v>-773.35206382240722</v>
      </c>
      <c r="C2757" s="2">
        <f t="shared" si="216"/>
        <v>598073.41461837664</v>
      </c>
      <c r="D2757" s="2">
        <v>39894</v>
      </c>
      <c r="E2757" s="2">
        <f t="shared" si="217"/>
        <v>3.9893999999999998</v>
      </c>
      <c r="F2757" s="2">
        <f t="shared" si="218"/>
        <v>0.60954401664932734</v>
      </c>
      <c r="G2757" s="2">
        <f t="shared" si="219"/>
        <v>0.37154390823299543</v>
      </c>
    </row>
    <row r="2758" spans="1:7" x14ac:dyDescent="0.35">
      <c r="A2758" s="2">
        <v>565</v>
      </c>
      <c r="B2758" s="2">
        <f t="shared" si="215"/>
        <v>-773.35206382240722</v>
      </c>
      <c r="C2758" s="2">
        <f t="shared" si="216"/>
        <v>598073.41461837664</v>
      </c>
      <c r="D2758" s="2">
        <v>37746</v>
      </c>
      <c r="E2758" s="2">
        <f t="shared" si="217"/>
        <v>3.7746</v>
      </c>
      <c r="F2758" s="2">
        <f t="shared" si="218"/>
        <v>0.39474401664932746</v>
      </c>
      <c r="G2758" s="2">
        <f t="shared" si="219"/>
        <v>0.15582283868044453</v>
      </c>
    </row>
    <row r="2759" spans="1:7" x14ac:dyDescent="0.35">
      <c r="A2759" s="2">
        <v>565</v>
      </c>
      <c r="B2759" s="2">
        <f t="shared" si="215"/>
        <v>-773.35206382240722</v>
      </c>
      <c r="C2759" s="2">
        <f t="shared" si="216"/>
        <v>598073.41461837664</v>
      </c>
      <c r="D2759" s="2">
        <v>43458</v>
      </c>
      <c r="E2759" s="2">
        <f t="shared" si="217"/>
        <v>4.3457999999999997</v>
      </c>
      <c r="F2759" s="2">
        <f t="shared" si="218"/>
        <v>0.96594401664932716</v>
      </c>
      <c r="G2759" s="2">
        <f t="shared" si="219"/>
        <v>0.93304784330063562</v>
      </c>
    </row>
    <row r="2760" spans="1:7" x14ac:dyDescent="0.35">
      <c r="A2760" s="2">
        <v>565</v>
      </c>
      <c r="B2760" s="2">
        <f t="shared" si="215"/>
        <v>-773.35206382240722</v>
      </c>
      <c r="C2760" s="2">
        <f t="shared" si="216"/>
        <v>598073.41461837664</v>
      </c>
      <c r="D2760" s="2">
        <v>46065</v>
      </c>
      <c r="E2760" s="2">
        <f t="shared" si="217"/>
        <v>4.6064999999999996</v>
      </c>
      <c r="F2760" s="2">
        <f t="shared" si="218"/>
        <v>1.2266440166493271</v>
      </c>
      <c r="G2760" s="2">
        <f t="shared" si="219"/>
        <v>1.5046555435815947</v>
      </c>
    </row>
    <row r="2761" spans="1:7" x14ac:dyDescent="0.35">
      <c r="A2761" s="2">
        <v>565</v>
      </c>
      <c r="B2761" s="2">
        <f t="shared" si="215"/>
        <v>-773.35206382240722</v>
      </c>
      <c r="C2761" s="2">
        <f t="shared" si="216"/>
        <v>598073.41461837664</v>
      </c>
      <c r="D2761" s="2">
        <v>51185</v>
      </c>
      <c r="E2761" s="2">
        <f t="shared" si="217"/>
        <v>5.1185</v>
      </c>
      <c r="F2761" s="2">
        <f t="shared" si="218"/>
        <v>1.7386440166493276</v>
      </c>
      <c r="G2761" s="2">
        <f t="shared" si="219"/>
        <v>3.022883016630507</v>
      </c>
    </row>
    <row r="2762" spans="1:7" x14ac:dyDescent="0.35">
      <c r="A2762" s="2">
        <v>565</v>
      </c>
      <c r="B2762" s="2">
        <f t="shared" si="215"/>
        <v>-773.35206382240722</v>
      </c>
      <c r="C2762" s="2">
        <f t="shared" si="216"/>
        <v>598073.41461837664</v>
      </c>
      <c r="D2762" s="2">
        <v>50859</v>
      </c>
      <c r="E2762" s="2">
        <f t="shared" si="217"/>
        <v>5.0858999999999996</v>
      </c>
      <c r="F2762" s="2">
        <f t="shared" si="218"/>
        <v>1.7060440166493271</v>
      </c>
      <c r="G2762" s="2">
        <f t="shared" si="219"/>
        <v>2.9105861867449696</v>
      </c>
    </row>
    <row r="2763" spans="1:7" x14ac:dyDescent="0.35">
      <c r="A2763" s="2">
        <v>565</v>
      </c>
      <c r="B2763" s="2">
        <f t="shared" si="215"/>
        <v>-773.35206382240722</v>
      </c>
      <c r="C2763" s="2">
        <f t="shared" si="216"/>
        <v>598073.41461837664</v>
      </c>
      <c r="D2763" s="2">
        <v>58327</v>
      </c>
      <c r="E2763" s="2">
        <f t="shared" si="217"/>
        <v>5.8327</v>
      </c>
      <c r="F2763" s="2">
        <f t="shared" si="218"/>
        <v>2.4528440166493275</v>
      </c>
      <c r="G2763" s="2">
        <f t="shared" si="219"/>
        <v>6.0164437700124065</v>
      </c>
    </row>
    <row r="2764" spans="1:7" x14ac:dyDescent="0.35">
      <c r="A2764" s="2">
        <v>565</v>
      </c>
      <c r="B2764" s="2">
        <f t="shared" si="215"/>
        <v>-773.35206382240722</v>
      </c>
      <c r="C2764" s="2">
        <f t="shared" si="216"/>
        <v>598073.41461837664</v>
      </c>
      <c r="D2764" s="2">
        <v>50512</v>
      </c>
      <c r="E2764" s="2">
        <f t="shared" si="217"/>
        <v>5.0511999999999997</v>
      </c>
      <c r="F2764" s="2">
        <f t="shared" si="218"/>
        <v>1.6713440166493272</v>
      </c>
      <c r="G2764" s="2">
        <f t="shared" si="219"/>
        <v>2.7933908219895063</v>
      </c>
    </row>
    <row r="2765" spans="1:7" x14ac:dyDescent="0.35">
      <c r="A2765" s="2">
        <v>565</v>
      </c>
      <c r="B2765" s="2">
        <f t="shared" si="215"/>
        <v>-773.35206382240722</v>
      </c>
      <c r="C2765" s="2">
        <f t="shared" si="216"/>
        <v>598073.41461837664</v>
      </c>
      <c r="D2765" s="2">
        <v>57399</v>
      </c>
      <c r="E2765" s="2">
        <f t="shared" si="217"/>
        <v>5.7398999999999996</v>
      </c>
      <c r="F2765" s="2">
        <f t="shared" si="218"/>
        <v>2.3600440166493271</v>
      </c>
      <c r="G2765" s="2">
        <f t="shared" si="219"/>
        <v>5.5698077605222895</v>
      </c>
    </row>
    <row r="2766" spans="1:7" x14ac:dyDescent="0.35">
      <c r="A2766" s="2">
        <v>565</v>
      </c>
      <c r="B2766" s="2">
        <f t="shared" si="215"/>
        <v>-773.35206382240722</v>
      </c>
      <c r="C2766" s="2">
        <f t="shared" si="216"/>
        <v>598073.41461837664</v>
      </c>
      <c r="D2766" s="2">
        <v>61938</v>
      </c>
      <c r="E2766" s="2">
        <f t="shared" si="217"/>
        <v>6.1938000000000004</v>
      </c>
      <c r="F2766" s="2">
        <f t="shared" si="218"/>
        <v>2.8139440166493279</v>
      </c>
      <c r="G2766" s="2">
        <f t="shared" si="219"/>
        <v>7.9182809288365528</v>
      </c>
    </row>
    <row r="2767" spans="1:7" x14ac:dyDescent="0.35">
      <c r="A2767" s="2">
        <v>565</v>
      </c>
      <c r="B2767" s="2">
        <f t="shared" si="215"/>
        <v>-773.35206382240722</v>
      </c>
      <c r="C2767" s="2">
        <f t="shared" si="216"/>
        <v>598073.41461837664</v>
      </c>
      <c r="D2767" s="2">
        <v>59938</v>
      </c>
      <c r="E2767" s="2">
        <f t="shared" si="217"/>
        <v>5.9938000000000002</v>
      </c>
      <c r="F2767" s="2">
        <f t="shared" si="218"/>
        <v>2.6139440166493277</v>
      </c>
      <c r="G2767" s="2">
        <f t="shared" si="219"/>
        <v>6.8327033221768207</v>
      </c>
    </row>
    <row r="2768" spans="1:7" x14ac:dyDescent="0.35">
      <c r="A2768" s="2">
        <v>565</v>
      </c>
      <c r="B2768" s="2">
        <f t="shared" si="215"/>
        <v>-773.35206382240722</v>
      </c>
      <c r="C2768" s="2">
        <f t="shared" si="216"/>
        <v>598073.41461837664</v>
      </c>
      <c r="D2768" s="2">
        <v>49882</v>
      </c>
      <c r="E2768" s="2">
        <f t="shared" si="217"/>
        <v>4.9882</v>
      </c>
      <c r="F2768" s="2">
        <f t="shared" si="218"/>
        <v>1.6083440166493275</v>
      </c>
      <c r="G2768" s="2">
        <f t="shared" si="219"/>
        <v>2.5867704758916923</v>
      </c>
    </row>
    <row r="2769" spans="1:7" x14ac:dyDescent="0.35">
      <c r="A2769" s="2">
        <v>565</v>
      </c>
      <c r="B2769" s="2">
        <f t="shared" si="215"/>
        <v>-773.35206382240722</v>
      </c>
      <c r="C2769" s="2">
        <f t="shared" si="216"/>
        <v>598073.41461837664</v>
      </c>
      <c r="D2769" s="2">
        <v>53427</v>
      </c>
      <c r="E2769" s="2">
        <f t="shared" si="217"/>
        <v>5.3426999999999998</v>
      </c>
      <c r="F2769" s="2">
        <f t="shared" si="218"/>
        <v>1.9628440166493273</v>
      </c>
      <c r="G2769" s="2">
        <f t="shared" si="219"/>
        <v>3.8527566336960648</v>
      </c>
    </row>
    <row r="2770" spans="1:7" x14ac:dyDescent="0.35">
      <c r="A2770" s="2">
        <v>565</v>
      </c>
      <c r="B2770" s="2">
        <f t="shared" si="215"/>
        <v>-773.35206382240722</v>
      </c>
      <c r="C2770" s="2">
        <f t="shared" si="216"/>
        <v>598073.41461837664</v>
      </c>
      <c r="D2770" s="2">
        <v>53917</v>
      </c>
      <c r="E2770" s="2">
        <f t="shared" si="217"/>
        <v>5.3917000000000002</v>
      </c>
      <c r="F2770" s="2">
        <f t="shared" si="218"/>
        <v>2.0118440166493277</v>
      </c>
      <c r="G2770" s="2">
        <f t="shared" si="219"/>
        <v>4.0475163473276998</v>
      </c>
    </row>
    <row r="2771" spans="1:7" x14ac:dyDescent="0.35">
      <c r="A2771" s="2">
        <v>1300</v>
      </c>
      <c r="B2771" s="2">
        <f t="shared" si="215"/>
        <v>-38.352063822407217</v>
      </c>
      <c r="C2771" s="2">
        <f t="shared" si="216"/>
        <v>1470.8807994379965</v>
      </c>
      <c r="D2771" s="2">
        <v>49535</v>
      </c>
      <c r="E2771" s="2">
        <f t="shared" si="217"/>
        <v>4.9535</v>
      </c>
      <c r="F2771" s="2">
        <f t="shared" si="218"/>
        <v>1.5736440166493275</v>
      </c>
      <c r="G2771" s="2">
        <f t="shared" si="219"/>
        <v>2.4763554911362289</v>
      </c>
    </row>
    <row r="2772" spans="1:7" x14ac:dyDescent="0.35">
      <c r="A2772" s="2">
        <v>1300</v>
      </c>
      <c r="B2772" s="2">
        <f t="shared" si="215"/>
        <v>-38.352063822407217</v>
      </c>
      <c r="C2772" s="2">
        <f t="shared" si="216"/>
        <v>1470.8807994379965</v>
      </c>
      <c r="D2772" s="2">
        <v>47842</v>
      </c>
      <c r="E2772" s="2">
        <f t="shared" si="217"/>
        <v>4.7842000000000002</v>
      </c>
      <c r="F2772" s="2">
        <f t="shared" si="218"/>
        <v>1.4043440166493277</v>
      </c>
      <c r="G2772" s="2">
        <f t="shared" si="219"/>
        <v>1.9721821170987672</v>
      </c>
    </row>
    <row r="2773" spans="1:7" x14ac:dyDescent="0.35">
      <c r="A2773" s="2">
        <v>1300</v>
      </c>
      <c r="B2773" s="2">
        <f t="shared" si="215"/>
        <v>-38.352063822407217</v>
      </c>
      <c r="C2773" s="2">
        <f t="shared" si="216"/>
        <v>1470.8807994379965</v>
      </c>
      <c r="D2773" s="2">
        <v>42253</v>
      </c>
      <c r="E2773" s="2">
        <f t="shared" si="217"/>
        <v>4.2252999999999998</v>
      </c>
      <c r="F2773" s="2">
        <f t="shared" si="218"/>
        <v>0.84544401664932733</v>
      </c>
      <c r="G2773" s="2">
        <f t="shared" si="219"/>
        <v>0.71477558528814811</v>
      </c>
    </row>
    <row r="2774" spans="1:7" x14ac:dyDescent="0.35">
      <c r="A2774" s="2">
        <v>1300</v>
      </c>
      <c r="B2774" s="2">
        <f t="shared" si="215"/>
        <v>-38.352063822407217</v>
      </c>
      <c r="C2774" s="2">
        <f t="shared" si="216"/>
        <v>1470.8807994379965</v>
      </c>
      <c r="D2774" s="2">
        <v>56445</v>
      </c>
      <c r="E2774" s="2">
        <f t="shared" si="217"/>
        <v>5.6444999999999999</v>
      </c>
      <c r="F2774" s="2">
        <f t="shared" si="218"/>
        <v>2.2646440166493274</v>
      </c>
      <c r="G2774" s="2">
        <f t="shared" si="219"/>
        <v>5.1286125221455992</v>
      </c>
    </row>
    <row r="2775" spans="1:7" x14ac:dyDescent="0.35">
      <c r="A2775" s="2">
        <v>1300</v>
      </c>
      <c r="B2775" s="2">
        <f t="shared" si="215"/>
        <v>-38.352063822407217</v>
      </c>
      <c r="C2775" s="2">
        <f t="shared" si="216"/>
        <v>1470.8807994379965</v>
      </c>
      <c r="D2775" s="2">
        <v>44474</v>
      </c>
      <c r="E2775" s="2">
        <f t="shared" si="217"/>
        <v>4.4474</v>
      </c>
      <c r="F2775" s="2">
        <f t="shared" si="218"/>
        <v>1.0675440166493275</v>
      </c>
      <c r="G2775" s="2">
        <f t="shared" si="219"/>
        <v>1.1396502274837796</v>
      </c>
    </row>
    <row r="2776" spans="1:7" x14ac:dyDescent="0.35">
      <c r="A2776" s="2">
        <v>1300</v>
      </c>
      <c r="B2776" s="2">
        <f t="shared" si="215"/>
        <v>-38.352063822407217</v>
      </c>
      <c r="C2776" s="2">
        <f t="shared" si="216"/>
        <v>1470.8807994379965</v>
      </c>
      <c r="D2776" s="2">
        <v>47767</v>
      </c>
      <c r="E2776" s="2">
        <f t="shared" si="217"/>
        <v>4.7766999999999999</v>
      </c>
      <c r="F2776" s="2">
        <f t="shared" si="218"/>
        <v>1.3968440166493274</v>
      </c>
      <c r="G2776" s="2">
        <f t="shared" si="219"/>
        <v>1.9511732068490266</v>
      </c>
    </row>
    <row r="2777" spans="1:7" x14ac:dyDescent="0.35">
      <c r="A2777" s="2">
        <v>1300</v>
      </c>
      <c r="B2777" s="2">
        <f t="shared" si="215"/>
        <v>-38.352063822407217</v>
      </c>
      <c r="C2777" s="2">
        <f t="shared" si="216"/>
        <v>1470.8807994379965</v>
      </c>
      <c r="D2777" s="2">
        <v>47557</v>
      </c>
      <c r="E2777" s="2">
        <f t="shared" si="217"/>
        <v>4.7557</v>
      </c>
      <c r="F2777" s="2">
        <f t="shared" si="218"/>
        <v>1.3758440166493275</v>
      </c>
      <c r="G2777" s="2">
        <f t="shared" si="219"/>
        <v>1.892946758149755</v>
      </c>
    </row>
    <row r="2778" spans="1:7" x14ac:dyDescent="0.35">
      <c r="A2778" s="2">
        <v>1300</v>
      </c>
      <c r="B2778" s="2">
        <f t="shared" si="215"/>
        <v>-38.352063822407217</v>
      </c>
      <c r="C2778" s="2">
        <f t="shared" si="216"/>
        <v>1470.8807994379965</v>
      </c>
      <c r="D2778" s="2">
        <v>51717</v>
      </c>
      <c r="E2778" s="2">
        <f t="shared" si="217"/>
        <v>5.1717000000000004</v>
      </c>
      <c r="F2778" s="2">
        <f t="shared" si="218"/>
        <v>1.7918440166493279</v>
      </c>
      <c r="G2778" s="2">
        <f t="shared" si="219"/>
        <v>3.2107049800019971</v>
      </c>
    </row>
    <row r="2779" spans="1:7" x14ac:dyDescent="0.35">
      <c r="A2779" s="2">
        <v>1300</v>
      </c>
      <c r="B2779" s="2">
        <f t="shared" si="215"/>
        <v>-38.352063822407217</v>
      </c>
      <c r="C2779" s="2">
        <f t="shared" si="216"/>
        <v>1470.8807994379965</v>
      </c>
      <c r="D2779" s="2">
        <v>49158</v>
      </c>
      <c r="E2779" s="2">
        <f t="shared" si="217"/>
        <v>4.9157999999999999</v>
      </c>
      <c r="F2779" s="2">
        <f t="shared" si="218"/>
        <v>1.5359440166493274</v>
      </c>
      <c r="G2779" s="2">
        <f t="shared" si="219"/>
        <v>2.3591240222808696</v>
      </c>
    </row>
    <row r="2780" spans="1:7" x14ac:dyDescent="0.35">
      <c r="A2780" s="2">
        <v>1300</v>
      </c>
      <c r="B2780" s="2">
        <f t="shared" si="215"/>
        <v>-38.352063822407217</v>
      </c>
      <c r="C2780" s="2">
        <f t="shared" si="216"/>
        <v>1470.8807994379965</v>
      </c>
      <c r="D2780" s="2">
        <v>55099</v>
      </c>
      <c r="E2780" s="2">
        <f t="shared" si="217"/>
        <v>5.5099</v>
      </c>
      <c r="F2780" s="2">
        <f t="shared" si="218"/>
        <v>2.1300440166493275</v>
      </c>
      <c r="G2780" s="2">
        <f t="shared" si="219"/>
        <v>4.537087512863601</v>
      </c>
    </row>
    <row r="2781" spans="1:7" x14ac:dyDescent="0.35">
      <c r="A2781" s="2">
        <v>1300</v>
      </c>
      <c r="B2781" s="2">
        <f t="shared" si="215"/>
        <v>-38.352063822407217</v>
      </c>
      <c r="C2781" s="2">
        <f t="shared" si="216"/>
        <v>1470.8807994379965</v>
      </c>
      <c r="D2781" s="2">
        <v>64684</v>
      </c>
      <c r="E2781" s="2">
        <f t="shared" si="217"/>
        <v>6.4683999999999999</v>
      </c>
      <c r="F2781" s="2">
        <f t="shared" si="218"/>
        <v>3.0885440166493274</v>
      </c>
      <c r="G2781" s="2">
        <f t="shared" si="219"/>
        <v>9.5391041427803618</v>
      </c>
    </row>
    <row r="2782" spans="1:7" x14ac:dyDescent="0.35">
      <c r="A2782" s="2">
        <v>1300</v>
      </c>
      <c r="B2782" s="2">
        <f t="shared" si="215"/>
        <v>-38.352063822407217</v>
      </c>
      <c r="C2782" s="2">
        <f t="shared" si="216"/>
        <v>1470.8807994379965</v>
      </c>
      <c r="D2782" s="2">
        <v>65839</v>
      </c>
      <c r="E2782" s="2">
        <f t="shared" si="217"/>
        <v>6.5838999999999999</v>
      </c>
      <c r="F2782" s="2">
        <f t="shared" si="218"/>
        <v>3.2040440166493274</v>
      </c>
      <c r="G2782" s="2">
        <f t="shared" si="219"/>
        <v>10.265898060626355</v>
      </c>
    </row>
    <row r="2783" spans="1:7" x14ac:dyDescent="0.35">
      <c r="A2783" s="2">
        <v>1300</v>
      </c>
      <c r="B2783" s="2">
        <f t="shared" si="215"/>
        <v>-38.352063822407217</v>
      </c>
      <c r="C2783" s="2">
        <f t="shared" si="216"/>
        <v>1470.8807994379965</v>
      </c>
      <c r="D2783" s="2">
        <v>50862</v>
      </c>
      <c r="E2783" s="2">
        <f t="shared" si="217"/>
        <v>5.0861999999999998</v>
      </c>
      <c r="F2783" s="2">
        <f t="shared" si="218"/>
        <v>1.7063440166493273</v>
      </c>
      <c r="G2783" s="2">
        <f t="shared" si="219"/>
        <v>2.91160990315496</v>
      </c>
    </row>
    <row r="2784" spans="1:7" x14ac:dyDescent="0.35">
      <c r="A2784" s="2">
        <v>1300</v>
      </c>
      <c r="B2784" s="2">
        <f t="shared" si="215"/>
        <v>-38.352063822407217</v>
      </c>
      <c r="C2784" s="2">
        <f t="shared" si="216"/>
        <v>1470.8807994379965</v>
      </c>
      <c r="D2784" s="2">
        <v>63830</v>
      </c>
      <c r="E2784" s="2">
        <f t="shared" si="217"/>
        <v>6.383</v>
      </c>
      <c r="F2784" s="2">
        <f t="shared" si="218"/>
        <v>3.0031440166493275</v>
      </c>
      <c r="G2784" s="2">
        <f t="shared" si="219"/>
        <v>9.0188739847366559</v>
      </c>
    </row>
    <row r="2785" spans="1:7" x14ac:dyDescent="0.35">
      <c r="A2785" s="2">
        <v>1300</v>
      </c>
      <c r="B2785" s="2">
        <f t="shared" si="215"/>
        <v>-38.352063822407217</v>
      </c>
      <c r="C2785" s="2">
        <f t="shared" si="216"/>
        <v>1470.8807994379965</v>
      </c>
      <c r="D2785" s="2">
        <v>63840</v>
      </c>
      <c r="E2785" s="2">
        <f t="shared" si="217"/>
        <v>6.3840000000000003</v>
      </c>
      <c r="F2785" s="2">
        <f t="shared" si="218"/>
        <v>3.0041440166493278</v>
      </c>
      <c r="G2785" s="2">
        <f t="shared" si="219"/>
        <v>9.0248812727699566</v>
      </c>
    </row>
    <row r="2786" spans="1:7" x14ac:dyDescent="0.35">
      <c r="A2786" s="2">
        <v>1300</v>
      </c>
      <c r="B2786" s="2">
        <f t="shared" si="215"/>
        <v>-38.352063822407217</v>
      </c>
      <c r="C2786" s="2">
        <f t="shared" si="216"/>
        <v>1470.8807994379965</v>
      </c>
      <c r="D2786" s="2">
        <v>67037</v>
      </c>
      <c r="E2786" s="2">
        <f t="shared" si="217"/>
        <v>6.7037000000000004</v>
      </c>
      <c r="F2786" s="2">
        <f t="shared" si="218"/>
        <v>3.3238440166493279</v>
      </c>
      <c r="G2786" s="2">
        <f t="shared" si="219"/>
        <v>11.047939047015538</v>
      </c>
    </row>
    <row r="2787" spans="1:7" x14ac:dyDescent="0.35">
      <c r="A2787" s="2">
        <v>1300</v>
      </c>
      <c r="B2787" s="2">
        <f t="shared" si="215"/>
        <v>-38.352063822407217</v>
      </c>
      <c r="C2787" s="2">
        <f t="shared" si="216"/>
        <v>1470.8807994379965</v>
      </c>
      <c r="D2787" s="2">
        <v>58632</v>
      </c>
      <c r="E2787" s="2">
        <f t="shared" si="217"/>
        <v>5.8632</v>
      </c>
      <c r="F2787" s="2">
        <f t="shared" si="218"/>
        <v>2.4833440166493275</v>
      </c>
      <c r="G2787" s="2">
        <f t="shared" si="219"/>
        <v>6.1669975050280152</v>
      </c>
    </row>
    <row r="2788" spans="1:7" x14ac:dyDescent="0.35">
      <c r="A2788" s="2">
        <v>1300</v>
      </c>
      <c r="B2788" s="2">
        <f t="shared" si="215"/>
        <v>-38.352063822407217</v>
      </c>
      <c r="C2788" s="2">
        <f t="shared" si="216"/>
        <v>1470.8807994379965</v>
      </c>
      <c r="D2788" s="2">
        <v>67712</v>
      </c>
      <c r="E2788" s="2">
        <f t="shared" si="217"/>
        <v>6.7712000000000003</v>
      </c>
      <c r="F2788" s="2">
        <f t="shared" si="218"/>
        <v>3.3913440166493278</v>
      </c>
      <c r="G2788" s="2">
        <f t="shared" si="219"/>
        <v>11.501214239263197</v>
      </c>
    </row>
    <row r="2789" spans="1:7" x14ac:dyDescent="0.35">
      <c r="A2789" s="2">
        <v>1300</v>
      </c>
      <c r="B2789" s="2">
        <f t="shared" si="215"/>
        <v>-38.352063822407217</v>
      </c>
      <c r="C2789" s="2">
        <f t="shared" si="216"/>
        <v>1470.8807994379965</v>
      </c>
      <c r="D2789" s="2">
        <v>66005</v>
      </c>
      <c r="E2789" s="2">
        <f t="shared" si="217"/>
        <v>6.6005000000000003</v>
      </c>
      <c r="F2789" s="2">
        <f t="shared" si="218"/>
        <v>3.2206440166493278</v>
      </c>
      <c r="G2789" s="2">
        <f t="shared" si="219"/>
        <v>10.372547881979115</v>
      </c>
    </row>
    <row r="2790" spans="1:7" x14ac:dyDescent="0.35">
      <c r="A2790" s="2">
        <v>1300</v>
      </c>
      <c r="B2790" s="2">
        <f t="shared" si="215"/>
        <v>-38.352063822407217</v>
      </c>
      <c r="C2790" s="2">
        <f t="shared" si="216"/>
        <v>1470.8807994379965</v>
      </c>
      <c r="D2790" s="2">
        <v>72893</v>
      </c>
      <c r="E2790" s="2">
        <f t="shared" si="217"/>
        <v>7.2892999999999999</v>
      </c>
      <c r="F2790" s="2">
        <f t="shared" si="218"/>
        <v>3.9094440166493274</v>
      </c>
      <c r="G2790" s="2">
        <f t="shared" si="219"/>
        <v>15.283752519315227</v>
      </c>
    </row>
    <row r="2791" spans="1:7" x14ac:dyDescent="0.35">
      <c r="A2791" s="2">
        <v>1300</v>
      </c>
      <c r="B2791" s="2">
        <f t="shared" si="215"/>
        <v>-38.352063822407217</v>
      </c>
      <c r="C2791" s="2">
        <f t="shared" si="216"/>
        <v>1470.8807994379965</v>
      </c>
      <c r="D2791" s="2">
        <v>78796</v>
      </c>
      <c r="E2791" s="2">
        <f t="shared" si="217"/>
        <v>7.8795999999999999</v>
      </c>
      <c r="F2791" s="2">
        <f t="shared" si="218"/>
        <v>4.499744016649327</v>
      </c>
      <c r="G2791" s="2">
        <f t="shared" si="219"/>
        <v>20.24769621537142</v>
      </c>
    </row>
    <row r="2792" spans="1:7" x14ac:dyDescent="0.35">
      <c r="A2792" s="2">
        <v>1300</v>
      </c>
      <c r="B2792" s="2">
        <f t="shared" si="215"/>
        <v>-38.352063822407217</v>
      </c>
      <c r="C2792" s="2">
        <f t="shared" si="216"/>
        <v>1470.8807994379965</v>
      </c>
      <c r="D2792" s="2">
        <v>78989</v>
      </c>
      <c r="E2792" s="2">
        <f t="shared" si="217"/>
        <v>7.8989000000000003</v>
      </c>
      <c r="F2792" s="2">
        <f t="shared" si="218"/>
        <v>4.5190440166493282</v>
      </c>
      <c r="G2792" s="2">
        <f t="shared" si="219"/>
        <v>20.421758824414095</v>
      </c>
    </row>
    <row r="2793" spans="1:7" x14ac:dyDescent="0.35">
      <c r="A2793" s="2">
        <v>1300</v>
      </c>
      <c r="B2793" s="2">
        <f t="shared" si="215"/>
        <v>-38.352063822407217</v>
      </c>
      <c r="C2793" s="2">
        <f t="shared" si="216"/>
        <v>1470.8807994379965</v>
      </c>
      <c r="D2793" s="2">
        <v>80100</v>
      </c>
      <c r="E2793" s="2">
        <f t="shared" si="217"/>
        <v>8.01</v>
      </c>
      <c r="F2793" s="2">
        <f t="shared" si="218"/>
        <v>4.6301440166493268</v>
      </c>
      <c r="G2793" s="2">
        <f t="shared" si="219"/>
        <v>21.43823361491356</v>
      </c>
    </row>
    <row r="2794" spans="1:7" x14ac:dyDescent="0.35">
      <c r="A2794" s="2">
        <v>1300</v>
      </c>
      <c r="B2794" s="2">
        <f t="shared" si="215"/>
        <v>-38.352063822407217</v>
      </c>
      <c r="C2794" s="2">
        <f t="shared" si="216"/>
        <v>1470.8807994379965</v>
      </c>
      <c r="D2794" s="2">
        <v>70954</v>
      </c>
      <c r="E2794" s="2">
        <f t="shared" si="217"/>
        <v>7.0953999999999997</v>
      </c>
      <c r="F2794" s="2">
        <f t="shared" si="218"/>
        <v>3.7155440166493272</v>
      </c>
      <c r="G2794" s="2">
        <f t="shared" si="219"/>
        <v>13.805267339658617</v>
      </c>
    </row>
    <row r="2795" spans="1:7" x14ac:dyDescent="0.35">
      <c r="A2795" s="2">
        <v>1300</v>
      </c>
      <c r="B2795" s="2">
        <f t="shared" si="215"/>
        <v>-38.352063822407217</v>
      </c>
      <c r="C2795" s="2">
        <f t="shared" si="216"/>
        <v>1470.8807994379965</v>
      </c>
      <c r="D2795" s="2">
        <v>83827</v>
      </c>
      <c r="E2795" s="2">
        <f t="shared" si="217"/>
        <v>8.3826999999999998</v>
      </c>
      <c r="F2795" s="2">
        <f t="shared" si="218"/>
        <v>5.0028440166493269</v>
      </c>
      <c r="G2795" s="2">
        <f t="shared" si="219"/>
        <v>25.028448254923969</v>
      </c>
    </row>
    <row r="2796" spans="1:7" x14ac:dyDescent="0.35">
      <c r="A2796" s="2">
        <v>1300</v>
      </c>
      <c r="B2796" s="2">
        <f t="shared" si="215"/>
        <v>-38.352063822407217</v>
      </c>
      <c r="C2796" s="2">
        <f t="shared" si="216"/>
        <v>1470.8807994379965</v>
      </c>
      <c r="D2796" s="2">
        <v>78513</v>
      </c>
      <c r="E2796" s="2">
        <f t="shared" si="217"/>
        <v>7.8513000000000002</v>
      </c>
      <c r="F2796" s="2">
        <f t="shared" si="218"/>
        <v>4.4714440166493272</v>
      </c>
      <c r="G2796" s="2">
        <f t="shared" si="219"/>
        <v>19.993811594029069</v>
      </c>
    </row>
    <row r="2797" spans="1:7" x14ac:dyDescent="0.35">
      <c r="A2797" s="2">
        <v>1300</v>
      </c>
      <c r="B2797" s="2">
        <f t="shared" si="215"/>
        <v>-38.352063822407217</v>
      </c>
      <c r="C2797" s="2">
        <f t="shared" si="216"/>
        <v>1470.8807994379965</v>
      </c>
      <c r="D2797" s="2">
        <v>78812</v>
      </c>
      <c r="E2797" s="2">
        <f t="shared" si="217"/>
        <v>7.8811999999999998</v>
      </c>
      <c r="F2797" s="2">
        <f t="shared" si="218"/>
        <v>4.5013440166493268</v>
      </c>
      <c r="G2797" s="2">
        <f t="shared" si="219"/>
        <v>20.262097956224697</v>
      </c>
    </row>
    <row r="2798" spans="1:7" x14ac:dyDescent="0.35">
      <c r="A2798" s="2">
        <v>1300</v>
      </c>
      <c r="B2798" s="2">
        <f t="shared" si="215"/>
        <v>-38.352063822407217</v>
      </c>
      <c r="C2798" s="2">
        <f t="shared" si="216"/>
        <v>1470.8807994379965</v>
      </c>
      <c r="D2798" s="2">
        <v>80544</v>
      </c>
      <c r="E2798" s="2">
        <f t="shared" si="217"/>
        <v>8.0543999999999993</v>
      </c>
      <c r="F2798" s="2">
        <f t="shared" si="218"/>
        <v>4.6745440166493264</v>
      </c>
      <c r="G2798" s="2">
        <f t="shared" si="219"/>
        <v>21.851361763592017</v>
      </c>
    </row>
    <row r="2799" spans="1:7" x14ac:dyDescent="0.35">
      <c r="A2799" s="2">
        <v>1300</v>
      </c>
      <c r="B2799" s="2">
        <f t="shared" si="215"/>
        <v>-38.352063822407217</v>
      </c>
      <c r="C2799" s="2">
        <f t="shared" si="216"/>
        <v>1470.8807994379965</v>
      </c>
      <c r="D2799" s="2">
        <v>80896</v>
      </c>
      <c r="E2799" s="2">
        <f t="shared" si="217"/>
        <v>8.0896000000000008</v>
      </c>
      <c r="F2799" s="2">
        <f t="shared" si="218"/>
        <v>4.7097440166493278</v>
      </c>
      <c r="G2799" s="2">
        <f t="shared" si="219"/>
        <v>22.181688702364145</v>
      </c>
    </row>
    <row r="2800" spans="1:7" x14ac:dyDescent="0.35">
      <c r="A2800" s="2">
        <v>1300</v>
      </c>
      <c r="B2800" s="2">
        <f t="shared" si="215"/>
        <v>-38.352063822407217</v>
      </c>
      <c r="C2800" s="2">
        <f t="shared" si="216"/>
        <v>1470.8807994379965</v>
      </c>
      <c r="D2800" s="2">
        <v>85690</v>
      </c>
      <c r="E2800" s="2">
        <f t="shared" si="217"/>
        <v>8.5690000000000008</v>
      </c>
      <c r="F2800" s="2">
        <f t="shared" si="218"/>
        <v>5.1891440166493279</v>
      </c>
      <c r="G2800" s="2">
        <f t="shared" si="219"/>
        <v>26.92721562552752</v>
      </c>
    </row>
    <row r="2801" spans="1:7" x14ac:dyDescent="0.35">
      <c r="A2801" s="2">
        <v>206</v>
      </c>
      <c r="B2801" s="2">
        <f t="shared" si="215"/>
        <v>-1132.3520638224072</v>
      </c>
      <c r="C2801" s="2">
        <f t="shared" si="216"/>
        <v>1282221.1964428651</v>
      </c>
      <c r="D2801" s="2">
        <v>32029</v>
      </c>
      <c r="E2801" s="2">
        <f t="shared" si="217"/>
        <v>3.2029000000000001</v>
      </c>
      <c r="F2801" s="2">
        <f t="shared" si="218"/>
        <v>-0.17695598335067242</v>
      </c>
      <c r="G2801" s="2">
        <f t="shared" si="219"/>
        <v>3.1313420043603456E-2</v>
      </c>
    </row>
    <row r="2802" spans="1:7" x14ac:dyDescent="0.35">
      <c r="A2802" s="2">
        <v>206</v>
      </c>
      <c r="B2802" s="2">
        <f t="shared" si="215"/>
        <v>-1132.3520638224072</v>
      </c>
      <c r="C2802" s="2">
        <f t="shared" si="216"/>
        <v>1282221.1964428651</v>
      </c>
      <c r="D2802" s="2">
        <v>32191</v>
      </c>
      <c r="E2802" s="2">
        <f t="shared" si="217"/>
        <v>3.2191000000000001</v>
      </c>
      <c r="F2802" s="2">
        <f t="shared" si="218"/>
        <v>-0.16075598335067243</v>
      </c>
      <c r="G2802" s="2">
        <f t="shared" si="219"/>
        <v>2.584248618304167E-2</v>
      </c>
    </row>
    <row r="2803" spans="1:7" x14ac:dyDescent="0.35">
      <c r="A2803" s="2">
        <v>206</v>
      </c>
      <c r="B2803" s="2">
        <f t="shared" si="215"/>
        <v>-1132.3520638224072</v>
      </c>
      <c r="C2803" s="2">
        <f t="shared" si="216"/>
        <v>1282221.1964428651</v>
      </c>
      <c r="D2803" s="2">
        <v>31622</v>
      </c>
      <c r="E2803" s="2">
        <f t="shared" si="217"/>
        <v>3.1621999999999999</v>
      </c>
      <c r="F2803" s="2">
        <f t="shared" si="218"/>
        <v>-0.2176559833506726</v>
      </c>
      <c r="G2803" s="2">
        <f t="shared" si="219"/>
        <v>4.7374127088348268E-2</v>
      </c>
    </row>
    <row r="2804" spans="1:7" x14ac:dyDescent="0.35">
      <c r="A2804" s="2">
        <v>206</v>
      </c>
      <c r="B2804" s="2">
        <f t="shared" si="215"/>
        <v>-1132.3520638224072</v>
      </c>
      <c r="C2804" s="2">
        <f t="shared" si="216"/>
        <v>1282221.1964428651</v>
      </c>
      <c r="D2804" s="2">
        <v>19747</v>
      </c>
      <c r="E2804" s="2">
        <f t="shared" si="217"/>
        <v>1.9746999999999999</v>
      </c>
      <c r="F2804" s="2">
        <f t="shared" si="218"/>
        <v>-1.4051559833506726</v>
      </c>
      <c r="G2804" s="2">
        <f t="shared" si="219"/>
        <v>1.9744633375461957</v>
      </c>
    </row>
    <row r="2805" spans="1:7" x14ac:dyDescent="0.35">
      <c r="A2805" s="2">
        <v>206</v>
      </c>
      <c r="B2805" s="2">
        <f t="shared" si="215"/>
        <v>-1132.3520638224072</v>
      </c>
      <c r="C2805" s="2">
        <f t="shared" si="216"/>
        <v>1282221.1964428651</v>
      </c>
      <c r="D2805" s="2">
        <v>19249</v>
      </c>
      <c r="E2805" s="2">
        <f t="shared" si="217"/>
        <v>1.9249000000000001</v>
      </c>
      <c r="F2805" s="2">
        <f t="shared" si="218"/>
        <v>-1.4549559833506724</v>
      </c>
      <c r="G2805" s="2">
        <f t="shared" si="219"/>
        <v>2.1168969134879223</v>
      </c>
    </row>
    <row r="2806" spans="1:7" x14ac:dyDescent="0.35">
      <c r="A2806" s="2">
        <v>206</v>
      </c>
      <c r="B2806" s="2">
        <f t="shared" si="215"/>
        <v>-1132.3520638224072</v>
      </c>
      <c r="C2806" s="2">
        <f t="shared" si="216"/>
        <v>1282221.1964428651</v>
      </c>
      <c r="D2806" s="2">
        <v>21347</v>
      </c>
      <c r="E2806" s="2">
        <f t="shared" si="217"/>
        <v>2.1347</v>
      </c>
      <c r="F2806" s="2">
        <f t="shared" si="218"/>
        <v>-1.2451559833506725</v>
      </c>
      <c r="G2806" s="2">
        <f t="shared" si="219"/>
        <v>1.5504134228739801</v>
      </c>
    </row>
    <row r="2807" spans="1:7" x14ac:dyDescent="0.35">
      <c r="A2807" s="2">
        <v>206</v>
      </c>
      <c r="B2807" s="2">
        <f t="shared" si="215"/>
        <v>-1132.3520638224072</v>
      </c>
      <c r="C2807" s="2">
        <f t="shared" si="216"/>
        <v>1282221.1964428651</v>
      </c>
      <c r="D2807" s="2">
        <v>25121</v>
      </c>
      <c r="E2807" s="2">
        <f t="shared" si="217"/>
        <v>2.5121000000000002</v>
      </c>
      <c r="F2807" s="2">
        <f t="shared" si="218"/>
        <v>-0.86775598335067228</v>
      </c>
      <c r="G2807" s="2">
        <f t="shared" si="219"/>
        <v>0.75300044664089227</v>
      </c>
    </row>
    <row r="2808" spans="1:7" x14ac:dyDescent="0.35">
      <c r="A2808" s="2">
        <v>206</v>
      </c>
      <c r="B2808" s="2">
        <f t="shared" si="215"/>
        <v>-1132.3520638224072</v>
      </c>
      <c r="C2808" s="2">
        <f t="shared" si="216"/>
        <v>1282221.1964428651</v>
      </c>
      <c r="D2808" s="2">
        <v>26973</v>
      </c>
      <c r="E2808" s="2">
        <f t="shared" si="217"/>
        <v>2.6972999999999998</v>
      </c>
      <c r="F2808" s="2">
        <f t="shared" si="218"/>
        <v>-0.68255598335067269</v>
      </c>
      <c r="G2808" s="2">
        <f t="shared" si="219"/>
        <v>0.46588267040780379</v>
      </c>
    </row>
    <row r="2809" spans="1:7" x14ac:dyDescent="0.35">
      <c r="A2809" s="2">
        <v>206</v>
      </c>
      <c r="B2809" s="2">
        <f t="shared" si="215"/>
        <v>-1132.3520638224072</v>
      </c>
      <c r="C2809" s="2">
        <f t="shared" si="216"/>
        <v>1282221.1964428651</v>
      </c>
      <c r="D2809" s="2">
        <v>35224</v>
      </c>
      <c r="E2809" s="2">
        <f t="shared" si="217"/>
        <v>3.5224000000000002</v>
      </c>
      <c r="F2809" s="2">
        <f t="shared" si="218"/>
        <v>0.1425440166493277</v>
      </c>
      <c r="G2809" s="2">
        <f t="shared" si="219"/>
        <v>2.0318796682523812E-2</v>
      </c>
    </row>
    <row r="2810" spans="1:7" x14ac:dyDescent="0.35">
      <c r="A2810" s="2">
        <v>206</v>
      </c>
      <c r="B2810" s="2">
        <f t="shared" si="215"/>
        <v>-1132.3520638224072</v>
      </c>
      <c r="C2810" s="2">
        <f t="shared" si="216"/>
        <v>1282221.1964428651</v>
      </c>
      <c r="D2810" s="2">
        <v>23256</v>
      </c>
      <c r="E2810" s="2">
        <f t="shared" si="217"/>
        <v>2.3256000000000001</v>
      </c>
      <c r="F2810" s="2">
        <f t="shared" si="218"/>
        <v>-1.0542559833506724</v>
      </c>
      <c r="G2810" s="2">
        <f t="shared" si="219"/>
        <v>1.1114556784306933</v>
      </c>
    </row>
    <row r="2811" spans="1:7" x14ac:dyDescent="0.35">
      <c r="A2811" s="2">
        <v>206</v>
      </c>
      <c r="B2811" s="2">
        <f t="shared" si="215"/>
        <v>-1132.3520638224072</v>
      </c>
      <c r="C2811" s="2">
        <f t="shared" si="216"/>
        <v>1282221.1964428651</v>
      </c>
      <c r="D2811" s="2">
        <v>52877</v>
      </c>
      <c r="E2811" s="2">
        <f t="shared" si="217"/>
        <v>5.2877000000000001</v>
      </c>
      <c r="F2811" s="2">
        <f t="shared" si="218"/>
        <v>1.9078440166493276</v>
      </c>
      <c r="G2811" s="2">
        <f t="shared" si="219"/>
        <v>3.6398687918646395</v>
      </c>
    </row>
    <row r="2812" spans="1:7" x14ac:dyDescent="0.35">
      <c r="A2812" s="2">
        <v>206</v>
      </c>
      <c r="B2812" s="2">
        <f t="shared" si="215"/>
        <v>-1132.3520638224072</v>
      </c>
      <c r="C2812" s="2">
        <f t="shared" si="216"/>
        <v>1282221.1964428651</v>
      </c>
      <c r="D2812" s="2">
        <v>28453</v>
      </c>
      <c r="E2812" s="2">
        <f t="shared" si="217"/>
        <v>2.8452999999999999</v>
      </c>
      <c r="F2812" s="2">
        <f t="shared" si="218"/>
        <v>-0.53455598335067256</v>
      </c>
      <c r="G2812" s="2">
        <f t="shared" si="219"/>
        <v>0.28575009933600454</v>
      </c>
    </row>
    <row r="2813" spans="1:7" x14ac:dyDescent="0.35">
      <c r="A2813" s="2">
        <v>206</v>
      </c>
      <c r="B2813" s="2">
        <f t="shared" si="215"/>
        <v>-1132.3520638224072</v>
      </c>
      <c r="C2813" s="2">
        <f t="shared" si="216"/>
        <v>1282221.1964428651</v>
      </c>
      <c r="D2813" s="2">
        <v>32717</v>
      </c>
      <c r="E2813" s="2">
        <f t="shared" si="217"/>
        <v>3.2717000000000001</v>
      </c>
      <c r="F2813" s="2">
        <f t="shared" si="218"/>
        <v>-0.10815598335067245</v>
      </c>
      <c r="G2813" s="2">
        <f t="shared" si="219"/>
        <v>1.1697716734550936E-2</v>
      </c>
    </row>
    <row r="2814" spans="1:7" x14ac:dyDescent="0.35">
      <c r="A2814" s="2">
        <v>206</v>
      </c>
      <c r="B2814" s="2">
        <f t="shared" si="215"/>
        <v>-1132.3520638224072</v>
      </c>
      <c r="C2814" s="2">
        <f t="shared" si="216"/>
        <v>1282221.1964428651</v>
      </c>
      <c r="D2814" s="2">
        <v>36927</v>
      </c>
      <c r="E2814" s="2">
        <f t="shared" si="217"/>
        <v>3.6926999999999999</v>
      </c>
      <c r="F2814" s="2">
        <f t="shared" si="218"/>
        <v>0.31284401664932737</v>
      </c>
      <c r="G2814" s="2">
        <f t="shared" si="219"/>
        <v>9.7871378753284624E-2</v>
      </c>
    </row>
    <row r="2815" spans="1:7" x14ac:dyDescent="0.35">
      <c r="A2815" s="2">
        <v>206</v>
      </c>
      <c r="B2815" s="2">
        <f t="shared" si="215"/>
        <v>-1132.3520638224072</v>
      </c>
      <c r="C2815" s="2">
        <f t="shared" si="216"/>
        <v>1282221.1964428651</v>
      </c>
      <c r="D2815" s="2">
        <v>41208</v>
      </c>
      <c r="E2815" s="2">
        <f t="shared" si="217"/>
        <v>4.1208</v>
      </c>
      <c r="F2815" s="2">
        <f t="shared" si="218"/>
        <v>0.74094401664932752</v>
      </c>
      <c r="G2815" s="2">
        <f t="shared" si="219"/>
        <v>0.54899803580843898</v>
      </c>
    </row>
    <row r="2816" spans="1:7" x14ac:dyDescent="0.35">
      <c r="A2816" s="2">
        <v>206</v>
      </c>
      <c r="B2816" s="2">
        <f t="shared" si="215"/>
        <v>-1132.3520638224072</v>
      </c>
      <c r="C2816" s="2">
        <f t="shared" si="216"/>
        <v>1282221.1964428651</v>
      </c>
      <c r="D2816" s="2">
        <v>33639</v>
      </c>
      <c r="E2816" s="2">
        <f t="shared" si="217"/>
        <v>3.3639000000000001</v>
      </c>
      <c r="F2816" s="2">
        <f t="shared" si="218"/>
        <v>-1.5955983350672387E-2</v>
      </c>
      <c r="G2816" s="2">
        <f t="shared" si="219"/>
        <v>2.5459340468693441E-4</v>
      </c>
    </row>
    <row r="2817" spans="1:7" x14ac:dyDescent="0.35">
      <c r="A2817" s="2">
        <v>206</v>
      </c>
      <c r="B2817" s="2">
        <f t="shared" si="215"/>
        <v>-1132.3520638224072</v>
      </c>
      <c r="C2817" s="2">
        <f t="shared" si="216"/>
        <v>1282221.1964428651</v>
      </c>
      <c r="D2817" s="2">
        <v>44656</v>
      </c>
      <c r="E2817" s="2">
        <f t="shared" si="217"/>
        <v>4.4656000000000002</v>
      </c>
      <c r="F2817" s="2">
        <f t="shared" si="218"/>
        <v>1.0857440166493277</v>
      </c>
      <c r="G2817" s="2">
        <f t="shared" si="219"/>
        <v>1.1788400696898156</v>
      </c>
    </row>
    <row r="2818" spans="1:7" x14ac:dyDescent="0.35">
      <c r="A2818" s="2">
        <v>206</v>
      </c>
      <c r="B2818" s="2">
        <f t="shared" si="215"/>
        <v>-1132.3520638224072</v>
      </c>
      <c r="C2818" s="2">
        <f t="shared" si="216"/>
        <v>1282221.1964428651</v>
      </c>
      <c r="D2818" s="2">
        <v>36098</v>
      </c>
      <c r="E2818" s="2">
        <f t="shared" si="217"/>
        <v>3.6097999999999999</v>
      </c>
      <c r="F2818" s="2">
        <f t="shared" si="218"/>
        <v>0.2299440166493274</v>
      </c>
      <c r="G2818" s="2">
        <f t="shared" si="219"/>
        <v>5.2874250792826157E-2</v>
      </c>
    </row>
    <row r="2819" spans="1:7" x14ac:dyDescent="0.35">
      <c r="A2819" s="2">
        <v>206</v>
      </c>
      <c r="B2819" s="2">
        <f t="shared" ref="B2819:B2882" si="220">A2819-$J$1</f>
        <v>-1132.3520638224072</v>
      </c>
      <c r="C2819" s="2">
        <f t="shared" ref="C2819:C2882" si="221">B2819^2</f>
        <v>1282221.1964428651</v>
      </c>
      <c r="D2819" s="2">
        <v>51843</v>
      </c>
      <c r="E2819" s="2">
        <f t="shared" ref="E2819:E2882" si="222">D2819/10000</f>
        <v>5.1843000000000004</v>
      </c>
      <c r="F2819" s="2">
        <f t="shared" ref="F2819:F2882" si="223">E2819-$J$2</f>
        <v>1.8044440166493279</v>
      </c>
      <c r="G2819" s="2">
        <f t="shared" ref="G2819:G2882" si="224">F2819^2</f>
        <v>3.2560182092215597</v>
      </c>
    </row>
    <row r="2820" spans="1:7" x14ac:dyDescent="0.35">
      <c r="A2820" s="2">
        <v>206</v>
      </c>
      <c r="B2820" s="2">
        <f t="shared" si="220"/>
        <v>-1132.3520638224072</v>
      </c>
      <c r="C2820" s="2">
        <f t="shared" si="221"/>
        <v>1282221.1964428651</v>
      </c>
      <c r="D2820" s="2">
        <v>42689</v>
      </c>
      <c r="E2820" s="2">
        <f t="shared" si="222"/>
        <v>4.2689000000000004</v>
      </c>
      <c r="F2820" s="2">
        <f t="shared" si="223"/>
        <v>0.88904401664932786</v>
      </c>
      <c r="G2820" s="2">
        <f t="shared" si="224"/>
        <v>0.79039926353997036</v>
      </c>
    </row>
    <row r="2821" spans="1:7" x14ac:dyDescent="0.35">
      <c r="A2821" s="2">
        <v>206</v>
      </c>
      <c r="B2821" s="2">
        <f t="shared" si="220"/>
        <v>-1132.3520638224072</v>
      </c>
      <c r="C2821" s="2">
        <f t="shared" si="221"/>
        <v>1282221.1964428651</v>
      </c>
      <c r="D2821" s="2">
        <v>75773</v>
      </c>
      <c r="E2821" s="2">
        <f t="shared" si="222"/>
        <v>7.5773000000000001</v>
      </c>
      <c r="F2821" s="2">
        <f t="shared" si="223"/>
        <v>4.1974440166493281</v>
      </c>
      <c r="G2821" s="2">
        <f t="shared" si="224"/>
        <v>17.618536272905246</v>
      </c>
    </row>
    <row r="2822" spans="1:7" x14ac:dyDescent="0.35">
      <c r="A2822" s="2">
        <v>206</v>
      </c>
      <c r="B2822" s="2">
        <f t="shared" si="220"/>
        <v>-1132.3520638224072</v>
      </c>
      <c r="C2822" s="2">
        <f t="shared" si="221"/>
        <v>1282221.1964428651</v>
      </c>
      <c r="D2822" s="2">
        <v>72971</v>
      </c>
      <c r="E2822" s="2">
        <f t="shared" si="222"/>
        <v>7.2971000000000004</v>
      </c>
      <c r="F2822" s="2">
        <f t="shared" si="223"/>
        <v>3.9172440166493279</v>
      </c>
      <c r="G2822" s="2">
        <f t="shared" si="224"/>
        <v>15.34480068597496</v>
      </c>
    </row>
    <row r="2823" spans="1:7" x14ac:dyDescent="0.35">
      <c r="A2823" s="2">
        <v>206</v>
      </c>
      <c r="B2823" s="2">
        <f t="shared" si="220"/>
        <v>-1132.3520638224072</v>
      </c>
      <c r="C2823" s="2">
        <f t="shared" si="221"/>
        <v>1282221.1964428651</v>
      </c>
      <c r="D2823" s="2">
        <v>60389</v>
      </c>
      <c r="E2823" s="2">
        <f t="shared" si="222"/>
        <v>6.0388999999999999</v>
      </c>
      <c r="F2823" s="2">
        <f t="shared" si="223"/>
        <v>2.6590440166493274</v>
      </c>
      <c r="G2823" s="2">
        <f t="shared" si="224"/>
        <v>7.0705150824785887</v>
      </c>
    </row>
    <row r="2824" spans="1:7" x14ac:dyDescent="0.35">
      <c r="A2824" s="2">
        <v>206</v>
      </c>
      <c r="B2824" s="2">
        <f t="shared" si="220"/>
        <v>-1132.3520638224072</v>
      </c>
      <c r="C2824" s="2">
        <f t="shared" si="221"/>
        <v>1282221.1964428651</v>
      </c>
      <c r="D2824" s="2">
        <v>29322</v>
      </c>
      <c r="E2824" s="2">
        <f t="shared" si="222"/>
        <v>2.9321999999999999</v>
      </c>
      <c r="F2824" s="2">
        <f t="shared" si="223"/>
        <v>-0.44765598335067258</v>
      </c>
      <c r="G2824" s="2">
        <f t="shared" si="224"/>
        <v>0.20039587942965764</v>
      </c>
    </row>
    <row r="2825" spans="1:7" x14ac:dyDescent="0.35">
      <c r="A2825" s="2">
        <v>1020</v>
      </c>
      <c r="B2825" s="2">
        <f t="shared" si="220"/>
        <v>-318.35206382240722</v>
      </c>
      <c r="C2825" s="2">
        <f t="shared" si="221"/>
        <v>101348.03653998603</v>
      </c>
      <c r="D2825" s="2">
        <v>10497</v>
      </c>
      <c r="E2825" s="2">
        <f t="shared" si="222"/>
        <v>1.0497000000000001</v>
      </c>
      <c r="F2825" s="2">
        <f t="shared" si="223"/>
        <v>-2.3301559833506724</v>
      </c>
      <c r="G2825" s="2">
        <f t="shared" si="224"/>
        <v>5.4296269067449394</v>
      </c>
    </row>
    <row r="2826" spans="1:7" x14ac:dyDescent="0.35">
      <c r="A2826" s="2">
        <v>1020</v>
      </c>
      <c r="B2826" s="2">
        <f t="shared" si="220"/>
        <v>-318.35206382240722</v>
      </c>
      <c r="C2826" s="2">
        <f t="shared" si="221"/>
        <v>101348.03653998603</v>
      </c>
      <c r="D2826" s="2">
        <v>10772</v>
      </c>
      <c r="E2826" s="2">
        <f t="shared" si="222"/>
        <v>1.0771999999999999</v>
      </c>
      <c r="F2826" s="2">
        <f t="shared" si="223"/>
        <v>-2.3026559833506726</v>
      </c>
      <c r="G2826" s="2">
        <f t="shared" si="224"/>
        <v>5.3022245776606525</v>
      </c>
    </row>
    <row r="2827" spans="1:7" x14ac:dyDescent="0.35">
      <c r="A2827" s="2">
        <v>1020</v>
      </c>
      <c r="B2827" s="2">
        <f t="shared" si="220"/>
        <v>-318.35206382240722</v>
      </c>
      <c r="C2827" s="2">
        <f t="shared" si="221"/>
        <v>101348.03653998603</v>
      </c>
      <c r="D2827" s="2">
        <v>9486</v>
      </c>
      <c r="E2827" s="2">
        <f t="shared" si="222"/>
        <v>0.9486</v>
      </c>
      <c r="F2827" s="2">
        <f t="shared" si="223"/>
        <v>-2.4312559833506726</v>
      </c>
      <c r="G2827" s="2">
        <f t="shared" si="224"/>
        <v>5.9110056565784461</v>
      </c>
    </row>
    <row r="2828" spans="1:7" x14ac:dyDescent="0.35">
      <c r="A2828" s="2">
        <v>1020</v>
      </c>
      <c r="B2828" s="2">
        <f t="shared" si="220"/>
        <v>-318.35206382240722</v>
      </c>
      <c r="C2828" s="2">
        <f t="shared" si="221"/>
        <v>101348.03653998603</v>
      </c>
      <c r="D2828" s="2">
        <v>9159</v>
      </c>
      <c r="E2828" s="2">
        <f t="shared" si="222"/>
        <v>0.91590000000000005</v>
      </c>
      <c r="F2828" s="2">
        <f t="shared" si="223"/>
        <v>-2.4639559833506723</v>
      </c>
      <c r="G2828" s="2">
        <f t="shared" si="224"/>
        <v>6.0710790878895784</v>
      </c>
    </row>
    <row r="2829" spans="1:7" x14ac:dyDescent="0.35">
      <c r="A2829" s="2">
        <v>1020</v>
      </c>
      <c r="B2829" s="2">
        <f t="shared" si="220"/>
        <v>-318.35206382240722</v>
      </c>
      <c r="C2829" s="2">
        <f t="shared" si="221"/>
        <v>101348.03653998603</v>
      </c>
      <c r="D2829" s="2">
        <v>9664</v>
      </c>
      <c r="E2829" s="2">
        <f t="shared" si="222"/>
        <v>0.96640000000000004</v>
      </c>
      <c r="F2829" s="2">
        <f t="shared" si="223"/>
        <v>-2.4134559833506724</v>
      </c>
      <c r="G2829" s="2">
        <f t="shared" si="224"/>
        <v>5.8247697835711607</v>
      </c>
    </row>
    <row r="2830" spans="1:7" x14ac:dyDescent="0.35">
      <c r="A2830" s="2">
        <v>1020</v>
      </c>
      <c r="B2830" s="2">
        <f t="shared" si="220"/>
        <v>-318.35206382240722</v>
      </c>
      <c r="C2830" s="2">
        <f t="shared" si="221"/>
        <v>101348.03653998603</v>
      </c>
      <c r="D2830" s="2">
        <v>10857</v>
      </c>
      <c r="E2830" s="2">
        <f t="shared" si="222"/>
        <v>1.0857000000000001</v>
      </c>
      <c r="F2830" s="2">
        <f t="shared" si="223"/>
        <v>-2.2941559833506724</v>
      </c>
      <c r="G2830" s="2">
        <f t="shared" si="224"/>
        <v>5.2631516759436909</v>
      </c>
    </row>
    <row r="2831" spans="1:7" x14ac:dyDescent="0.35">
      <c r="A2831" s="2">
        <v>1020</v>
      </c>
      <c r="B2831" s="2">
        <f t="shared" si="220"/>
        <v>-318.35206382240722</v>
      </c>
      <c r="C2831" s="2">
        <f t="shared" si="221"/>
        <v>101348.03653998603</v>
      </c>
      <c r="D2831" s="2">
        <v>5764</v>
      </c>
      <c r="E2831" s="2">
        <f t="shared" si="222"/>
        <v>0.57640000000000002</v>
      </c>
      <c r="F2831" s="2">
        <f t="shared" si="223"/>
        <v>-2.8034559833506725</v>
      </c>
      <c r="G2831" s="2">
        <f t="shared" si="224"/>
        <v>7.8593654505846864</v>
      </c>
    </row>
    <row r="2832" spans="1:7" x14ac:dyDescent="0.35">
      <c r="A2832" s="2">
        <v>1020</v>
      </c>
      <c r="B2832" s="2">
        <f t="shared" si="220"/>
        <v>-318.35206382240722</v>
      </c>
      <c r="C2832" s="2">
        <f t="shared" si="221"/>
        <v>101348.03653998603</v>
      </c>
      <c r="D2832" s="2">
        <v>10138</v>
      </c>
      <c r="E2832" s="2">
        <f t="shared" si="222"/>
        <v>1.0138</v>
      </c>
      <c r="F2832" s="2">
        <f t="shared" si="223"/>
        <v>-2.3660559833506722</v>
      </c>
      <c r="G2832" s="2">
        <f t="shared" si="224"/>
        <v>5.5982209163495167</v>
      </c>
    </row>
    <row r="2833" spans="1:7" x14ac:dyDescent="0.35">
      <c r="A2833" s="2">
        <v>1020</v>
      </c>
      <c r="B2833" s="2">
        <f t="shared" si="220"/>
        <v>-318.35206382240722</v>
      </c>
      <c r="C2833" s="2">
        <f t="shared" si="221"/>
        <v>101348.03653998603</v>
      </c>
      <c r="D2833" s="2">
        <v>8859</v>
      </c>
      <c r="E2833" s="2">
        <f t="shared" si="222"/>
        <v>0.88590000000000002</v>
      </c>
      <c r="F2833" s="2">
        <f t="shared" si="223"/>
        <v>-2.4939559833506726</v>
      </c>
      <c r="G2833" s="2">
        <f t="shared" si="224"/>
        <v>6.2198164468906203</v>
      </c>
    </row>
    <row r="2834" spans="1:7" x14ac:dyDescent="0.35">
      <c r="A2834" s="2">
        <v>1020</v>
      </c>
      <c r="B2834" s="2">
        <f t="shared" si="220"/>
        <v>-318.35206382240722</v>
      </c>
      <c r="C2834" s="2">
        <f t="shared" si="221"/>
        <v>101348.03653998603</v>
      </c>
      <c r="D2834" s="2">
        <v>12426</v>
      </c>
      <c r="E2834" s="2">
        <f t="shared" si="222"/>
        <v>1.2425999999999999</v>
      </c>
      <c r="F2834" s="2">
        <f t="shared" si="223"/>
        <v>-2.1372559833506726</v>
      </c>
      <c r="G2834" s="2">
        <f t="shared" si="224"/>
        <v>4.5678631383682502</v>
      </c>
    </row>
    <row r="2835" spans="1:7" x14ac:dyDescent="0.35">
      <c r="A2835" s="2">
        <v>1020</v>
      </c>
      <c r="B2835" s="2">
        <f t="shared" si="220"/>
        <v>-318.35206382240722</v>
      </c>
      <c r="C2835" s="2">
        <f t="shared" si="221"/>
        <v>101348.03653998603</v>
      </c>
      <c r="D2835" s="2">
        <v>13447</v>
      </c>
      <c r="E2835" s="2">
        <f t="shared" si="222"/>
        <v>1.3447</v>
      </c>
      <c r="F2835" s="2">
        <f t="shared" si="223"/>
        <v>-2.0351559833506725</v>
      </c>
      <c r="G2835" s="2">
        <f t="shared" si="224"/>
        <v>4.1418598765680423</v>
      </c>
    </row>
    <row r="2836" spans="1:7" x14ac:dyDescent="0.35">
      <c r="A2836" s="2">
        <v>1020</v>
      </c>
      <c r="B2836" s="2">
        <f t="shared" si="220"/>
        <v>-318.35206382240722</v>
      </c>
      <c r="C2836" s="2">
        <f t="shared" si="221"/>
        <v>101348.03653998603</v>
      </c>
      <c r="D2836" s="2">
        <v>10049</v>
      </c>
      <c r="E2836" s="2">
        <f t="shared" si="222"/>
        <v>1.0048999999999999</v>
      </c>
      <c r="F2836" s="2">
        <f t="shared" si="223"/>
        <v>-2.3749559833506728</v>
      </c>
      <c r="G2836" s="2">
        <f t="shared" si="224"/>
        <v>5.640415922853161</v>
      </c>
    </row>
    <row r="2837" spans="1:7" x14ac:dyDescent="0.35">
      <c r="A2837" s="2">
        <v>1020</v>
      </c>
      <c r="B2837" s="2">
        <f t="shared" si="220"/>
        <v>-318.35206382240722</v>
      </c>
      <c r="C2837" s="2">
        <f t="shared" si="221"/>
        <v>101348.03653998603</v>
      </c>
      <c r="D2837" s="2">
        <v>7059</v>
      </c>
      <c r="E2837" s="2">
        <f t="shared" si="222"/>
        <v>0.70589999999999997</v>
      </c>
      <c r="F2837" s="2">
        <f t="shared" si="223"/>
        <v>-2.6739559833506723</v>
      </c>
      <c r="G2837" s="2">
        <f t="shared" si="224"/>
        <v>7.1500406008968609</v>
      </c>
    </row>
    <row r="2838" spans="1:7" x14ac:dyDescent="0.35">
      <c r="A2838" s="2">
        <v>1020</v>
      </c>
      <c r="B2838" s="2">
        <f t="shared" si="220"/>
        <v>-318.35206382240722</v>
      </c>
      <c r="C2838" s="2">
        <f t="shared" si="221"/>
        <v>101348.03653998603</v>
      </c>
      <c r="D2838" s="2">
        <v>9119</v>
      </c>
      <c r="E2838" s="2">
        <f t="shared" si="222"/>
        <v>0.91190000000000004</v>
      </c>
      <c r="F2838" s="2">
        <f t="shared" si="223"/>
        <v>-2.4679559833506723</v>
      </c>
      <c r="G2838" s="2">
        <f t="shared" si="224"/>
        <v>6.0908067357563844</v>
      </c>
    </row>
    <row r="2839" spans="1:7" x14ac:dyDescent="0.35">
      <c r="A2839" s="2">
        <v>1020</v>
      </c>
      <c r="B2839" s="2">
        <f t="shared" si="220"/>
        <v>-318.35206382240722</v>
      </c>
      <c r="C2839" s="2">
        <f t="shared" si="221"/>
        <v>101348.03653998603</v>
      </c>
      <c r="D2839" s="2">
        <v>11333</v>
      </c>
      <c r="E2839" s="2">
        <f t="shared" si="222"/>
        <v>1.1333</v>
      </c>
      <c r="F2839" s="2">
        <f t="shared" si="223"/>
        <v>-2.2465559833506727</v>
      </c>
      <c r="G2839" s="2">
        <f t="shared" si="224"/>
        <v>5.0470137863287086</v>
      </c>
    </row>
    <row r="2840" spans="1:7" x14ac:dyDescent="0.35">
      <c r="A2840" s="2">
        <v>1020</v>
      </c>
      <c r="B2840" s="2">
        <f t="shared" si="220"/>
        <v>-318.35206382240722</v>
      </c>
      <c r="C2840" s="2">
        <f t="shared" si="221"/>
        <v>101348.03653998603</v>
      </c>
      <c r="D2840" s="2">
        <v>12562</v>
      </c>
      <c r="E2840" s="2">
        <f t="shared" si="222"/>
        <v>1.2562</v>
      </c>
      <c r="F2840" s="2">
        <f t="shared" si="223"/>
        <v>-2.1236559833506723</v>
      </c>
      <c r="G2840" s="2">
        <f t="shared" si="224"/>
        <v>4.5099147356211109</v>
      </c>
    </row>
    <row r="2841" spans="1:7" x14ac:dyDescent="0.35">
      <c r="A2841" s="2">
        <v>1020</v>
      </c>
      <c r="B2841" s="2">
        <f t="shared" si="220"/>
        <v>-318.35206382240722</v>
      </c>
      <c r="C2841" s="2">
        <f t="shared" si="221"/>
        <v>101348.03653998603</v>
      </c>
      <c r="D2841" s="2">
        <v>12857</v>
      </c>
      <c r="E2841" s="2">
        <f t="shared" si="222"/>
        <v>1.2857000000000001</v>
      </c>
      <c r="F2841" s="2">
        <f t="shared" si="223"/>
        <v>-2.0941559833506727</v>
      </c>
      <c r="G2841" s="2">
        <f t="shared" si="224"/>
        <v>4.3854892826034231</v>
      </c>
    </row>
    <row r="2842" spans="1:7" x14ac:dyDescent="0.35">
      <c r="A2842" s="2">
        <v>1020</v>
      </c>
      <c r="B2842" s="2">
        <f t="shared" si="220"/>
        <v>-318.35206382240722</v>
      </c>
      <c r="C2842" s="2">
        <f t="shared" si="221"/>
        <v>101348.03653998603</v>
      </c>
      <c r="D2842" s="2">
        <v>13751</v>
      </c>
      <c r="E2842" s="2">
        <f t="shared" si="222"/>
        <v>1.3751</v>
      </c>
      <c r="F2842" s="2">
        <f t="shared" si="223"/>
        <v>-2.0047559833506723</v>
      </c>
      <c r="G2842" s="2">
        <f t="shared" si="224"/>
        <v>4.0190465527803214</v>
      </c>
    </row>
    <row r="2843" spans="1:7" x14ac:dyDescent="0.35">
      <c r="A2843" s="2">
        <v>1020</v>
      </c>
      <c r="B2843" s="2">
        <f t="shared" si="220"/>
        <v>-318.35206382240722</v>
      </c>
      <c r="C2843" s="2">
        <f t="shared" si="221"/>
        <v>101348.03653998603</v>
      </c>
      <c r="D2843" s="2">
        <v>12864</v>
      </c>
      <c r="E2843" s="2">
        <f t="shared" si="222"/>
        <v>1.2864</v>
      </c>
      <c r="F2843" s="2">
        <f t="shared" si="223"/>
        <v>-2.0934559833506725</v>
      </c>
      <c r="G2843" s="2">
        <f t="shared" si="224"/>
        <v>4.3825579542267317</v>
      </c>
    </row>
    <row r="2844" spans="1:7" x14ac:dyDescent="0.35">
      <c r="A2844" s="2">
        <v>1020</v>
      </c>
      <c r="B2844" s="2">
        <f t="shared" si="220"/>
        <v>-318.35206382240722</v>
      </c>
      <c r="C2844" s="2">
        <f t="shared" si="221"/>
        <v>101348.03653998603</v>
      </c>
      <c r="D2844" s="2">
        <v>9726</v>
      </c>
      <c r="E2844" s="2">
        <f t="shared" si="222"/>
        <v>0.97260000000000002</v>
      </c>
      <c r="F2844" s="2">
        <f t="shared" si="223"/>
        <v>-2.4072559833506726</v>
      </c>
      <c r="G2844" s="2">
        <f t="shared" si="224"/>
        <v>5.794881369377614</v>
      </c>
    </row>
    <row r="2845" spans="1:7" x14ac:dyDescent="0.35">
      <c r="A2845" s="2">
        <v>1020</v>
      </c>
      <c r="B2845" s="2">
        <f t="shared" si="220"/>
        <v>-318.35206382240722</v>
      </c>
      <c r="C2845" s="2">
        <f t="shared" si="221"/>
        <v>101348.03653998603</v>
      </c>
      <c r="D2845" s="2">
        <v>15126</v>
      </c>
      <c r="E2845" s="2">
        <f t="shared" si="222"/>
        <v>1.5125999999999999</v>
      </c>
      <c r="F2845" s="2">
        <f t="shared" si="223"/>
        <v>-1.8672559833506726</v>
      </c>
      <c r="G2845" s="2">
        <f t="shared" si="224"/>
        <v>3.4866449073588872</v>
      </c>
    </row>
    <row r="2846" spans="1:7" x14ac:dyDescent="0.35">
      <c r="A2846" s="2">
        <v>1020</v>
      </c>
      <c r="B2846" s="2">
        <f t="shared" si="220"/>
        <v>-318.35206382240722</v>
      </c>
      <c r="C2846" s="2">
        <f t="shared" si="221"/>
        <v>101348.03653998603</v>
      </c>
      <c r="D2846" s="2">
        <v>13833</v>
      </c>
      <c r="E2846" s="2">
        <f t="shared" si="222"/>
        <v>1.3833</v>
      </c>
      <c r="F2846" s="2">
        <f t="shared" si="223"/>
        <v>-1.9965559833506725</v>
      </c>
      <c r="G2846" s="2">
        <f t="shared" si="224"/>
        <v>3.9862357946533709</v>
      </c>
    </row>
    <row r="2847" spans="1:7" x14ac:dyDescent="0.35">
      <c r="A2847" s="2">
        <v>1020</v>
      </c>
      <c r="B2847" s="2">
        <f t="shared" si="220"/>
        <v>-318.35206382240722</v>
      </c>
      <c r="C2847" s="2">
        <f t="shared" si="221"/>
        <v>101348.03653998603</v>
      </c>
      <c r="D2847" s="2">
        <v>16390</v>
      </c>
      <c r="E2847" s="2">
        <f t="shared" si="222"/>
        <v>1.639</v>
      </c>
      <c r="F2847" s="2">
        <f t="shared" si="223"/>
        <v>-1.7408559833506725</v>
      </c>
      <c r="G2847" s="2">
        <f t="shared" si="224"/>
        <v>3.0305795547678369</v>
      </c>
    </row>
    <row r="2848" spans="1:7" x14ac:dyDescent="0.35">
      <c r="A2848" s="2">
        <v>1020</v>
      </c>
      <c r="B2848" s="2">
        <f t="shared" si="220"/>
        <v>-318.35206382240722</v>
      </c>
      <c r="C2848" s="2">
        <f t="shared" si="221"/>
        <v>101348.03653998603</v>
      </c>
      <c r="D2848" s="2">
        <v>16778</v>
      </c>
      <c r="E2848" s="2">
        <f t="shared" si="222"/>
        <v>1.6778</v>
      </c>
      <c r="F2848" s="2">
        <f t="shared" si="223"/>
        <v>-1.7020559833506725</v>
      </c>
      <c r="G2848" s="2">
        <f t="shared" si="224"/>
        <v>2.896994570459825</v>
      </c>
    </row>
    <row r="2849" spans="1:7" x14ac:dyDescent="0.35">
      <c r="A2849" s="2">
        <v>1020</v>
      </c>
      <c r="B2849" s="2">
        <f t="shared" si="220"/>
        <v>-318.35206382240722</v>
      </c>
      <c r="C2849" s="2">
        <f t="shared" si="221"/>
        <v>101348.03653998603</v>
      </c>
      <c r="D2849" s="2">
        <v>17974</v>
      </c>
      <c r="E2849" s="2">
        <f t="shared" si="222"/>
        <v>1.7974000000000001</v>
      </c>
      <c r="F2849" s="2">
        <f t="shared" si="223"/>
        <v>-1.5824559833506724</v>
      </c>
      <c r="G2849" s="2">
        <f t="shared" si="224"/>
        <v>2.5041669392423436</v>
      </c>
    </row>
    <row r="2850" spans="1:7" x14ac:dyDescent="0.35">
      <c r="A2850" s="2">
        <v>1020</v>
      </c>
      <c r="B2850" s="2">
        <f t="shared" si="220"/>
        <v>-318.35206382240722</v>
      </c>
      <c r="C2850" s="2">
        <f t="shared" si="221"/>
        <v>101348.03653998603</v>
      </c>
      <c r="D2850" s="2">
        <v>17255</v>
      </c>
      <c r="E2850" s="2">
        <f t="shared" si="222"/>
        <v>1.7255</v>
      </c>
      <c r="F2850" s="2">
        <f t="shared" si="223"/>
        <v>-1.6543559833506725</v>
      </c>
      <c r="G2850" s="2">
        <f t="shared" si="224"/>
        <v>2.7368937196481706</v>
      </c>
    </row>
    <row r="2851" spans="1:7" x14ac:dyDescent="0.35">
      <c r="A2851" s="2">
        <v>1020</v>
      </c>
      <c r="B2851" s="2">
        <f t="shared" si="220"/>
        <v>-318.35206382240722</v>
      </c>
      <c r="C2851" s="2">
        <f t="shared" si="221"/>
        <v>101348.03653998603</v>
      </c>
      <c r="D2851" s="2">
        <v>11617</v>
      </c>
      <c r="E2851" s="2">
        <f t="shared" si="222"/>
        <v>1.1617</v>
      </c>
      <c r="F2851" s="2">
        <f t="shared" si="223"/>
        <v>-2.2181559833506723</v>
      </c>
      <c r="G2851" s="2">
        <f t="shared" si="224"/>
        <v>4.9202159664743883</v>
      </c>
    </row>
    <row r="2852" spans="1:7" x14ac:dyDescent="0.35">
      <c r="A2852" s="2">
        <v>1020</v>
      </c>
      <c r="B2852" s="2">
        <f t="shared" si="220"/>
        <v>-318.35206382240722</v>
      </c>
      <c r="C2852" s="2">
        <f t="shared" si="221"/>
        <v>101348.03653998603</v>
      </c>
      <c r="D2852" s="2">
        <v>14949</v>
      </c>
      <c r="E2852" s="2">
        <f t="shared" si="222"/>
        <v>1.4948999999999999</v>
      </c>
      <c r="F2852" s="2">
        <f t="shared" si="223"/>
        <v>-1.8849559833506726</v>
      </c>
      <c r="G2852" s="2">
        <f t="shared" si="224"/>
        <v>3.553059059169501</v>
      </c>
    </row>
    <row r="2853" spans="1:7" x14ac:dyDescent="0.35">
      <c r="A2853" s="2">
        <v>1020</v>
      </c>
      <c r="B2853" s="2">
        <f t="shared" si="220"/>
        <v>-318.35206382240722</v>
      </c>
      <c r="C2853" s="2">
        <f t="shared" si="221"/>
        <v>101348.03653998603</v>
      </c>
      <c r="D2853" s="2">
        <v>14248</v>
      </c>
      <c r="E2853" s="2">
        <f t="shared" si="222"/>
        <v>1.4248000000000001</v>
      </c>
      <c r="F2853" s="2">
        <f t="shared" si="223"/>
        <v>-1.9550559833506724</v>
      </c>
      <c r="G2853" s="2">
        <f t="shared" si="224"/>
        <v>3.8222438980352647</v>
      </c>
    </row>
    <row r="2854" spans="1:7" x14ac:dyDescent="0.35">
      <c r="A2854" s="2">
        <v>1020</v>
      </c>
      <c r="B2854" s="2">
        <f t="shared" si="220"/>
        <v>-318.35206382240722</v>
      </c>
      <c r="C2854" s="2">
        <f t="shared" si="221"/>
        <v>101348.03653998603</v>
      </c>
      <c r="D2854" s="2">
        <v>12077</v>
      </c>
      <c r="E2854" s="2">
        <f t="shared" si="222"/>
        <v>1.2077</v>
      </c>
      <c r="F2854" s="2">
        <f t="shared" si="223"/>
        <v>-2.1721559833506725</v>
      </c>
      <c r="G2854" s="2">
        <f t="shared" si="224"/>
        <v>4.718261616006127</v>
      </c>
    </row>
    <row r="2855" spans="1:7" x14ac:dyDescent="0.35">
      <c r="A2855" s="2">
        <v>657</v>
      </c>
      <c r="B2855" s="2">
        <f t="shared" si="220"/>
        <v>-681.35206382240722</v>
      </c>
      <c r="C2855" s="2">
        <f t="shared" si="221"/>
        <v>464240.63487505366</v>
      </c>
      <c r="D2855" s="2">
        <v>14300</v>
      </c>
      <c r="E2855" s="2">
        <f t="shared" si="222"/>
        <v>1.43</v>
      </c>
      <c r="F2855" s="2">
        <f t="shared" si="223"/>
        <v>-1.9498559833506726</v>
      </c>
      <c r="G2855" s="2">
        <f t="shared" si="224"/>
        <v>3.8019383558084181</v>
      </c>
    </row>
    <row r="2856" spans="1:7" x14ac:dyDescent="0.35">
      <c r="A2856" s="2">
        <v>657</v>
      </c>
      <c r="B2856" s="2">
        <f t="shared" si="220"/>
        <v>-681.35206382240722</v>
      </c>
      <c r="C2856" s="2">
        <f t="shared" si="221"/>
        <v>464240.63487505366</v>
      </c>
      <c r="D2856" s="2">
        <v>29100</v>
      </c>
      <c r="E2856" s="2">
        <f t="shared" si="222"/>
        <v>2.91</v>
      </c>
      <c r="F2856" s="2">
        <f t="shared" si="223"/>
        <v>-0.46985598335067236</v>
      </c>
      <c r="G2856" s="2">
        <f t="shared" si="224"/>
        <v>0.22076464509042729</v>
      </c>
    </row>
    <row r="2857" spans="1:7" x14ac:dyDescent="0.35">
      <c r="A2857" s="2">
        <v>657</v>
      </c>
      <c r="B2857" s="2">
        <f t="shared" si="220"/>
        <v>-681.35206382240722</v>
      </c>
      <c r="C2857" s="2">
        <f t="shared" si="221"/>
        <v>464240.63487505366</v>
      </c>
      <c r="D2857" s="2">
        <v>28744</v>
      </c>
      <c r="E2857" s="2">
        <f t="shared" si="222"/>
        <v>2.8744000000000001</v>
      </c>
      <c r="F2857" s="2">
        <f t="shared" si="223"/>
        <v>-0.50545598335067243</v>
      </c>
      <c r="G2857" s="2">
        <f t="shared" si="224"/>
        <v>0.25548575110499527</v>
      </c>
    </row>
    <row r="2858" spans="1:7" x14ac:dyDescent="0.35">
      <c r="A2858" s="2">
        <v>657</v>
      </c>
      <c r="B2858" s="2">
        <f t="shared" si="220"/>
        <v>-681.35206382240722</v>
      </c>
      <c r="C2858" s="2">
        <f t="shared" si="221"/>
        <v>464240.63487505366</v>
      </c>
      <c r="D2858" s="2">
        <v>26847</v>
      </c>
      <c r="E2858" s="2">
        <f t="shared" si="222"/>
        <v>2.6846999999999999</v>
      </c>
      <c r="F2858" s="2">
        <f t="shared" si="223"/>
        <v>-0.69515598335067263</v>
      </c>
      <c r="G2858" s="2">
        <f t="shared" si="224"/>
        <v>0.48324184118824065</v>
      </c>
    </row>
    <row r="2859" spans="1:7" x14ac:dyDescent="0.35">
      <c r="A2859" s="2">
        <v>657</v>
      </c>
      <c r="B2859" s="2">
        <f t="shared" si="220"/>
        <v>-681.35206382240722</v>
      </c>
      <c r="C2859" s="2">
        <f t="shared" si="221"/>
        <v>464240.63487505366</v>
      </c>
      <c r="D2859" s="2">
        <v>23400</v>
      </c>
      <c r="E2859" s="2">
        <f t="shared" si="222"/>
        <v>2.34</v>
      </c>
      <c r="F2859" s="2">
        <f t="shared" si="223"/>
        <v>-1.0398559833506726</v>
      </c>
      <c r="G2859" s="2">
        <f t="shared" si="224"/>
        <v>1.0813004661101944</v>
      </c>
    </row>
    <row r="2860" spans="1:7" x14ac:dyDescent="0.35">
      <c r="A2860" s="2">
        <v>657</v>
      </c>
      <c r="B2860" s="2">
        <f t="shared" si="220"/>
        <v>-681.35206382240722</v>
      </c>
      <c r="C2860" s="2">
        <f t="shared" si="221"/>
        <v>464240.63487505366</v>
      </c>
      <c r="D2860" s="2">
        <v>22500</v>
      </c>
      <c r="E2860" s="2">
        <f t="shared" si="222"/>
        <v>2.25</v>
      </c>
      <c r="F2860" s="2">
        <f t="shared" si="223"/>
        <v>-1.1298559833506725</v>
      </c>
      <c r="G2860" s="2">
        <f t="shared" si="224"/>
        <v>1.2765745431133151</v>
      </c>
    </row>
    <row r="2861" spans="1:7" x14ac:dyDescent="0.35">
      <c r="A2861" s="2">
        <v>657</v>
      </c>
      <c r="B2861" s="2">
        <f t="shared" si="220"/>
        <v>-681.35206382240722</v>
      </c>
      <c r="C2861" s="2">
        <f t="shared" si="221"/>
        <v>464240.63487505366</v>
      </c>
      <c r="D2861" s="2">
        <v>22222</v>
      </c>
      <c r="E2861" s="2">
        <f t="shared" si="222"/>
        <v>2.2222</v>
      </c>
      <c r="F2861" s="2">
        <f t="shared" si="223"/>
        <v>-1.1576559833506725</v>
      </c>
      <c r="G2861" s="2">
        <f t="shared" si="224"/>
        <v>1.3401673757876127</v>
      </c>
    </row>
    <row r="2862" spans="1:7" x14ac:dyDescent="0.35">
      <c r="A2862" s="2">
        <v>657</v>
      </c>
      <c r="B2862" s="2">
        <f t="shared" si="220"/>
        <v>-681.35206382240722</v>
      </c>
      <c r="C2862" s="2">
        <f t="shared" si="221"/>
        <v>464240.63487505366</v>
      </c>
      <c r="D2862" s="2">
        <v>25000</v>
      </c>
      <c r="E2862" s="2">
        <f t="shared" si="222"/>
        <v>2.5</v>
      </c>
      <c r="F2862" s="2">
        <f t="shared" si="223"/>
        <v>-0.8798559833506725</v>
      </c>
      <c r="G2862" s="2">
        <f t="shared" si="224"/>
        <v>0.77414655143797884</v>
      </c>
    </row>
    <row r="2863" spans="1:7" x14ac:dyDescent="0.35">
      <c r="A2863" s="2">
        <v>657</v>
      </c>
      <c r="B2863" s="2">
        <f t="shared" si="220"/>
        <v>-681.35206382240722</v>
      </c>
      <c r="C2863" s="2">
        <f t="shared" si="221"/>
        <v>464240.63487505366</v>
      </c>
      <c r="D2863" s="2">
        <v>23871</v>
      </c>
      <c r="E2863" s="2">
        <f t="shared" si="222"/>
        <v>2.3871000000000002</v>
      </c>
      <c r="F2863" s="2">
        <f t="shared" si="223"/>
        <v>-0.99275598335067228</v>
      </c>
      <c r="G2863" s="2">
        <f t="shared" si="224"/>
        <v>0.98556444247856034</v>
      </c>
    </row>
    <row r="2864" spans="1:7" x14ac:dyDescent="0.35">
      <c r="A2864" s="2">
        <v>657</v>
      </c>
      <c r="B2864" s="2">
        <f t="shared" si="220"/>
        <v>-681.35206382240722</v>
      </c>
      <c r="C2864" s="2">
        <f t="shared" si="221"/>
        <v>464240.63487505366</v>
      </c>
      <c r="D2864" s="2">
        <v>23246</v>
      </c>
      <c r="E2864" s="2">
        <f t="shared" si="222"/>
        <v>2.3246000000000002</v>
      </c>
      <c r="F2864" s="2">
        <f t="shared" si="223"/>
        <v>-1.0552559833506723</v>
      </c>
      <c r="G2864" s="2">
        <f t="shared" si="224"/>
        <v>1.1135651903973944</v>
      </c>
    </row>
    <row r="2865" spans="1:7" x14ac:dyDescent="0.35">
      <c r="A2865" s="2">
        <v>657</v>
      </c>
      <c r="B2865" s="2">
        <f t="shared" si="220"/>
        <v>-681.35206382240722</v>
      </c>
      <c r="C2865" s="2">
        <f t="shared" si="221"/>
        <v>464240.63487505366</v>
      </c>
      <c r="D2865" s="2">
        <v>22727</v>
      </c>
      <c r="E2865" s="2">
        <f t="shared" si="222"/>
        <v>2.2726999999999999</v>
      </c>
      <c r="F2865" s="2">
        <f t="shared" si="223"/>
        <v>-1.1071559833506726</v>
      </c>
      <c r="G2865" s="2">
        <f t="shared" si="224"/>
        <v>1.2257943714691948</v>
      </c>
    </row>
    <row r="2866" spans="1:7" x14ac:dyDescent="0.35">
      <c r="A2866" s="2">
        <v>657</v>
      </c>
      <c r="B2866" s="2">
        <f t="shared" si="220"/>
        <v>-681.35206382240722</v>
      </c>
      <c r="C2866" s="2">
        <f t="shared" si="221"/>
        <v>464240.63487505366</v>
      </c>
      <c r="D2866" s="2">
        <v>22133</v>
      </c>
      <c r="E2866" s="2">
        <f t="shared" si="222"/>
        <v>2.2132999999999998</v>
      </c>
      <c r="F2866" s="2">
        <f t="shared" si="223"/>
        <v>-1.1665559833506727</v>
      </c>
      <c r="G2866" s="2">
        <f t="shared" si="224"/>
        <v>1.360852862291255</v>
      </c>
    </row>
    <row r="2867" spans="1:7" x14ac:dyDescent="0.35">
      <c r="A2867" s="2">
        <v>657</v>
      </c>
      <c r="B2867" s="2">
        <f t="shared" si="220"/>
        <v>-681.35206382240722</v>
      </c>
      <c r="C2867" s="2">
        <f t="shared" si="221"/>
        <v>464240.63487505366</v>
      </c>
      <c r="D2867" s="2">
        <v>20000</v>
      </c>
      <c r="E2867" s="2">
        <f t="shared" si="222"/>
        <v>2</v>
      </c>
      <c r="F2867" s="2">
        <f t="shared" si="223"/>
        <v>-1.3798559833506725</v>
      </c>
      <c r="G2867" s="2">
        <f t="shared" si="224"/>
        <v>1.9040025347886513</v>
      </c>
    </row>
    <row r="2868" spans="1:7" x14ac:dyDescent="0.35">
      <c r="A2868" s="2">
        <v>657</v>
      </c>
      <c r="B2868" s="2">
        <f t="shared" si="220"/>
        <v>-681.35206382240722</v>
      </c>
      <c r="C2868" s="2">
        <f t="shared" si="221"/>
        <v>464240.63487505366</v>
      </c>
      <c r="D2868" s="2">
        <v>21457</v>
      </c>
      <c r="E2868" s="2">
        <f t="shared" si="222"/>
        <v>2.1457000000000002</v>
      </c>
      <c r="F2868" s="2">
        <f t="shared" si="223"/>
        <v>-1.2341559833506723</v>
      </c>
      <c r="G2868" s="2">
        <f t="shared" si="224"/>
        <v>1.5231409912402649</v>
      </c>
    </row>
    <row r="2869" spans="1:7" x14ac:dyDescent="0.35">
      <c r="A2869" s="2">
        <v>657</v>
      </c>
      <c r="B2869" s="2">
        <f t="shared" si="220"/>
        <v>-681.35206382240722</v>
      </c>
      <c r="C2869" s="2">
        <f t="shared" si="221"/>
        <v>464240.63487505366</v>
      </c>
      <c r="D2869" s="2">
        <v>20000</v>
      </c>
      <c r="E2869" s="2">
        <f t="shared" si="222"/>
        <v>2</v>
      </c>
      <c r="F2869" s="2">
        <f t="shared" si="223"/>
        <v>-1.3798559833506725</v>
      </c>
      <c r="G2869" s="2">
        <f t="shared" si="224"/>
        <v>1.9040025347886513</v>
      </c>
    </row>
    <row r="2870" spans="1:7" x14ac:dyDescent="0.35">
      <c r="A2870" s="2">
        <v>657</v>
      </c>
      <c r="B2870" s="2">
        <f t="shared" si="220"/>
        <v>-681.35206382240722</v>
      </c>
      <c r="C2870" s="2">
        <f t="shared" si="221"/>
        <v>464240.63487505366</v>
      </c>
      <c r="D2870" s="2">
        <v>22070</v>
      </c>
      <c r="E2870" s="2">
        <f t="shared" si="222"/>
        <v>2.2069999999999999</v>
      </c>
      <c r="F2870" s="2">
        <f t="shared" si="223"/>
        <v>-1.1728559833506726</v>
      </c>
      <c r="G2870" s="2">
        <f t="shared" si="224"/>
        <v>1.3755911576814732</v>
      </c>
    </row>
    <row r="2871" spans="1:7" x14ac:dyDescent="0.35">
      <c r="A2871" s="2">
        <v>657</v>
      </c>
      <c r="B2871" s="2">
        <f t="shared" si="220"/>
        <v>-681.35206382240722</v>
      </c>
      <c r="C2871" s="2">
        <f t="shared" si="221"/>
        <v>464240.63487505366</v>
      </c>
      <c r="D2871" s="2">
        <v>22618</v>
      </c>
      <c r="E2871" s="2">
        <f t="shared" si="222"/>
        <v>2.2618</v>
      </c>
      <c r="F2871" s="2">
        <f t="shared" si="223"/>
        <v>-1.1180559833506725</v>
      </c>
      <c r="G2871" s="2">
        <f t="shared" si="224"/>
        <v>1.2500491819062391</v>
      </c>
    </row>
    <row r="2872" spans="1:7" x14ac:dyDescent="0.35">
      <c r="A2872" s="2">
        <v>657</v>
      </c>
      <c r="B2872" s="2">
        <f t="shared" si="220"/>
        <v>-681.35206382240722</v>
      </c>
      <c r="C2872" s="2">
        <f t="shared" si="221"/>
        <v>464240.63487505366</v>
      </c>
      <c r="D2872" s="2">
        <v>23149</v>
      </c>
      <c r="E2872" s="2">
        <f t="shared" si="222"/>
        <v>2.3149000000000002</v>
      </c>
      <c r="F2872" s="2">
        <f t="shared" si="223"/>
        <v>-1.0649559833506723</v>
      </c>
      <c r="G2872" s="2">
        <f t="shared" si="224"/>
        <v>1.1341312464743976</v>
      </c>
    </row>
    <row r="2873" spans="1:7" x14ac:dyDescent="0.35">
      <c r="A2873" s="2">
        <v>657</v>
      </c>
      <c r="B2873" s="2">
        <f t="shared" si="220"/>
        <v>-681.35206382240722</v>
      </c>
      <c r="C2873" s="2">
        <f t="shared" si="221"/>
        <v>464240.63487505366</v>
      </c>
      <c r="D2873" s="2">
        <v>23165</v>
      </c>
      <c r="E2873" s="2">
        <f t="shared" si="222"/>
        <v>2.3165</v>
      </c>
      <c r="F2873" s="2">
        <f t="shared" si="223"/>
        <v>-1.0633559833506725</v>
      </c>
      <c r="G2873" s="2">
        <f t="shared" si="224"/>
        <v>1.1307259473276756</v>
      </c>
    </row>
    <row r="2874" spans="1:7" x14ac:dyDescent="0.35">
      <c r="A2874" s="2">
        <v>657</v>
      </c>
      <c r="B2874" s="2">
        <f t="shared" si="220"/>
        <v>-681.35206382240722</v>
      </c>
      <c r="C2874" s="2">
        <f t="shared" si="221"/>
        <v>464240.63487505366</v>
      </c>
      <c r="D2874" s="2">
        <v>24000</v>
      </c>
      <c r="E2874" s="2">
        <f t="shared" si="222"/>
        <v>2.4</v>
      </c>
      <c r="F2874" s="2">
        <f t="shared" si="223"/>
        <v>-0.97985598335067259</v>
      </c>
      <c r="G2874" s="2">
        <f t="shared" si="224"/>
        <v>0.96011774810811357</v>
      </c>
    </row>
    <row r="2875" spans="1:7" x14ac:dyDescent="0.35">
      <c r="A2875" s="2">
        <v>657</v>
      </c>
      <c r="B2875" s="2">
        <f t="shared" si="220"/>
        <v>-681.35206382240722</v>
      </c>
      <c r="C2875" s="2">
        <f t="shared" si="221"/>
        <v>464240.63487505366</v>
      </c>
      <c r="D2875" s="2">
        <v>23058</v>
      </c>
      <c r="E2875" s="2">
        <f t="shared" si="222"/>
        <v>2.3058000000000001</v>
      </c>
      <c r="F2875" s="2">
        <f t="shared" si="223"/>
        <v>-1.0740559833506724</v>
      </c>
      <c r="G2875" s="2">
        <f t="shared" si="224"/>
        <v>1.1535962553713799</v>
      </c>
    </row>
    <row r="2876" spans="1:7" x14ac:dyDescent="0.35">
      <c r="A2876" s="2">
        <v>657</v>
      </c>
      <c r="B2876" s="2">
        <f t="shared" si="220"/>
        <v>-681.35206382240722</v>
      </c>
      <c r="C2876" s="2">
        <f t="shared" si="221"/>
        <v>464240.63487505366</v>
      </c>
      <c r="D2876" s="2">
        <v>22951</v>
      </c>
      <c r="E2876" s="2">
        <f t="shared" si="222"/>
        <v>2.2951000000000001</v>
      </c>
      <c r="F2876" s="2">
        <f t="shared" si="223"/>
        <v>-1.0847559833506724</v>
      </c>
      <c r="G2876" s="2">
        <f t="shared" si="224"/>
        <v>1.1766955434150841</v>
      </c>
    </row>
    <row r="2877" spans="1:7" x14ac:dyDescent="0.35">
      <c r="A2877" s="2">
        <v>657</v>
      </c>
      <c r="B2877" s="2">
        <f t="shared" si="220"/>
        <v>-681.35206382240722</v>
      </c>
      <c r="C2877" s="2">
        <f t="shared" si="221"/>
        <v>464240.63487505366</v>
      </c>
      <c r="D2877" s="2">
        <v>22857</v>
      </c>
      <c r="E2877" s="2">
        <f t="shared" si="222"/>
        <v>2.2856999999999998</v>
      </c>
      <c r="F2877" s="2">
        <f t="shared" si="223"/>
        <v>-1.0941559833506727</v>
      </c>
      <c r="G2877" s="2">
        <f t="shared" si="224"/>
        <v>1.1971773159020775</v>
      </c>
    </row>
    <row r="2878" spans="1:7" x14ac:dyDescent="0.35">
      <c r="A2878" s="2">
        <v>657</v>
      </c>
      <c r="B2878" s="2">
        <f t="shared" si="220"/>
        <v>-681.35206382240722</v>
      </c>
      <c r="C2878" s="2">
        <f t="shared" si="221"/>
        <v>464240.63487505366</v>
      </c>
      <c r="D2878" s="2">
        <v>22775</v>
      </c>
      <c r="E2878" s="2">
        <f t="shared" si="222"/>
        <v>2.2774999999999999</v>
      </c>
      <c r="F2878" s="2">
        <f t="shared" si="223"/>
        <v>-1.1023559833506726</v>
      </c>
      <c r="G2878" s="2">
        <f t="shared" si="224"/>
        <v>1.2151887140290285</v>
      </c>
    </row>
    <row r="2879" spans="1:7" x14ac:dyDescent="0.35">
      <c r="A2879" s="2">
        <v>657</v>
      </c>
      <c r="B2879" s="2">
        <f t="shared" si="220"/>
        <v>-681.35206382240722</v>
      </c>
      <c r="C2879" s="2">
        <f t="shared" si="221"/>
        <v>464240.63487505366</v>
      </c>
      <c r="D2879" s="2">
        <v>22704</v>
      </c>
      <c r="E2879" s="2">
        <f t="shared" si="222"/>
        <v>2.2704</v>
      </c>
      <c r="F2879" s="2">
        <f t="shared" si="223"/>
        <v>-1.1094559833506725</v>
      </c>
      <c r="G2879" s="2">
        <f t="shared" si="224"/>
        <v>1.2308925789926077</v>
      </c>
    </row>
    <row r="2880" spans="1:7" x14ac:dyDescent="0.35">
      <c r="A2880" s="2">
        <v>657</v>
      </c>
      <c r="B2880" s="2">
        <f t="shared" si="220"/>
        <v>-681.35206382240722</v>
      </c>
      <c r="C2880" s="2">
        <f t="shared" si="221"/>
        <v>464240.63487505366</v>
      </c>
      <c r="D2880" s="2">
        <v>22581</v>
      </c>
      <c r="E2880" s="2">
        <f t="shared" si="222"/>
        <v>2.2581000000000002</v>
      </c>
      <c r="F2880" s="2">
        <f t="shared" si="223"/>
        <v>-1.1217559833506723</v>
      </c>
      <c r="G2880" s="2">
        <f t="shared" si="224"/>
        <v>1.2583364861830337</v>
      </c>
    </row>
    <row r="2881" spans="1:7" x14ac:dyDescent="0.35">
      <c r="A2881" s="2">
        <v>657</v>
      </c>
      <c r="B2881" s="2">
        <f t="shared" si="220"/>
        <v>-681.35206382240722</v>
      </c>
      <c r="C2881" s="2">
        <f t="shared" si="221"/>
        <v>464240.63487505366</v>
      </c>
      <c r="D2881" s="2">
        <v>22581</v>
      </c>
      <c r="E2881" s="2">
        <f t="shared" si="222"/>
        <v>2.2581000000000002</v>
      </c>
      <c r="F2881" s="2">
        <f t="shared" si="223"/>
        <v>-1.1217559833506723</v>
      </c>
      <c r="G2881" s="2">
        <f t="shared" si="224"/>
        <v>1.2583364861830337</v>
      </c>
    </row>
    <row r="2882" spans="1:7" x14ac:dyDescent="0.35">
      <c r="A2882" s="2">
        <v>657</v>
      </c>
      <c r="B2882" s="2">
        <f t="shared" si="220"/>
        <v>-681.35206382240722</v>
      </c>
      <c r="C2882" s="2">
        <f t="shared" si="221"/>
        <v>464240.63487505366</v>
      </c>
      <c r="D2882" s="2">
        <v>22651</v>
      </c>
      <c r="E2882" s="2">
        <f t="shared" si="222"/>
        <v>2.2650999999999999</v>
      </c>
      <c r="F2882" s="2">
        <f t="shared" si="223"/>
        <v>-1.1147559833506726</v>
      </c>
      <c r="G2882" s="2">
        <f t="shared" si="224"/>
        <v>1.2426809024161252</v>
      </c>
    </row>
    <row r="2883" spans="1:7" x14ac:dyDescent="0.35">
      <c r="A2883" s="2">
        <v>657</v>
      </c>
      <c r="B2883" s="2">
        <f t="shared" ref="B2883:B2884" si="225">A2883-$J$1</f>
        <v>-681.35206382240722</v>
      </c>
      <c r="C2883" s="2">
        <f t="shared" ref="C2883:C2884" si="226">B2883^2</f>
        <v>464240.63487505366</v>
      </c>
      <c r="D2883" s="2">
        <v>22766</v>
      </c>
      <c r="E2883" s="2">
        <f t="shared" ref="E2883:E2884" si="227">D2883/10000</f>
        <v>2.2766000000000002</v>
      </c>
      <c r="F2883" s="2">
        <f t="shared" ref="F2883:F2884" si="228">E2883-$J$2</f>
        <v>-1.1032559833506723</v>
      </c>
      <c r="G2883" s="2">
        <f t="shared" ref="G2883:G2884" si="229">F2883^2</f>
        <v>1.217173764799059</v>
      </c>
    </row>
    <row r="2884" spans="1:7" x14ac:dyDescent="0.35">
      <c r="A2884" s="2">
        <v>657</v>
      </c>
      <c r="B2884" s="2">
        <f t="shared" si="225"/>
        <v>-681.35206382240722</v>
      </c>
      <c r="C2884" s="2">
        <f t="shared" si="226"/>
        <v>464240.63487505366</v>
      </c>
      <c r="D2884" s="2">
        <v>22828</v>
      </c>
      <c r="E2884" s="2">
        <f t="shared" si="227"/>
        <v>2.2827999999999999</v>
      </c>
      <c r="F2884" s="2">
        <f t="shared" si="228"/>
        <v>-1.0970559833506726</v>
      </c>
      <c r="G2884" s="2">
        <f t="shared" si="229"/>
        <v>1.2035318306055112</v>
      </c>
    </row>
  </sheetData>
  <mergeCells count="1">
    <mergeCell ref="I11:J1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E593E8-9130-45D7-A71E-9F77B70CF321}">
  <dimension ref="A1:K2884"/>
  <sheetViews>
    <sheetView tabSelected="1" workbookViewId="0">
      <selection activeCell="O13" sqref="O13"/>
    </sheetView>
  </sheetViews>
  <sheetFormatPr defaultRowHeight="14.5" x14ac:dyDescent="0.35"/>
  <cols>
    <col min="3" max="3" width="12.26953125" customWidth="1"/>
    <col min="5" max="5" width="12.90625" customWidth="1"/>
    <col min="6" max="6" width="16.90625" customWidth="1"/>
    <col min="7" max="7" width="12.6328125" customWidth="1"/>
    <col min="8" max="8" width="12.81640625" customWidth="1"/>
    <col min="11" max="11" width="14.6328125" customWidth="1"/>
  </cols>
  <sheetData>
    <row r="1" spans="1:11" x14ac:dyDescent="0.35">
      <c r="A1" s="3" t="s">
        <v>3003</v>
      </c>
      <c r="B1" s="3" t="s">
        <v>3002</v>
      </c>
      <c r="C1" s="3" t="s">
        <v>3016</v>
      </c>
      <c r="D1" s="3" t="s">
        <v>3017</v>
      </c>
      <c r="E1" s="3" t="s">
        <v>3018</v>
      </c>
      <c r="F1" s="3" t="s">
        <v>3019</v>
      </c>
      <c r="G1" s="3" t="s">
        <v>3020</v>
      </c>
      <c r="H1" s="3" t="s">
        <v>3021</v>
      </c>
      <c r="J1" s="6" t="s">
        <v>3035</v>
      </c>
      <c r="K1" s="6"/>
    </row>
    <row r="2" spans="1:11" x14ac:dyDescent="0.35">
      <c r="A2" s="2">
        <v>327</v>
      </c>
      <c r="B2" s="2">
        <v>22482</v>
      </c>
      <c r="C2" s="2">
        <f>B2/10000</f>
        <v>2.2482000000000002</v>
      </c>
      <c r="D2" s="2">
        <f>A2^2</f>
        <v>106929</v>
      </c>
      <c r="E2" s="2">
        <f>A2^3</f>
        <v>34965783</v>
      </c>
      <c r="F2" s="2">
        <f>A2^4</f>
        <v>11433811041</v>
      </c>
      <c r="G2" s="2">
        <f>A2*C2</f>
        <v>735.16140000000007</v>
      </c>
      <c r="H2" s="2">
        <f>D2*C2</f>
        <v>240397.77780000001</v>
      </c>
      <c r="J2" s="5" t="s">
        <v>3023</v>
      </c>
      <c r="K2" s="2">
        <f>SUM(A2:A2884)</f>
        <v>3858469</v>
      </c>
    </row>
    <row r="3" spans="1:11" x14ac:dyDescent="0.35">
      <c r="A3" s="2">
        <v>327</v>
      </c>
      <c r="B3" s="2">
        <v>22400</v>
      </c>
      <c r="C3" s="2">
        <f t="shared" ref="C3:C66" si="0">B3/10000</f>
        <v>2.2400000000000002</v>
      </c>
      <c r="D3" s="2">
        <f t="shared" ref="D3:D66" si="1">A3^2</f>
        <v>106929</v>
      </c>
      <c r="E3" s="2">
        <f t="shared" ref="E3:E66" si="2">A3^3</f>
        <v>34965783</v>
      </c>
      <c r="F3" s="2">
        <f t="shared" ref="F3:F66" si="3">A3^4</f>
        <v>11433811041</v>
      </c>
      <c r="G3" s="2">
        <f t="shared" ref="G3:G66" si="4">A3*C3</f>
        <v>732.48</v>
      </c>
      <c r="H3" s="2">
        <f t="shared" ref="H3:H66" si="5">D3*C3</f>
        <v>239520.96000000002</v>
      </c>
      <c r="J3" s="5" t="s">
        <v>3022</v>
      </c>
      <c r="K3" s="2">
        <f>SUM(C2:C2884)</f>
        <v>9744.1247999999887</v>
      </c>
    </row>
    <row r="4" spans="1:11" x14ac:dyDescent="0.35">
      <c r="A4" s="2">
        <v>327</v>
      </c>
      <c r="B4" s="2">
        <v>20000</v>
      </c>
      <c r="C4" s="2">
        <f t="shared" si="0"/>
        <v>2</v>
      </c>
      <c r="D4" s="2">
        <f t="shared" si="1"/>
        <v>106929</v>
      </c>
      <c r="E4" s="2">
        <f t="shared" si="2"/>
        <v>34965783</v>
      </c>
      <c r="F4" s="2">
        <f t="shared" si="3"/>
        <v>11433811041</v>
      </c>
      <c r="G4" s="2">
        <f t="shared" si="4"/>
        <v>654</v>
      </c>
      <c r="H4" s="2">
        <f t="shared" si="5"/>
        <v>213858</v>
      </c>
      <c r="J4" s="5" t="s">
        <v>3024</v>
      </c>
      <c r="K4" s="2">
        <f>SUM(D2:D2884)</f>
        <v>7123956977</v>
      </c>
    </row>
    <row r="5" spans="1:11" x14ac:dyDescent="0.35">
      <c r="A5" s="2">
        <v>327</v>
      </c>
      <c r="B5" s="2">
        <v>18824</v>
      </c>
      <c r="C5" s="2">
        <f t="shared" si="0"/>
        <v>1.8824000000000001</v>
      </c>
      <c r="D5" s="2">
        <f t="shared" si="1"/>
        <v>106929</v>
      </c>
      <c r="E5" s="2">
        <f t="shared" si="2"/>
        <v>34965783</v>
      </c>
      <c r="F5" s="2">
        <f t="shared" si="3"/>
        <v>11433811041</v>
      </c>
      <c r="G5" s="2">
        <f t="shared" si="4"/>
        <v>615.54480000000001</v>
      </c>
      <c r="H5" s="2">
        <f t="shared" si="5"/>
        <v>201283.1496</v>
      </c>
      <c r="J5" s="5" t="s">
        <v>3025</v>
      </c>
      <c r="K5" s="2">
        <f>SUM(E2:E2884)</f>
        <v>15495456852139</v>
      </c>
    </row>
    <row r="6" spans="1:11" x14ac:dyDescent="0.35">
      <c r="A6" s="2">
        <v>327</v>
      </c>
      <c r="B6" s="2">
        <v>19029</v>
      </c>
      <c r="C6" s="2">
        <f t="shared" si="0"/>
        <v>1.9029</v>
      </c>
      <c r="D6" s="2">
        <f t="shared" si="1"/>
        <v>106929</v>
      </c>
      <c r="E6" s="2">
        <f t="shared" si="2"/>
        <v>34965783</v>
      </c>
      <c r="F6" s="2">
        <f t="shared" si="3"/>
        <v>11433811041</v>
      </c>
      <c r="G6" s="2">
        <f t="shared" si="4"/>
        <v>622.24829999999997</v>
      </c>
      <c r="H6" s="2">
        <f t="shared" si="5"/>
        <v>203475.19409999999</v>
      </c>
      <c r="J6" s="5" t="s">
        <v>3026</v>
      </c>
      <c r="K6" s="2">
        <f>SUM(F2:F2884)</f>
        <v>3.7136842224925488E+16</v>
      </c>
    </row>
    <row r="7" spans="1:11" x14ac:dyDescent="0.35">
      <c r="A7" s="2">
        <v>327</v>
      </c>
      <c r="B7" s="2">
        <v>19364</v>
      </c>
      <c r="C7" s="2">
        <f t="shared" si="0"/>
        <v>1.9363999999999999</v>
      </c>
      <c r="D7" s="2">
        <f t="shared" si="1"/>
        <v>106929</v>
      </c>
      <c r="E7" s="2">
        <f t="shared" si="2"/>
        <v>34965783</v>
      </c>
      <c r="F7" s="2">
        <f t="shared" si="3"/>
        <v>11433811041</v>
      </c>
      <c r="G7" s="2">
        <f t="shared" si="4"/>
        <v>633.20279999999991</v>
      </c>
      <c r="H7" s="2">
        <f t="shared" si="5"/>
        <v>207057.3156</v>
      </c>
      <c r="J7" s="5" t="s">
        <v>3027</v>
      </c>
      <c r="K7" s="2">
        <f>SUM(G2:G2884)</f>
        <v>12304821.292600024</v>
      </c>
    </row>
    <row r="8" spans="1:11" x14ac:dyDescent="0.35">
      <c r="A8" s="2">
        <v>327</v>
      </c>
      <c r="B8" s="2">
        <v>17143</v>
      </c>
      <c r="C8" s="2">
        <f t="shared" si="0"/>
        <v>1.7142999999999999</v>
      </c>
      <c r="D8" s="2">
        <f t="shared" si="1"/>
        <v>106929</v>
      </c>
      <c r="E8" s="2">
        <f t="shared" si="2"/>
        <v>34965783</v>
      </c>
      <c r="F8" s="2">
        <f t="shared" si="3"/>
        <v>11433811041</v>
      </c>
      <c r="G8" s="2">
        <f t="shared" si="4"/>
        <v>560.5761</v>
      </c>
      <c r="H8" s="2">
        <f t="shared" si="5"/>
        <v>183308.3847</v>
      </c>
      <c r="J8" s="5" t="s">
        <v>3028</v>
      </c>
      <c r="K8" s="2">
        <f>SUM(H2:H2884)</f>
        <v>22201029391.267059</v>
      </c>
    </row>
    <row r="9" spans="1:11" x14ac:dyDescent="0.35">
      <c r="A9" s="2">
        <v>327</v>
      </c>
      <c r="B9" s="2">
        <v>17143</v>
      </c>
      <c r="C9" s="2">
        <f t="shared" si="0"/>
        <v>1.7142999999999999</v>
      </c>
      <c r="D9" s="2">
        <f t="shared" si="1"/>
        <v>106929</v>
      </c>
      <c r="E9" s="2">
        <f t="shared" si="2"/>
        <v>34965783</v>
      </c>
      <c r="F9" s="2">
        <f t="shared" si="3"/>
        <v>11433811041</v>
      </c>
      <c r="G9" s="2">
        <f t="shared" si="4"/>
        <v>560.5761</v>
      </c>
      <c r="H9" s="2">
        <f t="shared" si="5"/>
        <v>183308.3847</v>
      </c>
    </row>
    <row r="10" spans="1:11" x14ac:dyDescent="0.35">
      <c r="A10" s="2">
        <v>327</v>
      </c>
      <c r="B10" s="2">
        <v>19000</v>
      </c>
      <c r="C10" s="2">
        <f t="shared" si="0"/>
        <v>1.9</v>
      </c>
      <c r="D10" s="2">
        <f t="shared" si="1"/>
        <v>106929</v>
      </c>
      <c r="E10" s="2">
        <f t="shared" si="2"/>
        <v>34965783</v>
      </c>
      <c r="F10" s="2">
        <f t="shared" si="3"/>
        <v>11433811041</v>
      </c>
      <c r="G10" s="2">
        <f t="shared" si="4"/>
        <v>621.29999999999995</v>
      </c>
      <c r="H10" s="2">
        <f t="shared" si="5"/>
        <v>203165.09999999998</v>
      </c>
      <c r="J10" s="6" t="s">
        <v>3034</v>
      </c>
      <c r="K10" s="6"/>
    </row>
    <row r="11" spans="1:11" x14ac:dyDescent="0.35">
      <c r="A11" s="2">
        <v>327</v>
      </c>
      <c r="B11" s="2">
        <v>22941</v>
      </c>
      <c r="C11" s="2">
        <f t="shared" si="0"/>
        <v>2.2940999999999998</v>
      </c>
      <c r="D11" s="2">
        <f t="shared" si="1"/>
        <v>106929</v>
      </c>
      <c r="E11" s="2">
        <f t="shared" si="2"/>
        <v>34965783</v>
      </c>
      <c r="F11" s="2">
        <f t="shared" si="3"/>
        <v>11433811041</v>
      </c>
      <c r="G11" s="2">
        <f t="shared" si="4"/>
        <v>750.1706999999999</v>
      </c>
      <c r="H11" s="2">
        <f t="shared" si="5"/>
        <v>245305.81889999998</v>
      </c>
      <c r="J11" s="5" t="s">
        <v>3023</v>
      </c>
      <c r="K11" s="2">
        <f>(A2+A32+A40+A70+A100+A130+A160+A184+A214+A244+A274+A304+A334+A364+A394)</f>
        <v>17932</v>
      </c>
    </row>
    <row r="12" spans="1:11" x14ac:dyDescent="0.35">
      <c r="A12" s="2">
        <v>327</v>
      </c>
      <c r="B12" s="2">
        <v>19429</v>
      </c>
      <c r="C12" s="2">
        <f t="shared" si="0"/>
        <v>1.9429000000000001</v>
      </c>
      <c r="D12" s="2">
        <f t="shared" si="1"/>
        <v>106929</v>
      </c>
      <c r="E12" s="2">
        <f t="shared" si="2"/>
        <v>34965783</v>
      </c>
      <c r="F12" s="2">
        <f t="shared" si="3"/>
        <v>11433811041</v>
      </c>
      <c r="G12" s="2">
        <f t="shared" si="4"/>
        <v>635.32830000000001</v>
      </c>
      <c r="H12" s="2">
        <f t="shared" si="5"/>
        <v>207752.3541</v>
      </c>
      <c r="J12" s="5" t="s">
        <v>3022</v>
      </c>
      <c r="K12" s="2">
        <f>(C2+C32+C40+C70+C100+C130+C160+C184+C214+C244+C274+C304+C334+C364+C394)</f>
        <v>38.107400000000005</v>
      </c>
    </row>
    <row r="13" spans="1:11" x14ac:dyDescent="0.35">
      <c r="A13" s="2">
        <v>327</v>
      </c>
      <c r="B13" s="2">
        <v>22222</v>
      </c>
      <c r="C13" s="2">
        <f t="shared" si="0"/>
        <v>2.2222</v>
      </c>
      <c r="D13" s="2">
        <f t="shared" si="1"/>
        <v>106929</v>
      </c>
      <c r="E13" s="2">
        <f t="shared" si="2"/>
        <v>34965783</v>
      </c>
      <c r="F13" s="2">
        <f t="shared" si="3"/>
        <v>11433811041</v>
      </c>
      <c r="G13" s="2">
        <f t="shared" si="4"/>
        <v>726.65940000000001</v>
      </c>
      <c r="H13" s="2">
        <f t="shared" si="5"/>
        <v>237617.6238</v>
      </c>
      <c r="J13" s="5" t="s">
        <v>3024</v>
      </c>
      <c r="K13" s="2">
        <f>(D2+D32+D40+D70+D100+D130+D160+D184+D214+D244+D274+D304+D334+D364+D394)</f>
        <v>31548096</v>
      </c>
    </row>
    <row r="14" spans="1:11" x14ac:dyDescent="0.35">
      <c r="A14" s="2">
        <v>327</v>
      </c>
      <c r="B14" s="2">
        <v>25000</v>
      </c>
      <c r="C14" s="2">
        <f t="shared" si="0"/>
        <v>2.5</v>
      </c>
      <c r="D14" s="2">
        <f t="shared" si="1"/>
        <v>106929</v>
      </c>
      <c r="E14" s="2">
        <f t="shared" si="2"/>
        <v>34965783</v>
      </c>
      <c r="F14" s="2">
        <f t="shared" si="3"/>
        <v>11433811041</v>
      </c>
      <c r="G14" s="2">
        <f t="shared" si="4"/>
        <v>817.5</v>
      </c>
      <c r="H14" s="2">
        <f t="shared" si="5"/>
        <v>267322.5</v>
      </c>
      <c r="J14" s="5" t="s">
        <v>3025</v>
      </c>
      <c r="K14" s="2">
        <f>(E2+E32+E40+E70+E100+E130+E160+E184+E214+E244+E274+E304+E334+E364+E394)</f>
        <v>66735997948</v>
      </c>
    </row>
    <row r="15" spans="1:11" x14ac:dyDescent="0.35">
      <c r="A15" s="2">
        <v>327</v>
      </c>
      <c r="B15" s="2">
        <v>20000</v>
      </c>
      <c r="C15" s="2">
        <f t="shared" si="0"/>
        <v>2</v>
      </c>
      <c r="D15" s="2">
        <f t="shared" si="1"/>
        <v>106929</v>
      </c>
      <c r="E15" s="2">
        <f t="shared" si="2"/>
        <v>34965783</v>
      </c>
      <c r="F15" s="2">
        <f t="shared" si="3"/>
        <v>11433811041</v>
      </c>
      <c r="G15" s="2">
        <f t="shared" si="4"/>
        <v>654</v>
      </c>
      <c r="H15" s="2">
        <f t="shared" si="5"/>
        <v>213858</v>
      </c>
      <c r="J15" s="5" t="s">
        <v>3026</v>
      </c>
      <c r="K15" s="2">
        <f>(F2+F32+F40+F70+F100+F130+F160+F184+F214+F244+F274+F304+F334+F364+F394)</f>
        <v>154681601943096</v>
      </c>
    </row>
    <row r="16" spans="1:11" x14ac:dyDescent="0.35">
      <c r="A16" s="2">
        <v>327</v>
      </c>
      <c r="B16" s="2">
        <v>20000</v>
      </c>
      <c r="C16" s="2">
        <f t="shared" si="0"/>
        <v>2</v>
      </c>
      <c r="D16" s="2">
        <f t="shared" si="1"/>
        <v>106929</v>
      </c>
      <c r="E16" s="2">
        <f t="shared" si="2"/>
        <v>34965783</v>
      </c>
      <c r="F16" s="2">
        <f t="shared" si="3"/>
        <v>11433811041</v>
      </c>
      <c r="G16" s="2">
        <f t="shared" si="4"/>
        <v>654</v>
      </c>
      <c r="H16" s="2">
        <f t="shared" si="5"/>
        <v>213858</v>
      </c>
      <c r="J16" s="5" t="s">
        <v>3027</v>
      </c>
      <c r="K16" s="2">
        <f>(G2+G32+G40+G70+G100+G130+G160+G184+G214+G244+G274+G304+G334+G364+G394)</f>
        <v>39949.60089999999</v>
      </c>
    </row>
    <row r="17" spans="1:11" x14ac:dyDescent="0.35">
      <c r="A17" s="2">
        <v>327</v>
      </c>
      <c r="B17" s="2">
        <v>20000</v>
      </c>
      <c r="C17" s="2">
        <f t="shared" si="0"/>
        <v>2</v>
      </c>
      <c r="D17" s="2">
        <f t="shared" si="1"/>
        <v>106929</v>
      </c>
      <c r="E17" s="2">
        <f t="shared" si="2"/>
        <v>34965783</v>
      </c>
      <c r="F17" s="2">
        <f t="shared" si="3"/>
        <v>11433811041</v>
      </c>
      <c r="G17" s="2">
        <f t="shared" si="4"/>
        <v>654</v>
      </c>
      <c r="H17" s="2">
        <f t="shared" si="5"/>
        <v>213858</v>
      </c>
      <c r="J17" s="5" t="s">
        <v>3028</v>
      </c>
      <c r="K17" s="2">
        <f>(H2+H32+H40+H70+H100+H130+H160+H184+H214+H244+H274+H304+H334+H364+H394)</f>
        <v>63828642.349500008</v>
      </c>
    </row>
    <row r="18" spans="1:11" x14ac:dyDescent="0.35">
      <c r="A18" s="2">
        <v>327</v>
      </c>
      <c r="B18" s="2">
        <v>28741</v>
      </c>
      <c r="C18" s="2">
        <f t="shared" si="0"/>
        <v>2.8740999999999999</v>
      </c>
      <c r="D18" s="2">
        <f t="shared" si="1"/>
        <v>106929</v>
      </c>
      <c r="E18" s="2">
        <f t="shared" si="2"/>
        <v>34965783</v>
      </c>
      <c r="F18" s="2">
        <f t="shared" si="3"/>
        <v>11433811041</v>
      </c>
      <c r="G18" s="2">
        <f t="shared" si="4"/>
        <v>939.83069999999998</v>
      </c>
      <c r="H18" s="2">
        <f t="shared" si="5"/>
        <v>307324.63889999996</v>
      </c>
      <c r="J18" s="5" t="s">
        <v>3029</v>
      </c>
      <c r="K18" s="2">
        <f>(A2+A32+A40+A70+A100+A130+A160+A184+A214+A244+A274+A304+A334+A364+A394)/15</f>
        <v>1195.4666666666667</v>
      </c>
    </row>
    <row r="19" spans="1:11" x14ac:dyDescent="0.35">
      <c r="A19" s="2">
        <v>327</v>
      </c>
      <c r="B19" s="2">
        <v>23744</v>
      </c>
      <c r="C19" s="2">
        <f t="shared" si="0"/>
        <v>2.3744000000000001</v>
      </c>
      <c r="D19" s="2">
        <f t="shared" si="1"/>
        <v>106929</v>
      </c>
      <c r="E19" s="2">
        <f t="shared" si="2"/>
        <v>34965783</v>
      </c>
      <c r="F19" s="2">
        <f t="shared" si="3"/>
        <v>11433811041</v>
      </c>
      <c r="G19" s="2">
        <f t="shared" si="4"/>
        <v>776.42880000000002</v>
      </c>
      <c r="H19" s="2">
        <f t="shared" si="5"/>
        <v>253892.2176</v>
      </c>
      <c r="J19" s="5" t="s">
        <v>3030</v>
      </c>
      <c r="K19" s="2">
        <f>(C2+C32+C40+C70+C100+C130+C160+C184+C214+C244+C274+C304+C334+C364+C394)/15</f>
        <v>2.5404933333333335</v>
      </c>
    </row>
    <row r="20" spans="1:11" x14ac:dyDescent="0.35">
      <c r="A20" s="2">
        <v>327</v>
      </c>
      <c r="B20" s="2">
        <v>30313</v>
      </c>
      <c r="C20" s="2">
        <f t="shared" si="0"/>
        <v>3.0312999999999999</v>
      </c>
      <c r="D20" s="2">
        <f t="shared" si="1"/>
        <v>106929</v>
      </c>
      <c r="E20" s="2">
        <f t="shared" si="2"/>
        <v>34965783</v>
      </c>
      <c r="F20" s="2">
        <f t="shared" si="3"/>
        <v>11433811041</v>
      </c>
      <c r="G20" s="2">
        <f t="shared" si="4"/>
        <v>991.23509999999999</v>
      </c>
      <c r="H20" s="2">
        <f t="shared" si="5"/>
        <v>324133.87770000001</v>
      </c>
      <c r="J20" s="1"/>
    </row>
    <row r="21" spans="1:11" x14ac:dyDescent="0.35">
      <c r="A21" s="2">
        <v>327</v>
      </c>
      <c r="B21" s="2">
        <v>33750</v>
      </c>
      <c r="C21" s="2">
        <f t="shared" si="0"/>
        <v>3.375</v>
      </c>
      <c r="D21" s="2">
        <f t="shared" si="1"/>
        <v>106929</v>
      </c>
      <c r="E21" s="2">
        <f t="shared" si="2"/>
        <v>34965783</v>
      </c>
      <c r="F21" s="2">
        <f t="shared" si="3"/>
        <v>11433811041</v>
      </c>
      <c r="G21" s="2">
        <f t="shared" si="4"/>
        <v>1103.625</v>
      </c>
      <c r="H21" s="2">
        <f t="shared" si="5"/>
        <v>360885.375</v>
      </c>
      <c r="J21" s="1" t="s">
        <v>3032</v>
      </c>
    </row>
    <row r="22" spans="1:11" x14ac:dyDescent="0.35">
      <c r="A22" s="2">
        <v>327</v>
      </c>
      <c r="B22" s="2">
        <v>32471</v>
      </c>
      <c r="C22" s="2">
        <f t="shared" si="0"/>
        <v>3.2471000000000001</v>
      </c>
      <c r="D22" s="2">
        <f t="shared" si="1"/>
        <v>106929</v>
      </c>
      <c r="E22" s="2">
        <f t="shared" si="2"/>
        <v>34965783</v>
      </c>
      <c r="F22" s="2">
        <f t="shared" si="3"/>
        <v>11433811041</v>
      </c>
      <c r="G22" s="2">
        <f t="shared" si="4"/>
        <v>1061.8017</v>
      </c>
      <c r="H22" s="2">
        <f t="shared" si="5"/>
        <v>347209.15590000001</v>
      </c>
      <c r="J22" s="1" t="s">
        <v>3033</v>
      </c>
      <c r="K22">
        <f>((15*K16)-(K11*K12))/((15*K13)-K11^2)</f>
        <v>-5.5449830433975018E-4</v>
      </c>
    </row>
    <row r="23" spans="1:11" x14ac:dyDescent="0.35">
      <c r="A23" s="2">
        <v>327</v>
      </c>
      <c r="B23" s="2">
        <v>32211</v>
      </c>
      <c r="C23" s="2">
        <f t="shared" si="0"/>
        <v>3.2210999999999999</v>
      </c>
      <c r="D23" s="2">
        <f t="shared" si="1"/>
        <v>106929</v>
      </c>
      <c r="E23" s="2">
        <f t="shared" si="2"/>
        <v>34965783</v>
      </c>
      <c r="F23" s="2">
        <f t="shared" si="3"/>
        <v>11433811041</v>
      </c>
      <c r="G23" s="2">
        <f t="shared" si="4"/>
        <v>1053.2997</v>
      </c>
      <c r="H23" s="2">
        <f t="shared" si="5"/>
        <v>344429.00189999997</v>
      </c>
      <c r="J23" s="1" t="s">
        <v>3031</v>
      </c>
      <c r="K23">
        <f>K19-(K22*K18)</f>
        <v>3.2033775728946936</v>
      </c>
    </row>
    <row r="24" spans="1:11" x14ac:dyDescent="0.35">
      <c r="A24" s="2">
        <v>327</v>
      </c>
      <c r="B24" s="2">
        <v>32250</v>
      </c>
      <c r="C24" s="2">
        <f t="shared" si="0"/>
        <v>3.2250000000000001</v>
      </c>
      <c r="D24" s="2">
        <f t="shared" si="1"/>
        <v>106929</v>
      </c>
      <c r="E24" s="2">
        <f t="shared" si="2"/>
        <v>34965783</v>
      </c>
      <c r="F24" s="2">
        <f t="shared" si="3"/>
        <v>11433811041</v>
      </c>
      <c r="G24" s="2">
        <f t="shared" si="4"/>
        <v>1054.575</v>
      </c>
      <c r="H24" s="2">
        <f t="shared" si="5"/>
        <v>344846.02500000002</v>
      </c>
    </row>
    <row r="25" spans="1:11" x14ac:dyDescent="0.35">
      <c r="A25" s="2">
        <v>327</v>
      </c>
      <c r="B25" s="2">
        <v>32308</v>
      </c>
      <c r="C25" s="2">
        <f t="shared" si="0"/>
        <v>3.2307999999999999</v>
      </c>
      <c r="D25" s="2">
        <f t="shared" si="1"/>
        <v>106929</v>
      </c>
      <c r="E25" s="2">
        <f t="shared" si="2"/>
        <v>34965783</v>
      </c>
      <c r="F25" s="2">
        <f t="shared" si="3"/>
        <v>11433811041</v>
      </c>
      <c r="G25" s="2">
        <f t="shared" si="4"/>
        <v>1056.4715999999999</v>
      </c>
      <c r="H25" s="2">
        <f t="shared" si="5"/>
        <v>345466.2132</v>
      </c>
    </row>
    <row r="26" spans="1:11" x14ac:dyDescent="0.35">
      <c r="A26" s="2">
        <v>327</v>
      </c>
      <c r="B26" s="2">
        <v>32000</v>
      </c>
      <c r="C26" s="2">
        <f t="shared" si="0"/>
        <v>3.2</v>
      </c>
      <c r="D26" s="2">
        <f t="shared" si="1"/>
        <v>106929</v>
      </c>
      <c r="E26" s="2">
        <f t="shared" si="2"/>
        <v>34965783</v>
      </c>
      <c r="F26" s="2">
        <f t="shared" si="3"/>
        <v>11433811041</v>
      </c>
      <c r="G26" s="2">
        <f t="shared" si="4"/>
        <v>1046.4000000000001</v>
      </c>
      <c r="H26" s="2">
        <f t="shared" si="5"/>
        <v>342172.80000000005</v>
      </c>
    </row>
    <row r="27" spans="1:11" x14ac:dyDescent="0.35">
      <c r="A27" s="2">
        <v>327</v>
      </c>
      <c r="B27" s="2">
        <v>24390</v>
      </c>
      <c r="C27" s="2">
        <f t="shared" si="0"/>
        <v>2.4390000000000001</v>
      </c>
      <c r="D27" s="2">
        <f t="shared" si="1"/>
        <v>106929</v>
      </c>
      <c r="E27" s="2">
        <f t="shared" si="2"/>
        <v>34965783</v>
      </c>
      <c r="F27" s="2">
        <f t="shared" si="3"/>
        <v>11433811041</v>
      </c>
      <c r="G27" s="2">
        <f t="shared" si="4"/>
        <v>797.553</v>
      </c>
      <c r="H27" s="2">
        <f t="shared" si="5"/>
        <v>260799.83100000001</v>
      </c>
    </row>
    <row r="28" spans="1:11" x14ac:dyDescent="0.35">
      <c r="A28" s="2">
        <v>327</v>
      </c>
      <c r="B28" s="2">
        <v>24980</v>
      </c>
      <c r="C28" s="2">
        <f t="shared" si="0"/>
        <v>2.4980000000000002</v>
      </c>
      <c r="D28" s="2">
        <f t="shared" si="1"/>
        <v>106929</v>
      </c>
      <c r="E28" s="2">
        <f t="shared" si="2"/>
        <v>34965783</v>
      </c>
      <c r="F28" s="2">
        <f t="shared" si="3"/>
        <v>11433811041</v>
      </c>
      <c r="G28" s="2">
        <f t="shared" si="4"/>
        <v>816.84600000000012</v>
      </c>
      <c r="H28" s="2">
        <f t="shared" si="5"/>
        <v>267108.64200000005</v>
      </c>
    </row>
    <row r="29" spans="1:11" x14ac:dyDescent="0.35">
      <c r="A29" s="2">
        <v>327</v>
      </c>
      <c r="B29" s="2">
        <v>24409</v>
      </c>
      <c r="C29" s="2">
        <f t="shared" si="0"/>
        <v>2.4409000000000001</v>
      </c>
      <c r="D29" s="2">
        <f t="shared" si="1"/>
        <v>106929</v>
      </c>
      <c r="E29" s="2">
        <f t="shared" si="2"/>
        <v>34965783</v>
      </c>
      <c r="F29" s="2">
        <f t="shared" si="3"/>
        <v>11433811041</v>
      </c>
      <c r="G29" s="2">
        <f t="shared" si="4"/>
        <v>798.17430000000002</v>
      </c>
      <c r="H29" s="2">
        <f t="shared" si="5"/>
        <v>261002.99610000002</v>
      </c>
    </row>
    <row r="30" spans="1:11" x14ac:dyDescent="0.35">
      <c r="A30" s="2">
        <v>327</v>
      </c>
      <c r="B30" s="2">
        <v>25000</v>
      </c>
      <c r="C30" s="2">
        <f t="shared" si="0"/>
        <v>2.5</v>
      </c>
      <c r="D30" s="2">
        <f t="shared" si="1"/>
        <v>106929</v>
      </c>
      <c r="E30" s="2">
        <f t="shared" si="2"/>
        <v>34965783</v>
      </c>
      <c r="F30" s="2">
        <f t="shared" si="3"/>
        <v>11433811041</v>
      </c>
      <c r="G30" s="2">
        <f t="shared" si="4"/>
        <v>817.5</v>
      </c>
      <c r="H30" s="2">
        <f t="shared" si="5"/>
        <v>267322.5</v>
      </c>
    </row>
    <row r="31" spans="1:11" x14ac:dyDescent="0.35">
      <c r="A31" s="2">
        <v>327</v>
      </c>
      <c r="B31" s="2">
        <v>29963</v>
      </c>
      <c r="C31" s="2">
        <f t="shared" si="0"/>
        <v>2.9963000000000002</v>
      </c>
      <c r="D31" s="2">
        <f t="shared" si="1"/>
        <v>106929</v>
      </c>
      <c r="E31" s="2">
        <f t="shared" si="2"/>
        <v>34965783</v>
      </c>
      <c r="F31" s="2">
        <f t="shared" si="3"/>
        <v>11433811041</v>
      </c>
      <c r="G31" s="2">
        <f t="shared" si="4"/>
        <v>979.79010000000005</v>
      </c>
      <c r="H31" s="2">
        <f t="shared" si="5"/>
        <v>320391.3627</v>
      </c>
    </row>
    <row r="32" spans="1:11" x14ac:dyDescent="0.35">
      <c r="A32" s="2">
        <v>1485</v>
      </c>
      <c r="B32" s="2">
        <v>40000</v>
      </c>
      <c r="C32" s="2">
        <f t="shared" si="0"/>
        <v>4</v>
      </c>
      <c r="D32" s="2">
        <f t="shared" si="1"/>
        <v>2205225</v>
      </c>
      <c r="E32" s="2">
        <f t="shared" si="2"/>
        <v>3274759125</v>
      </c>
      <c r="F32" s="2">
        <f t="shared" si="3"/>
        <v>4863017300625</v>
      </c>
      <c r="G32" s="2">
        <f t="shared" si="4"/>
        <v>5940</v>
      </c>
      <c r="H32" s="2">
        <f t="shared" si="5"/>
        <v>8820900</v>
      </c>
    </row>
    <row r="33" spans="1:8" x14ac:dyDescent="0.35">
      <c r="A33" s="2">
        <v>1485</v>
      </c>
      <c r="B33" s="2">
        <v>36667</v>
      </c>
      <c r="C33" s="2">
        <f t="shared" si="0"/>
        <v>3.6667000000000001</v>
      </c>
      <c r="D33" s="2">
        <f t="shared" si="1"/>
        <v>2205225</v>
      </c>
      <c r="E33" s="2">
        <f t="shared" si="2"/>
        <v>3274759125</v>
      </c>
      <c r="F33" s="2">
        <f t="shared" si="3"/>
        <v>4863017300625</v>
      </c>
      <c r="G33" s="2">
        <f t="shared" si="4"/>
        <v>5445.0495000000001</v>
      </c>
      <c r="H33" s="2">
        <f t="shared" si="5"/>
        <v>8085898.5075000003</v>
      </c>
    </row>
    <row r="34" spans="1:8" x14ac:dyDescent="0.35">
      <c r="A34" s="2">
        <v>1485</v>
      </c>
      <c r="B34" s="2">
        <v>32121</v>
      </c>
      <c r="C34" s="2">
        <f t="shared" si="0"/>
        <v>3.2121</v>
      </c>
      <c r="D34" s="2">
        <f t="shared" si="1"/>
        <v>2205225</v>
      </c>
      <c r="E34" s="2">
        <f t="shared" si="2"/>
        <v>3274759125</v>
      </c>
      <c r="F34" s="2">
        <f t="shared" si="3"/>
        <v>4863017300625</v>
      </c>
      <c r="G34" s="2">
        <f t="shared" si="4"/>
        <v>4769.9684999999999</v>
      </c>
      <c r="H34" s="2">
        <f t="shared" si="5"/>
        <v>7083403.2225000001</v>
      </c>
    </row>
    <row r="35" spans="1:8" x14ac:dyDescent="0.35">
      <c r="A35" s="2">
        <v>1485</v>
      </c>
      <c r="B35" s="2">
        <v>31296</v>
      </c>
      <c r="C35" s="2">
        <f t="shared" si="0"/>
        <v>3.1295999999999999</v>
      </c>
      <c r="D35" s="2">
        <f t="shared" si="1"/>
        <v>2205225</v>
      </c>
      <c r="E35" s="2">
        <f t="shared" si="2"/>
        <v>3274759125</v>
      </c>
      <c r="F35" s="2">
        <f t="shared" si="3"/>
        <v>4863017300625</v>
      </c>
      <c r="G35" s="2">
        <f t="shared" si="4"/>
        <v>4647.4560000000001</v>
      </c>
      <c r="H35" s="2">
        <f t="shared" si="5"/>
        <v>6901472.1600000001</v>
      </c>
    </row>
    <row r="36" spans="1:8" x14ac:dyDescent="0.35">
      <c r="A36" s="2">
        <v>1485</v>
      </c>
      <c r="B36" s="2">
        <v>23333</v>
      </c>
      <c r="C36" s="2">
        <f t="shared" si="0"/>
        <v>2.3332999999999999</v>
      </c>
      <c r="D36" s="2">
        <f t="shared" si="1"/>
        <v>2205225</v>
      </c>
      <c r="E36" s="2">
        <f t="shared" si="2"/>
        <v>3274759125</v>
      </c>
      <c r="F36" s="2">
        <f t="shared" si="3"/>
        <v>4863017300625</v>
      </c>
      <c r="G36" s="2">
        <f t="shared" si="4"/>
        <v>3464.9504999999999</v>
      </c>
      <c r="H36" s="2">
        <f t="shared" si="5"/>
        <v>5145451.4924999997</v>
      </c>
    </row>
    <row r="37" spans="1:8" x14ac:dyDescent="0.35">
      <c r="A37" s="2">
        <v>1485</v>
      </c>
      <c r="B37" s="2">
        <v>28538</v>
      </c>
      <c r="C37" s="2">
        <f t="shared" si="0"/>
        <v>2.8538000000000001</v>
      </c>
      <c r="D37" s="2">
        <f t="shared" si="1"/>
        <v>2205225</v>
      </c>
      <c r="E37" s="2">
        <f t="shared" si="2"/>
        <v>3274759125</v>
      </c>
      <c r="F37" s="2">
        <f t="shared" si="3"/>
        <v>4863017300625</v>
      </c>
      <c r="G37" s="2">
        <f t="shared" si="4"/>
        <v>4237.893</v>
      </c>
      <c r="H37" s="2">
        <f t="shared" si="5"/>
        <v>6293271.1050000004</v>
      </c>
    </row>
    <row r="38" spans="1:8" x14ac:dyDescent="0.35">
      <c r="A38" s="2">
        <v>1485</v>
      </c>
      <c r="B38" s="2">
        <v>40000</v>
      </c>
      <c r="C38" s="2">
        <f t="shared" si="0"/>
        <v>4</v>
      </c>
      <c r="D38" s="2">
        <f t="shared" si="1"/>
        <v>2205225</v>
      </c>
      <c r="E38" s="2">
        <f t="shared" si="2"/>
        <v>3274759125</v>
      </c>
      <c r="F38" s="2">
        <f t="shared" si="3"/>
        <v>4863017300625</v>
      </c>
      <c r="G38" s="2">
        <f t="shared" si="4"/>
        <v>5940</v>
      </c>
      <c r="H38" s="2">
        <f t="shared" si="5"/>
        <v>8820900</v>
      </c>
    </row>
    <row r="39" spans="1:8" x14ac:dyDescent="0.35">
      <c r="A39" s="2">
        <v>1485</v>
      </c>
      <c r="B39" s="2">
        <v>41786</v>
      </c>
      <c r="C39" s="2">
        <f t="shared" si="0"/>
        <v>4.1786000000000003</v>
      </c>
      <c r="D39" s="2">
        <f t="shared" si="1"/>
        <v>2205225</v>
      </c>
      <c r="E39" s="2">
        <f t="shared" si="2"/>
        <v>3274759125</v>
      </c>
      <c r="F39" s="2">
        <f t="shared" si="3"/>
        <v>4863017300625</v>
      </c>
      <c r="G39" s="2">
        <f t="shared" si="4"/>
        <v>6205.2210000000005</v>
      </c>
      <c r="H39" s="2">
        <f t="shared" si="5"/>
        <v>9214753.1850000005</v>
      </c>
    </row>
    <row r="40" spans="1:8" x14ac:dyDescent="0.35">
      <c r="A40" s="2">
        <v>89</v>
      </c>
      <c r="B40" s="2">
        <v>26667</v>
      </c>
      <c r="C40" s="2">
        <f t="shared" si="0"/>
        <v>2.6667000000000001</v>
      </c>
      <c r="D40" s="2">
        <f t="shared" si="1"/>
        <v>7921</v>
      </c>
      <c r="E40" s="2">
        <f t="shared" si="2"/>
        <v>704969</v>
      </c>
      <c r="F40" s="2">
        <f t="shared" si="3"/>
        <v>62742241</v>
      </c>
      <c r="G40" s="2">
        <f t="shared" si="4"/>
        <v>237.33629999999999</v>
      </c>
      <c r="H40" s="2">
        <f t="shared" si="5"/>
        <v>21122.930700000001</v>
      </c>
    </row>
    <row r="41" spans="1:8" x14ac:dyDescent="0.35">
      <c r="A41" s="2">
        <v>89</v>
      </c>
      <c r="B41" s="2">
        <v>26957</v>
      </c>
      <c r="C41" s="2">
        <f t="shared" si="0"/>
        <v>2.6957</v>
      </c>
      <c r="D41" s="2">
        <f t="shared" si="1"/>
        <v>7921</v>
      </c>
      <c r="E41" s="2">
        <f t="shared" si="2"/>
        <v>704969</v>
      </c>
      <c r="F41" s="2">
        <f t="shared" si="3"/>
        <v>62742241</v>
      </c>
      <c r="G41" s="2">
        <f t="shared" si="4"/>
        <v>239.91730000000001</v>
      </c>
      <c r="H41" s="2">
        <f t="shared" si="5"/>
        <v>21352.6397</v>
      </c>
    </row>
    <row r="42" spans="1:8" x14ac:dyDescent="0.35">
      <c r="A42" s="2">
        <v>89</v>
      </c>
      <c r="B42" s="2">
        <v>27083</v>
      </c>
      <c r="C42" s="2">
        <f t="shared" si="0"/>
        <v>2.7082999999999999</v>
      </c>
      <c r="D42" s="2">
        <f t="shared" si="1"/>
        <v>7921</v>
      </c>
      <c r="E42" s="2">
        <f t="shared" si="2"/>
        <v>704969</v>
      </c>
      <c r="F42" s="2">
        <f t="shared" si="3"/>
        <v>62742241</v>
      </c>
      <c r="G42" s="2">
        <f t="shared" si="4"/>
        <v>241.03870000000001</v>
      </c>
      <c r="H42" s="2">
        <f t="shared" si="5"/>
        <v>21452.444299999999</v>
      </c>
    </row>
    <row r="43" spans="1:8" x14ac:dyDescent="0.35">
      <c r="A43" s="2">
        <v>89</v>
      </c>
      <c r="B43" s="2">
        <v>27925</v>
      </c>
      <c r="C43" s="2">
        <f t="shared" si="0"/>
        <v>2.7925</v>
      </c>
      <c r="D43" s="2">
        <f t="shared" si="1"/>
        <v>7921</v>
      </c>
      <c r="E43" s="2">
        <f t="shared" si="2"/>
        <v>704969</v>
      </c>
      <c r="F43" s="2">
        <f t="shared" si="3"/>
        <v>62742241</v>
      </c>
      <c r="G43" s="2">
        <f t="shared" si="4"/>
        <v>248.5325</v>
      </c>
      <c r="H43" s="2">
        <f t="shared" si="5"/>
        <v>22119.392499999998</v>
      </c>
    </row>
    <row r="44" spans="1:8" x14ac:dyDescent="0.35">
      <c r="A44" s="2">
        <v>89</v>
      </c>
      <c r="B44" s="2">
        <v>28000</v>
      </c>
      <c r="C44" s="2">
        <f t="shared" si="0"/>
        <v>2.8</v>
      </c>
      <c r="D44" s="2">
        <f t="shared" si="1"/>
        <v>7921</v>
      </c>
      <c r="E44" s="2">
        <f t="shared" si="2"/>
        <v>704969</v>
      </c>
      <c r="F44" s="2">
        <f t="shared" si="3"/>
        <v>62742241</v>
      </c>
      <c r="G44" s="2">
        <f t="shared" si="4"/>
        <v>249.2</v>
      </c>
      <c r="H44" s="2">
        <f t="shared" si="5"/>
        <v>22178.799999999999</v>
      </c>
    </row>
    <row r="45" spans="1:8" x14ac:dyDescent="0.35">
      <c r="A45" s="2">
        <v>89</v>
      </c>
      <c r="B45" s="2">
        <v>26786</v>
      </c>
      <c r="C45" s="2">
        <f t="shared" si="0"/>
        <v>2.6785999999999999</v>
      </c>
      <c r="D45" s="2">
        <f t="shared" si="1"/>
        <v>7921</v>
      </c>
      <c r="E45" s="2">
        <f t="shared" si="2"/>
        <v>704969</v>
      </c>
      <c r="F45" s="2">
        <f t="shared" si="3"/>
        <v>62742241</v>
      </c>
      <c r="G45" s="2">
        <f t="shared" si="4"/>
        <v>238.3954</v>
      </c>
      <c r="H45" s="2">
        <f t="shared" si="5"/>
        <v>21217.190599999998</v>
      </c>
    </row>
    <row r="46" spans="1:8" x14ac:dyDescent="0.35">
      <c r="A46" s="2">
        <v>89</v>
      </c>
      <c r="B46" s="2">
        <v>24733</v>
      </c>
      <c r="C46" s="2">
        <f t="shared" si="0"/>
        <v>2.4733000000000001</v>
      </c>
      <c r="D46" s="2">
        <f t="shared" si="1"/>
        <v>7921</v>
      </c>
      <c r="E46" s="2">
        <f t="shared" si="2"/>
        <v>704969</v>
      </c>
      <c r="F46" s="2">
        <f t="shared" si="3"/>
        <v>62742241</v>
      </c>
      <c r="G46" s="2">
        <f t="shared" si="4"/>
        <v>220.12370000000001</v>
      </c>
      <c r="H46" s="2">
        <f t="shared" si="5"/>
        <v>19591.009300000002</v>
      </c>
    </row>
    <row r="47" spans="1:8" x14ac:dyDescent="0.35">
      <c r="A47" s="2">
        <v>89</v>
      </c>
      <c r="B47" s="2">
        <v>23111</v>
      </c>
      <c r="C47" s="2">
        <f t="shared" si="0"/>
        <v>2.3111000000000002</v>
      </c>
      <c r="D47" s="2">
        <f t="shared" si="1"/>
        <v>7921</v>
      </c>
      <c r="E47" s="2">
        <f t="shared" si="2"/>
        <v>704969</v>
      </c>
      <c r="F47" s="2">
        <f t="shared" si="3"/>
        <v>62742241</v>
      </c>
      <c r="G47" s="2">
        <f t="shared" si="4"/>
        <v>205.68790000000001</v>
      </c>
      <c r="H47" s="2">
        <f t="shared" si="5"/>
        <v>18306.223100000003</v>
      </c>
    </row>
    <row r="48" spans="1:8" x14ac:dyDescent="0.35">
      <c r="A48" s="2">
        <v>89</v>
      </c>
      <c r="B48" s="2">
        <v>21374</v>
      </c>
      <c r="C48" s="2">
        <f t="shared" si="0"/>
        <v>2.1374</v>
      </c>
      <c r="D48" s="2">
        <f t="shared" si="1"/>
        <v>7921</v>
      </c>
      <c r="E48" s="2">
        <f t="shared" si="2"/>
        <v>704969</v>
      </c>
      <c r="F48" s="2">
        <f t="shared" si="3"/>
        <v>62742241</v>
      </c>
      <c r="G48" s="2">
        <f t="shared" si="4"/>
        <v>190.2286</v>
      </c>
      <c r="H48" s="2">
        <f t="shared" si="5"/>
        <v>16930.345399999998</v>
      </c>
    </row>
    <row r="49" spans="1:8" x14ac:dyDescent="0.35">
      <c r="A49" s="2">
        <v>89</v>
      </c>
      <c r="B49" s="2">
        <v>19598</v>
      </c>
      <c r="C49" s="2">
        <f t="shared" si="0"/>
        <v>1.9598</v>
      </c>
      <c r="D49" s="2">
        <f t="shared" si="1"/>
        <v>7921</v>
      </c>
      <c r="E49" s="2">
        <f t="shared" si="2"/>
        <v>704969</v>
      </c>
      <c r="F49" s="2">
        <f t="shared" si="3"/>
        <v>62742241</v>
      </c>
      <c r="G49" s="2">
        <f t="shared" si="4"/>
        <v>174.4222</v>
      </c>
      <c r="H49" s="2">
        <f t="shared" si="5"/>
        <v>15523.575800000001</v>
      </c>
    </row>
    <row r="50" spans="1:8" x14ac:dyDescent="0.35">
      <c r="A50" s="2">
        <v>89</v>
      </c>
      <c r="B50" s="2">
        <v>17861</v>
      </c>
      <c r="C50" s="2">
        <f t="shared" si="0"/>
        <v>1.7861</v>
      </c>
      <c r="D50" s="2">
        <f t="shared" si="1"/>
        <v>7921</v>
      </c>
      <c r="E50" s="2">
        <f t="shared" si="2"/>
        <v>704969</v>
      </c>
      <c r="F50" s="2">
        <f t="shared" si="3"/>
        <v>62742241</v>
      </c>
      <c r="G50" s="2">
        <f t="shared" si="4"/>
        <v>158.96289999999999</v>
      </c>
      <c r="H50" s="2">
        <f t="shared" si="5"/>
        <v>14147.6981</v>
      </c>
    </row>
    <row r="51" spans="1:8" x14ac:dyDescent="0.35">
      <c r="A51" s="2">
        <v>89</v>
      </c>
      <c r="B51" s="2">
        <v>15000</v>
      </c>
      <c r="C51" s="2">
        <f t="shared" si="0"/>
        <v>1.5</v>
      </c>
      <c r="D51" s="2">
        <f t="shared" si="1"/>
        <v>7921</v>
      </c>
      <c r="E51" s="2">
        <f t="shared" si="2"/>
        <v>704969</v>
      </c>
      <c r="F51" s="2">
        <f t="shared" si="3"/>
        <v>62742241</v>
      </c>
      <c r="G51" s="2">
        <f t="shared" si="4"/>
        <v>133.5</v>
      </c>
      <c r="H51" s="2">
        <f t="shared" si="5"/>
        <v>11881.5</v>
      </c>
    </row>
    <row r="52" spans="1:8" x14ac:dyDescent="0.35">
      <c r="A52" s="2">
        <v>89</v>
      </c>
      <c r="B52" s="2">
        <v>15000</v>
      </c>
      <c r="C52" s="2">
        <f t="shared" si="0"/>
        <v>1.5</v>
      </c>
      <c r="D52" s="2">
        <f t="shared" si="1"/>
        <v>7921</v>
      </c>
      <c r="E52" s="2">
        <f t="shared" si="2"/>
        <v>704969</v>
      </c>
      <c r="F52" s="2">
        <f t="shared" si="3"/>
        <v>62742241</v>
      </c>
      <c r="G52" s="2">
        <f t="shared" si="4"/>
        <v>133.5</v>
      </c>
      <c r="H52" s="2">
        <f t="shared" si="5"/>
        <v>11881.5</v>
      </c>
    </row>
    <row r="53" spans="1:8" x14ac:dyDescent="0.35">
      <c r="A53" s="2">
        <v>89</v>
      </c>
      <c r="B53" s="2">
        <v>13942</v>
      </c>
      <c r="C53" s="2">
        <f t="shared" si="0"/>
        <v>1.3942000000000001</v>
      </c>
      <c r="D53" s="2">
        <f t="shared" si="1"/>
        <v>7921</v>
      </c>
      <c r="E53" s="2">
        <f t="shared" si="2"/>
        <v>704969</v>
      </c>
      <c r="F53" s="2">
        <f t="shared" si="3"/>
        <v>62742241</v>
      </c>
      <c r="G53" s="2">
        <f t="shared" si="4"/>
        <v>124.08380000000001</v>
      </c>
      <c r="H53" s="2">
        <f t="shared" si="5"/>
        <v>11043.458200000001</v>
      </c>
    </row>
    <row r="54" spans="1:8" x14ac:dyDescent="0.35">
      <c r="A54" s="2">
        <v>89</v>
      </c>
      <c r="B54" s="2">
        <v>13052</v>
      </c>
      <c r="C54" s="2">
        <f t="shared" si="0"/>
        <v>1.3051999999999999</v>
      </c>
      <c r="D54" s="2">
        <f t="shared" si="1"/>
        <v>7921</v>
      </c>
      <c r="E54" s="2">
        <f t="shared" si="2"/>
        <v>704969</v>
      </c>
      <c r="F54" s="2">
        <f t="shared" si="3"/>
        <v>62742241</v>
      </c>
      <c r="G54" s="2">
        <f t="shared" si="4"/>
        <v>116.16279999999999</v>
      </c>
      <c r="H54" s="2">
        <f t="shared" si="5"/>
        <v>10338.4892</v>
      </c>
    </row>
    <row r="55" spans="1:8" x14ac:dyDescent="0.35">
      <c r="A55" s="2">
        <v>89</v>
      </c>
      <c r="B55" s="2">
        <v>12314</v>
      </c>
      <c r="C55" s="2">
        <f t="shared" si="0"/>
        <v>1.2314000000000001</v>
      </c>
      <c r="D55" s="2">
        <f t="shared" si="1"/>
        <v>7921</v>
      </c>
      <c r="E55" s="2">
        <f t="shared" si="2"/>
        <v>704969</v>
      </c>
      <c r="F55" s="2">
        <f t="shared" si="3"/>
        <v>62742241</v>
      </c>
      <c r="G55" s="2">
        <f t="shared" si="4"/>
        <v>109.5946</v>
      </c>
      <c r="H55" s="2">
        <f t="shared" si="5"/>
        <v>9753.9194000000007</v>
      </c>
    </row>
    <row r="56" spans="1:8" x14ac:dyDescent="0.35">
      <c r="A56" s="2">
        <v>89</v>
      </c>
      <c r="B56" s="2">
        <v>12959</v>
      </c>
      <c r="C56" s="2">
        <f t="shared" si="0"/>
        <v>1.2959000000000001</v>
      </c>
      <c r="D56" s="2">
        <f t="shared" si="1"/>
        <v>7921</v>
      </c>
      <c r="E56" s="2">
        <f t="shared" si="2"/>
        <v>704969</v>
      </c>
      <c r="F56" s="2">
        <f t="shared" si="3"/>
        <v>62742241</v>
      </c>
      <c r="G56" s="2">
        <f t="shared" si="4"/>
        <v>115.33510000000001</v>
      </c>
      <c r="H56" s="2">
        <f t="shared" si="5"/>
        <v>10264.823900000001</v>
      </c>
    </row>
    <row r="57" spans="1:8" x14ac:dyDescent="0.35">
      <c r="A57" s="2">
        <v>89</v>
      </c>
      <c r="B57" s="2">
        <v>12829</v>
      </c>
      <c r="C57" s="2">
        <f t="shared" si="0"/>
        <v>1.2828999999999999</v>
      </c>
      <c r="D57" s="2">
        <f t="shared" si="1"/>
        <v>7921</v>
      </c>
      <c r="E57" s="2">
        <f t="shared" si="2"/>
        <v>704969</v>
      </c>
      <c r="F57" s="2">
        <f t="shared" si="3"/>
        <v>62742241</v>
      </c>
      <c r="G57" s="2">
        <f t="shared" si="4"/>
        <v>114.1781</v>
      </c>
      <c r="H57" s="2">
        <f t="shared" si="5"/>
        <v>10161.850899999999</v>
      </c>
    </row>
    <row r="58" spans="1:8" x14ac:dyDescent="0.35">
      <c r="A58" s="2">
        <v>89</v>
      </c>
      <c r="B58" s="2">
        <v>12998</v>
      </c>
      <c r="C58" s="2">
        <f t="shared" si="0"/>
        <v>1.2998000000000001</v>
      </c>
      <c r="D58" s="2">
        <f t="shared" si="1"/>
        <v>7921</v>
      </c>
      <c r="E58" s="2">
        <f t="shared" si="2"/>
        <v>704969</v>
      </c>
      <c r="F58" s="2">
        <f t="shared" si="3"/>
        <v>62742241</v>
      </c>
      <c r="G58" s="2">
        <f t="shared" si="4"/>
        <v>115.68220000000001</v>
      </c>
      <c r="H58" s="2">
        <f t="shared" si="5"/>
        <v>10295.7158</v>
      </c>
    </row>
    <row r="59" spans="1:8" x14ac:dyDescent="0.35">
      <c r="A59" s="2">
        <v>89</v>
      </c>
      <c r="B59" s="2">
        <v>12769</v>
      </c>
      <c r="C59" s="2">
        <f t="shared" si="0"/>
        <v>1.2768999999999999</v>
      </c>
      <c r="D59" s="2">
        <f t="shared" si="1"/>
        <v>7921</v>
      </c>
      <c r="E59" s="2">
        <f t="shared" si="2"/>
        <v>704969</v>
      </c>
      <c r="F59" s="2">
        <f t="shared" si="3"/>
        <v>62742241</v>
      </c>
      <c r="G59" s="2">
        <f t="shared" si="4"/>
        <v>113.64409999999999</v>
      </c>
      <c r="H59" s="2">
        <f t="shared" si="5"/>
        <v>10114.3249</v>
      </c>
    </row>
    <row r="60" spans="1:8" x14ac:dyDescent="0.35">
      <c r="A60" s="2">
        <v>89</v>
      </c>
      <c r="B60" s="2">
        <v>13375</v>
      </c>
      <c r="C60" s="2">
        <f t="shared" si="0"/>
        <v>1.3374999999999999</v>
      </c>
      <c r="D60" s="2">
        <f t="shared" si="1"/>
        <v>7921</v>
      </c>
      <c r="E60" s="2">
        <f t="shared" si="2"/>
        <v>704969</v>
      </c>
      <c r="F60" s="2">
        <f t="shared" si="3"/>
        <v>62742241</v>
      </c>
      <c r="G60" s="2">
        <f t="shared" si="4"/>
        <v>119.03749999999999</v>
      </c>
      <c r="H60" s="2">
        <f t="shared" si="5"/>
        <v>10594.3375</v>
      </c>
    </row>
    <row r="61" spans="1:8" x14ac:dyDescent="0.35">
      <c r="A61" s="2">
        <v>89</v>
      </c>
      <c r="B61" s="2">
        <v>13952</v>
      </c>
      <c r="C61" s="2">
        <f t="shared" si="0"/>
        <v>1.3952</v>
      </c>
      <c r="D61" s="2">
        <f t="shared" si="1"/>
        <v>7921</v>
      </c>
      <c r="E61" s="2">
        <f t="shared" si="2"/>
        <v>704969</v>
      </c>
      <c r="F61" s="2">
        <f t="shared" si="3"/>
        <v>62742241</v>
      </c>
      <c r="G61" s="2">
        <f t="shared" si="4"/>
        <v>124.1728</v>
      </c>
      <c r="H61" s="2">
        <f t="shared" si="5"/>
        <v>11051.379199999999</v>
      </c>
    </row>
    <row r="62" spans="1:8" x14ac:dyDescent="0.35">
      <c r="A62" s="2">
        <v>89</v>
      </c>
      <c r="B62" s="2">
        <v>14594</v>
      </c>
      <c r="C62" s="2">
        <f t="shared" si="0"/>
        <v>1.4594</v>
      </c>
      <c r="D62" s="2">
        <f t="shared" si="1"/>
        <v>7921</v>
      </c>
      <c r="E62" s="2">
        <f t="shared" si="2"/>
        <v>704969</v>
      </c>
      <c r="F62" s="2">
        <f t="shared" si="3"/>
        <v>62742241</v>
      </c>
      <c r="G62" s="2">
        <f t="shared" si="4"/>
        <v>129.88660000000002</v>
      </c>
      <c r="H62" s="2">
        <f t="shared" si="5"/>
        <v>11559.9074</v>
      </c>
    </row>
    <row r="63" spans="1:8" x14ac:dyDescent="0.35">
      <c r="A63" s="2">
        <v>89</v>
      </c>
      <c r="B63" s="2">
        <v>15305</v>
      </c>
      <c r="C63" s="2">
        <f t="shared" si="0"/>
        <v>1.5305</v>
      </c>
      <c r="D63" s="2">
        <f t="shared" si="1"/>
        <v>7921</v>
      </c>
      <c r="E63" s="2">
        <f t="shared" si="2"/>
        <v>704969</v>
      </c>
      <c r="F63" s="2">
        <f t="shared" si="3"/>
        <v>62742241</v>
      </c>
      <c r="G63" s="2">
        <f t="shared" si="4"/>
        <v>136.21449999999999</v>
      </c>
      <c r="H63" s="2">
        <f t="shared" si="5"/>
        <v>12123.0905</v>
      </c>
    </row>
    <row r="64" spans="1:8" x14ac:dyDescent="0.35">
      <c r="A64" s="2">
        <v>89</v>
      </c>
      <c r="B64" s="2">
        <v>16081</v>
      </c>
      <c r="C64" s="2">
        <f t="shared" si="0"/>
        <v>1.6081000000000001</v>
      </c>
      <c r="D64" s="2">
        <f t="shared" si="1"/>
        <v>7921</v>
      </c>
      <c r="E64" s="2">
        <f t="shared" si="2"/>
        <v>704969</v>
      </c>
      <c r="F64" s="2">
        <f t="shared" si="3"/>
        <v>62742241</v>
      </c>
      <c r="G64" s="2">
        <f t="shared" si="4"/>
        <v>143.12090000000001</v>
      </c>
      <c r="H64" s="2">
        <f t="shared" si="5"/>
        <v>12737.760100000001</v>
      </c>
    </row>
    <row r="65" spans="1:8" x14ac:dyDescent="0.35">
      <c r="A65" s="2">
        <v>89</v>
      </c>
      <c r="B65" s="2">
        <v>16667</v>
      </c>
      <c r="C65" s="2">
        <f t="shared" si="0"/>
        <v>1.6667000000000001</v>
      </c>
      <c r="D65" s="2">
        <f t="shared" si="1"/>
        <v>7921</v>
      </c>
      <c r="E65" s="2">
        <f t="shared" si="2"/>
        <v>704969</v>
      </c>
      <c r="F65" s="2">
        <f t="shared" si="3"/>
        <v>62742241</v>
      </c>
      <c r="G65" s="2">
        <f t="shared" si="4"/>
        <v>148.33629999999999</v>
      </c>
      <c r="H65" s="2">
        <f t="shared" si="5"/>
        <v>13201.930700000001</v>
      </c>
    </row>
    <row r="66" spans="1:8" x14ac:dyDescent="0.35">
      <c r="A66" s="2">
        <v>89</v>
      </c>
      <c r="B66" s="2">
        <v>17778</v>
      </c>
      <c r="C66" s="2">
        <f t="shared" si="0"/>
        <v>1.7778</v>
      </c>
      <c r="D66" s="2">
        <f t="shared" si="1"/>
        <v>7921</v>
      </c>
      <c r="E66" s="2">
        <f t="shared" si="2"/>
        <v>704969</v>
      </c>
      <c r="F66" s="2">
        <f t="shared" si="3"/>
        <v>62742241</v>
      </c>
      <c r="G66" s="2">
        <f t="shared" si="4"/>
        <v>158.2242</v>
      </c>
      <c r="H66" s="2">
        <f t="shared" si="5"/>
        <v>14081.953800000001</v>
      </c>
    </row>
    <row r="67" spans="1:8" x14ac:dyDescent="0.35">
      <c r="A67" s="2">
        <v>89</v>
      </c>
      <c r="B67" s="2">
        <v>17778</v>
      </c>
      <c r="C67" s="2">
        <f t="shared" ref="C67:C130" si="6">B67/10000</f>
        <v>1.7778</v>
      </c>
      <c r="D67" s="2">
        <f t="shared" ref="D67:D130" si="7">A67^2</f>
        <v>7921</v>
      </c>
      <c r="E67" s="2">
        <f t="shared" ref="E67:E130" si="8">A67^3</f>
        <v>704969</v>
      </c>
      <c r="F67" s="2">
        <f t="shared" ref="F67:F130" si="9">A67^4</f>
        <v>62742241</v>
      </c>
      <c r="G67" s="2">
        <f t="shared" ref="G67:G130" si="10">A67*C67</f>
        <v>158.2242</v>
      </c>
      <c r="H67" s="2">
        <f t="shared" ref="H67:H130" si="11">D67*C67</f>
        <v>14081.953800000001</v>
      </c>
    </row>
    <row r="68" spans="1:8" x14ac:dyDescent="0.35">
      <c r="A68" s="2">
        <v>89</v>
      </c>
      <c r="B68" s="2">
        <v>17579</v>
      </c>
      <c r="C68" s="2">
        <f t="shared" si="6"/>
        <v>1.7579</v>
      </c>
      <c r="D68" s="2">
        <f t="shared" si="7"/>
        <v>7921</v>
      </c>
      <c r="E68" s="2">
        <f t="shared" si="8"/>
        <v>704969</v>
      </c>
      <c r="F68" s="2">
        <f t="shared" si="9"/>
        <v>62742241</v>
      </c>
      <c r="G68" s="2">
        <f t="shared" si="10"/>
        <v>156.45310000000001</v>
      </c>
      <c r="H68" s="2">
        <f t="shared" si="11"/>
        <v>13924.3259</v>
      </c>
    </row>
    <row r="69" spans="1:8" x14ac:dyDescent="0.35">
      <c r="A69" s="2">
        <v>89</v>
      </c>
      <c r="B69" s="2">
        <v>17502</v>
      </c>
      <c r="C69" s="2">
        <f t="shared" si="6"/>
        <v>1.7502</v>
      </c>
      <c r="D69" s="2">
        <f t="shared" si="7"/>
        <v>7921</v>
      </c>
      <c r="E69" s="2">
        <f t="shared" si="8"/>
        <v>704969</v>
      </c>
      <c r="F69" s="2">
        <f t="shared" si="9"/>
        <v>62742241</v>
      </c>
      <c r="G69" s="2">
        <f t="shared" si="10"/>
        <v>155.76779999999999</v>
      </c>
      <c r="H69" s="2">
        <f t="shared" si="11"/>
        <v>13863.334199999999</v>
      </c>
    </row>
    <row r="70" spans="1:8" x14ac:dyDescent="0.35">
      <c r="A70" s="2">
        <v>1010</v>
      </c>
      <c r="B70" s="2">
        <v>8333</v>
      </c>
      <c r="C70" s="2">
        <f t="shared" si="6"/>
        <v>0.83330000000000004</v>
      </c>
      <c r="D70" s="2">
        <f t="shared" si="7"/>
        <v>1020100</v>
      </c>
      <c r="E70" s="2">
        <f t="shared" si="8"/>
        <v>1030301000</v>
      </c>
      <c r="F70" s="2">
        <f t="shared" si="9"/>
        <v>1040604010000</v>
      </c>
      <c r="G70" s="2">
        <f t="shared" si="10"/>
        <v>841.63300000000004</v>
      </c>
      <c r="H70" s="2">
        <f t="shared" si="11"/>
        <v>850049.33000000007</v>
      </c>
    </row>
    <row r="71" spans="1:8" x14ac:dyDescent="0.35">
      <c r="A71" s="2">
        <v>1010</v>
      </c>
      <c r="B71" s="2">
        <v>8333</v>
      </c>
      <c r="C71" s="2">
        <f t="shared" si="6"/>
        <v>0.83330000000000004</v>
      </c>
      <c r="D71" s="2">
        <f t="shared" si="7"/>
        <v>1020100</v>
      </c>
      <c r="E71" s="2">
        <f t="shared" si="8"/>
        <v>1030301000</v>
      </c>
      <c r="F71" s="2">
        <f t="shared" si="9"/>
        <v>1040604010000</v>
      </c>
      <c r="G71" s="2">
        <f t="shared" si="10"/>
        <v>841.63300000000004</v>
      </c>
      <c r="H71" s="2">
        <f t="shared" si="11"/>
        <v>850049.33000000007</v>
      </c>
    </row>
    <row r="72" spans="1:8" x14ac:dyDescent="0.35">
      <c r="A72" s="2">
        <v>1010</v>
      </c>
      <c r="B72" s="2">
        <v>6667</v>
      </c>
      <c r="C72" s="2">
        <f t="shared" si="6"/>
        <v>0.66669999999999996</v>
      </c>
      <c r="D72" s="2">
        <f t="shared" si="7"/>
        <v>1020100</v>
      </c>
      <c r="E72" s="2">
        <f t="shared" si="8"/>
        <v>1030301000</v>
      </c>
      <c r="F72" s="2">
        <f t="shared" si="9"/>
        <v>1040604010000</v>
      </c>
      <c r="G72" s="2">
        <f t="shared" si="10"/>
        <v>673.36699999999996</v>
      </c>
      <c r="H72" s="2">
        <f t="shared" si="11"/>
        <v>680100.66999999993</v>
      </c>
    </row>
    <row r="73" spans="1:8" x14ac:dyDescent="0.35">
      <c r="A73" s="2">
        <v>1010</v>
      </c>
      <c r="B73" s="2">
        <v>7500</v>
      </c>
      <c r="C73" s="2">
        <f t="shared" si="6"/>
        <v>0.75</v>
      </c>
      <c r="D73" s="2">
        <f t="shared" si="7"/>
        <v>1020100</v>
      </c>
      <c r="E73" s="2">
        <f t="shared" si="8"/>
        <v>1030301000</v>
      </c>
      <c r="F73" s="2">
        <f t="shared" si="9"/>
        <v>1040604010000</v>
      </c>
      <c r="G73" s="2">
        <f t="shared" si="10"/>
        <v>757.5</v>
      </c>
      <c r="H73" s="2">
        <f t="shared" si="11"/>
        <v>765075</v>
      </c>
    </row>
    <row r="74" spans="1:8" x14ac:dyDescent="0.35">
      <c r="A74" s="2">
        <v>1010</v>
      </c>
      <c r="B74" s="2">
        <v>9512</v>
      </c>
      <c r="C74" s="2">
        <f t="shared" si="6"/>
        <v>0.95120000000000005</v>
      </c>
      <c r="D74" s="2">
        <f t="shared" si="7"/>
        <v>1020100</v>
      </c>
      <c r="E74" s="2">
        <f t="shared" si="8"/>
        <v>1030301000</v>
      </c>
      <c r="F74" s="2">
        <f t="shared" si="9"/>
        <v>1040604010000</v>
      </c>
      <c r="G74" s="2">
        <f t="shared" si="10"/>
        <v>960.71199999999999</v>
      </c>
      <c r="H74" s="2">
        <f t="shared" si="11"/>
        <v>970319.12</v>
      </c>
    </row>
    <row r="75" spans="1:8" x14ac:dyDescent="0.35">
      <c r="A75" s="2">
        <v>1010</v>
      </c>
      <c r="B75" s="2">
        <v>10000</v>
      </c>
      <c r="C75" s="2">
        <f t="shared" si="6"/>
        <v>1</v>
      </c>
      <c r="D75" s="2">
        <f t="shared" si="7"/>
        <v>1020100</v>
      </c>
      <c r="E75" s="2">
        <f t="shared" si="8"/>
        <v>1030301000</v>
      </c>
      <c r="F75" s="2">
        <f t="shared" si="9"/>
        <v>1040604010000</v>
      </c>
      <c r="G75" s="2">
        <f t="shared" si="10"/>
        <v>1010</v>
      </c>
      <c r="H75" s="2">
        <f t="shared" si="11"/>
        <v>1020100</v>
      </c>
    </row>
    <row r="76" spans="1:8" x14ac:dyDescent="0.35">
      <c r="A76" s="2">
        <v>1010</v>
      </c>
      <c r="B76" s="2">
        <v>9106</v>
      </c>
      <c r="C76" s="2">
        <f t="shared" si="6"/>
        <v>0.91059999999999997</v>
      </c>
      <c r="D76" s="2">
        <f t="shared" si="7"/>
        <v>1020100</v>
      </c>
      <c r="E76" s="2">
        <f t="shared" si="8"/>
        <v>1030301000</v>
      </c>
      <c r="F76" s="2">
        <f t="shared" si="9"/>
        <v>1040604010000</v>
      </c>
      <c r="G76" s="2">
        <f t="shared" si="10"/>
        <v>919.70600000000002</v>
      </c>
      <c r="H76" s="2">
        <f t="shared" si="11"/>
        <v>928903.05999999994</v>
      </c>
    </row>
    <row r="77" spans="1:8" x14ac:dyDescent="0.35">
      <c r="A77" s="2">
        <v>1010</v>
      </c>
      <c r="B77" s="2">
        <v>8000</v>
      </c>
      <c r="C77" s="2">
        <f t="shared" si="6"/>
        <v>0.8</v>
      </c>
      <c r="D77" s="2">
        <f t="shared" si="7"/>
        <v>1020100</v>
      </c>
      <c r="E77" s="2">
        <f t="shared" si="8"/>
        <v>1030301000</v>
      </c>
      <c r="F77" s="2">
        <f t="shared" si="9"/>
        <v>1040604010000</v>
      </c>
      <c r="G77" s="2">
        <f t="shared" si="10"/>
        <v>808</v>
      </c>
      <c r="H77" s="2">
        <f t="shared" si="11"/>
        <v>816080</v>
      </c>
    </row>
    <row r="78" spans="1:8" x14ac:dyDescent="0.35">
      <c r="A78" s="2">
        <v>1010</v>
      </c>
      <c r="B78" s="2">
        <v>8750</v>
      </c>
      <c r="C78" s="2">
        <f t="shared" si="6"/>
        <v>0.875</v>
      </c>
      <c r="D78" s="2">
        <f t="shared" si="7"/>
        <v>1020100</v>
      </c>
      <c r="E78" s="2">
        <f t="shared" si="8"/>
        <v>1030301000</v>
      </c>
      <c r="F78" s="2">
        <f t="shared" si="9"/>
        <v>1040604010000</v>
      </c>
      <c r="G78" s="2">
        <f t="shared" si="10"/>
        <v>883.75</v>
      </c>
      <c r="H78" s="2">
        <f t="shared" si="11"/>
        <v>892587.5</v>
      </c>
    </row>
    <row r="79" spans="1:8" x14ac:dyDescent="0.35">
      <c r="A79" s="2">
        <v>1010</v>
      </c>
      <c r="B79" s="2">
        <v>14615</v>
      </c>
      <c r="C79" s="2">
        <f t="shared" si="6"/>
        <v>1.4615</v>
      </c>
      <c r="D79" s="2">
        <f t="shared" si="7"/>
        <v>1020100</v>
      </c>
      <c r="E79" s="2">
        <f t="shared" si="8"/>
        <v>1030301000</v>
      </c>
      <c r="F79" s="2">
        <f t="shared" si="9"/>
        <v>1040604010000</v>
      </c>
      <c r="G79" s="2">
        <f t="shared" si="10"/>
        <v>1476.115</v>
      </c>
      <c r="H79" s="2">
        <f t="shared" si="11"/>
        <v>1490876.15</v>
      </c>
    </row>
    <row r="80" spans="1:8" x14ac:dyDescent="0.35">
      <c r="A80" s="2">
        <v>1010</v>
      </c>
      <c r="B80" s="2">
        <v>17500</v>
      </c>
      <c r="C80" s="2">
        <f t="shared" si="6"/>
        <v>1.75</v>
      </c>
      <c r="D80" s="2">
        <f t="shared" si="7"/>
        <v>1020100</v>
      </c>
      <c r="E80" s="2">
        <f t="shared" si="8"/>
        <v>1030301000</v>
      </c>
      <c r="F80" s="2">
        <f t="shared" si="9"/>
        <v>1040604010000</v>
      </c>
      <c r="G80" s="2">
        <f t="shared" si="10"/>
        <v>1767.5</v>
      </c>
      <c r="H80" s="2">
        <f t="shared" si="11"/>
        <v>1785175</v>
      </c>
    </row>
    <row r="81" spans="1:8" x14ac:dyDescent="0.35">
      <c r="A81" s="2">
        <v>1010</v>
      </c>
      <c r="B81" s="2">
        <v>20000</v>
      </c>
      <c r="C81" s="2">
        <f t="shared" si="6"/>
        <v>2</v>
      </c>
      <c r="D81" s="2">
        <f t="shared" si="7"/>
        <v>1020100</v>
      </c>
      <c r="E81" s="2">
        <f t="shared" si="8"/>
        <v>1030301000</v>
      </c>
      <c r="F81" s="2">
        <f t="shared" si="9"/>
        <v>1040604010000</v>
      </c>
      <c r="G81" s="2">
        <f t="shared" si="10"/>
        <v>2020</v>
      </c>
      <c r="H81" s="2">
        <f t="shared" si="11"/>
        <v>2040200</v>
      </c>
    </row>
    <row r="82" spans="1:8" x14ac:dyDescent="0.35">
      <c r="A82" s="2">
        <v>1010</v>
      </c>
      <c r="B82" s="2">
        <v>20000</v>
      </c>
      <c r="C82" s="2">
        <f t="shared" si="6"/>
        <v>2</v>
      </c>
      <c r="D82" s="2">
        <f t="shared" si="7"/>
        <v>1020100</v>
      </c>
      <c r="E82" s="2">
        <f t="shared" si="8"/>
        <v>1030301000</v>
      </c>
      <c r="F82" s="2">
        <f t="shared" si="9"/>
        <v>1040604010000</v>
      </c>
      <c r="G82" s="2">
        <f t="shared" si="10"/>
        <v>2020</v>
      </c>
      <c r="H82" s="2">
        <f t="shared" si="11"/>
        <v>2040200</v>
      </c>
    </row>
    <row r="83" spans="1:8" x14ac:dyDescent="0.35">
      <c r="A83" s="2">
        <v>1010</v>
      </c>
      <c r="B83" s="2">
        <v>14235</v>
      </c>
      <c r="C83" s="2">
        <f t="shared" si="6"/>
        <v>1.4235</v>
      </c>
      <c r="D83" s="2">
        <f t="shared" si="7"/>
        <v>1020100</v>
      </c>
      <c r="E83" s="2">
        <f t="shared" si="8"/>
        <v>1030301000</v>
      </c>
      <c r="F83" s="2">
        <f t="shared" si="9"/>
        <v>1040604010000</v>
      </c>
      <c r="G83" s="2">
        <f t="shared" si="10"/>
        <v>1437.7349999999999</v>
      </c>
      <c r="H83" s="2">
        <f t="shared" si="11"/>
        <v>1452112.35</v>
      </c>
    </row>
    <row r="84" spans="1:8" x14ac:dyDescent="0.35">
      <c r="A84" s="2">
        <v>1010</v>
      </c>
      <c r="B84" s="2">
        <v>13454</v>
      </c>
      <c r="C84" s="2">
        <f t="shared" si="6"/>
        <v>1.3453999999999999</v>
      </c>
      <c r="D84" s="2">
        <f t="shared" si="7"/>
        <v>1020100</v>
      </c>
      <c r="E84" s="2">
        <f t="shared" si="8"/>
        <v>1030301000</v>
      </c>
      <c r="F84" s="2">
        <f t="shared" si="9"/>
        <v>1040604010000</v>
      </c>
      <c r="G84" s="2">
        <f t="shared" si="10"/>
        <v>1358.854</v>
      </c>
      <c r="H84" s="2">
        <f t="shared" si="11"/>
        <v>1372442.54</v>
      </c>
    </row>
    <row r="85" spans="1:8" x14ac:dyDescent="0.35">
      <c r="A85" s="2">
        <v>1010</v>
      </c>
      <c r="B85" s="2">
        <v>13701</v>
      </c>
      <c r="C85" s="2">
        <f t="shared" si="6"/>
        <v>1.3701000000000001</v>
      </c>
      <c r="D85" s="2">
        <f t="shared" si="7"/>
        <v>1020100</v>
      </c>
      <c r="E85" s="2">
        <f t="shared" si="8"/>
        <v>1030301000</v>
      </c>
      <c r="F85" s="2">
        <f t="shared" si="9"/>
        <v>1040604010000</v>
      </c>
      <c r="G85" s="2">
        <f t="shared" si="10"/>
        <v>1383.8010000000002</v>
      </c>
      <c r="H85" s="2">
        <f t="shared" si="11"/>
        <v>1397639.01</v>
      </c>
    </row>
    <row r="86" spans="1:8" x14ac:dyDescent="0.35">
      <c r="A86" s="2">
        <v>1010</v>
      </c>
      <c r="B86" s="2">
        <v>13198</v>
      </c>
      <c r="C86" s="2">
        <f t="shared" si="6"/>
        <v>1.3198000000000001</v>
      </c>
      <c r="D86" s="2">
        <f t="shared" si="7"/>
        <v>1020100</v>
      </c>
      <c r="E86" s="2">
        <f t="shared" si="8"/>
        <v>1030301000</v>
      </c>
      <c r="F86" s="2">
        <f t="shared" si="9"/>
        <v>1040604010000</v>
      </c>
      <c r="G86" s="2">
        <f t="shared" si="10"/>
        <v>1332.998</v>
      </c>
      <c r="H86" s="2">
        <f t="shared" si="11"/>
        <v>1346327.98</v>
      </c>
    </row>
    <row r="87" spans="1:8" x14ac:dyDescent="0.35">
      <c r="A87" s="2">
        <v>1010</v>
      </c>
      <c r="B87" s="2">
        <v>11584</v>
      </c>
      <c r="C87" s="2">
        <f t="shared" si="6"/>
        <v>1.1584000000000001</v>
      </c>
      <c r="D87" s="2">
        <f t="shared" si="7"/>
        <v>1020100</v>
      </c>
      <c r="E87" s="2">
        <f t="shared" si="8"/>
        <v>1030301000</v>
      </c>
      <c r="F87" s="2">
        <f t="shared" si="9"/>
        <v>1040604010000</v>
      </c>
      <c r="G87" s="2">
        <f t="shared" si="10"/>
        <v>1169.9840000000002</v>
      </c>
      <c r="H87" s="2">
        <f t="shared" si="11"/>
        <v>1181683.8400000001</v>
      </c>
    </row>
    <row r="88" spans="1:8" x14ac:dyDescent="0.35">
      <c r="A88" s="2">
        <v>1010</v>
      </c>
      <c r="B88" s="2">
        <v>6977</v>
      </c>
      <c r="C88" s="2">
        <f t="shared" si="6"/>
        <v>0.69769999999999999</v>
      </c>
      <c r="D88" s="2">
        <f t="shared" si="7"/>
        <v>1020100</v>
      </c>
      <c r="E88" s="2">
        <f t="shared" si="8"/>
        <v>1030301000</v>
      </c>
      <c r="F88" s="2">
        <f t="shared" si="9"/>
        <v>1040604010000</v>
      </c>
      <c r="G88" s="2">
        <f t="shared" si="10"/>
        <v>704.67700000000002</v>
      </c>
      <c r="H88" s="2">
        <f t="shared" si="11"/>
        <v>711723.77</v>
      </c>
    </row>
    <row r="89" spans="1:8" x14ac:dyDescent="0.35">
      <c r="A89" s="2">
        <v>1010</v>
      </c>
      <c r="B89" s="2">
        <v>4947</v>
      </c>
      <c r="C89" s="2">
        <f t="shared" si="6"/>
        <v>0.49469999999999997</v>
      </c>
      <c r="D89" s="2">
        <f t="shared" si="7"/>
        <v>1020100</v>
      </c>
      <c r="E89" s="2">
        <f t="shared" si="8"/>
        <v>1030301000</v>
      </c>
      <c r="F89" s="2">
        <f t="shared" si="9"/>
        <v>1040604010000</v>
      </c>
      <c r="G89" s="2">
        <f t="shared" si="10"/>
        <v>499.64699999999999</v>
      </c>
      <c r="H89" s="2">
        <f t="shared" si="11"/>
        <v>504643.47</v>
      </c>
    </row>
    <row r="90" spans="1:8" x14ac:dyDescent="0.35">
      <c r="A90" s="2">
        <v>1010</v>
      </c>
      <c r="B90" s="2">
        <v>5143</v>
      </c>
      <c r="C90" s="2">
        <f t="shared" si="6"/>
        <v>0.51429999999999998</v>
      </c>
      <c r="D90" s="2">
        <f t="shared" si="7"/>
        <v>1020100</v>
      </c>
      <c r="E90" s="2">
        <f t="shared" si="8"/>
        <v>1030301000</v>
      </c>
      <c r="F90" s="2">
        <f t="shared" si="9"/>
        <v>1040604010000</v>
      </c>
      <c r="G90" s="2">
        <f t="shared" si="10"/>
        <v>519.44299999999998</v>
      </c>
      <c r="H90" s="2">
        <f t="shared" si="11"/>
        <v>524637.42999999993</v>
      </c>
    </row>
    <row r="91" spans="1:8" x14ac:dyDescent="0.35">
      <c r="A91" s="2">
        <v>1010</v>
      </c>
      <c r="B91" s="2">
        <v>5084</v>
      </c>
      <c r="C91" s="2">
        <f t="shared" si="6"/>
        <v>0.50839999999999996</v>
      </c>
      <c r="D91" s="2">
        <f t="shared" si="7"/>
        <v>1020100</v>
      </c>
      <c r="E91" s="2">
        <f t="shared" si="8"/>
        <v>1030301000</v>
      </c>
      <c r="F91" s="2">
        <f t="shared" si="9"/>
        <v>1040604010000</v>
      </c>
      <c r="G91" s="2">
        <f t="shared" si="10"/>
        <v>513.48399999999992</v>
      </c>
      <c r="H91" s="2">
        <f t="shared" si="11"/>
        <v>518618.83999999997</v>
      </c>
    </row>
    <row r="92" spans="1:8" x14ac:dyDescent="0.35">
      <c r="A92" s="2">
        <v>1010</v>
      </c>
      <c r="B92" s="2">
        <v>6028</v>
      </c>
      <c r="C92" s="2">
        <f t="shared" si="6"/>
        <v>0.6028</v>
      </c>
      <c r="D92" s="2">
        <f t="shared" si="7"/>
        <v>1020100</v>
      </c>
      <c r="E92" s="2">
        <f t="shared" si="8"/>
        <v>1030301000</v>
      </c>
      <c r="F92" s="2">
        <f t="shared" si="9"/>
        <v>1040604010000</v>
      </c>
      <c r="G92" s="2">
        <f t="shared" si="10"/>
        <v>608.82799999999997</v>
      </c>
      <c r="H92" s="2">
        <f t="shared" si="11"/>
        <v>614916.28</v>
      </c>
    </row>
    <row r="93" spans="1:8" x14ac:dyDescent="0.35">
      <c r="A93" s="2">
        <v>1010</v>
      </c>
      <c r="B93" s="2">
        <v>7403</v>
      </c>
      <c r="C93" s="2">
        <f t="shared" si="6"/>
        <v>0.74029999999999996</v>
      </c>
      <c r="D93" s="2">
        <f t="shared" si="7"/>
        <v>1020100</v>
      </c>
      <c r="E93" s="2">
        <f t="shared" si="8"/>
        <v>1030301000</v>
      </c>
      <c r="F93" s="2">
        <f t="shared" si="9"/>
        <v>1040604010000</v>
      </c>
      <c r="G93" s="2">
        <f t="shared" si="10"/>
        <v>747.70299999999997</v>
      </c>
      <c r="H93" s="2">
        <f t="shared" si="11"/>
        <v>755180.02999999991</v>
      </c>
    </row>
    <row r="94" spans="1:8" x14ac:dyDescent="0.35">
      <c r="A94" s="2">
        <v>1010</v>
      </c>
      <c r="B94" s="2">
        <v>8914</v>
      </c>
      <c r="C94" s="2">
        <f t="shared" si="6"/>
        <v>0.89139999999999997</v>
      </c>
      <c r="D94" s="2">
        <f t="shared" si="7"/>
        <v>1020100</v>
      </c>
      <c r="E94" s="2">
        <f t="shared" si="8"/>
        <v>1030301000</v>
      </c>
      <c r="F94" s="2">
        <f t="shared" si="9"/>
        <v>1040604010000</v>
      </c>
      <c r="G94" s="2">
        <f t="shared" si="10"/>
        <v>900.31399999999996</v>
      </c>
      <c r="H94" s="2">
        <f t="shared" si="11"/>
        <v>909317.14</v>
      </c>
    </row>
    <row r="95" spans="1:8" x14ac:dyDescent="0.35">
      <c r="A95" s="2">
        <v>1010</v>
      </c>
      <c r="B95" s="2">
        <v>7703</v>
      </c>
      <c r="C95" s="2">
        <f t="shared" si="6"/>
        <v>0.77029999999999998</v>
      </c>
      <c r="D95" s="2">
        <f t="shared" si="7"/>
        <v>1020100</v>
      </c>
      <c r="E95" s="2">
        <f t="shared" si="8"/>
        <v>1030301000</v>
      </c>
      <c r="F95" s="2">
        <f t="shared" si="9"/>
        <v>1040604010000</v>
      </c>
      <c r="G95" s="2">
        <f t="shared" si="10"/>
        <v>778.00299999999993</v>
      </c>
      <c r="H95" s="2">
        <f t="shared" si="11"/>
        <v>785783.03</v>
      </c>
    </row>
    <row r="96" spans="1:8" x14ac:dyDescent="0.35">
      <c r="A96" s="2">
        <v>1010</v>
      </c>
      <c r="B96" s="2">
        <v>12744</v>
      </c>
      <c r="C96" s="2">
        <f t="shared" si="6"/>
        <v>1.2744</v>
      </c>
      <c r="D96" s="2">
        <f t="shared" si="7"/>
        <v>1020100</v>
      </c>
      <c r="E96" s="2">
        <f t="shared" si="8"/>
        <v>1030301000</v>
      </c>
      <c r="F96" s="2">
        <f t="shared" si="9"/>
        <v>1040604010000</v>
      </c>
      <c r="G96" s="2">
        <f t="shared" si="10"/>
        <v>1287.144</v>
      </c>
      <c r="H96" s="2">
        <f t="shared" si="11"/>
        <v>1300015.44</v>
      </c>
    </row>
    <row r="97" spans="1:8" x14ac:dyDescent="0.35">
      <c r="A97" s="2">
        <v>1010</v>
      </c>
      <c r="B97" s="2">
        <v>14064</v>
      </c>
      <c r="C97" s="2">
        <f t="shared" si="6"/>
        <v>1.4064000000000001</v>
      </c>
      <c r="D97" s="2">
        <f t="shared" si="7"/>
        <v>1020100</v>
      </c>
      <c r="E97" s="2">
        <f t="shared" si="8"/>
        <v>1030301000</v>
      </c>
      <c r="F97" s="2">
        <f t="shared" si="9"/>
        <v>1040604010000</v>
      </c>
      <c r="G97" s="2">
        <f t="shared" si="10"/>
        <v>1420.4640000000002</v>
      </c>
      <c r="H97" s="2">
        <f t="shared" si="11"/>
        <v>1434668.6400000001</v>
      </c>
    </row>
    <row r="98" spans="1:8" x14ac:dyDescent="0.35">
      <c r="A98" s="2">
        <v>1010</v>
      </c>
      <c r="B98" s="2">
        <v>15068</v>
      </c>
      <c r="C98" s="2">
        <f t="shared" si="6"/>
        <v>1.5067999999999999</v>
      </c>
      <c r="D98" s="2">
        <f t="shared" si="7"/>
        <v>1020100</v>
      </c>
      <c r="E98" s="2">
        <f t="shared" si="8"/>
        <v>1030301000</v>
      </c>
      <c r="F98" s="2">
        <f t="shared" si="9"/>
        <v>1040604010000</v>
      </c>
      <c r="G98" s="2">
        <f t="shared" si="10"/>
        <v>1521.8679999999999</v>
      </c>
      <c r="H98" s="2">
        <f t="shared" si="11"/>
        <v>1537086.68</v>
      </c>
    </row>
    <row r="99" spans="1:8" x14ac:dyDescent="0.35">
      <c r="A99" s="2">
        <v>1010</v>
      </c>
      <c r="B99" s="2">
        <v>15477</v>
      </c>
      <c r="C99" s="2">
        <f t="shared" si="6"/>
        <v>1.5477000000000001</v>
      </c>
      <c r="D99" s="2">
        <f t="shared" si="7"/>
        <v>1020100</v>
      </c>
      <c r="E99" s="2">
        <f t="shared" si="8"/>
        <v>1030301000</v>
      </c>
      <c r="F99" s="2">
        <f t="shared" si="9"/>
        <v>1040604010000</v>
      </c>
      <c r="G99" s="2">
        <f t="shared" si="10"/>
        <v>1563.1770000000001</v>
      </c>
      <c r="H99" s="2">
        <f t="shared" si="11"/>
        <v>1578808.77</v>
      </c>
    </row>
    <row r="100" spans="1:8" x14ac:dyDescent="0.35">
      <c r="A100" s="2">
        <v>591</v>
      </c>
      <c r="B100" s="2">
        <v>36782</v>
      </c>
      <c r="C100" s="2">
        <f t="shared" si="6"/>
        <v>3.6781999999999999</v>
      </c>
      <c r="D100" s="2">
        <f t="shared" si="7"/>
        <v>349281</v>
      </c>
      <c r="E100" s="2">
        <f t="shared" si="8"/>
        <v>206425071</v>
      </c>
      <c r="F100" s="2">
        <f t="shared" si="9"/>
        <v>121997216961</v>
      </c>
      <c r="G100" s="2">
        <f t="shared" si="10"/>
        <v>2173.8161999999998</v>
      </c>
      <c r="H100" s="2">
        <f t="shared" si="11"/>
        <v>1284725.3742</v>
      </c>
    </row>
    <row r="101" spans="1:8" x14ac:dyDescent="0.35">
      <c r="A101" s="2">
        <v>591</v>
      </c>
      <c r="B101" s="2">
        <v>38849</v>
      </c>
      <c r="C101" s="2">
        <f t="shared" si="6"/>
        <v>3.8849</v>
      </c>
      <c r="D101" s="2">
        <f t="shared" si="7"/>
        <v>349281</v>
      </c>
      <c r="E101" s="2">
        <f t="shared" si="8"/>
        <v>206425071</v>
      </c>
      <c r="F101" s="2">
        <f t="shared" si="9"/>
        <v>121997216961</v>
      </c>
      <c r="G101" s="2">
        <f t="shared" si="10"/>
        <v>2295.9758999999999</v>
      </c>
      <c r="H101" s="2">
        <f t="shared" si="11"/>
        <v>1356921.7568999999</v>
      </c>
    </row>
    <row r="102" spans="1:8" x14ac:dyDescent="0.35">
      <c r="A102" s="2">
        <v>591</v>
      </c>
      <c r="B102" s="2">
        <v>39185</v>
      </c>
      <c r="C102" s="2">
        <f t="shared" si="6"/>
        <v>3.9184999999999999</v>
      </c>
      <c r="D102" s="2">
        <f t="shared" si="7"/>
        <v>349281</v>
      </c>
      <c r="E102" s="2">
        <f t="shared" si="8"/>
        <v>206425071</v>
      </c>
      <c r="F102" s="2">
        <f t="shared" si="9"/>
        <v>121997216961</v>
      </c>
      <c r="G102" s="2">
        <f t="shared" si="10"/>
        <v>2315.8334999999997</v>
      </c>
      <c r="H102" s="2">
        <f t="shared" si="11"/>
        <v>1368657.5984999998</v>
      </c>
    </row>
    <row r="103" spans="1:8" x14ac:dyDescent="0.35">
      <c r="A103" s="2">
        <v>591</v>
      </c>
      <c r="B103" s="2">
        <v>46711</v>
      </c>
      <c r="C103" s="2">
        <f t="shared" si="6"/>
        <v>4.6711</v>
      </c>
      <c r="D103" s="2">
        <f t="shared" si="7"/>
        <v>349281</v>
      </c>
      <c r="E103" s="2">
        <f t="shared" si="8"/>
        <v>206425071</v>
      </c>
      <c r="F103" s="2">
        <f t="shared" si="9"/>
        <v>121997216961</v>
      </c>
      <c r="G103" s="2">
        <f t="shared" si="10"/>
        <v>2760.6201000000001</v>
      </c>
      <c r="H103" s="2">
        <f t="shared" si="11"/>
        <v>1631526.4791000001</v>
      </c>
    </row>
    <row r="104" spans="1:8" x14ac:dyDescent="0.35">
      <c r="A104" s="2">
        <v>591</v>
      </c>
      <c r="B104" s="2">
        <v>36709</v>
      </c>
      <c r="C104" s="2">
        <f t="shared" si="6"/>
        <v>3.6709000000000001</v>
      </c>
      <c r="D104" s="2">
        <f t="shared" si="7"/>
        <v>349281</v>
      </c>
      <c r="E104" s="2">
        <f t="shared" si="8"/>
        <v>206425071</v>
      </c>
      <c r="F104" s="2">
        <f t="shared" si="9"/>
        <v>121997216961</v>
      </c>
      <c r="G104" s="2">
        <f t="shared" si="10"/>
        <v>2169.5019000000002</v>
      </c>
      <c r="H104" s="2">
        <f t="shared" si="11"/>
        <v>1282175.6229000001</v>
      </c>
    </row>
    <row r="105" spans="1:8" x14ac:dyDescent="0.35">
      <c r="A105" s="2">
        <v>591</v>
      </c>
      <c r="B105" s="2">
        <v>40294</v>
      </c>
      <c r="C105" s="2">
        <f t="shared" si="6"/>
        <v>4.0293999999999999</v>
      </c>
      <c r="D105" s="2">
        <f t="shared" si="7"/>
        <v>349281</v>
      </c>
      <c r="E105" s="2">
        <f t="shared" si="8"/>
        <v>206425071</v>
      </c>
      <c r="F105" s="2">
        <f t="shared" si="9"/>
        <v>121997216961</v>
      </c>
      <c r="G105" s="2">
        <f t="shared" si="10"/>
        <v>2381.3753999999999</v>
      </c>
      <c r="H105" s="2">
        <f t="shared" si="11"/>
        <v>1407392.8614000001</v>
      </c>
    </row>
    <row r="106" spans="1:8" x14ac:dyDescent="0.35">
      <c r="A106" s="2">
        <v>591</v>
      </c>
      <c r="B106" s="2">
        <v>52075</v>
      </c>
      <c r="C106" s="2">
        <f t="shared" si="6"/>
        <v>5.2074999999999996</v>
      </c>
      <c r="D106" s="2">
        <f t="shared" si="7"/>
        <v>349281</v>
      </c>
      <c r="E106" s="2">
        <f t="shared" si="8"/>
        <v>206425071</v>
      </c>
      <c r="F106" s="2">
        <f t="shared" si="9"/>
        <v>121997216961</v>
      </c>
      <c r="G106" s="2">
        <f t="shared" si="10"/>
        <v>3077.6324999999997</v>
      </c>
      <c r="H106" s="2">
        <f t="shared" si="11"/>
        <v>1818880.8074999999</v>
      </c>
    </row>
    <row r="107" spans="1:8" x14ac:dyDescent="0.35">
      <c r="A107" s="2">
        <v>591</v>
      </c>
      <c r="B107" s="2">
        <v>43559</v>
      </c>
      <c r="C107" s="2">
        <f t="shared" si="6"/>
        <v>4.3559000000000001</v>
      </c>
      <c r="D107" s="2">
        <f t="shared" si="7"/>
        <v>349281</v>
      </c>
      <c r="E107" s="2">
        <f t="shared" si="8"/>
        <v>206425071</v>
      </c>
      <c r="F107" s="2">
        <f t="shared" si="9"/>
        <v>121997216961</v>
      </c>
      <c r="G107" s="2">
        <f t="shared" si="10"/>
        <v>2574.3369000000002</v>
      </c>
      <c r="H107" s="2">
        <f t="shared" si="11"/>
        <v>1521433.1078999999</v>
      </c>
    </row>
    <row r="108" spans="1:8" x14ac:dyDescent="0.35">
      <c r="A108" s="2">
        <v>591</v>
      </c>
      <c r="B108" s="2">
        <v>42989</v>
      </c>
      <c r="C108" s="2">
        <f t="shared" si="6"/>
        <v>4.2988999999999997</v>
      </c>
      <c r="D108" s="2">
        <f t="shared" si="7"/>
        <v>349281</v>
      </c>
      <c r="E108" s="2">
        <f t="shared" si="8"/>
        <v>206425071</v>
      </c>
      <c r="F108" s="2">
        <f t="shared" si="9"/>
        <v>121997216961</v>
      </c>
      <c r="G108" s="2">
        <f t="shared" si="10"/>
        <v>2540.6498999999999</v>
      </c>
      <c r="H108" s="2">
        <f t="shared" si="11"/>
        <v>1501524.0909</v>
      </c>
    </row>
    <row r="109" spans="1:8" x14ac:dyDescent="0.35">
      <c r="A109" s="2">
        <v>591</v>
      </c>
      <c r="B109" s="2">
        <v>50306</v>
      </c>
      <c r="C109" s="2">
        <f t="shared" si="6"/>
        <v>5.0305999999999997</v>
      </c>
      <c r="D109" s="2">
        <f t="shared" si="7"/>
        <v>349281</v>
      </c>
      <c r="E109" s="2">
        <f t="shared" si="8"/>
        <v>206425071</v>
      </c>
      <c r="F109" s="2">
        <f t="shared" si="9"/>
        <v>121997216961</v>
      </c>
      <c r="G109" s="2">
        <f t="shared" si="10"/>
        <v>2973.0845999999997</v>
      </c>
      <c r="H109" s="2">
        <f t="shared" si="11"/>
        <v>1757092.9985999998</v>
      </c>
    </row>
    <row r="110" spans="1:8" x14ac:dyDescent="0.35">
      <c r="A110" s="2">
        <v>591</v>
      </c>
      <c r="B110" s="2">
        <v>51031</v>
      </c>
      <c r="C110" s="2">
        <f t="shared" si="6"/>
        <v>5.1031000000000004</v>
      </c>
      <c r="D110" s="2">
        <f t="shared" si="7"/>
        <v>349281</v>
      </c>
      <c r="E110" s="2">
        <f t="shared" si="8"/>
        <v>206425071</v>
      </c>
      <c r="F110" s="2">
        <f t="shared" si="9"/>
        <v>121997216961</v>
      </c>
      <c r="G110" s="2">
        <f t="shared" si="10"/>
        <v>3015.9321000000004</v>
      </c>
      <c r="H110" s="2">
        <f t="shared" si="11"/>
        <v>1782415.8711000001</v>
      </c>
    </row>
    <row r="111" spans="1:8" x14ac:dyDescent="0.35">
      <c r="A111" s="2">
        <v>591</v>
      </c>
      <c r="B111" s="2">
        <v>53703</v>
      </c>
      <c r="C111" s="2">
        <f t="shared" si="6"/>
        <v>5.3703000000000003</v>
      </c>
      <c r="D111" s="2">
        <f t="shared" si="7"/>
        <v>349281</v>
      </c>
      <c r="E111" s="2">
        <f t="shared" si="8"/>
        <v>206425071</v>
      </c>
      <c r="F111" s="2">
        <f t="shared" si="9"/>
        <v>121997216961</v>
      </c>
      <c r="G111" s="2">
        <f t="shared" si="10"/>
        <v>3173.8473000000004</v>
      </c>
      <c r="H111" s="2">
        <f t="shared" si="11"/>
        <v>1875743.7543000001</v>
      </c>
    </row>
    <row r="112" spans="1:8" x14ac:dyDescent="0.35">
      <c r="A112" s="2">
        <v>591</v>
      </c>
      <c r="B112" s="2">
        <v>47762</v>
      </c>
      <c r="C112" s="2">
        <f t="shared" si="6"/>
        <v>4.7762000000000002</v>
      </c>
      <c r="D112" s="2">
        <f t="shared" si="7"/>
        <v>349281</v>
      </c>
      <c r="E112" s="2">
        <f t="shared" si="8"/>
        <v>206425071</v>
      </c>
      <c r="F112" s="2">
        <f t="shared" si="9"/>
        <v>121997216961</v>
      </c>
      <c r="G112" s="2">
        <f t="shared" si="10"/>
        <v>2822.7342000000003</v>
      </c>
      <c r="H112" s="2">
        <f t="shared" si="11"/>
        <v>1668235.9122000001</v>
      </c>
    </row>
    <row r="113" spans="1:8" x14ac:dyDescent="0.35">
      <c r="A113" s="2">
        <v>591</v>
      </c>
      <c r="B113" s="2">
        <v>57337</v>
      </c>
      <c r="C113" s="2">
        <f t="shared" si="6"/>
        <v>5.7336999999999998</v>
      </c>
      <c r="D113" s="2">
        <f t="shared" si="7"/>
        <v>349281</v>
      </c>
      <c r="E113" s="2">
        <f t="shared" si="8"/>
        <v>206425071</v>
      </c>
      <c r="F113" s="2">
        <f t="shared" si="9"/>
        <v>121997216961</v>
      </c>
      <c r="G113" s="2">
        <f t="shared" si="10"/>
        <v>3388.6167</v>
      </c>
      <c r="H113" s="2">
        <f t="shared" si="11"/>
        <v>2002672.4697</v>
      </c>
    </row>
    <row r="114" spans="1:8" x14ac:dyDescent="0.35">
      <c r="A114" s="2">
        <v>591</v>
      </c>
      <c r="B114" s="2">
        <v>47798</v>
      </c>
      <c r="C114" s="2">
        <f t="shared" si="6"/>
        <v>4.7797999999999998</v>
      </c>
      <c r="D114" s="2">
        <f t="shared" si="7"/>
        <v>349281</v>
      </c>
      <c r="E114" s="2">
        <f t="shared" si="8"/>
        <v>206425071</v>
      </c>
      <c r="F114" s="2">
        <f t="shared" si="9"/>
        <v>121997216961</v>
      </c>
      <c r="G114" s="2">
        <f t="shared" si="10"/>
        <v>2824.8617999999997</v>
      </c>
      <c r="H114" s="2">
        <f t="shared" si="11"/>
        <v>1669493.3237999999</v>
      </c>
    </row>
    <row r="115" spans="1:8" x14ac:dyDescent="0.35">
      <c r="A115" s="2">
        <v>591</v>
      </c>
      <c r="B115" s="2">
        <v>57495</v>
      </c>
      <c r="C115" s="2">
        <f t="shared" si="6"/>
        <v>5.7495000000000003</v>
      </c>
      <c r="D115" s="2">
        <f t="shared" si="7"/>
        <v>349281</v>
      </c>
      <c r="E115" s="2">
        <f t="shared" si="8"/>
        <v>206425071</v>
      </c>
      <c r="F115" s="2">
        <f t="shared" si="9"/>
        <v>121997216961</v>
      </c>
      <c r="G115" s="2">
        <f t="shared" si="10"/>
        <v>3397.9545000000003</v>
      </c>
      <c r="H115" s="2">
        <f t="shared" si="11"/>
        <v>2008191.1095</v>
      </c>
    </row>
    <row r="116" spans="1:8" x14ac:dyDescent="0.35">
      <c r="A116" s="2">
        <v>591</v>
      </c>
      <c r="B116" s="2">
        <v>57197</v>
      </c>
      <c r="C116" s="2">
        <f t="shared" si="6"/>
        <v>5.7196999999999996</v>
      </c>
      <c r="D116" s="2">
        <f t="shared" si="7"/>
        <v>349281</v>
      </c>
      <c r="E116" s="2">
        <f t="shared" si="8"/>
        <v>206425071</v>
      </c>
      <c r="F116" s="2">
        <f t="shared" si="9"/>
        <v>121997216961</v>
      </c>
      <c r="G116" s="2">
        <f t="shared" si="10"/>
        <v>3380.3426999999997</v>
      </c>
      <c r="H116" s="2">
        <f t="shared" si="11"/>
        <v>1997782.5356999999</v>
      </c>
    </row>
    <row r="117" spans="1:8" x14ac:dyDescent="0.35">
      <c r="A117" s="2">
        <v>591</v>
      </c>
      <c r="B117" s="2">
        <v>62661</v>
      </c>
      <c r="C117" s="2">
        <f t="shared" si="6"/>
        <v>6.2660999999999998</v>
      </c>
      <c r="D117" s="2">
        <f t="shared" si="7"/>
        <v>349281</v>
      </c>
      <c r="E117" s="2">
        <f t="shared" si="8"/>
        <v>206425071</v>
      </c>
      <c r="F117" s="2">
        <f t="shared" si="9"/>
        <v>121997216961</v>
      </c>
      <c r="G117" s="2">
        <f t="shared" si="10"/>
        <v>3703.2651000000001</v>
      </c>
      <c r="H117" s="2">
        <f t="shared" si="11"/>
        <v>2188629.6740999999</v>
      </c>
    </row>
    <row r="118" spans="1:8" x14ac:dyDescent="0.35">
      <c r="A118" s="2">
        <v>591</v>
      </c>
      <c r="B118" s="2">
        <v>60165</v>
      </c>
      <c r="C118" s="2">
        <f t="shared" si="6"/>
        <v>6.0164999999999997</v>
      </c>
      <c r="D118" s="2">
        <f t="shared" si="7"/>
        <v>349281</v>
      </c>
      <c r="E118" s="2">
        <f t="shared" si="8"/>
        <v>206425071</v>
      </c>
      <c r="F118" s="2">
        <f t="shared" si="9"/>
        <v>121997216961</v>
      </c>
      <c r="G118" s="2">
        <f t="shared" si="10"/>
        <v>3555.7514999999999</v>
      </c>
      <c r="H118" s="2">
        <f t="shared" si="11"/>
        <v>2101449.1365</v>
      </c>
    </row>
    <row r="119" spans="1:8" x14ac:dyDescent="0.35">
      <c r="A119" s="2">
        <v>591</v>
      </c>
      <c r="B119" s="2">
        <v>70610</v>
      </c>
      <c r="C119" s="2">
        <f t="shared" si="6"/>
        <v>7.0609999999999999</v>
      </c>
      <c r="D119" s="2">
        <f t="shared" si="7"/>
        <v>349281</v>
      </c>
      <c r="E119" s="2">
        <f t="shared" si="8"/>
        <v>206425071</v>
      </c>
      <c r="F119" s="2">
        <f t="shared" si="9"/>
        <v>121997216961</v>
      </c>
      <c r="G119" s="2">
        <f t="shared" si="10"/>
        <v>4173.0510000000004</v>
      </c>
      <c r="H119" s="2">
        <f t="shared" si="11"/>
        <v>2466273.1409999998</v>
      </c>
    </row>
    <row r="120" spans="1:8" x14ac:dyDescent="0.35">
      <c r="A120" s="2">
        <v>591</v>
      </c>
      <c r="B120" s="2">
        <v>65604</v>
      </c>
      <c r="C120" s="2">
        <f t="shared" si="6"/>
        <v>6.5603999999999996</v>
      </c>
      <c r="D120" s="2">
        <f t="shared" si="7"/>
        <v>349281</v>
      </c>
      <c r="E120" s="2">
        <f t="shared" si="8"/>
        <v>206425071</v>
      </c>
      <c r="F120" s="2">
        <f t="shared" si="9"/>
        <v>121997216961</v>
      </c>
      <c r="G120" s="2">
        <f t="shared" si="10"/>
        <v>3877.1963999999998</v>
      </c>
      <c r="H120" s="2">
        <f t="shared" si="11"/>
        <v>2291423.0723999999</v>
      </c>
    </row>
    <row r="121" spans="1:8" x14ac:dyDescent="0.35">
      <c r="A121" s="2">
        <v>591</v>
      </c>
      <c r="B121" s="2">
        <v>68278</v>
      </c>
      <c r="C121" s="2">
        <f t="shared" si="6"/>
        <v>6.8277999999999999</v>
      </c>
      <c r="D121" s="2">
        <f t="shared" si="7"/>
        <v>349281</v>
      </c>
      <c r="E121" s="2">
        <f t="shared" si="8"/>
        <v>206425071</v>
      </c>
      <c r="F121" s="2">
        <f t="shared" si="9"/>
        <v>121997216961</v>
      </c>
      <c r="G121" s="2">
        <f t="shared" si="10"/>
        <v>4035.2298000000001</v>
      </c>
      <c r="H121" s="2">
        <f t="shared" si="11"/>
        <v>2384820.8117999998</v>
      </c>
    </row>
    <row r="122" spans="1:8" x14ac:dyDescent="0.35">
      <c r="A122" s="2">
        <v>591</v>
      </c>
      <c r="B122" s="2">
        <v>68842</v>
      </c>
      <c r="C122" s="2">
        <f t="shared" si="6"/>
        <v>6.8841999999999999</v>
      </c>
      <c r="D122" s="2">
        <f t="shared" si="7"/>
        <v>349281</v>
      </c>
      <c r="E122" s="2">
        <f t="shared" si="8"/>
        <v>206425071</v>
      </c>
      <c r="F122" s="2">
        <f t="shared" si="9"/>
        <v>121997216961</v>
      </c>
      <c r="G122" s="2">
        <f t="shared" si="10"/>
        <v>4068.5621999999998</v>
      </c>
      <c r="H122" s="2">
        <f t="shared" si="11"/>
        <v>2404520.2601999999</v>
      </c>
    </row>
    <row r="123" spans="1:8" x14ac:dyDescent="0.35">
      <c r="A123" s="2">
        <v>591</v>
      </c>
      <c r="B123" s="2">
        <v>57646</v>
      </c>
      <c r="C123" s="2">
        <f t="shared" si="6"/>
        <v>5.7645999999999997</v>
      </c>
      <c r="D123" s="2">
        <f t="shared" si="7"/>
        <v>349281</v>
      </c>
      <c r="E123" s="2">
        <f t="shared" si="8"/>
        <v>206425071</v>
      </c>
      <c r="F123" s="2">
        <f t="shared" si="9"/>
        <v>121997216961</v>
      </c>
      <c r="G123" s="2">
        <f t="shared" si="10"/>
        <v>3406.8786</v>
      </c>
      <c r="H123" s="2">
        <f t="shared" si="11"/>
        <v>2013465.2526</v>
      </c>
    </row>
    <row r="124" spans="1:8" x14ac:dyDescent="0.35">
      <c r="A124" s="2">
        <v>591</v>
      </c>
      <c r="B124" s="2">
        <v>67901</v>
      </c>
      <c r="C124" s="2">
        <f t="shared" si="6"/>
        <v>6.7900999999999998</v>
      </c>
      <c r="D124" s="2">
        <f t="shared" si="7"/>
        <v>349281</v>
      </c>
      <c r="E124" s="2">
        <f t="shared" si="8"/>
        <v>206425071</v>
      </c>
      <c r="F124" s="2">
        <f t="shared" si="9"/>
        <v>121997216961</v>
      </c>
      <c r="G124" s="2">
        <f t="shared" si="10"/>
        <v>4012.9490999999998</v>
      </c>
      <c r="H124" s="2">
        <f t="shared" si="11"/>
        <v>2371652.9180999999</v>
      </c>
    </row>
    <row r="125" spans="1:8" x14ac:dyDescent="0.35">
      <c r="A125" s="2">
        <v>591</v>
      </c>
      <c r="B125" s="2">
        <v>66617</v>
      </c>
      <c r="C125" s="2">
        <f t="shared" si="6"/>
        <v>6.6616999999999997</v>
      </c>
      <c r="D125" s="2">
        <f t="shared" si="7"/>
        <v>349281</v>
      </c>
      <c r="E125" s="2">
        <f t="shared" si="8"/>
        <v>206425071</v>
      </c>
      <c r="F125" s="2">
        <f t="shared" si="9"/>
        <v>121997216961</v>
      </c>
      <c r="G125" s="2">
        <f t="shared" si="10"/>
        <v>3937.0646999999999</v>
      </c>
      <c r="H125" s="2">
        <f t="shared" si="11"/>
        <v>2326805.2376999999</v>
      </c>
    </row>
    <row r="126" spans="1:8" x14ac:dyDescent="0.35">
      <c r="A126" s="2">
        <v>591</v>
      </c>
      <c r="B126" s="2">
        <v>67187</v>
      </c>
      <c r="C126" s="2">
        <f t="shared" si="6"/>
        <v>6.7187000000000001</v>
      </c>
      <c r="D126" s="2">
        <f t="shared" si="7"/>
        <v>349281</v>
      </c>
      <c r="E126" s="2">
        <f t="shared" si="8"/>
        <v>206425071</v>
      </c>
      <c r="F126" s="2">
        <f t="shared" si="9"/>
        <v>121997216961</v>
      </c>
      <c r="G126" s="2">
        <f t="shared" si="10"/>
        <v>3970.7517000000003</v>
      </c>
      <c r="H126" s="2">
        <f t="shared" si="11"/>
        <v>2346714.2546999999</v>
      </c>
    </row>
    <row r="127" spans="1:8" x14ac:dyDescent="0.35">
      <c r="A127" s="2">
        <v>591</v>
      </c>
      <c r="B127" s="2">
        <v>65042</v>
      </c>
      <c r="C127" s="2">
        <f t="shared" si="6"/>
        <v>6.5042</v>
      </c>
      <c r="D127" s="2">
        <f t="shared" si="7"/>
        <v>349281</v>
      </c>
      <c r="E127" s="2">
        <f t="shared" si="8"/>
        <v>206425071</v>
      </c>
      <c r="F127" s="2">
        <f t="shared" si="9"/>
        <v>121997216961</v>
      </c>
      <c r="G127" s="2">
        <f t="shared" si="10"/>
        <v>3843.9821999999999</v>
      </c>
      <c r="H127" s="2">
        <f t="shared" si="11"/>
        <v>2271793.4802000001</v>
      </c>
    </row>
    <row r="128" spans="1:8" x14ac:dyDescent="0.35">
      <c r="A128" s="2">
        <v>591</v>
      </c>
      <c r="B128" s="2">
        <v>66989</v>
      </c>
      <c r="C128" s="2">
        <f t="shared" si="6"/>
        <v>6.6989000000000001</v>
      </c>
      <c r="D128" s="2">
        <f t="shared" si="7"/>
        <v>349281</v>
      </c>
      <c r="E128" s="2">
        <f t="shared" si="8"/>
        <v>206425071</v>
      </c>
      <c r="F128" s="2">
        <f t="shared" si="9"/>
        <v>121997216961</v>
      </c>
      <c r="G128" s="2">
        <f t="shared" si="10"/>
        <v>3959.0499</v>
      </c>
      <c r="H128" s="2">
        <f t="shared" si="11"/>
        <v>2339798.4909000001</v>
      </c>
    </row>
    <row r="129" spans="1:8" x14ac:dyDescent="0.35">
      <c r="A129" s="2">
        <v>591</v>
      </c>
      <c r="B129" s="2">
        <v>67632</v>
      </c>
      <c r="C129" s="2">
        <f t="shared" si="6"/>
        <v>6.7632000000000003</v>
      </c>
      <c r="D129" s="2">
        <f t="shared" si="7"/>
        <v>349281</v>
      </c>
      <c r="E129" s="2">
        <f t="shared" si="8"/>
        <v>206425071</v>
      </c>
      <c r="F129" s="2">
        <f t="shared" si="9"/>
        <v>121997216961</v>
      </c>
      <c r="G129" s="2">
        <f t="shared" si="10"/>
        <v>3997.0512000000003</v>
      </c>
      <c r="H129" s="2">
        <f t="shared" si="11"/>
        <v>2362257.2592000002</v>
      </c>
    </row>
    <row r="130" spans="1:8" x14ac:dyDescent="0.35">
      <c r="A130" s="2">
        <v>534</v>
      </c>
      <c r="B130" s="2">
        <v>70936</v>
      </c>
      <c r="C130" s="2">
        <f t="shared" si="6"/>
        <v>7.0936000000000003</v>
      </c>
      <c r="D130" s="2">
        <f t="shared" si="7"/>
        <v>285156</v>
      </c>
      <c r="E130" s="2">
        <f t="shared" si="8"/>
        <v>152273304</v>
      </c>
      <c r="F130" s="2">
        <f t="shared" si="9"/>
        <v>81313944336</v>
      </c>
      <c r="G130" s="2">
        <f t="shared" si="10"/>
        <v>3787.9824000000003</v>
      </c>
      <c r="H130" s="2">
        <f t="shared" si="11"/>
        <v>2022782.6016000002</v>
      </c>
    </row>
    <row r="131" spans="1:8" x14ac:dyDescent="0.35">
      <c r="A131" s="2">
        <v>534</v>
      </c>
      <c r="B131" s="2">
        <v>64750</v>
      </c>
      <c r="C131" s="2">
        <f t="shared" ref="C131:C194" si="12">B131/10000</f>
        <v>6.4749999999999996</v>
      </c>
      <c r="D131" s="2">
        <f t="shared" ref="D131:D194" si="13">A131^2</f>
        <v>285156</v>
      </c>
      <c r="E131" s="2">
        <f t="shared" ref="E131:E194" si="14">A131^3</f>
        <v>152273304</v>
      </c>
      <c r="F131" s="2">
        <f t="shared" ref="F131:F194" si="15">A131^4</f>
        <v>81313944336</v>
      </c>
      <c r="G131" s="2">
        <f t="shared" ref="G131:G194" si="16">A131*C131</f>
        <v>3457.6499999999996</v>
      </c>
      <c r="H131" s="2">
        <f t="shared" ref="H131:H194" si="17">D131*C131</f>
        <v>1846385.0999999999</v>
      </c>
    </row>
    <row r="132" spans="1:8" x14ac:dyDescent="0.35">
      <c r="A132" s="2">
        <v>534</v>
      </c>
      <c r="B132" s="2">
        <v>57247</v>
      </c>
      <c r="C132" s="2">
        <f t="shared" si="12"/>
        <v>5.7247000000000003</v>
      </c>
      <c r="D132" s="2">
        <f t="shared" si="13"/>
        <v>285156</v>
      </c>
      <c r="E132" s="2">
        <f t="shared" si="14"/>
        <v>152273304</v>
      </c>
      <c r="F132" s="2">
        <f t="shared" si="15"/>
        <v>81313944336</v>
      </c>
      <c r="G132" s="2">
        <f t="shared" si="16"/>
        <v>3056.9898000000003</v>
      </c>
      <c r="H132" s="2">
        <f t="shared" si="17"/>
        <v>1632432.5532000002</v>
      </c>
    </row>
    <row r="133" spans="1:8" x14ac:dyDescent="0.35">
      <c r="A133" s="2">
        <v>534</v>
      </c>
      <c r="B133" s="2">
        <v>82990</v>
      </c>
      <c r="C133" s="2">
        <f t="shared" si="12"/>
        <v>8.2989999999999995</v>
      </c>
      <c r="D133" s="2">
        <f t="shared" si="13"/>
        <v>285156</v>
      </c>
      <c r="E133" s="2">
        <f t="shared" si="14"/>
        <v>152273304</v>
      </c>
      <c r="F133" s="2">
        <f t="shared" si="15"/>
        <v>81313944336</v>
      </c>
      <c r="G133" s="2">
        <f t="shared" si="16"/>
        <v>4431.6660000000002</v>
      </c>
      <c r="H133" s="2">
        <f t="shared" si="17"/>
        <v>2366509.6439999999</v>
      </c>
    </row>
    <row r="134" spans="1:8" x14ac:dyDescent="0.35">
      <c r="A134" s="2">
        <v>534</v>
      </c>
      <c r="B134" s="2">
        <v>88000</v>
      </c>
      <c r="C134" s="2">
        <f t="shared" si="12"/>
        <v>8.8000000000000007</v>
      </c>
      <c r="D134" s="2">
        <f t="shared" si="13"/>
        <v>285156</v>
      </c>
      <c r="E134" s="2">
        <f t="shared" si="14"/>
        <v>152273304</v>
      </c>
      <c r="F134" s="2">
        <f t="shared" si="15"/>
        <v>81313944336</v>
      </c>
      <c r="G134" s="2">
        <f t="shared" si="16"/>
        <v>4699.2000000000007</v>
      </c>
      <c r="H134" s="2">
        <f t="shared" si="17"/>
        <v>2509372.8000000003</v>
      </c>
    </row>
    <row r="135" spans="1:8" x14ac:dyDescent="0.35">
      <c r="A135" s="2">
        <v>534</v>
      </c>
      <c r="B135" s="2">
        <v>88427</v>
      </c>
      <c r="C135" s="2">
        <f t="shared" si="12"/>
        <v>8.8427000000000007</v>
      </c>
      <c r="D135" s="2">
        <f t="shared" si="13"/>
        <v>285156</v>
      </c>
      <c r="E135" s="2">
        <f t="shared" si="14"/>
        <v>152273304</v>
      </c>
      <c r="F135" s="2">
        <f t="shared" si="15"/>
        <v>81313944336</v>
      </c>
      <c r="G135" s="2">
        <f t="shared" si="16"/>
        <v>4722.0018</v>
      </c>
      <c r="H135" s="2">
        <f t="shared" si="17"/>
        <v>2521548.9612000003</v>
      </c>
    </row>
    <row r="136" spans="1:8" x14ac:dyDescent="0.35">
      <c r="A136" s="2">
        <v>534</v>
      </c>
      <c r="B136" s="2">
        <v>88346</v>
      </c>
      <c r="C136" s="2">
        <f t="shared" si="12"/>
        <v>8.8346</v>
      </c>
      <c r="D136" s="2">
        <f t="shared" si="13"/>
        <v>285156</v>
      </c>
      <c r="E136" s="2">
        <f t="shared" si="14"/>
        <v>152273304</v>
      </c>
      <c r="F136" s="2">
        <f t="shared" si="15"/>
        <v>81313944336</v>
      </c>
      <c r="G136" s="2">
        <f t="shared" si="16"/>
        <v>4717.6764000000003</v>
      </c>
      <c r="H136" s="2">
        <f t="shared" si="17"/>
        <v>2519239.1976000001</v>
      </c>
    </row>
    <row r="137" spans="1:8" x14ac:dyDescent="0.35">
      <c r="A137" s="2">
        <v>534</v>
      </c>
      <c r="B137" s="2">
        <v>76400</v>
      </c>
      <c r="C137" s="2">
        <f t="shared" si="12"/>
        <v>7.64</v>
      </c>
      <c r="D137" s="2">
        <f t="shared" si="13"/>
        <v>285156</v>
      </c>
      <c r="E137" s="2">
        <f t="shared" si="14"/>
        <v>152273304</v>
      </c>
      <c r="F137" s="2">
        <f t="shared" si="15"/>
        <v>81313944336</v>
      </c>
      <c r="G137" s="2">
        <f t="shared" si="16"/>
        <v>4079.7599999999998</v>
      </c>
      <c r="H137" s="2">
        <f t="shared" si="17"/>
        <v>2178591.84</v>
      </c>
    </row>
    <row r="138" spans="1:8" x14ac:dyDescent="0.35">
      <c r="A138" s="2">
        <v>534</v>
      </c>
      <c r="B138" s="2">
        <v>81537</v>
      </c>
      <c r="C138" s="2">
        <f t="shared" si="12"/>
        <v>8.1537000000000006</v>
      </c>
      <c r="D138" s="2">
        <f t="shared" si="13"/>
        <v>285156</v>
      </c>
      <c r="E138" s="2">
        <f t="shared" si="14"/>
        <v>152273304</v>
      </c>
      <c r="F138" s="2">
        <f t="shared" si="15"/>
        <v>81313944336</v>
      </c>
      <c r="G138" s="2">
        <f t="shared" si="16"/>
        <v>4354.0758000000005</v>
      </c>
      <c r="H138" s="2">
        <f t="shared" si="17"/>
        <v>2325076.4772000001</v>
      </c>
    </row>
    <row r="139" spans="1:8" x14ac:dyDescent="0.35">
      <c r="A139" s="2">
        <v>534</v>
      </c>
      <c r="B139" s="2">
        <v>88003</v>
      </c>
      <c r="C139" s="2">
        <f t="shared" si="12"/>
        <v>8.8003</v>
      </c>
      <c r="D139" s="2">
        <f t="shared" si="13"/>
        <v>285156</v>
      </c>
      <c r="E139" s="2">
        <f t="shared" si="14"/>
        <v>152273304</v>
      </c>
      <c r="F139" s="2">
        <f t="shared" si="15"/>
        <v>81313944336</v>
      </c>
      <c r="G139" s="2">
        <f t="shared" si="16"/>
        <v>4699.3602000000001</v>
      </c>
      <c r="H139" s="2">
        <f t="shared" si="17"/>
        <v>2509458.3467999999</v>
      </c>
    </row>
    <row r="140" spans="1:8" x14ac:dyDescent="0.35">
      <c r="A140" s="2">
        <v>534</v>
      </c>
      <c r="B140" s="2">
        <v>63540</v>
      </c>
      <c r="C140" s="2">
        <f t="shared" si="12"/>
        <v>6.3540000000000001</v>
      </c>
      <c r="D140" s="2">
        <f t="shared" si="13"/>
        <v>285156</v>
      </c>
      <c r="E140" s="2">
        <f t="shared" si="14"/>
        <v>152273304</v>
      </c>
      <c r="F140" s="2">
        <f t="shared" si="15"/>
        <v>81313944336</v>
      </c>
      <c r="G140" s="2">
        <f t="shared" si="16"/>
        <v>3393.0360000000001</v>
      </c>
      <c r="H140" s="2">
        <f t="shared" si="17"/>
        <v>1811881.2239999999</v>
      </c>
    </row>
    <row r="141" spans="1:8" x14ac:dyDescent="0.35">
      <c r="A141" s="2">
        <v>534</v>
      </c>
      <c r="B141" s="2">
        <v>83263</v>
      </c>
      <c r="C141" s="2">
        <f t="shared" si="12"/>
        <v>8.3262999999999998</v>
      </c>
      <c r="D141" s="2">
        <f t="shared" si="13"/>
        <v>285156</v>
      </c>
      <c r="E141" s="2">
        <f t="shared" si="14"/>
        <v>152273304</v>
      </c>
      <c r="F141" s="2">
        <f t="shared" si="15"/>
        <v>81313944336</v>
      </c>
      <c r="G141" s="2">
        <f t="shared" si="16"/>
        <v>4446.2442000000001</v>
      </c>
      <c r="H141" s="2">
        <f t="shared" si="17"/>
        <v>2374294.4027999998</v>
      </c>
    </row>
    <row r="142" spans="1:8" x14ac:dyDescent="0.35">
      <c r="A142" s="2">
        <v>534</v>
      </c>
      <c r="B142" s="2">
        <v>94256</v>
      </c>
      <c r="C142" s="2">
        <f t="shared" si="12"/>
        <v>9.4255999999999993</v>
      </c>
      <c r="D142" s="2">
        <f t="shared" si="13"/>
        <v>285156</v>
      </c>
      <c r="E142" s="2">
        <f t="shared" si="14"/>
        <v>152273304</v>
      </c>
      <c r="F142" s="2">
        <f t="shared" si="15"/>
        <v>81313944336</v>
      </c>
      <c r="G142" s="2">
        <f t="shared" si="16"/>
        <v>5033.2703999999994</v>
      </c>
      <c r="H142" s="2">
        <f t="shared" si="17"/>
        <v>2687766.3935999996</v>
      </c>
    </row>
    <row r="143" spans="1:8" x14ac:dyDescent="0.35">
      <c r="A143" s="2">
        <v>534</v>
      </c>
      <c r="B143" s="2">
        <v>91615</v>
      </c>
      <c r="C143" s="2">
        <f t="shared" si="12"/>
        <v>9.1615000000000002</v>
      </c>
      <c r="D143" s="2">
        <f t="shared" si="13"/>
        <v>285156</v>
      </c>
      <c r="E143" s="2">
        <f t="shared" si="14"/>
        <v>152273304</v>
      </c>
      <c r="F143" s="2">
        <f t="shared" si="15"/>
        <v>81313944336</v>
      </c>
      <c r="G143" s="2">
        <f t="shared" si="16"/>
        <v>4892.241</v>
      </c>
      <c r="H143" s="2">
        <f t="shared" si="17"/>
        <v>2612456.6940000001</v>
      </c>
    </row>
    <row r="144" spans="1:8" x14ac:dyDescent="0.35">
      <c r="A144" s="2">
        <v>534</v>
      </c>
      <c r="B144" s="2">
        <v>82573</v>
      </c>
      <c r="C144" s="2">
        <f t="shared" si="12"/>
        <v>8.2573000000000008</v>
      </c>
      <c r="D144" s="2">
        <f t="shared" si="13"/>
        <v>285156</v>
      </c>
      <c r="E144" s="2">
        <f t="shared" si="14"/>
        <v>152273304</v>
      </c>
      <c r="F144" s="2">
        <f t="shared" si="15"/>
        <v>81313944336</v>
      </c>
      <c r="G144" s="2">
        <f t="shared" si="16"/>
        <v>4409.3982000000005</v>
      </c>
      <c r="H144" s="2">
        <f t="shared" si="17"/>
        <v>2354618.6388000003</v>
      </c>
    </row>
    <row r="145" spans="1:8" x14ac:dyDescent="0.35">
      <c r="A145" s="2">
        <v>534</v>
      </c>
      <c r="B145" s="2">
        <v>93071</v>
      </c>
      <c r="C145" s="2">
        <f t="shared" si="12"/>
        <v>9.3071000000000002</v>
      </c>
      <c r="D145" s="2">
        <f t="shared" si="13"/>
        <v>285156</v>
      </c>
      <c r="E145" s="2">
        <f t="shared" si="14"/>
        <v>152273304</v>
      </c>
      <c r="F145" s="2">
        <f t="shared" si="15"/>
        <v>81313944336</v>
      </c>
      <c r="G145" s="2">
        <f t="shared" si="16"/>
        <v>4969.9913999999999</v>
      </c>
      <c r="H145" s="2">
        <f t="shared" si="17"/>
        <v>2653975.4076</v>
      </c>
    </row>
    <row r="146" spans="1:8" x14ac:dyDescent="0.35">
      <c r="A146" s="2">
        <v>534</v>
      </c>
      <c r="B146" s="2">
        <v>82580</v>
      </c>
      <c r="C146" s="2">
        <f t="shared" si="12"/>
        <v>8.2579999999999991</v>
      </c>
      <c r="D146" s="2">
        <f t="shared" si="13"/>
        <v>285156</v>
      </c>
      <c r="E146" s="2">
        <f t="shared" si="14"/>
        <v>152273304</v>
      </c>
      <c r="F146" s="2">
        <f t="shared" si="15"/>
        <v>81313944336</v>
      </c>
      <c r="G146" s="2">
        <f t="shared" si="16"/>
        <v>4409.7719999999999</v>
      </c>
      <c r="H146" s="2">
        <f t="shared" si="17"/>
        <v>2354818.2479999997</v>
      </c>
    </row>
    <row r="147" spans="1:8" x14ac:dyDescent="0.35">
      <c r="A147" s="2">
        <v>534</v>
      </c>
      <c r="B147" s="2">
        <v>83305</v>
      </c>
      <c r="C147" s="2">
        <f t="shared" si="12"/>
        <v>8.3305000000000007</v>
      </c>
      <c r="D147" s="2">
        <f t="shared" si="13"/>
        <v>285156</v>
      </c>
      <c r="E147" s="2">
        <f t="shared" si="14"/>
        <v>152273304</v>
      </c>
      <c r="F147" s="2">
        <f t="shared" si="15"/>
        <v>81313944336</v>
      </c>
      <c r="G147" s="2">
        <f t="shared" si="16"/>
        <v>4448.4870000000001</v>
      </c>
      <c r="H147" s="2">
        <f t="shared" si="17"/>
        <v>2375492.0580000002</v>
      </c>
    </row>
    <row r="148" spans="1:8" x14ac:dyDescent="0.35">
      <c r="A148" s="2">
        <v>534</v>
      </c>
      <c r="B148" s="2">
        <v>66168</v>
      </c>
      <c r="C148" s="2">
        <f t="shared" si="12"/>
        <v>6.6167999999999996</v>
      </c>
      <c r="D148" s="2">
        <f t="shared" si="13"/>
        <v>285156</v>
      </c>
      <c r="E148" s="2">
        <f t="shared" si="14"/>
        <v>152273304</v>
      </c>
      <c r="F148" s="2">
        <f t="shared" si="15"/>
        <v>81313944336</v>
      </c>
      <c r="G148" s="2">
        <f t="shared" si="16"/>
        <v>3533.3711999999996</v>
      </c>
      <c r="H148" s="2">
        <f t="shared" si="17"/>
        <v>1886820.2207999998</v>
      </c>
    </row>
    <row r="149" spans="1:8" x14ac:dyDescent="0.35">
      <c r="A149" s="2">
        <v>534</v>
      </c>
      <c r="B149" s="2">
        <v>98176</v>
      </c>
      <c r="C149" s="2">
        <f t="shared" si="12"/>
        <v>9.8176000000000005</v>
      </c>
      <c r="D149" s="2">
        <f t="shared" si="13"/>
        <v>285156</v>
      </c>
      <c r="E149" s="2">
        <f t="shared" si="14"/>
        <v>152273304</v>
      </c>
      <c r="F149" s="2">
        <f t="shared" si="15"/>
        <v>81313944336</v>
      </c>
      <c r="G149" s="2">
        <f t="shared" si="16"/>
        <v>5242.5983999999999</v>
      </c>
      <c r="H149" s="2">
        <f t="shared" si="17"/>
        <v>2799547.5456000003</v>
      </c>
    </row>
    <row r="150" spans="1:8" x14ac:dyDescent="0.35">
      <c r="A150" s="2">
        <v>534</v>
      </c>
      <c r="B150" s="2">
        <v>82609</v>
      </c>
      <c r="C150" s="2">
        <f t="shared" si="12"/>
        <v>8.2608999999999995</v>
      </c>
      <c r="D150" s="2">
        <f t="shared" si="13"/>
        <v>285156</v>
      </c>
      <c r="E150" s="2">
        <f t="shared" si="14"/>
        <v>152273304</v>
      </c>
      <c r="F150" s="2">
        <f t="shared" si="15"/>
        <v>81313944336</v>
      </c>
      <c r="G150" s="2">
        <f t="shared" si="16"/>
        <v>4411.3206</v>
      </c>
      <c r="H150" s="2">
        <f t="shared" si="17"/>
        <v>2355645.2004</v>
      </c>
    </row>
    <row r="151" spans="1:8" x14ac:dyDescent="0.35">
      <c r="A151" s="2">
        <v>534</v>
      </c>
      <c r="B151" s="2">
        <v>75988</v>
      </c>
      <c r="C151" s="2">
        <f t="shared" si="12"/>
        <v>7.5987999999999998</v>
      </c>
      <c r="D151" s="2">
        <f t="shared" si="13"/>
        <v>285156</v>
      </c>
      <c r="E151" s="2">
        <f t="shared" si="14"/>
        <v>152273304</v>
      </c>
      <c r="F151" s="2">
        <f t="shared" si="15"/>
        <v>81313944336</v>
      </c>
      <c r="G151" s="2">
        <f t="shared" si="16"/>
        <v>4057.7592</v>
      </c>
      <c r="H151" s="2">
        <f t="shared" si="17"/>
        <v>2166843.4128</v>
      </c>
    </row>
    <row r="152" spans="1:8" x14ac:dyDescent="0.35">
      <c r="A152" s="2">
        <v>534</v>
      </c>
      <c r="B152" s="2">
        <v>84609</v>
      </c>
      <c r="C152" s="2">
        <f t="shared" si="12"/>
        <v>8.4609000000000005</v>
      </c>
      <c r="D152" s="2">
        <f t="shared" si="13"/>
        <v>285156</v>
      </c>
      <c r="E152" s="2">
        <f t="shared" si="14"/>
        <v>152273304</v>
      </c>
      <c r="F152" s="2">
        <f t="shared" si="15"/>
        <v>81313944336</v>
      </c>
      <c r="G152" s="2">
        <f t="shared" si="16"/>
        <v>4518.1206000000002</v>
      </c>
      <c r="H152" s="2">
        <f t="shared" si="17"/>
        <v>2412676.4004000002</v>
      </c>
    </row>
    <row r="153" spans="1:8" x14ac:dyDescent="0.35">
      <c r="A153" s="2">
        <v>534</v>
      </c>
      <c r="B153" s="2">
        <v>103895</v>
      </c>
      <c r="C153" s="2">
        <f t="shared" si="12"/>
        <v>10.3895</v>
      </c>
      <c r="D153" s="2">
        <f t="shared" si="13"/>
        <v>285156</v>
      </c>
      <c r="E153" s="2">
        <f t="shared" si="14"/>
        <v>152273304</v>
      </c>
      <c r="F153" s="2">
        <f t="shared" si="15"/>
        <v>81313944336</v>
      </c>
      <c r="G153" s="2">
        <f t="shared" si="16"/>
        <v>5547.9930000000004</v>
      </c>
      <c r="H153" s="2">
        <f t="shared" si="17"/>
        <v>2962628.2620000001</v>
      </c>
    </row>
    <row r="154" spans="1:8" x14ac:dyDescent="0.35">
      <c r="A154" s="2">
        <v>534</v>
      </c>
      <c r="B154" s="2">
        <v>95441</v>
      </c>
      <c r="C154" s="2">
        <f t="shared" si="12"/>
        <v>9.5441000000000003</v>
      </c>
      <c r="D154" s="2">
        <f t="shared" si="13"/>
        <v>285156</v>
      </c>
      <c r="E154" s="2">
        <f t="shared" si="14"/>
        <v>152273304</v>
      </c>
      <c r="F154" s="2">
        <f t="shared" si="15"/>
        <v>81313944336</v>
      </c>
      <c r="G154" s="2">
        <f t="shared" si="16"/>
        <v>5096.5493999999999</v>
      </c>
      <c r="H154" s="2">
        <f t="shared" si="17"/>
        <v>2721557.3796000001</v>
      </c>
    </row>
    <row r="155" spans="1:8" x14ac:dyDescent="0.35">
      <c r="A155" s="2">
        <v>534</v>
      </c>
      <c r="B155" s="2">
        <v>89098</v>
      </c>
      <c r="C155" s="2">
        <f t="shared" si="12"/>
        <v>8.9098000000000006</v>
      </c>
      <c r="D155" s="2">
        <f t="shared" si="13"/>
        <v>285156</v>
      </c>
      <c r="E155" s="2">
        <f t="shared" si="14"/>
        <v>152273304</v>
      </c>
      <c r="F155" s="2">
        <f t="shared" si="15"/>
        <v>81313944336</v>
      </c>
      <c r="G155" s="2">
        <f t="shared" si="16"/>
        <v>4757.8332</v>
      </c>
      <c r="H155" s="2">
        <f t="shared" si="17"/>
        <v>2540682.9288000003</v>
      </c>
    </row>
    <row r="156" spans="1:8" x14ac:dyDescent="0.35">
      <c r="A156" s="2">
        <v>534</v>
      </c>
      <c r="B156" s="2">
        <v>102177</v>
      </c>
      <c r="C156" s="2">
        <f t="shared" si="12"/>
        <v>10.217700000000001</v>
      </c>
      <c r="D156" s="2">
        <f t="shared" si="13"/>
        <v>285156</v>
      </c>
      <c r="E156" s="2">
        <f t="shared" si="14"/>
        <v>152273304</v>
      </c>
      <c r="F156" s="2">
        <f t="shared" si="15"/>
        <v>81313944336</v>
      </c>
      <c r="G156" s="2">
        <f t="shared" si="16"/>
        <v>5456.2518</v>
      </c>
      <c r="H156" s="2">
        <f t="shared" si="17"/>
        <v>2913638.4612000003</v>
      </c>
    </row>
    <row r="157" spans="1:8" x14ac:dyDescent="0.35">
      <c r="A157" s="2">
        <v>534</v>
      </c>
      <c r="B157" s="2">
        <v>106827</v>
      </c>
      <c r="C157" s="2">
        <f t="shared" si="12"/>
        <v>10.682700000000001</v>
      </c>
      <c r="D157" s="2">
        <f t="shared" si="13"/>
        <v>285156</v>
      </c>
      <c r="E157" s="2">
        <f t="shared" si="14"/>
        <v>152273304</v>
      </c>
      <c r="F157" s="2">
        <f t="shared" si="15"/>
        <v>81313944336</v>
      </c>
      <c r="G157" s="2">
        <f t="shared" si="16"/>
        <v>5704.5618000000004</v>
      </c>
      <c r="H157" s="2">
        <f t="shared" si="17"/>
        <v>3046236.0012000003</v>
      </c>
    </row>
    <row r="158" spans="1:8" x14ac:dyDescent="0.35">
      <c r="A158" s="2">
        <v>534</v>
      </c>
      <c r="B158" s="2">
        <v>99103</v>
      </c>
      <c r="C158" s="2">
        <f t="shared" si="12"/>
        <v>9.9102999999999994</v>
      </c>
      <c r="D158" s="2">
        <f t="shared" si="13"/>
        <v>285156</v>
      </c>
      <c r="E158" s="2">
        <f t="shared" si="14"/>
        <v>152273304</v>
      </c>
      <c r="F158" s="2">
        <f t="shared" si="15"/>
        <v>81313944336</v>
      </c>
      <c r="G158" s="2">
        <f t="shared" si="16"/>
        <v>5292.1001999999999</v>
      </c>
      <c r="H158" s="2">
        <f t="shared" si="17"/>
        <v>2825981.5067999996</v>
      </c>
    </row>
    <row r="159" spans="1:8" x14ac:dyDescent="0.35">
      <c r="A159" s="2">
        <v>534</v>
      </c>
      <c r="B159" s="2">
        <v>102889</v>
      </c>
      <c r="C159" s="2">
        <f t="shared" si="12"/>
        <v>10.2889</v>
      </c>
      <c r="D159" s="2">
        <f t="shared" si="13"/>
        <v>285156</v>
      </c>
      <c r="E159" s="2">
        <f t="shared" si="14"/>
        <v>152273304</v>
      </c>
      <c r="F159" s="2">
        <f t="shared" si="15"/>
        <v>81313944336</v>
      </c>
      <c r="G159" s="2">
        <f t="shared" si="16"/>
        <v>5494.2726000000002</v>
      </c>
      <c r="H159" s="2">
        <f t="shared" si="17"/>
        <v>2933941.5683999998</v>
      </c>
    </row>
    <row r="160" spans="1:8" x14ac:dyDescent="0.35">
      <c r="A160" s="2">
        <v>447</v>
      </c>
      <c r="B160" s="2">
        <v>7292</v>
      </c>
      <c r="C160" s="2">
        <f t="shared" si="12"/>
        <v>0.72919999999999996</v>
      </c>
      <c r="D160" s="2">
        <f t="shared" si="13"/>
        <v>199809</v>
      </c>
      <c r="E160" s="2">
        <f t="shared" si="14"/>
        <v>89314623</v>
      </c>
      <c r="F160" s="2">
        <f t="shared" si="15"/>
        <v>39923636481</v>
      </c>
      <c r="G160" s="2">
        <f t="shared" si="16"/>
        <v>325.95239999999995</v>
      </c>
      <c r="H160" s="2">
        <f t="shared" si="17"/>
        <v>145700.72279999999</v>
      </c>
    </row>
    <row r="161" spans="1:8" x14ac:dyDescent="0.35">
      <c r="A161" s="2">
        <v>447</v>
      </c>
      <c r="B161" s="2">
        <v>9461</v>
      </c>
      <c r="C161" s="2">
        <f t="shared" si="12"/>
        <v>0.94610000000000005</v>
      </c>
      <c r="D161" s="2">
        <f t="shared" si="13"/>
        <v>199809</v>
      </c>
      <c r="E161" s="2">
        <f t="shared" si="14"/>
        <v>89314623</v>
      </c>
      <c r="F161" s="2">
        <f t="shared" si="15"/>
        <v>39923636481</v>
      </c>
      <c r="G161" s="2">
        <f t="shared" si="16"/>
        <v>422.9067</v>
      </c>
      <c r="H161" s="2">
        <f t="shared" si="17"/>
        <v>189039.29490000001</v>
      </c>
    </row>
    <row r="162" spans="1:8" x14ac:dyDescent="0.35">
      <c r="A162" s="2">
        <v>447</v>
      </c>
      <c r="B162" s="2">
        <v>10059</v>
      </c>
      <c r="C162" s="2">
        <f t="shared" si="12"/>
        <v>1.0059</v>
      </c>
      <c r="D162" s="2">
        <f t="shared" si="13"/>
        <v>199809</v>
      </c>
      <c r="E162" s="2">
        <f t="shared" si="14"/>
        <v>89314623</v>
      </c>
      <c r="F162" s="2">
        <f t="shared" si="15"/>
        <v>39923636481</v>
      </c>
      <c r="G162" s="2">
        <f t="shared" si="16"/>
        <v>449.63729999999998</v>
      </c>
      <c r="H162" s="2">
        <f t="shared" si="17"/>
        <v>200987.8731</v>
      </c>
    </row>
    <row r="163" spans="1:8" x14ac:dyDescent="0.35">
      <c r="A163" s="2">
        <v>447</v>
      </c>
      <c r="B163" s="2">
        <v>19890</v>
      </c>
      <c r="C163" s="2">
        <f t="shared" si="12"/>
        <v>1.9890000000000001</v>
      </c>
      <c r="D163" s="2">
        <f t="shared" si="13"/>
        <v>199809</v>
      </c>
      <c r="E163" s="2">
        <f t="shared" si="14"/>
        <v>89314623</v>
      </c>
      <c r="F163" s="2">
        <f t="shared" si="15"/>
        <v>39923636481</v>
      </c>
      <c r="G163" s="2">
        <f t="shared" si="16"/>
        <v>889.08300000000008</v>
      </c>
      <c r="H163" s="2">
        <f t="shared" si="17"/>
        <v>397420.10100000002</v>
      </c>
    </row>
    <row r="164" spans="1:8" x14ac:dyDescent="0.35">
      <c r="A164" s="2">
        <v>447</v>
      </c>
      <c r="B164" s="2">
        <v>36917</v>
      </c>
      <c r="C164" s="2">
        <f t="shared" si="12"/>
        <v>3.6917</v>
      </c>
      <c r="D164" s="2">
        <f t="shared" si="13"/>
        <v>199809</v>
      </c>
      <c r="E164" s="2">
        <f t="shared" si="14"/>
        <v>89314623</v>
      </c>
      <c r="F164" s="2">
        <f t="shared" si="15"/>
        <v>39923636481</v>
      </c>
      <c r="G164" s="2">
        <f t="shared" si="16"/>
        <v>1650.1899000000001</v>
      </c>
      <c r="H164" s="2">
        <f t="shared" si="17"/>
        <v>737634.88529999997</v>
      </c>
    </row>
    <row r="165" spans="1:8" x14ac:dyDescent="0.35">
      <c r="A165" s="2">
        <v>447</v>
      </c>
      <c r="B165" s="2">
        <v>46082</v>
      </c>
      <c r="C165" s="2">
        <f t="shared" si="12"/>
        <v>4.6082000000000001</v>
      </c>
      <c r="D165" s="2">
        <f t="shared" si="13"/>
        <v>199809</v>
      </c>
      <c r="E165" s="2">
        <f t="shared" si="14"/>
        <v>89314623</v>
      </c>
      <c r="F165" s="2">
        <f t="shared" si="15"/>
        <v>39923636481</v>
      </c>
      <c r="G165" s="2">
        <f t="shared" si="16"/>
        <v>2059.8654000000001</v>
      </c>
      <c r="H165" s="2">
        <f t="shared" si="17"/>
        <v>920759.83380000002</v>
      </c>
    </row>
    <row r="166" spans="1:8" x14ac:dyDescent="0.35">
      <c r="A166" s="2">
        <v>447</v>
      </c>
      <c r="B166" s="2">
        <v>48046</v>
      </c>
      <c r="C166" s="2">
        <f t="shared" si="12"/>
        <v>4.8045999999999998</v>
      </c>
      <c r="D166" s="2">
        <f t="shared" si="13"/>
        <v>199809</v>
      </c>
      <c r="E166" s="2">
        <f t="shared" si="14"/>
        <v>89314623</v>
      </c>
      <c r="F166" s="2">
        <f t="shared" si="15"/>
        <v>39923636481</v>
      </c>
      <c r="G166" s="2">
        <f t="shared" si="16"/>
        <v>2147.6561999999999</v>
      </c>
      <c r="H166" s="2">
        <f t="shared" si="17"/>
        <v>960002.3213999999</v>
      </c>
    </row>
    <row r="167" spans="1:8" x14ac:dyDescent="0.35">
      <c r="A167" s="2">
        <v>447</v>
      </c>
      <c r="B167" s="2">
        <v>44415</v>
      </c>
      <c r="C167" s="2">
        <f t="shared" si="12"/>
        <v>4.4414999999999996</v>
      </c>
      <c r="D167" s="2">
        <f t="shared" si="13"/>
        <v>199809</v>
      </c>
      <c r="E167" s="2">
        <f t="shared" si="14"/>
        <v>89314623</v>
      </c>
      <c r="F167" s="2">
        <f t="shared" si="15"/>
        <v>39923636481</v>
      </c>
      <c r="G167" s="2">
        <f t="shared" si="16"/>
        <v>1985.3504999999998</v>
      </c>
      <c r="H167" s="2">
        <f t="shared" si="17"/>
        <v>887451.67349999992</v>
      </c>
    </row>
    <row r="168" spans="1:8" x14ac:dyDescent="0.35">
      <c r="A168" s="2">
        <v>447</v>
      </c>
      <c r="B168" s="2">
        <v>50191</v>
      </c>
      <c r="C168" s="2">
        <f t="shared" si="12"/>
        <v>5.0190999999999999</v>
      </c>
      <c r="D168" s="2">
        <f t="shared" si="13"/>
        <v>199809</v>
      </c>
      <c r="E168" s="2">
        <f t="shared" si="14"/>
        <v>89314623</v>
      </c>
      <c r="F168" s="2">
        <f t="shared" si="15"/>
        <v>39923636481</v>
      </c>
      <c r="G168" s="2">
        <f t="shared" si="16"/>
        <v>2243.5376999999999</v>
      </c>
      <c r="H168" s="2">
        <f t="shared" si="17"/>
        <v>1002861.3519</v>
      </c>
    </row>
    <row r="169" spans="1:8" x14ac:dyDescent="0.35">
      <c r="A169" s="2">
        <v>447</v>
      </c>
      <c r="B169" s="2">
        <v>48495</v>
      </c>
      <c r="C169" s="2">
        <f t="shared" si="12"/>
        <v>4.8494999999999999</v>
      </c>
      <c r="D169" s="2">
        <f t="shared" si="13"/>
        <v>199809</v>
      </c>
      <c r="E169" s="2">
        <f t="shared" si="14"/>
        <v>89314623</v>
      </c>
      <c r="F169" s="2">
        <f t="shared" si="15"/>
        <v>39923636481</v>
      </c>
      <c r="G169" s="2">
        <f t="shared" si="16"/>
        <v>2167.7264999999998</v>
      </c>
      <c r="H169" s="2">
        <f t="shared" si="17"/>
        <v>968973.74549999996</v>
      </c>
    </row>
    <row r="170" spans="1:8" x14ac:dyDescent="0.35">
      <c r="A170" s="2">
        <v>447</v>
      </c>
      <c r="B170" s="2">
        <v>46532</v>
      </c>
      <c r="C170" s="2">
        <f t="shared" si="12"/>
        <v>4.6532</v>
      </c>
      <c r="D170" s="2">
        <f t="shared" si="13"/>
        <v>199809</v>
      </c>
      <c r="E170" s="2">
        <f t="shared" si="14"/>
        <v>89314623</v>
      </c>
      <c r="F170" s="2">
        <f t="shared" si="15"/>
        <v>39923636481</v>
      </c>
      <c r="G170" s="2">
        <f t="shared" si="16"/>
        <v>2079.9803999999999</v>
      </c>
      <c r="H170" s="2">
        <f t="shared" si="17"/>
        <v>929751.23880000005</v>
      </c>
    </row>
    <row r="171" spans="1:8" x14ac:dyDescent="0.35">
      <c r="A171" s="2">
        <v>447</v>
      </c>
      <c r="B171" s="2">
        <v>39810</v>
      </c>
      <c r="C171" s="2">
        <f t="shared" si="12"/>
        <v>3.9809999999999999</v>
      </c>
      <c r="D171" s="2">
        <f t="shared" si="13"/>
        <v>199809</v>
      </c>
      <c r="E171" s="2">
        <f t="shared" si="14"/>
        <v>89314623</v>
      </c>
      <c r="F171" s="2">
        <f t="shared" si="15"/>
        <v>39923636481</v>
      </c>
      <c r="G171" s="2">
        <f t="shared" si="16"/>
        <v>1779.5069999999998</v>
      </c>
      <c r="H171" s="2">
        <f t="shared" si="17"/>
        <v>795439.62899999996</v>
      </c>
    </row>
    <row r="172" spans="1:8" x14ac:dyDescent="0.35">
      <c r="A172" s="2">
        <v>447</v>
      </c>
      <c r="B172" s="2">
        <v>35903</v>
      </c>
      <c r="C172" s="2">
        <f t="shared" si="12"/>
        <v>3.5903</v>
      </c>
      <c r="D172" s="2">
        <f t="shared" si="13"/>
        <v>199809</v>
      </c>
      <c r="E172" s="2">
        <f t="shared" si="14"/>
        <v>89314623</v>
      </c>
      <c r="F172" s="2">
        <f t="shared" si="15"/>
        <v>39923636481</v>
      </c>
      <c r="G172" s="2">
        <f t="shared" si="16"/>
        <v>1604.8641</v>
      </c>
      <c r="H172" s="2">
        <f t="shared" si="17"/>
        <v>717374.25269999995</v>
      </c>
    </row>
    <row r="173" spans="1:8" x14ac:dyDescent="0.35">
      <c r="A173" s="2">
        <v>447</v>
      </c>
      <c r="B173" s="2">
        <v>42375</v>
      </c>
      <c r="C173" s="2">
        <f t="shared" si="12"/>
        <v>4.2374999999999998</v>
      </c>
      <c r="D173" s="2">
        <f t="shared" si="13"/>
        <v>199809</v>
      </c>
      <c r="E173" s="2">
        <f t="shared" si="14"/>
        <v>89314623</v>
      </c>
      <c r="F173" s="2">
        <f t="shared" si="15"/>
        <v>39923636481</v>
      </c>
      <c r="G173" s="2">
        <f t="shared" si="16"/>
        <v>1894.1624999999999</v>
      </c>
      <c r="H173" s="2">
        <f t="shared" si="17"/>
        <v>846690.63749999995</v>
      </c>
    </row>
    <row r="174" spans="1:8" x14ac:dyDescent="0.35">
      <c r="A174" s="2">
        <v>447</v>
      </c>
      <c r="B174" s="2">
        <v>33886</v>
      </c>
      <c r="C174" s="2">
        <f t="shared" si="12"/>
        <v>3.3885999999999998</v>
      </c>
      <c r="D174" s="2">
        <f t="shared" si="13"/>
        <v>199809</v>
      </c>
      <c r="E174" s="2">
        <f t="shared" si="14"/>
        <v>89314623</v>
      </c>
      <c r="F174" s="2">
        <f t="shared" si="15"/>
        <v>39923636481</v>
      </c>
      <c r="G174" s="2">
        <f t="shared" si="16"/>
        <v>1514.7041999999999</v>
      </c>
      <c r="H174" s="2">
        <f t="shared" si="17"/>
        <v>677072.77740000002</v>
      </c>
    </row>
    <row r="175" spans="1:8" x14ac:dyDescent="0.35">
      <c r="A175" s="2">
        <v>447</v>
      </c>
      <c r="B175" s="2">
        <v>27973</v>
      </c>
      <c r="C175" s="2">
        <f t="shared" si="12"/>
        <v>2.7972999999999999</v>
      </c>
      <c r="D175" s="2">
        <f t="shared" si="13"/>
        <v>199809</v>
      </c>
      <c r="E175" s="2">
        <f t="shared" si="14"/>
        <v>89314623</v>
      </c>
      <c r="F175" s="2">
        <f t="shared" si="15"/>
        <v>39923636481</v>
      </c>
      <c r="G175" s="2">
        <f t="shared" si="16"/>
        <v>1250.3931</v>
      </c>
      <c r="H175" s="2">
        <f t="shared" si="17"/>
        <v>558925.71569999994</v>
      </c>
    </row>
    <row r="176" spans="1:8" x14ac:dyDescent="0.35">
      <c r="A176" s="2">
        <v>447</v>
      </c>
      <c r="B176" s="2">
        <v>25279</v>
      </c>
      <c r="C176" s="2">
        <f t="shared" si="12"/>
        <v>2.5278999999999998</v>
      </c>
      <c r="D176" s="2">
        <f t="shared" si="13"/>
        <v>199809</v>
      </c>
      <c r="E176" s="2">
        <f t="shared" si="14"/>
        <v>89314623</v>
      </c>
      <c r="F176" s="2">
        <f t="shared" si="15"/>
        <v>39923636481</v>
      </c>
      <c r="G176" s="2">
        <f t="shared" si="16"/>
        <v>1129.9712999999999</v>
      </c>
      <c r="H176" s="2">
        <f t="shared" si="17"/>
        <v>505097.17109999998</v>
      </c>
    </row>
    <row r="177" spans="1:8" x14ac:dyDescent="0.35">
      <c r="A177" s="2">
        <v>447</v>
      </c>
      <c r="B177" s="2">
        <v>23963</v>
      </c>
      <c r="C177" s="2">
        <f t="shared" si="12"/>
        <v>2.3963000000000001</v>
      </c>
      <c r="D177" s="2">
        <f t="shared" si="13"/>
        <v>199809</v>
      </c>
      <c r="E177" s="2">
        <f t="shared" si="14"/>
        <v>89314623</v>
      </c>
      <c r="F177" s="2">
        <f t="shared" si="15"/>
        <v>39923636481</v>
      </c>
      <c r="G177" s="2">
        <f t="shared" si="16"/>
        <v>1071.1460999999999</v>
      </c>
      <c r="H177" s="2">
        <f t="shared" si="17"/>
        <v>478802.30670000002</v>
      </c>
    </row>
    <row r="178" spans="1:8" x14ac:dyDescent="0.35">
      <c r="A178" s="2">
        <v>447</v>
      </c>
      <c r="B178" s="2">
        <v>20947</v>
      </c>
      <c r="C178" s="2">
        <f t="shared" si="12"/>
        <v>2.0947</v>
      </c>
      <c r="D178" s="2">
        <f t="shared" si="13"/>
        <v>199809</v>
      </c>
      <c r="E178" s="2">
        <f t="shared" si="14"/>
        <v>89314623</v>
      </c>
      <c r="F178" s="2">
        <f t="shared" si="15"/>
        <v>39923636481</v>
      </c>
      <c r="G178" s="2">
        <f t="shared" si="16"/>
        <v>936.33090000000004</v>
      </c>
      <c r="H178" s="2">
        <f t="shared" si="17"/>
        <v>418539.91230000003</v>
      </c>
    </row>
    <row r="179" spans="1:8" x14ac:dyDescent="0.35">
      <c r="A179" s="2">
        <v>447</v>
      </c>
      <c r="B179" s="2">
        <v>22249</v>
      </c>
      <c r="C179" s="2">
        <f t="shared" si="12"/>
        <v>2.2248999999999999</v>
      </c>
      <c r="D179" s="2">
        <f t="shared" si="13"/>
        <v>199809</v>
      </c>
      <c r="E179" s="2">
        <f t="shared" si="14"/>
        <v>89314623</v>
      </c>
      <c r="F179" s="2">
        <f t="shared" si="15"/>
        <v>39923636481</v>
      </c>
      <c r="G179" s="2">
        <f t="shared" si="16"/>
        <v>994.5302999999999</v>
      </c>
      <c r="H179" s="2">
        <f t="shared" si="17"/>
        <v>444555.0441</v>
      </c>
    </row>
    <row r="180" spans="1:8" x14ac:dyDescent="0.35">
      <c r="A180" s="2">
        <v>447</v>
      </c>
      <c r="B180" s="2">
        <v>22808</v>
      </c>
      <c r="C180" s="2">
        <f t="shared" si="12"/>
        <v>2.2808000000000002</v>
      </c>
      <c r="D180" s="2">
        <f t="shared" si="13"/>
        <v>199809</v>
      </c>
      <c r="E180" s="2">
        <f t="shared" si="14"/>
        <v>89314623</v>
      </c>
      <c r="F180" s="2">
        <f t="shared" si="15"/>
        <v>39923636481</v>
      </c>
      <c r="G180" s="2">
        <f t="shared" si="16"/>
        <v>1019.5176</v>
      </c>
      <c r="H180" s="2">
        <f t="shared" si="17"/>
        <v>455724.36720000004</v>
      </c>
    </row>
    <row r="181" spans="1:8" x14ac:dyDescent="0.35">
      <c r="A181" s="2">
        <v>447</v>
      </c>
      <c r="B181" s="2">
        <v>24646</v>
      </c>
      <c r="C181" s="2">
        <f t="shared" si="12"/>
        <v>2.4645999999999999</v>
      </c>
      <c r="D181" s="2">
        <f t="shared" si="13"/>
        <v>199809</v>
      </c>
      <c r="E181" s="2">
        <f t="shared" si="14"/>
        <v>89314623</v>
      </c>
      <c r="F181" s="2">
        <f t="shared" si="15"/>
        <v>39923636481</v>
      </c>
      <c r="G181" s="2">
        <f t="shared" si="16"/>
        <v>1101.6761999999999</v>
      </c>
      <c r="H181" s="2">
        <f t="shared" si="17"/>
        <v>492449.26139999996</v>
      </c>
    </row>
    <row r="182" spans="1:8" x14ac:dyDescent="0.35">
      <c r="A182" s="2">
        <v>447</v>
      </c>
      <c r="B182" s="2">
        <v>23696</v>
      </c>
      <c r="C182" s="2">
        <f t="shared" si="12"/>
        <v>2.3696000000000002</v>
      </c>
      <c r="D182" s="2">
        <f t="shared" si="13"/>
        <v>199809</v>
      </c>
      <c r="E182" s="2">
        <f t="shared" si="14"/>
        <v>89314623</v>
      </c>
      <c r="F182" s="2">
        <f t="shared" si="15"/>
        <v>39923636481</v>
      </c>
      <c r="G182" s="2">
        <f t="shared" si="16"/>
        <v>1059.2112</v>
      </c>
      <c r="H182" s="2">
        <f t="shared" si="17"/>
        <v>473467.40640000004</v>
      </c>
    </row>
    <row r="183" spans="1:8" x14ac:dyDescent="0.35">
      <c r="A183" s="2">
        <v>447</v>
      </c>
      <c r="B183" s="2">
        <v>21538</v>
      </c>
      <c r="C183" s="2">
        <f t="shared" si="12"/>
        <v>2.1537999999999999</v>
      </c>
      <c r="D183" s="2">
        <f t="shared" si="13"/>
        <v>199809</v>
      </c>
      <c r="E183" s="2">
        <f t="shared" si="14"/>
        <v>89314623</v>
      </c>
      <c r="F183" s="2">
        <f t="shared" si="15"/>
        <v>39923636481</v>
      </c>
      <c r="G183" s="2">
        <f t="shared" si="16"/>
        <v>962.74860000000001</v>
      </c>
      <c r="H183" s="2">
        <f t="shared" si="17"/>
        <v>430348.62419999996</v>
      </c>
    </row>
    <row r="184" spans="1:8" x14ac:dyDescent="0.35">
      <c r="A184" s="2">
        <v>2666</v>
      </c>
      <c r="B184" s="2">
        <v>21693</v>
      </c>
      <c r="C184" s="2">
        <f t="shared" si="12"/>
        <v>2.1692999999999998</v>
      </c>
      <c r="D184" s="2">
        <f t="shared" si="13"/>
        <v>7107556</v>
      </c>
      <c r="E184" s="2">
        <f t="shared" si="14"/>
        <v>18948744296</v>
      </c>
      <c r="F184" s="2">
        <f t="shared" si="15"/>
        <v>50517352293136</v>
      </c>
      <c r="G184" s="2">
        <f t="shared" si="16"/>
        <v>5783.3537999999999</v>
      </c>
      <c r="H184" s="2">
        <f t="shared" si="17"/>
        <v>15418421.230799999</v>
      </c>
    </row>
    <row r="185" spans="1:8" x14ac:dyDescent="0.35">
      <c r="A185" s="2">
        <v>2666</v>
      </c>
      <c r="B185" s="2">
        <v>21783</v>
      </c>
      <c r="C185" s="2">
        <f t="shared" si="12"/>
        <v>2.1783000000000001</v>
      </c>
      <c r="D185" s="2">
        <f t="shared" si="13"/>
        <v>7107556</v>
      </c>
      <c r="E185" s="2">
        <f t="shared" si="14"/>
        <v>18948744296</v>
      </c>
      <c r="F185" s="2">
        <f t="shared" si="15"/>
        <v>50517352293136</v>
      </c>
      <c r="G185" s="2">
        <f t="shared" si="16"/>
        <v>5807.3478000000005</v>
      </c>
      <c r="H185" s="2">
        <f t="shared" si="17"/>
        <v>15482389.234800002</v>
      </c>
    </row>
    <row r="186" spans="1:8" x14ac:dyDescent="0.35">
      <c r="A186" s="2">
        <v>2666</v>
      </c>
      <c r="B186" s="2">
        <v>22399</v>
      </c>
      <c r="C186" s="2">
        <f t="shared" si="12"/>
        <v>2.2399</v>
      </c>
      <c r="D186" s="2">
        <f t="shared" si="13"/>
        <v>7107556</v>
      </c>
      <c r="E186" s="2">
        <f t="shared" si="14"/>
        <v>18948744296</v>
      </c>
      <c r="F186" s="2">
        <f t="shared" si="15"/>
        <v>50517352293136</v>
      </c>
      <c r="G186" s="2">
        <f t="shared" si="16"/>
        <v>5971.5734000000002</v>
      </c>
      <c r="H186" s="2">
        <f t="shared" si="17"/>
        <v>15920214.6844</v>
      </c>
    </row>
    <row r="187" spans="1:8" x14ac:dyDescent="0.35">
      <c r="A187" s="2">
        <v>2666</v>
      </c>
      <c r="B187" s="2">
        <v>25562</v>
      </c>
      <c r="C187" s="2">
        <f t="shared" si="12"/>
        <v>2.5562</v>
      </c>
      <c r="D187" s="2">
        <f t="shared" si="13"/>
        <v>7107556</v>
      </c>
      <c r="E187" s="2">
        <f t="shared" si="14"/>
        <v>18948744296</v>
      </c>
      <c r="F187" s="2">
        <f t="shared" si="15"/>
        <v>50517352293136</v>
      </c>
      <c r="G187" s="2">
        <f t="shared" si="16"/>
        <v>6814.8292000000001</v>
      </c>
      <c r="H187" s="2">
        <f t="shared" si="17"/>
        <v>18168334.6472</v>
      </c>
    </row>
    <row r="188" spans="1:8" x14ac:dyDescent="0.35">
      <c r="A188" s="2">
        <v>2666</v>
      </c>
      <c r="B188" s="2">
        <v>25661</v>
      </c>
      <c r="C188" s="2">
        <f t="shared" si="12"/>
        <v>2.5661</v>
      </c>
      <c r="D188" s="2">
        <f t="shared" si="13"/>
        <v>7107556</v>
      </c>
      <c r="E188" s="2">
        <f t="shared" si="14"/>
        <v>18948744296</v>
      </c>
      <c r="F188" s="2">
        <f t="shared" si="15"/>
        <v>50517352293136</v>
      </c>
      <c r="G188" s="2">
        <f t="shared" si="16"/>
        <v>6841.2226000000001</v>
      </c>
      <c r="H188" s="2">
        <f t="shared" si="17"/>
        <v>18238699.4516</v>
      </c>
    </row>
    <row r="189" spans="1:8" x14ac:dyDescent="0.35">
      <c r="A189" s="2">
        <v>2666</v>
      </c>
      <c r="B189" s="2">
        <v>26592</v>
      </c>
      <c r="C189" s="2">
        <f t="shared" si="12"/>
        <v>2.6591999999999998</v>
      </c>
      <c r="D189" s="2">
        <f t="shared" si="13"/>
        <v>7107556</v>
      </c>
      <c r="E189" s="2">
        <f t="shared" si="14"/>
        <v>18948744296</v>
      </c>
      <c r="F189" s="2">
        <f t="shared" si="15"/>
        <v>50517352293136</v>
      </c>
      <c r="G189" s="2">
        <f t="shared" si="16"/>
        <v>7089.4271999999992</v>
      </c>
      <c r="H189" s="2">
        <f t="shared" si="17"/>
        <v>18900412.915199999</v>
      </c>
    </row>
    <row r="190" spans="1:8" x14ac:dyDescent="0.35">
      <c r="A190" s="2">
        <v>2666</v>
      </c>
      <c r="B190" s="2">
        <v>26893</v>
      </c>
      <c r="C190" s="2">
        <f t="shared" si="12"/>
        <v>2.6892999999999998</v>
      </c>
      <c r="D190" s="2">
        <f t="shared" si="13"/>
        <v>7107556</v>
      </c>
      <c r="E190" s="2">
        <f t="shared" si="14"/>
        <v>18948744296</v>
      </c>
      <c r="F190" s="2">
        <f t="shared" si="15"/>
        <v>50517352293136</v>
      </c>
      <c r="G190" s="2">
        <f t="shared" si="16"/>
        <v>7169.6737999999996</v>
      </c>
      <c r="H190" s="2">
        <f t="shared" si="17"/>
        <v>19114350.3508</v>
      </c>
    </row>
    <row r="191" spans="1:8" x14ac:dyDescent="0.35">
      <c r="A191" s="2">
        <v>2666</v>
      </c>
      <c r="B191" s="2">
        <v>27185</v>
      </c>
      <c r="C191" s="2">
        <f t="shared" si="12"/>
        <v>2.7185000000000001</v>
      </c>
      <c r="D191" s="2">
        <f t="shared" si="13"/>
        <v>7107556</v>
      </c>
      <c r="E191" s="2">
        <f t="shared" si="14"/>
        <v>18948744296</v>
      </c>
      <c r="F191" s="2">
        <f t="shared" si="15"/>
        <v>50517352293136</v>
      </c>
      <c r="G191" s="2">
        <f t="shared" si="16"/>
        <v>7247.5210000000006</v>
      </c>
      <c r="H191" s="2">
        <f t="shared" si="17"/>
        <v>19321890.986000001</v>
      </c>
    </row>
    <row r="192" spans="1:8" x14ac:dyDescent="0.35">
      <c r="A192" s="2">
        <v>2666</v>
      </c>
      <c r="B192" s="2">
        <v>25328</v>
      </c>
      <c r="C192" s="2">
        <f t="shared" si="12"/>
        <v>2.5327999999999999</v>
      </c>
      <c r="D192" s="2">
        <f t="shared" si="13"/>
        <v>7107556</v>
      </c>
      <c r="E192" s="2">
        <f t="shared" si="14"/>
        <v>18948744296</v>
      </c>
      <c r="F192" s="2">
        <f t="shared" si="15"/>
        <v>50517352293136</v>
      </c>
      <c r="G192" s="2">
        <f t="shared" si="16"/>
        <v>6752.4448000000002</v>
      </c>
      <c r="H192" s="2">
        <f t="shared" si="17"/>
        <v>18002017.836799998</v>
      </c>
    </row>
    <row r="193" spans="1:8" x14ac:dyDescent="0.35">
      <c r="A193" s="2">
        <v>2666</v>
      </c>
      <c r="B193" s="2">
        <v>26527</v>
      </c>
      <c r="C193" s="2">
        <f t="shared" si="12"/>
        <v>2.6526999999999998</v>
      </c>
      <c r="D193" s="2">
        <f t="shared" si="13"/>
        <v>7107556</v>
      </c>
      <c r="E193" s="2">
        <f t="shared" si="14"/>
        <v>18948744296</v>
      </c>
      <c r="F193" s="2">
        <f t="shared" si="15"/>
        <v>50517352293136</v>
      </c>
      <c r="G193" s="2">
        <f t="shared" si="16"/>
        <v>7072.0981999999995</v>
      </c>
      <c r="H193" s="2">
        <f t="shared" si="17"/>
        <v>18854213.801199999</v>
      </c>
    </row>
    <row r="194" spans="1:8" x14ac:dyDescent="0.35">
      <c r="A194" s="2">
        <v>2666</v>
      </c>
      <c r="B194" s="2">
        <v>27629</v>
      </c>
      <c r="C194" s="2">
        <f t="shared" si="12"/>
        <v>2.7629000000000001</v>
      </c>
      <c r="D194" s="2">
        <f t="shared" si="13"/>
        <v>7107556</v>
      </c>
      <c r="E194" s="2">
        <f t="shared" si="14"/>
        <v>18948744296</v>
      </c>
      <c r="F194" s="2">
        <f t="shared" si="15"/>
        <v>50517352293136</v>
      </c>
      <c r="G194" s="2">
        <f t="shared" si="16"/>
        <v>7365.8914000000004</v>
      </c>
      <c r="H194" s="2">
        <f t="shared" si="17"/>
        <v>19637466.472400002</v>
      </c>
    </row>
    <row r="195" spans="1:8" x14ac:dyDescent="0.35">
      <c r="A195" s="2">
        <v>2666</v>
      </c>
      <c r="B195" s="2">
        <v>27431</v>
      </c>
      <c r="C195" s="2">
        <f t="shared" ref="C195:C258" si="18">B195/10000</f>
        <v>2.7431000000000001</v>
      </c>
      <c r="D195" s="2">
        <f t="shared" ref="D195:D258" si="19">A195^2</f>
        <v>7107556</v>
      </c>
      <c r="E195" s="2">
        <f t="shared" ref="E195:E258" si="20">A195^3</f>
        <v>18948744296</v>
      </c>
      <c r="F195" s="2">
        <f t="shared" ref="F195:F258" si="21">A195^4</f>
        <v>50517352293136</v>
      </c>
      <c r="G195" s="2">
        <f t="shared" ref="G195:G258" si="22">A195*C195</f>
        <v>7313.1046000000006</v>
      </c>
      <c r="H195" s="2">
        <f t="shared" ref="H195:H258" si="23">D195*C195</f>
        <v>19496736.863600001</v>
      </c>
    </row>
    <row r="196" spans="1:8" x14ac:dyDescent="0.35">
      <c r="A196" s="2">
        <v>2666</v>
      </c>
      <c r="B196" s="2">
        <v>29358</v>
      </c>
      <c r="C196" s="2">
        <f t="shared" si="18"/>
        <v>2.9358</v>
      </c>
      <c r="D196" s="2">
        <f t="shared" si="19"/>
        <v>7107556</v>
      </c>
      <c r="E196" s="2">
        <f t="shared" si="20"/>
        <v>18948744296</v>
      </c>
      <c r="F196" s="2">
        <f t="shared" si="21"/>
        <v>50517352293136</v>
      </c>
      <c r="G196" s="2">
        <f t="shared" si="22"/>
        <v>7826.8428000000004</v>
      </c>
      <c r="H196" s="2">
        <f t="shared" si="23"/>
        <v>20866362.904800002</v>
      </c>
    </row>
    <row r="197" spans="1:8" x14ac:dyDescent="0.35">
      <c r="A197" s="2">
        <v>2666</v>
      </c>
      <c r="B197" s="2">
        <v>32139</v>
      </c>
      <c r="C197" s="2">
        <f t="shared" si="18"/>
        <v>3.2139000000000002</v>
      </c>
      <c r="D197" s="2">
        <f t="shared" si="19"/>
        <v>7107556</v>
      </c>
      <c r="E197" s="2">
        <f t="shared" si="20"/>
        <v>18948744296</v>
      </c>
      <c r="F197" s="2">
        <f t="shared" si="21"/>
        <v>50517352293136</v>
      </c>
      <c r="G197" s="2">
        <f t="shared" si="22"/>
        <v>8568.2574000000004</v>
      </c>
      <c r="H197" s="2">
        <f t="shared" si="23"/>
        <v>22842974.228400003</v>
      </c>
    </row>
    <row r="198" spans="1:8" x14ac:dyDescent="0.35">
      <c r="A198" s="2">
        <v>2666</v>
      </c>
      <c r="B198" s="2">
        <v>34836</v>
      </c>
      <c r="C198" s="2">
        <f t="shared" si="18"/>
        <v>3.4836</v>
      </c>
      <c r="D198" s="2">
        <f t="shared" si="19"/>
        <v>7107556</v>
      </c>
      <c r="E198" s="2">
        <f t="shared" si="20"/>
        <v>18948744296</v>
      </c>
      <c r="F198" s="2">
        <f t="shared" si="21"/>
        <v>50517352293136</v>
      </c>
      <c r="G198" s="2">
        <f t="shared" si="22"/>
        <v>9287.2775999999994</v>
      </c>
      <c r="H198" s="2">
        <f t="shared" si="23"/>
        <v>24759882.081599999</v>
      </c>
    </row>
    <row r="199" spans="1:8" x14ac:dyDescent="0.35">
      <c r="A199" s="2">
        <v>2666</v>
      </c>
      <c r="B199" s="2">
        <v>34020</v>
      </c>
      <c r="C199" s="2">
        <f t="shared" si="18"/>
        <v>3.4020000000000001</v>
      </c>
      <c r="D199" s="2">
        <f t="shared" si="19"/>
        <v>7107556</v>
      </c>
      <c r="E199" s="2">
        <f t="shared" si="20"/>
        <v>18948744296</v>
      </c>
      <c r="F199" s="2">
        <f t="shared" si="21"/>
        <v>50517352293136</v>
      </c>
      <c r="G199" s="2">
        <f t="shared" si="22"/>
        <v>9069.732</v>
      </c>
      <c r="H199" s="2">
        <f t="shared" si="23"/>
        <v>24179905.512000002</v>
      </c>
    </row>
    <row r="200" spans="1:8" x14ac:dyDescent="0.35">
      <c r="A200" s="2">
        <v>2666</v>
      </c>
      <c r="B200" s="2">
        <v>34902</v>
      </c>
      <c r="C200" s="2">
        <f t="shared" si="18"/>
        <v>3.4902000000000002</v>
      </c>
      <c r="D200" s="2">
        <f t="shared" si="19"/>
        <v>7107556</v>
      </c>
      <c r="E200" s="2">
        <f t="shared" si="20"/>
        <v>18948744296</v>
      </c>
      <c r="F200" s="2">
        <f t="shared" si="21"/>
        <v>50517352293136</v>
      </c>
      <c r="G200" s="2">
        <f t="shared" si="22"/>
        <v>9304.8732</v>
      </c>
      <c r="H200" s="2">
        <f t="shared" si="23"/>
        <v>24806791.951200001</v>
      </c>
    </row>
    <row r="201" spans="1:8" x14ac:dyDescent="0.35">
      <c r="A201" s="2">
        <v>2666</v>
      </c>
      <c r="B201" s="2">
        <v>35359</v>
      </c>
      <c r="C201" s="2">
        <f t="shared" si="18"/>
        <v>3.5358999999999998</v>
      </c>
      <c r="D201" s="2">
        <f t="shared" si="19"/>
        <v>7107556</v>
      </c>
      <c r="E201" s="2">
        <f t="shared" si="20"/>
        <v>18948744296</v>
      </c>
      <c r="F201" s="2">
        <f t="shared" si="21"/>
        <v>50517352293136</v>
      </c>
      <c r="G201" s="2">
        <f t="shared" si="22"/>
        <v>9426.7093999999997</v>
      </c>
      <c r="H201" s="2">
        <f t="shared" si="23"/>
        <v>25131607.260399997</v>
      </c>
    </row>
    <row r="202" spans="1:8" x14ac:dyDescent="0.35">
      <c r="A202" s="2">
        <v>2666</v>
      </c>
      <c r="B202" s="2">
        <v>37814</v>
      </c>
      <c r="C202" s="2">
        <f t="shared" si="18"/>
        <v>3.7814000000000001</v>
      </c>
      <c r="D202" s="2">
        <f t="shared" si="19"/>
        <v>7107556</v>
      </c>
      <c r="E202" s="2">
        <f t="shared" si="20"/>
        <v>18948744296</v>
      </c>
      <c r="F202" s="2">
        <f t="shared" si="21"/>
        <v>50517352293136</v>
      </c>
      <c r="G202" s="2">
        <f t="shared" si="22"/>
        <v>10081.2124</v>
      </c>
      <c r="H202" s="2">
        <f t="shared" si="23"/>
        <v>26876512.258400001</v>
      </c>
    </row>
    <row r="203" spans="1:8" x14ac:dyDescent="0.35">
      <c r="A203" s="2">
        <v>2666</v>
      </c>
      <c r="B203" s="2">
        <v>38541</v>
      </c>
      <c r="C203" s="2">
        <f t="shared" si="18"/>
        <v>3.8540999999999999</v>
      </c>
      <c r="D203" s="2">
        <f t="shared" si="19"/>
        <v>7107556</v>
      </c>
      <c r="E203" s="2">
        <f t="shared" si="20"/>
        <v>18948744296</v>
      </c>
      <c r="F203" s="2">
        <f t="shared" si="21"/>
        <v>50517352293136</v>
      </c>
      <c r="G203" s="2">
        <f t="shared" si="22"/>
        <v>10275.0306</v>
      </c>
      <c r="H203" s="2">
        <f t="shared" si="23"/>
        <v>27393231.579599999</v>
      </c>
    </row>
    <row r="204" spans="1:8" x14ac:dyDescent="0.35">
      <c r="A204" s="2">
        <v>2666</v>
      </c>
      <c r="B204" s="2">
        <v>40833</v>
      </c>
      <c r="C204" s="2">
        <f t="shared" si="18"/>
        <v>4.0833000000000004</v>
      </c>
      <c r="D204" s="2">
        <f t="shared" si="19"/>
        <v>7107556</v>
      </c>
      <c r="E204" s="2">
        <f t="shared" si="20"/>
        <v>18948744296</v>
      </c>
      <c r="F204" s="2">
        <f t="shared" si="21"/>
        <v>50517352293136</v>
      </c>
      <c r="G204" s="2">
        <f t="shared" si="22"/>
        <v>10886.077800000001</v>
      </c>
      <c r="H204" s="2">
        <f t="shared" si="23"/>
        <v>29022283.414800003</v>
      </c>
    </row>
    <row r="205" spans="1:8" x14ac:dyDescent="0.35">
      <c r="A205" s="2">
        <v>2666</v>
      </c>
      <c r="B205" s="2">
        <v>41441</v>
      </c>
      <c r="C205" s="2">
        <f t="shared" si="18"/>
        <v>4.1440999999999999</v>
      </c>
      <c r="D205" s="2">
        <f t="shared" si="19"/>
        <v>7107556</v>
      </c>
      <c r="E205" s="2">
        <f t="shared" si="20"/>
        <v>18948744296</v>
      </c>
      <c r="F205" s="2">
        <f t="shared" si="21"/>
        <v>50517352293136</v>
      </c>
      <c r="G205" s="2">
        <f t="shared" si="22"/>
        <v>11048.170599999999</v>
      </c>
      <c r="H205" s="2">
        <f t="shared" si="23"/>
        <v>29454422.819600001</v>
      </c>
    </row>
    <row r="206" spans="1:8" x14ac:dyDescent="0.35">
      <c r="A206" s="2">
        <v>2666</v>
      </c>
      <c r="B206" s="2">
        <v>42404</v>
      </c>
      <c r="C206" s="2">
        <f t="shared" si="18"/>
        <v>4.2404000000000002</v>
      </c>
      <c r="D206" s="2">
        <f t="shared" si="19"/>
        <v>7107556</v>
      </c>
      <c r="E206" s="2">
        <f t="shared" si="20"/>
        <v>18948744296</v>
      </c>
      <c r="F206" s="2">
        <f t="shared" si="21"/>
        <v>50517352293136</v>
      </c>
      <c r="G206" s="2">
        <f t="shared" si="22"/>
        <v>11304.9064</v>
      </c>
      <c r="H206" s="2">
        <f t="shared" si="23"/>
        <v>30138880.462400001</v>
      </c>
    </row>
    <row r="207" spans="1:8" x14ac:dyDescent="0.35">
      <c r="A207" s="2">
        <v>2666</v>
      </c>
      <c r="B207" s="2">
        <v>43422</v>
      </c>
      <c r="C207" s="2">
        <f t="shared" si="18"/>
        <v>4.3422000000000001</v>
      </c>
      <c r="D207" s="2">
        <f t="shared" si="19"/>
        <v>7107556</v>
      </c>
      <c r="E207" s="2">
        <f t="shared" si="20"/>
        <v>18948744296</v>
      </c>
      <c r="F207" s="2">
        <f t="shared" si="21"/>
        <v>50517352293136</v>
      </c>
      <c r="G207" s="2">
        <f t="shared" si="22"/>
        <v>11576.305200000001</v>
      </c>
      <c r="H207" s="2">
        <f t="shared" si="23"/>
        <v>30862429.663200002</v>
      </c>
    </row>
    <row r="208" spans="1:8" x14ac:dyDescent="0.35">
      <c r="A208" s="2">
        <v>2666</v>
      </c>
      <c r="B208" s="2">
        <v>43917</v>
      </c>
      <c r="C208" s="2">
        <f t="shared" si="18"/>
        <v>4.3917000000000002</v>
      </c>
      <c r="D208" s="2">
        <f t="shared" si="19"/>
        <v>7107556</v>
      </c>
      <c r="E208" s="2">
        <f t="shared" si="20"/>
        <v>18948744296</v>
      </c>
      <c r="F208" s="2">
        <f t="shared" si="21"/>
        <v>50517352293136</v>
      </c>
      <c r="G208" s="2">
        <f t="shared" si="22"/>
        <v>11708.272200000001</v>
      </c>
      <c r="H208" s="2">
        <f t="shared" si="23"/>
        <v>31214253.685200002</v>
      </c>
    </row>
    <row r="209" spans="1:8" x14ac:dyDescent="0.35">
      <c r="A209" s="2">
        <v>2666</v>
      </c>
      <c r="B209" s="2">
        <v>44206</v>
      </c>
      <c r="C209" s="2">
        <f t="shared" si="18"/>
        <v>4.4206000000000003</v>
      </c>
      <c r="D209" s="2">
        <f t="shared" si="19"/>
        <v>7107556</v>
      </c>
      <c r="E209" s="2">
        <f t="shared" si="20"/>
        <v>18948744296</v>
      </c>
      <c r="F209" s="2">
        <f t="shared" si="21"/>
        <v>50517352293136</v>
      </c>
      <c r="G209" s="2">
        <f t="shared" si="22"/>
        <v>11785.319600000001</v>
      </c>
      <c r="H209" s="2">
        <f t="shared" si="23"/>
        <v>31419662.053600002</v>
      </c>
    </row>
    <row r="210" spans="1:8" x14ac:dyDescent="0.35">
      <c r="A210" s="2">
        <v>2666</v>
      </c>
      <c r="B210" s="2">
        <v>45317</v>
      </c>
      <c r="C210" s="2">
        <f t="shared" si="18"/>
        <v>4.5316999999999998</v>
      </c>
      <c r="D210" s="2">
        <f t="shared" si="19"/>
        <v>7107556</v>
      </c>
      <c r="E210" s="2">
        <f t="shared" si="20"/>
        <v>18948744296</v>
      </c>
      <c r="F210" s="2">
        <f t="shared" si="21"/>
        <v>50517352293136</v>
      </c>
      <c r="G210" s="2">
        <f t="shared" si="22"/>
        <v>12081.512199999999</v>
      </c>
      <c r="H210" s="2">
        <f t="shared" si="23"/>
        <v>32209311.525199998</v>
      </c>
    </row>
    <row r="211" spans="1:8" x14ac:dyDescent="0.35">
      <c r="A211" s="2">
        <v>2666</v>
      </c>
      <c r="B211" s="2">
        <v>46226</v>
      </c>
      <c r="C211" s="2">
        <f t="shared" si="18"/>
        <v>4.6226000000000003</v>
      </c>
      <c r="D211" s="2">
        <f t="shared" si="19"/>
        <v>7107556</v>
      </c>
      <c r="E211" s="2">
        <f t="shared" si="20"/>
        <v>18948744296</v>
      </c>
      <c r="F211" s="2">
        <f t="shared" si="21"/>
        <v>50517352293136</v>
      </c>
      <c r="G211" s="2">
        <f t="shared" si="22"/>
        <v>12323.8516</v>
      </c>
      <c r="H211" s="2">
        <f t="shared" si="23"/>
        <v>32855388.365600001</v>
      </c>
    </row>
    <row r="212" spans="1:8" x14ac:dyDescent="0.35">
      <c r="A212" s="2">
        <v>2666</v>
      </c>
      <c r="B212" s="2">
        <v>45093</v>
      </c>
      <c r="C212" s="2">
        <f t="shared" si="18"/>
        <v>4.5092999999999996</v>
      </c>
      <c r="D212" s="2">
        <f t="shared" si="19"/>
        <v>7107556</v>
      </c>
      <c r="E212" s="2">
        <f t="shared" si="20"/>
        <v>18948744296</v>
      </c>
      <c r="F212" s="2">
        <f t="shared" si="21"/>
        <v>50517352293136</v>
      </c>
      <c r="G212" s="2">
        <f t="shared" si="22"/>
        <v>12021.793799999999</v>
      </c>
      <c r="H212" s="2">
        <f t="shared" si="23"/>
        <v>32050102.270799998</v>
      </c>
    </row>
    <row r="213" spans="1:8" x14ac:dyDescent="0.35">
      <c r="A213" s="2">
        <v>2666</v>
      </c>
      <c r="B213" s="2">
        <v>46188</v>
      </c>
      <c r="C213" s="2">
        <f t="shared" si="18"/>
        <v>4.6188000000000002</v>
      </c>
      <c r="D213" s="2">
        <f t="shared" si="19"/>
        <v>7107556</v>
      </c>
      <c r="E213" s="2">
        <f t="shared" si="20"/>
        <v>18948744296</v>
      </c>
      <c r="F213" s="2">
        <f t="shared" si="21"/>
        <v>50517352293136</v>
      </c>
      <c r="G213" s="2">
        <f t="shared" si="22"/>
        <v>12313.720800000001</v>
      </c>
      <c r="H213" s="2">
        <f t="shared" si="23"/>
        <v>32828379.652800001</v>
      </c>
    </row>
    <row r="214" spans="1:8" x14ac:dyDescent="0.35">
      <c r="A214" s="2">
        <v>1705</v>
      </c>
      <c r="B214" s="2">
        <v>22749</v>
      </c>
      <c r="C214" s="2">
        <f t="shared" si="18"/>
        <v>2.2749000000000001</v>
      </c>
      <c r="D214" s="2">
        <f t="shared" si="19"/>
        <v>2907025</v>
      </c>
      <c r="E214" s="2">
        <f t="shared" si="20"/>
        <v>4956477625</v>
      </c>
      <c r="F214" s="2">
        <f t="shared" si="21"/>
        <v>8450794350625</v>
      </c>
      <c r="G214" s="2">
        <f t="shared" si="22"/>
        <v>3878.7045000000003</v>
      </c>
      <c r="H214" s="2">
        <f t="shared" si="23"/>
        <v>6613191.1725000003</v>
      </c>
    </row>
    <row r="215" spans="1:8" x14ac:dyDescent="0.35">
      <c r="A215" s="2">
        <v>1705</v>
      </c>
      <c r="B215" s="2">
        <v>28784</v>
      </c>
      <c r="C215" s="2">
        <f t="shared" si="18"/>
        <v>2.8784000000000001</v>
      </c>
      <c r="D215" s="2">
        <f t="shared" si="19"/>
        <v>2907025</v>
      </c>
      <c r="E215" s="2">
        <f t="shared" si="20"/>
        <v>4956477625</v>
      </c>
      <c r="F215" s="2">
        <f t="shared" si="21"/>
        <v>8450794350625</v>
      </c>
      <c r="G215" s="2">
        <f t="shared" si="22"/>
        <v>4907.6720000000005</v>
      </c>
      <c r="H215" s="2">
        <f t="shared" si="23"/>
        <v>8367580.7599999998</v>
      </c>
    </row>
    <row r="216" spans="1:8" x14ac:dyDescent="0.35">
      <c r="A216" s="2">
        <v>1705</v>
      </c>
      <c r="B216" s="2">
        <v>25517</v>
      </c>
      <c r="C216" s="2">
        <f t="shared" si="18"/>
        <v>2.5516999999999999</v>
      </c>
      <c r="D216" s="2">
        <f t="shared" si="19"/>
        <v>2907025</v>
      </c>
      <c r="E216" s="2">
        <f t="shared" si="20"/>
        <v>4956477625</v>
      </c>
      <c r="F216" s="2">
        <f t="shared" si="21"/>
        <v>8450794350625</v>
      </c>
      <c r="G216" s="2">
        <f t="shared" si="22"/>
        <v>4350.6484999999993</v>
      </c>
      <c r="H216" s="2">
        <f t="shared" si="23"/>
        <v>7417855.6924999999</v>
      </c>
    </row>
    <row r="217" spans="1:8" x14ac:dyDescent="0.35">
      <c r="A217" s="2">
        <v>1705</v>
      </c>
      <c r="B217" s="2">
        <v>12117</v>
      </c>
      <c r="C217" s="2">
        <f t="shared" si="18"/>
        <v>1.2117</v>
      </c>
      <c r="D217" s="2">
        <f t="shared" si="19"/>
        <v>2907025</v>
      </c>
      <c r="E217" s="2">
        <f t="shared" si="20"/>
        <v>4956477625</v>
      </c>
      <c r="F217" s="2">
        <f t="shared" si="21"/>
        <v>8450794350625</v>
      </c>
      <c r="G217" s="2">
        <f t="shared" si="22"/>
        <v>2065.9485</v>
      </c>
      <c r="H217" s="2">
        <f t="shared" si="23"/>
        <v>3522442.1924999999</v>
      </c>
    </row>
    <row r="218" spans="1:8" x14ac:dyDescent="0.35">
      <c r="A218" s="2">
        <v>1705</v>
      </c>
      <c r="B218" s="2">
        <v>14419</v>
      </c>
      <c r="C218" s="2">
        <f t="shared" si="18"/>
        <v>1.4419</v>
      </c>
      <c r="D218" s="2">
        <f t="shared" si="19"/>
        <v>2907025</v>
      </c>
      <c r="E218" s="2">
        <f t="shared" si="20"/>
        <v>4956477625</v>
      </c>
      <c r="F218" s="2">
        <f t="shared" si="21"/>
        <v>8450794350625</v>
      </c>
      <c r="G218" s="2">
        <f t="shared" si="22"/>
        <v>2458.4395</v>
      </c>
      <c r="H218" s="2">
        <f t="shared" si="23"/>
        <v>4191639.3474999997</v>
      </c>
    </row>
    <row r="219" spans="1:8" x14ac:dyDescent="0.35">
      <c r="A219" s="2">
        <v>1705</v>
      </c>
      <c r="B219" s="2">
        <v>12896</v>
      </c>
      <c r="C219" s="2">
        <f t="shared" si="18"/>
        <v>1.2896000000000001</v>
      </c>
      <c r="D219" s="2">
        <f t="shared" si="19"/>
        <v>2907025</v>
      </c>
      <c r="E219" s="2">
        <f t="shared" si="20"/>
        <v>4956477625</v>
      </c>
      <c r="F219" s="2">
        <f t="shared" si="21"/>
        <v>8450794350625</v>
      </c>
      <c r="G219" s="2">
        <f t="shared" si="22"/>
        <v>2198.768</v>
      </c>
      <c r="H219" s="2">
        <f t="shared" si="23"/>
        <v>3748899.4400000004</v>
      </c>
    </row>
    <row r="220" spans="1:8" x14ac:dyDescent="0.35">
      <c r="A220" s="2">
        <v>1705</v>
      </c>
      <c r="B220" s="2">
        <v>22756</v>
      </c>
      <c r="C220" s="2">
        <f t="shared" si="18"/>
        <v>2.2755999999999998</v>
      </c>
      <c r="D220" s="2">
        <f t="shared" si="19"/>
        <v>2907025</v>
      </c>
      <c r="E220" s="2">
        <f t="shared" si="20"/>
        <v>4956477625</v>
      </c>
      <c r="F220" s="2">
        <f t="shared" si="21"/>
        <v>8450794350625</v>
      </c>
      <c r="G220" s="2">
        <f t="shared" si="22"/>
        <v>3879.8979999999997</v>
      </c>
      <c r="H220" s="2">
        <f t="shared" si="23"/>
        <v>6615226.0899999999</v>
      </c>
    </row>
    <row r="221" spans="1:8" x14ac:dyDescent="0.35">
      <c r="A221" s="2">
        <v>1705</v>
      </c>
      <c r="B221" s="2">
        <v>21874</v>
      </c>
      <c r="C221" s="2">
        <f t="shared" si="18"/>
        <v>2.1873999999999998</v>
      </c>
      <c r="D221" s="2">
        <f t="shared" si="19"/>
        <v>2907025</v>
      </c>
      <c r="E221" s="2">
        <f t="shared" si="20"/>
        <v>4956477625</v>
      </c>
      <c r="F221" s="2">
        <f t="shared" si="21"/>
        <v>8450794350625</v>
      </c>
      <c r="G221" s="2">
        <f t="shared" si="22"/>
        <v>3729.5169999999998</v>
      </c>
      <c r="H221" s="2">
        <f t="shared" si="23"/>
        <v>6358826.4849999994</v>
      </c>
    </row>
    <row r="222" spans="1:8" x14ac:dyDescent="0.35">
      <c r="A222" s="2">
        <v>1705</v>
      </c>
      <c r="B222" s="2">
        <v>15005</v>
      </c>
      <c r="C222" s="2">
        <f t="shared" si="18"/>
        <v>1.5004999999999999</v>
      </c>
      <c r="D222" s="2">
        <f t="shared" si="19"/>
        <v>2907025</v>
      </c>
      <c r="E222" s="2">
        <f t="shared" si="20"/>
        <v>4956477625</v>
      </c>
      <c r="F222" s="2">
        <f t="shared" si="21"/>
        <v>8450794350625</v>
      </c>
      <c r="G222" s="2">
        <f t="shared" si="22"/>
        <v>2558.3525</v>
      </c>
      <c r="H222" s="2">
        <f t="shared" si="23"/>
        <v>4361991.0125000002</v>
      </c>
    </row>
    <row r="223" spans="1:8" x14ac:dyDescent="0.35">
      <c r="A223" s="2">
        <v>1705</v>
      </c>
      <c r="B223" s="2">
        <v>19521</v>
      </c>
      <c r="C223" s="2">
        <f t="shared" si="18"/>
        <v>1.9520999999999999</v>
      </c>
      <c r="D223" s="2">
        <f t="shared" si="19"/>
        <v>2907025</v>
      </c>
      <c r="E223" s="2">
        <f t="shared" si="20"/>
        <v>4956477625</v>
      </c>
      <c r="F223" s="2">
        <f t="shared" si="21"/>
        <v>8450794350625</v>
      </c>
      <c r="G223" s="2">
        <f t="shared" si="22"/>
        <v>3328.3305</v>
      </c>
      <c r="H223" s="2">
        <f t="shared" si="23"/>
        <v>5674803.5024999995</v>
      </c>
    </row>
    <row r="224" spans="1:8" x14ac:dyDescent="0.35">
      <c r="A224" s="2">
        <v>1705</v>
      </c>
      <c r="B224" s="2">
        <v>22010</v>
      </c>
      <c r="C224" s="2">
        <f t="shared" si="18"/>
        <v>2.2010000000000001</v>
      </c>
      <c r="D224" s="2">
        <f t="shared" si="19"/>
        <v>2907025</v>
      </c>
      <c r="E224" s="2">
        <f t="shared" si="20"/>
        <v>4956477625</v>
      </c>
      <c r="F224" s="2">
        <f t="shared" si="21"/>
        <v>8450794350625</v>
      </c>
      <c r="G224" s="2">
        <f t="shared" si="22"/>
        <v>3752.7049999999999</v>
      </c>
      <c r="H224" s="2">
        <f t="shared" si="23"/>
        <v>6398362.0250000004</v>
      </c>
    </row>
    <row r="225" spans="1:8" x14ac:dyDescent="0.35">
      <c r="A225" s="2">
        <v>1705</v>
      </c>
      <c r="B225" s="2">
        <v>26767</v>
      </c>
      <c r="C225" s="2">
        <f t="shared" si="18"/>
        <v>2.6766999999999999</v>
      </c>
      <c r="D225" s="2">
        <f t="shared" si="19"/>
        <v>2907025</v>
      </c>
      <c r="E225" s="2">
        <f t="shared" si="20"/>
        <v>4956477625</v>
      </c>
      <c r="F225" s="2">
        <f t="shared" si="21"/>
        <v>8450794350625</v>
      </c>
      <c r="G225" s="2">
        <f t="shared" si="22"/>
        <v>4563.7734999999993</v>
      </c>
      <c r="H225" s="2">
        <f t="shared" si="23"/>
        <v>7781233.8174999999</v>
      </c>
    </row>
    <row r="226" spans="1:8" x14ac:dyDescent="0.35">
      <c r="A226" s="2">
        <v>1705</v>
      </c>
      <c r="B226" s="2">
        <v>18107</v>
      </c>
      <c r="C226" s="2">
        <f t="shared" si="18"/>
        <v>1.8107</v>
      </c>
      <c r="D226" s="2">
        <f t="shared" si="19"/>
        <v>2907025</v>
      </c>
      <c r="E226" s="2">
        <f t="shared" si="20"/>
        <v>4956477625</v>
      </c>
      <c r="F226" s="2">
        <f t="shared" si="21"/>
        <v>8450794350625</v>
      </c>
      <c r="G226" s="2">
        <f t="shared" si="22"/>
        <v>3087.2435</v>
      </c>
      <c r="H226" s="2">
        <f t="shared" si="23"/>
        <v>5263750.1674999995</v>
      </c>
    </row>
    <row r="227" spans="1:8" x14ac:dyDescent="0.35">
      <c r="A227" s="2">
        <v>1705</v>
      </c>
      <c r="B227" s="2">
        <v>27409</v>
      </c>
      <c r="C227" s="2">
        <f t="shared" si="18"/>
        <v>2.7408999999999999</v>
      </c>
      <c r="D227" s="2">
        <f t="shared" si="19"/>
        <v>2907025</v>
      </c>
      <c r="E227" s="2">
        <f t="shared" si="20"/>
        <v>4956477625</v>
      </c>
      <c r="F227" s="2">
        <f t="shared" si="21"/>
        <v>8450794350625</v>
      </c>
      <c r="G227" s="2">
        <f t="shared" si="22"/>
        <v>4673.2344999999996</v>
      </c>
      <c r="H227" s="2">
        <f t="shared" si="23"/>
        <v>7967864.8224999998</v>
      </c>
    </row>
    <row r="228" spans="1:8" x14ac:dyDescent="0.35">
      <c r="A228" s="2">
        <v>1705</v>
      </c>
      <c r="B228" s="2">
        <v>27172</v>
      </c>
      <c r="C228" s="2">
        <f t="shared" si="18"/>
        <v>2.7172000000000001</v>
      </c>
      <c r="D228" s="2">
        <f t="shared" si="19"/>
        <v>2907025</v>
      </c>
      <c r="E228" s="2">
        <f t="shared" si="20"/>
        <v>4956477625</v>
      </c>
      <c r="F228" s="2">
        <f t="shared" si="21"/>
        <v>8450794350625</v>
      </c>
      <c r="G228" s="2">
        <f t="shared" si="22"/>
        <v>4632.826</v>
      </c>
      <c r="H228" s="2">
        <f t="shared" si="23"/>
        <v>7898968.3300000001</v>
      </c>
    </row>
    <row r="229" spans="1:8" x14ac:dyDescent="0.35">
      <c r="A229" s="2">
        <v>1705</v>
      </c>
      <c r="B229" s="2">
        <v>30137</v>
      </c>
      <c r="C229" s="2">
        <f t="shared" si="18"/>
        <v>3.0137</v>
      </c>
      <c r="D229" s="2">
        <f t="shared" si="19"/>
        <v>2907025</v>
      </c>
      <c r="E229" s="2">
        <f t="shared" si="20"/>
        <v>4956477625</v>
      </c>
      <c r="F229" s="2">
        <f t="shared" si="21"/>
        <v>8450794350625</v>
      </c>
      <c r="G229" s="2">
        <f t="shared" si="22"/>
        <v>5138.3585000000003</v>
      </c>
      <c r="H229" s="2">
        <f t="shared" si="23"/>
        <v>8760901.2424999997</v>
      </c>
    </row>
    <row r="230" spans="1:8" x14ac:dyDescent="0.35">
      <c r="A230" s="2">
        <v>1705</v>
      </c>
      <c r="B230" s="2">
        <v>22935</v>
      </c>
      <c r="C230" s="2">
        <f t="shared" si="18"/>
        <v>2.2934999999999999</v>
      </c>
      <c r="D230" s="2">
        <f t="shared" si="19"/>
        <v>2907025</v>
      </c>
      <c r="E230" s="2">
        <f t="shared" si="20"/>
        <v>4956477625</v>
      </c>
      <c r="F230" s="2">
        <f t="shared" si="21"/>
        <v>8450794350625</v>
      </c>
      <c r="G230" s="2">
        <f t="shared" si="22"/>
        <v>3910.4174999999996</v>
      </c>
      <c r="H230" s="2">
        <f t="shared" si="23"/>
        <v>6667261.8374999994</v>
      </c>
    </row>
    <row r="231" spans="1:8" x14ac:dyDescent="0.35">
      <c r="A231" s="2">
        <v>1705</v>
      </c>
      <c r="B231" s="2">
        <v>33294</v>
      </c>
      <c r="C231" s="2">
        <f t="shared" si="18"/>
        <v>3.3294000000000001</v>
      </c>
      <c r="D231" s="2">
        <f t="shared" si="19"/>
        <v>2907025</v>
      </c>
      <c r="E231" s="2">
        <f t="shared" si="20"/>
        <v>4956477625</v>
      </c>
      <c r="F231" s="2">
        <f t="shared" si="21"/>
        <v>8450794350625</v>
      </c>
      <c r="G231" s="2">
        <f t="shared" si="22"/>
        <v>5676.6270000000004</v>
      </c>
      <c r="H231" s="2">
        <f t="shared" si="23"/>
        <v>9678649.0350000001</v>
      </c>
    </row>
    <row r="232" spans="1:8" x14ac:dyDescent="0.35">
      <c r="A232" s="2">
        <v>1705</v>
      </c>
      <c r="B232" s="2">
        <v>46984</v>
      </c>
      <c r="C232" s="2">
        <f t="shared" si="18"/>
        <v>4.6984000000000004</v>
      </c>
      <c r="D232" s="2">
        <f t="shared" si="19"/>
        <v>2907025</v>
      </c>
      <c r="E232" s="2">
        <f t="shared" si="20"/>
        <v>4956477625</v>
      </c>
      <c r="F232" s="2">
        <f t="shared" si="21"/>
        <v>8450794350625</v>
      </c>
      <c r="G232" s="2">
        <f t="shared" si="22"/>
        <v>8010.7720000000008</v>
      </c>
      <c r="H232" s="2">
        <f t="shared" si="23"/>
        <v>13658366.260000002</v>
      </c>
    </row>
    <row r="233" spans="1:8" x14ac:dyDescent="0.35">
      <c r="A233" s="2">
        <v>1705</v>
      </c>
      <c r="B233" s="2">
        <v>40697</v>
      </c>
      <c r="C233" s="2">
        <f t="shared" si="18"/>
        <v>4.0697000000000001</v>
      </c>
      <c r="D233" s="2">
        <f t="shared" si="19"/>
        <v>2907025</v>
      </c>
      <c r="E233" s="2">
        <f t="shared" si="20"/>
        <v>4956477625</v>
      </c>
      <c r="F233" s="2">
        <f t="shared" si="21"/>
        <v>8450794350625</v>
      </c>
      <c r="G233" s="2">
        <f t="shared" si="22"/>
        <v>6938.8384999999998</v>
      </c>
      <c r="H233" s="2">
        <f t="shared" si="23"/>
        <v>11830719.6425</v>
      </c>
    </row>
    <row r="234" spans="1:8" x14ac:dyDescent="0.35">
      <c r="A234" s="2">
        <v>1705</v>
      </c>
      <c r="B234" s="2">
        <v>47872</v>
      </c>
      <c r="C234" s="2">
        <f t="shared" si="18"/>
        <v>4.7872000000000003</v>
      </c>
      <c r="D234" s="2">
        <f t="shared" si="19"/>
        <v>2907025</v>
      </c>
      <c r="E234" s="2">
        <f t="shared" si="20"/>
        <v>4956477625</v>
      </c>
      <c r="F234" s="2">
        <f t="shared" si="21"/>
        <v>8450794350625</v>
      </c>
      <c r="G234" s="2">
        <f t="shared" si="22"/>
        <v>8162.1760000000004</v>
      </c>
      <c r="H234" s="2">
        <f t="shared" si="23"/>
        <v>13916510.08</v>
      </c>
    </row>
    <row r="235" spans="1:8" x14ac:dyDescent="0.35">
      <c r="A235" s="2">
        <v>1705</v>
      </c>
      <c r="B235" s="2">
        <v>34749</v>
      </c>
      <c r="C235" s="2">
        <f t="shared" si="18"/>
        <v>3.4748999999999999</v>
      </c>
      <c r="D235" s="2">
        <f t="shared" si="19"/>
        <v>2907025</v>
      </c>
      <c r="E235" s="2">
        <f t="shared" si="20"/>
        <v>4956477625</v>
      </c>
      <c r="F235" s="2">
        <f t="shared" si="21"/>
        <v>8450794350625</v>
      </c>
      <c r="G235" s="2">
        <f t="shared" si="22"/>
        <v>5924.7044999999998</v>
      </c>
      <c r="H235" s="2">
        <f t="shared" si="23"/>
        <v>10101621.172499999</v>
      </c>
    </row>
    <row r="236" spans="1:8" x14ac:dyDescent="0.35">
      <c r="A236" s="2">
        <v>1705</v>
      </c>
      <c r="B236" s="2">
        <v>45021</v>
      </c>
      <c r="C236" s="2">
        <f t="shared" si="18"/>
        <v>4.5021000000000004</v>
      </c>
      <c r="D236" s="2">
        <f t="shared" si="19"/>
        <v>2907025</v>
      </c>
      <c r="E236" s="2">
        <f t="shared" si="20"/>
        <v>4956477625</v>
      </c>
      <c r="F236" s="2">
        <f t="shared" si="21"/>
        <v>8450794350625</v>
      </c>
      <c r="G236" s="2">
        <f t="shared" si="22"/>
        <v>7676.0805000000009</v>
      </c>
      <c r="H236" s="2">
        <f t="shared" si="23"/>
        <v>13087717.252500001</v>
      </c>
    </row>
    <row r="237" spans="1:8" x14ac:dyDescent="0.35">
      <c r="A237" s="2">
        <v>1705</v>
      </c>
      <c r="B237" s="2">
        <v>44538</v>
      </c>
      <c r="C237" s="2">
        <f t="shared" si="18"/>
        <v>4.4538000000000002</v>
      </c>
      <c r="D237" s="2">
        <f t="shared" si="19"/>
        <v>2907025</v>
      </c>
      <c r="E237" s="2">
        <f t="shared" si="20"/>
        <v>4956477625</v>
      </c>
      <c r="F237" s="2">
        <f t="shared" si="21"/>
        <v>8450794350625</v>
      </c>
      <c r="G237" s="2">
        <f t="shared" si="22"/>
        <v>7593.7290000000003</v>
      </c>
      <c r="H237" s="2">
        <f t="shared" si="23"/>
        <v>12947307.945</v>
      </c>
    </row>
    <row r="238" spans="1:8" x14ac:dyDescent="0.35">
      <c r="A238" s="2">
        <v>1705</v>
      </c>
      <c r="B238" s="2">
        <v>42831</v>
      </c>
      <c r="C238" s="2">
        <f t="shared" si="18"/>
        <v>4.2831000000000001</v>
      </c>
      <c r="D238" s="2">
        <f t="shared" si="19"/>
        <v>2907025</v>
      </c>
      <c r="E238" s="2">
        <f t="shared" si="20"/>
        <v>4956477625</v>
      </c>
      <c r="F238" s="2">
        <f t="shared" si="21"/>
        <v>8450794350625</v>
      </c>
      <c r="G238" s="2">
        <f t="shared" si="22"/>
        <v>7302.6855000000005</v>
      </c>
      <c r="H238" s="2">
        <f t="shared" si="23"/>
        <v>12451078.7775</v>
      </c>
    </row>
    <row r="239" spans="1:8" x14ac:dyDescent="0.35">
      <c r="A239" s="2">
        <v>1705</v>
      </c>
      <c r="B239" s="2">
        <v>45437</v>
      </c>
      <c r="C239" s="2">
        <f t="shared" si="18"/>
        <v>4.5437000000000003</v>
      </c>
      <c r="D239" s="2">
        <f t="shared" si="19"/>
        <v>2907025</v>
      </c>
      <c r="E239" s="2">
        <f t="shared" si="20"/>
        <v>4956477625</v>
      </c>
      <c r="F239" s="2">
        <f t="shared" si="21"/>
        <v>8450794350625</v>
      </c>
      <c r="G239" s="2">
        <f t="shared" si="22"/>
        <v>7747.0085000000008</v>
      </c>
      <c r="H239" s="2">
        <f t="shared" si="23"/>
        <v>13208649.492500002</v>
      </c>
    </row>
    <row r="240" spans="1:8" x14ac:dyDescent="0.35">
      <c r="A240" s="2">
        <v>1705</v>
      </c>
      <c r="B240" s="2">
        <v>52229</v>
      </c>
      <c r="C240" s="2">
        <f t="shared" si="18"/>
        <v>5.2229000000000001</v>
      </c>
      <c r="D240" s="2">
        <f t="shared" si="19"/>
        <v>2907025</v>
      </c>
      <c r="E240" s="2">
        <f t="shared" si="20"/>
        <v>4956477625</v>
      </c>
      <c r="F240" s="2">
        <f t="shared" si="21"/>
        <v>8450794350625</v>
      </c>
      <c r="G240" s="2">
        <f t="shared" si="22"/>
        <v>8905.0445</v>
      </c>
      <c r="H240" s="2">
        <f t="shared" si="23"/>
        <v>15183100.872500001</v>
      </c>
    </row>
    <row r="241" spans="1:8" x14ac:dyDescent="0.35">
      <c r="A241" s="2">
        <v>1705</v>
      </c>
      <c r="B241" s="2">
        <v>46309</v>
      </c>
      <c r="C241" s="2">
        <f t="shared" si="18"/>
        <v>4.6308999999999996</v>
      </c>
      <c r="D241" s="2">
        <f t="shared" si="19"/>
        <v>2907025</v>
      </c>
      <c r="E241" s="2">
        <f t="shared" si="20"/>
        <v>4956477625</v>
      </c>
      <c r="F241" s="2">
        <f t="shared" si="21"/>
        <v>8450794350625</v>
      </c>
      <c r="G241" s="2">
        <f t="shared" si="22"/>
        <v>7895.6844999999994</v>
      </c>
      <c r="H241" s="2">
        <f t="shared" si="23"/>
        <v>13462142.072499998</v>
      </c>
    </row>
    <row r="242" spans="1:8" x14ac:dyDescent="0.35">
      <c r="A242" s="2">
        <v>1705</v>
      </c>
      <c r="B242" s="2">
        <v>42422</v>
      </c>
      <c r="C242" s="2">
        <f t="shared" si="18"/>
        <v>4.2422000000000004</v>
      </c>
      <c r="D242" s="2">
        <f t="shared" si="19"/>
        <v>2907025</v>
      </c>
      <c r="E242" s="2">
        <f t="shared" si="20"/>
        <v>4956477625</v>
      </c>
      <c r="F242" s="2">
        <f t="shared" si="21"/>
        <v>8450794350625</v>
      </c>
      <c r="G242" s="2">
        <f t="shared" si="22"/>
        <v>7232.9510000000009</v>
      </c>
      <c r="H242" s="2">
        <f t="shared" si="23"/>
        <v>12332181.455000002</v>
      </c>
    </row>
    <row r="243" spans="1:8" x14ac:dyDescent="0.35">
      <c r="A243" s="2">
        <v>1705</v>
      </c>
      <c r="B243" s="2">
        <v>47752</v>
      </c>
      <c r="C243" s="2">
        <f t="shared" si="18"/>
        <v>4.7751999999999999</v>
      </c>
      <c r="D243" s="2">
        <f t="shared" si="19"/>
        <v>2907025</v>
      </c>
      <c r="E243" s="2">
        <f t="shared" si="20"/>
        <v>4956477625</v>
      </c>
      <c r="F243" s="2">
        <f t="shared" si="21"/>
        <v>8450794350625</v>
      </c>
      <c r="G243" s="2">
        <f t="shared" si="22"/>
        <v>8141.7159999999994</v>
      </c>
      <c r="H243" s="2">
        <f t="shared" si="23"/>
        <v>13881625.779999999</v>
      </c>
    </row>
    <row r="244" spans="1:8" x14ac:dyDescent="0.35">
      <c r="A244" s="2">
        <v>1039</v>
      </c>
      <c r="B244" s="2">
        <v>12783</v>
      </c>
      <c r="C244" s="2">
        <f t="shared" si="18"/>
        <v>1.2783</v>
      </c>
      <c r="D244" s="2">
        <f t="shared" si="19"/>
        <v>1079521</v>
      </c>
      <c r="E244" s="2">
        <f t="shared" si="20"/>
        <v>1121622319</v>
      </c>
      <c r="F244" s="2">
        <f t="shared" si="21"/>
        <v>1165365589441</v>
      </c>
      <c r="G244" s="2">
        <f t="shared" si="22"/>
        <v>1328.1537000000001</v>
      </c>
      <c r="H244" s="2">
        <f t="shared" si="23"/>
        <v>1379951.6943000001</v>
      </c>
    </row>
    <row r="245" spans="1:8" x14ac:dyDescent="0.35">
      <c r="A245" s="2">
        <v>1039</v>
      </c>
      <c r="B245" s="2">
        <v>12119</v>
      </c>
      <c r="C245" s="2">
        <f t="shared" si="18"/>
        <v>1.2119</v>
      </c>
      <c r="D245" s="2">
        <f t="shared" si="19"/>
        <v>1079521</v>
      </c>
      <c r="E245" s="2">
        <f t="shared" si="20"/>
        <v>1121622319</v>
      </c>
      <c r="F245" s="2">
        <f t="shared" si="21"/>
        <v>1165365589441</v>
      </c>
      <c r="G245" s="2">
        <f t="shared" si="22"/>
        <v>1259.1641</v>
      </c>
      <c r="H245" s="2">
        <f t="shared" si="23"/>
        <v>1308271.4998999999</v>
      </c>
    </row>
    <row r="246" spans="1:8" x14ac:dyDescent="0.35">
      <c r="A246" s="2">
        <v>1039</v>
      </c>
      <c r="B246" s="2">
        <v>11704</v>
      </c>
      <c r="C246" s="2">
        <f t="shared" si="18"/>
        <v>1.1704000000000001</v>
      </c>
      <c r="D246" s="2">
        <f t="shared" si="19"/>
        <v>1079521</v>
      </c>
      <c r="E246" s="2">
        <f t="shared" si="20"/>
        <v>1121622319</v>
      </c>
      <c r="F246" s="2">
        <f t="shared" si="21"/>
        <v>1165365589441</v>
      </c>
      <c r="G246" s="2">
        <f t="shared" si="22"/>
        <v>1216.0456000000001</v>
      </c>
      <c r="H246" s="2">
        <f t="shared" si="23"/>
        <v>1263471.3784</v>
      </c>
    </row>
    <row r="247" spans="1:8" x14ac:dyDescent="0.35">
      <c r="A247" s="2">
        <v>1039</v>
      </c>
      <c r="B247" s="2">
        <v>13752</v>
      </c>
      <c r="C247" s="2">
        <f t="shared" si="18"/>
        <v>1.3752</v>
      </c>
      <c r="D247" s="2">
        <f t="shared" si="19"/>
        <v>1079521</v>
      </c>
      <c r="E247" s="2">
        <f t="shared" si="20"/>
        <v>1121622319</v>
      </c>
      <c r="F247" s="2">
        <f t="shared" si="21"/>
        <v>1165365589441</v>
      </c>
      <c r="G247" s="2">
        <f t="shared" si="22"/>
        <v>1428.8327999999999</v>
      </c>
      <c r="H247" s="2">
        <f t="shared" si="23"/>
        <v>1484557.2792</v>
      </c>
    </row>
    <row r="248" spans="1:8" x14ac:dyDescent="0.35">
      <c r="A248" s="2">
        <v>1039</v>
      </c>
      <c r="B248" s="2">
        <v>13961</v>
      </c>
      <c r="C248" s="2">
        <f t="shared" si="18"/>
        <v>1.3960999999999999</v>
      </c>
      <c r="D248" s="2">
        <f t="shared" si="19"/>
        <v>1079521</v>
      </c>
      <c r="E248" s="2">
        <f t="shared" si="20"/>
        <v>1121622319</v>
      </c>
      <c r="F248" s="2">
        <f t="shared" si="21"/>
        <v>1165365589441</v>
      </c>
      <c r="G248" s="2">
        <f t="shared" si="22"/>
        <v>1450.5478999999998</v>
      </c>
      <c r="H248" s="2">
        <f t="shared" si="23"/>
        <v>1507119.2681</v>
      </c>
    </row>
    <row r="249" spans="1:8" x14ac:dyDescent="0.35">
      <c r="A249" s="2">
        <v>1039</v>
      </c>
      <c r="B249" s="2">
        <v>13423</v>
      </c>
      <c r="C249" s="2">
        <f t="shared" si="18"/>
        <v>1.3423</v>
      </c>
      <c r="D249" s="2">
        <f t="shared" si="19"/>
        <v>1079521</v>
      </c>
      <c r="E249" s="2">
        <f t="shared" si="20"/>
        <v>1121622319</v>
      </c>
      <c r="F249" s="2">
        <f t="shared" si="21"/>
        <v>1165365589441</v>
      </c>
      <c r="G249" s="2">
        <f t="shared" si="22"/>
        <v>1394.6496999999999</v>
      </c>
      <c r="H249" s="2">
        <f t="shared" si="23"/>
        <v>1449041.0383000001</v>
      </c>
    </row>
    <row r="250" spans="1:8" x14ac:dyDescent="0.35">
      <c r="A250" s="2">
        <v>1039</v>
      </c>
      <c r="B250" s="2">
        <v>13344</v>
      </c>
      <c r="C250" s="2">
        <f t="shared" si="18"/>
        <v>1.3344</v>
      </c>
      <c r="D250" s="2">
        <f t="shared" si="19"/>
        <v>1079521</v>
      </c>
      <c r="E250" s="2">
        <f t="shared" si="20"/>
        <v>1121622319</v>
      </c>
      <c r="F250" s="2">
        <f t="shared" si="21"/>
        <v>1165365589441</v>
      </c>
      <c r="G250" s="2">
        <f t="shared" si="22"/>
        <v>1386.4416000000001</v>
      </c>
      <c r="H250" s="2">
        <f t="shared" si="23"/>
        <v>1440512.8223999999</v>
      </c>
    </row>
    <row r="251" spans="1:8" x14ac:dyDescent="0.35">
      <c r="A251" s="2">
        <v>1039</v>
      </c>
      <c r="B251" s="2">
        <v>13177</v>
      </c>
      <c r="C251" s="2">
        <f t="shared" si="18"/>
        <v>1.3177000000000001</v>
      </c>
      <c r="D251" s="2">
        <f t="shared" si="19"/>
        <v>1079521</v>
      </c>
      <c r="E251" s="2">
        <f t="shared" si="20"/>
        <v>1121622319</v>
      </c>
      <c r="F251" s="2">
        <f t="shared" si="21"/>
        <v>1165365589441</v>
      </c>
      <c r="G251" s="2">
        <f t="shared" si="22"/>
        <v>1369.0903000000001</v>
      </c>
      <c r="H251" s="2">
        <f t="shared" si="23"/>
        <v>1422484.8217000002</v>
      </c>
    </row>
    <row r="252" spans="1:8" x14ac:dyDescent="0.35">
      <c r="A252" s="2">
        <v>1039</v>
      </c>
      <c r="B252" s="2">
        <v>15666</v>
      </c>
      <c r="C252" s="2">
        <f t="shared" si="18"/>
        <v>1.5666</v>
      </c>
      <c r="D252" s="2">
        <f t="shared" si="19"/>
        <v>1079521</v>
      </c>
      <c r="E252" s="2">
        <f t="shared" si="20"/>
        <v>1121622319</v>
      </c>
      <c r="F252" s="2">
        <f t="shared" si="21"/>
        <v>1165365589441</v>
      </c>
      <c r="G252" s="2">
        <f t="shared" si="22"/>
        <v>1627.6974</v>
      </c>
      <c r="H252" s="2">
        <f t="shared" si="23"/>
        <v>1691177.5985999999</v>
      </c>
    </row>
    <row r="253" spans="1:8" x14ac:dyDescent="0.35">
      <c r="A253" s="2">
        <v>1039</v>
      </c>
      <c r="B253" s="2">
        <v>16654</v>
      </c>
      <c r="C253" s="2">
        <f t="shared" si="18"/>
        <v>1.6654</v>
      </c>
      <c r="D253" s="2">
        <f t="shared" si="19"/>
        <v>1079521</v>
      </c>
      <c r="E253" s="2">
        <f t="shared" si="20"/>
        <v>1121622319</v>
      </c>
      <c r="F253" s="2">
        <f t="shared" si="21"/>
        <v>1165365589441</v>
      </c>
      <c r="G253" s="2">
        <f t="shared" si="22"/>
        <v>1730.3506</v>
      </c>
      <c r="H253" s="2">
        <f t="shared" si="23"/>
        <v>1797834.2734000001</v>
      </c>
    </row>
    <row r="254" spans="1:8" x14ac:dyDescent="0.35">
      <c r="A254" s="2">
        <v>1039</v>
      </c>
      <c r="B254" s="2">
        <v>18498</v>
      </c>
      <c r="C254" s="2">
        <f t="shared" si="18"/>
        <v>1.8498000000000001</v>
      </c>
      <c r="D254" s="2">
        <f t="shared" si="19"/>
        <v>1079521</v>
      </c>
      <c r="E254" s="2">
        <f t="shared" si="20"/>
        <v>1121622319</v>
      </c>
      <c r="F254" s="2">
        <f t="shared" si="21"/>
        <v>1165365589441</v>
      </c>
      <c r="G254" s="2">
        <f t="shared" si="22"/>
        <v>1921.9422000000002</v>
      </c>
      <c r="H254" s="2">
        <f t="shared" si="23"/>
        <v>1996897.9458000001</v>
      </c>
    </row>
    <row r="255" spans="1:8" x14ac:dyDescent="0.35">
      <c r="A255" s="2">
        <v>1039</v>
      </c>
      <c r="B255" s="2">
        <v>18827</v>
      </c>
      <c r="C255" s="2">
        <f t="shared" si="18"/>
        <v>1.8827</v>
      </c>
      <c r="D255" s="2">
        <f t="shared" si="19"/>
        <v>1079521</v>
      </c>
      <c r="E255" s="2">
        <f t="shared" si="20"/>
        <v>1121622319</v>
      </c>
      <c r="F255" s="2">
        <f t="shared" si="21"/>
        <v>1165365589441</v>
      </c>
      <c r="G255" s="2">
        <f t="shared" si="22"/>
        <v>1956.1253000000002</v>
      </c>
      <c r="H255" s="2">
        <f t="shared" si="23"/>
        <v>2032414.1867</v>
      </c>
    </row>
    <row r="256" spans="1:8" x14ac:dyDescent="0.35">
      <c r="A256" s="2">
        <v>1039</v>
      </c>
      <c r="B256" s="2">
        <v>20822</v>
      </c>
      <c r="C256" s="2">
        <f t="shared" si="18"/>
        <v>2.0821999999999998</v>
      </c>
      <c r="D256" s="2">
        <f t="shared" si="19"/>
        <v>1079521</v>
      </c>
      <c r="E256" s="2">
        <f t="shared" si="20"/>
        <v>1121622319</v>
      </c>
      <c r="F256" s="2">
        <f t="shared" si="21"/>
        <v>1165365589441</v>
      </c>
      <c r="G256" s="2">
        <f t="shared" si="22"/>
        <v>2163.4058</v>
      </c>
      <c r="H256" s="2">
        <f t="shared" si="23"/>
        <v>2247778.6261999998</v>
      </c>
    </row>
    <row r="257" spans="1:8" x14ac:dyDescent="0.35">
      <c r="A257" s="2">
        <v>1039</v>
      </c>
      <c r="B257" s="2">
        <v>19384</v>
      </c>
      <c r="C257" s="2">
        <f t="shared" si="18"/>
        <v>1.9383999999999999</v>
      </c>
      <c r="D257" s="2">
        <f t="shared" si="19"/>
        <v>1079521</v>
      </c>
      <c r="E257" s="2">
        <f t="shared" si="20"/>
        <v>1121622319</v>
      </c>
      <c r="F257" s="2">
        <f t="shared" si="21"/>
        <v>1165365589441</v>
      </c>
      <c r="G257" s="2">
        <f t="shared" si="22"/>
        <v>2013.9975999999999</v>
      </c>
      <c r="H257" s="2">
        <f t="shared" si="23"/>
        <v>2092543.5063999998</v>
      </c>
    </row>
    <row r="258" spans="1:8" x14ac:dyDescent="0.35">
      <c r="A258" s="2">
        <v>1039</v>
      </c>
      <c r="B258" s="2">
        <v>21114</v>
      </c>
      <c r="C258" s="2">
        <f t="shared" si="18"/>
        <v>2.1114000000000002</v>
      </c>
      <c r="D258" s="2">
        <f t="shared" si="19"/>
        <v>1079521</v>
      </c>
      <c r="E258" s="2">
        <f t="shared" si="20"/>
        <v>1121622319</v>
      </c>
      <c r="F258" s="2">
        <f t="shared" si="21"/>
        <v>1165365589441</v>
      </c>
      <c r="G258" s="2">
        <f t="shared" si="22"/>
        <v>2193.7446</v>
      </c>
      <c r="H258" s="2">
        <f t="shared" si="23"/>
        <v>2279300.6394000002</v>
      </c>
    </row>
    <row r="259" spans="1:8" x14ac:dyDescent="0.35">
      <c r="A259" s="2">
        <v>1039</v>
      </c>
      <c r="B259" s="2">
        <v>20714</v>
      </c>
      <c r="C259" s="2">
        <f t="shared" ref="C259:C322" si="24">B259/10000</f>
        <v>2.0714000000000001</v>
      </c>
      <c r="D259" s="2">
        <f t="shared" ref="D259:D322" si="25">A259^2</f>
        <v>1079521</v>
      </c>
      <c r="E259" s="2">
        <f t="shared" ref="E259:E322" si="26">A259^3</f>
        <v>1121622319</v>
      </c>
      <c r="F259" s="2">
        <f t="shared" ref="F259:F322" si="27">A259^4</f>
        <v>1165365589441</v>
      </c>
      <c r="G259" s="2">
        <f t="shared" ref="G259:G322" si="28">A259*C259</f>
        <v>2152.1846</v>
      </c>
      <c r="H259" s="2">
        <f t="shared" ref="H259:H322" si="29">D259*C259</f>
        <v>2236119.7994000004</v>
      </c>
    </row>
    <row r="260" spans="1:8" x14ac:dyDescent="0.35">
      <c r="A260" s="2">
        <v>1039</v>
      </c>
      <c r="B260" s="2">
        <v>21961</v>
      </c>
      <c r="C260" s="2">
        <f t="shared" si="24"/>
        <v>2.1960999999999999</v>
      </c>
      <c r="D260" s="2">
        <f t="shared" si="25"/>
        <v>1079521</v>
      </c>
      <c r="E260" s="2">
        <f t="shared" si="26"/>
        <v>1121622319</v>
      </c>
      <c r="F260" s="2">
        <f t="shared" si="27"/>
        <v>1165365589441</v>
      </c>
      <c r="G260" s="2">
        <f t="shared" si="28"/>
        <v>2281.7478999999998</v>
      </c>
      <c r="H260" s="2">
        <f t="shared" si="29"/>
        <v>2370736.0680999998</v>
      </c>
    </row>
    <row r="261" spans="1:8" x14ac:dyDescent="0.35">
      <c r="A261" s="2">
        <v>1039</v>
      </c>
      <c r="B261" s="2">
        <v>26137</v>
      </c>
      <c r="C261" s="2">
        <f t="shared" si="24"/>
        <v>2.6137000000000001</v>
      </c>
      <c r="D261" s="2">
        <f t="shared" si="25"/>
        <v>1079521</v>
      </c>
      <c r="E261" s="2">
        <f t="shared" si="26"/>
        <v>1121622319</v>
      </c>
      <c r="F261" s="2">
        <f t="shared" si="27"/>
        <v>1165365589441</v>
      </c>
      <c r="G261" s="2">
        <f t="shared" si="28"/>
        <v>2715.6343000000002</v>
      </c>
      <c r="H261" s="2">
        <f t="shared" si="29"/>
        <v>2821544.0377000002</v>
      </c>
    </row>
    <row r="262" spans="1:8" x14ac:dyDescent="0.35">
      <c r="A262" s="2">
        <v>1039</v>
      </c>
      <c r="B262" s="2">
        <v>27100</v>
      </c>
      <c r="C262" s="2">
        <f t="shared" si="24"/>
        <v>2.71</v>
      </c>
      <c r="D262" s="2">
        <f t="shared" si="25"/>
        <v>1079521</v>
      </c>
      <c r="E262" s="2">
        <f t="shared" si="26"/>
        <v>1121622319</v>
      </c>
      <c r="F262" s="2">
        <f t="shared" si="27"/>
        <v>1165365589441</v>
      </c>
      <c r="G262" s="2">
        <f t="shared" si="28"/>
        <v>2815.69</v>
      </c>
      <c r="H262" s="2">
        <f t="shared" si="29"/>
        <v>2925501.91</v>
      </c>
    </row>
    <row r="263" spans="1:8" x14ac:dyDescent="0.35">
      <c r="A263" s="2">
        <v>1039</v>
      </c>
      <c r="B263" s="2">
        <v>23678</v>
      </c>
      <c r="C263" s="2">
        <f t="shared" si="24"/>
        <v>2.3677999999999999</v>
      </c>
      <c r="D263" s="2">
        <f t="shared" si="25"/>
        <v>1079521</v>
      </c>
      <c r="E263" s="2">
        <f t="shared" si="26"/>
        <v>1121622319</v>
      </c>
      <c r="F263" s="2">
        <f t="shared" si="27"/>
        <v>1165365589441</v>
      </c>
      <c r="G263" s="2">
        <f t="shared" si="28"/>
        <v>2460.1441999999997</v>
      </c>
      <c r="H263" s="2">
        <f t="shared" si="29"/>
        <v>2556089.8237999999</v>
      </c>
    </row>
    <row r="264" spans="1:8" x14ac:dyDescent="0.35">
      <c r="A264" s="2">
        <v>1039</v>
      </c>
      <c r="B264" s="2">
        <v>26633</v>
      </c>
      <c r="C264" s="2">
        <f t="shared" si="24"/>
        <v>2.6633</v>
      </c>
      <c r="D264" s="2">
        <f t="shared" si="25"/>
        <v>1079521</v>
      </c>
      <c r="E264" s="2">
        <f t="shared" si="26"/>
        <v>1121622319</v>
      </c>
      <c r="F264" s="2">
        <f t="shared" si="27"/>
        <v>1165365589441</v>
      </c>
      <c r="G264" s="2">
        <f t="shared" si="28"/>
        <v>2767.1687000000002</v>
      </c>
      <c r="H264" s="2">
        <f t="shared" si="29"/>
        <v>2875088.2793000001</v>
      </c>
    </row>
    <row r="265" spans="1:8" x14ac:dyDescent="0.35">
      <c r="A265" s="2">
        <v>1039</v>
      </c>
      <c r="B265" s="2">
        <v>32850</v>
      </c>
      <c r="C265" s="2">
        <f t="shared" si="24"/>
        <v>3.2850000000000001</v>
      </c>
      <c r="D265" s="2">
        <f t="shared" si="25"/>
        <v>1079521</v>
      </c>
      <c r="E265" s="2">
        <f t="shared" si="26"/>
        <v>1121622319</v>
      </c>
      <c r="F265" s="2">
        <f t="shared" si="27"/>
        <v>1165365589441</v>
      </c>
      <c r="G265" s="2">
        <f t="shared" si="28"/>
        <v>3413.1150000000002</v>
      </c>
      <c r="H265" s="2">
        <f t="shared" si="29"/>
        <v>3546226.4850000003</v>
      </c>
    </row>
    <row r="266" spans="1:8" x14ac:dyDescent="0.35">
      <c r="A266" s="2">
        <v>1039</v>
      </c>
      <c r="B266" s="2">
        <v>37395</v>
      </c>
      <c r="C266" s="2">
        <f t="shared" si="24"/>
        <v>3.7395</v>
      </c>
      <c r="D266" s="2">
        <f t="shared" si="25"/>
        <v>1079521</v>
      </c>
      <c r="E266" s="2">
        <f t="shared" si="26"/>
        <v>1121622319</v>
      </c>
      <c r="F266" s="2">
        <f t="shared" si="27"/>
        <v>1165365589441</v>
      </c>
      <c r="G266" s="2">
        <f t="shared" si="28"/>
        <v>3885.3405000000002</v>
      </c>
      <c r="H266" s="2">
        <f t="shared" si="29"/>
        <v>4036868.7795000002</v>
      </c>
    </row>
    <row r="267" spans="1:8" x14ac:dyDescent="0.35">
      <c r="A267" s="2">
        <v>1039</v>
      </c>
      <c r="B267" s="2">
        <v>26558</v>
      </c>
      <c r="C267" s="2">
        <f t="shared" si="24"/>
        <v>2.6558000000000002</v>
      </c>
      <c r="D267" s="2">
        <f t="shared" si="25"/>
        <v>1079521</v>
      </c>
      <c r="E267" s="2">
        <f t="shared" si="26"/>
        <v>1121622319</v>
      </c>
      <c r="F267" s="2">
        <f t="shared" si="27"/>
        <v>1165365589441</v>
      </c>
      <c r="G267" s="2">
        <f t="shared" si="28"/>
        <v>2759.3762000000002</v>
      </c>
      <c r="H267" s="2">
        <f t="shared" si="29"/>
        <v>2866991.8718000003</v>
      </c>
    </row>
    <row r="268" spans="1:8" x14ac:dyDescent="0.35">
      <c r="A268" s="2">
        <v>1039</v>
      </c>
      <c r="B268" s="2">
        <v>39362</v>
      </c>
      <c r="C268" s="2">
        <f t="shared" si="24"/>
        <v>3.9361999999999999</v>
      </c>
      <c r="D268" s="2">
        <f t="shared" si="25"/>
        <v>1079521</v>
      </c>
      <c r="E268" s="2">
        <f t="shared" si="26"/>
        <v>1121622319</v>
      </c>
      <c r="F268" s="2">
        <f t="shared" si="27"/>
        <v>1165365589441</v>
      </c>
      <c r="G268" s="2">
        <f t="shared" si="28"/>
        <v>4089.7118</v>
      </c>
      <c r="H268" s="2">
        <f t="shared" si="29"/>
        <v>4249210.5602000002</v>
      </c>
    </row>
    <row r="269" spans="1:8" x14ac:dyDescent="0.35">
      <c r="A269" s="2">
        <v>1039</v>
      </c>
      <c r="B269" s="2">
        <v>32960</v>
      </c>
      <c r="C269" s="2">
        <f t="shared" si="24"/>
        <v>3.2959999999999998</v>
      </c>
      <c r="D269" s="2">
        <f t="shared" si="25"/>
        <v>1079521</v>
      </c>
      <c r="E269" s="2">
        <f t="shared" si="26"/>
        <v>1121622319</v>
      </c>
      <c r="F269" s="2">
        <f t="shared" si="27"/>
        <v>1165365589441</v>
      </c>
      <c r="G269" s="2">
        <f t="shared" si="28"/>
        <v>3424.5439999999999</v>
      </c>
      <c r="H269" s="2">
        <f t="shared" si="29"/>
        <v>3558101.216</v>
      </c>
    </row>
    <row r="270" spans="1:8" x14ac:dyDescent="0.35">
      <c r="A270" s="2">
        <v>1039</v>
      </c>
      <c r="B270" s="2">
        <v>32960</v>
      </c>
      <c r="C270" s="2">
        <f t="shared" si="24"/>
        <v>3.2959999999999998</v>
      </c>
      <c r="D270" s="2">
        <f t="shared" si="25"/>
        <v>1079521</v>
      </c>
      <c r="E270" s="2">
        <f t="shared" si="26"/>
        <v>1121622319</v>
      </c>
      <c r="F270" s="2">
        <f t="shared" si="27"/>
        <v>1165365589441</v>
      </c>
      <c r="G270" s="2">
        <f t="shared" si="28"/>
        <v>3424.5439999999999</v>
      </c>
      <c r="H270" s="2">
        <f t="shared" si="29"/>
        <v>3558101.216</v>
      </c>
    </row>
    <row r="271" spans="1:8" x14ac:dyDescent="0.35">
      <c r="A271" s="2">
        <v>1039</v>
      </c>
      <c r="B271" s="2">
        <v>31393</v>
      </c>
      <c r="C271" s="2">
        <f t="shared" si="24"/>
        <v>3.1393</v>
      </c>
      <c r="D271" s="2">
        <f t="shared" si="25"/>
        <v>1079521</v>
      </c>
      <c r="E271" s="2">
        <f t="shared" si="26"/>
        <v>1121622319</v>
      </c>
      <c r="F271" s="2">
        <f t="shared" si="27"/>
        <v>1165365589441</v>
      </c>
      <c r="G271" s="2">
        <f t="shared" si="28"/>
        <v>3261.7327</v>
      </c>
      <c r="H271" s="2">
        <f t="shared" si="29"/>
        <v>3388940.2752999999</v>
      </c>
    </row>
    <row r="272" spans="1:8" x14ac:dyDescent="0.35">
      <c r="A272" s="2">
        <v>1039</v>
      </c>
      <c r="B272" s="2">
        <v>31285</v>
      </c>
      <c r="C272" s="2">
        <f t="shared" si="24"/>
        <v>3.1284999999999998</v>
      </c>
      <c r="D272" s="2">
        <f t="shared" si="25"/>
        <v>1079521</v>
      </c>
      <c r="E272" s="2">
        <f t="shared" si="26"/>
        <v>1121622319</v>
      </c>
      <c r="F272" s="2">
        <f t="shared" si="27"/>
        <v>1165365589441</v>
      </c>
      <c r="G272" s="2">
        <f t="shared" si="28"/>
        <v>3250.5114999999996</v>
      </c>
      <c r="H272" s="2">
        <f t="shared" si="29"/>
        <v>3377281.4484999999</v>
      </c>
    </row>
    <row r="273" spans="1:8" x14ac:dyDescent="0.35">
      <c r="A273" s="2">
        <v>1039</v>
      </c>
      <c r="B273" s="2">
        <v>34174</v>
      </c>
      <c r="C273" s="2">
        <f t="shared" si="24"/>
        <v>3.4174000000000002</v>
      </c>
      <c r="D273" s="2">
        <f t="shared" si="25"/>
        <v>1079521</v>
      </c>
      <c r="E273" s="2">
        <f t="shared" si="26"/>
        <v>1121622319</v>
      </c>
      <c r="F273" s="2">
        <f t="shared" si="27"/>
        <v>1165365589441</v>
      </c>
      <c r="G273" s="2">
        <f t="shared" si="28"/>
        <v>3550.6786000000002</v>
      </c>
      <c r="H273" s="2">
        <f t="shared" si="29"/>
        <v>3689155.0654000002</v>
      </c>
    </row>
    <row r="274" spans="1:8" x14ac:dyDescent="0.35">
      <c r="A274" s="2">
        <v>2200</v>
      </c>
      <c r="B274" s="2">
        <v>19375</v>
      </c>
      <c r="C274" s="2">
        <f t="shared" si="24"/>
        <v>1.9375</v>
      </c>
      <c r="D274" s="2">
        <f t="shared" si="25"/>
        <v>4840000</v>
      </c>
      <c r="E274" s="2">
        <f t="shared" si="26"/>
        <v>10648000000</v>
      </c>
      <c r="F274" s="2">
        <f t="shared" si="27"/>
        <v>23425600000000</v>
      </c>
      <c r="G274" s="2">
        <f t="shared" si="28"/>
        <v>4262.5</v>
      </c>
      <c r="H274" s="2">
        <f t="shared" si="29"/>
        <v>9377500</v>
      </c>
    </row>
    <row r="275" spans="1:8" x14ac:dyDescent="0.35">
      <c r="A275" s="2">
        <v>2200</v>
      </c>
      <c r="B275" s="2">
        <v>18000</v>
      </c>
      <c r="C275" s="2">
        <f t="shared" si="24"/>
        <v>1.8</v>
      </c>
      <c r="D275" s="2">
        <f t="shared" si="25"/>
        <v>4840000</v>
      </c>
      <c r="E275" s="2">
        <f t="shared" si="26"/>
        <v>10648000000</v>
      </c>
      <c r="F275" s="2">
        <f t="shared" si="27"/>
        <v>23425600000000</v>
      </c>
      <c r="G275" s="2">
        <f t="shared" si="28"/>
        <v>3960</v>
      </c>
      <c r="H275" s="2">
        <f t="shared" si="29"/>
        <v>8712000</v>
      </c>
    </row>
    <row r="276" spans="1:8" x14ac:dyDescent="0.35">
      <c r="A276" s="2">
        <v>2200</v>
      </c>
      <c r="B276" s="2">
        <v>17568</v>
      </c>
      <c r="C276" s="2">
        <f t="shared" si="24"/>
        <v>1.7567999999999999</v>
      </c>
      <c r="D276" s="2">
        <f t="shared" si="25"/>
        <v>4840000</v>
      </c>
      <c r="E276" s="2">
        <f t="shared" si="26"/>
        <v>10648000000</v>
      </c>
      <c r="F276" s="2">
        <f t="shared" si="27"/>
        <v>23425600000000</v>
      </c>
      <c r="G276" s="2">
        <f t="shared" si="28"/>
        <v>3864.96</v>
      </c>
      <c r="H276" s="2">
        <f t="shared" si="29"/>
        <v>8502912</v>
      </c>
    </row>
    <row r="277" spans="1:8" x14ac:dyDescent="0.35">
      <c r="A277" s="2">
        <v>2200</v>
      </c>
      <c r="B277" s="2">
        <v>16538</v>
      </c>
      <c r="C277" s="2">
        <f t="shared" si="24"/>
        <v>1.6537999999999999</v>
      </c>
      <c r="D277" s="2">
        <f t="shared" si="25"/>
        <v>4840000</v>
      </c>
      <c r="E277" s="2">
        <f t="shared" si="26"/>
        <v>10648000000</v>
      </c>
      <c r="F277" s="2">
        <f t="shared" si="27"/>
        <v>23425600000000</v>
      </c>
      <c r="G277" s="2">
        <f t="shared" si="28"/>
        <v>3638.3599999999997</v>
      </c>
      <c r="H277" s="2">
        <f t="shared" si="29"/>
        <v>8004392</v>
      </c>
    </row>
    <row r="278" spans="1:8" x14ac:dyDescent="0.35">
      <c r="A278" s="2">
        <v>2200</v>
      </c>
      <c r="B278" s="2">
        <v>20976</v>
      </c>
      <c r="C278" s="2">
        <f t="shared" si="24"/>
        <v>2.0975999999999999</v>
      </c>
      <c r="D278" s="2">
        <f t="shared" si="25"/>
        <v>4840000</v>
      </c>
      <c r="E278" s="2">
        <f t="shared" si="26"/>
        <v>10648000000</v>
      </c>
      <c r="F278" s="2">
        <f t="shared" si="27"/>
        <v>23425600000000</v>
      </c>
      <c r="G278" s="2">
        <f t="shared" si="28"/>
        <v>4614.7199999999993</v>
      </c>
      <c r="H278" s="2">
        <f t="shared" si="29"/>
        <v>10152384</v>
      </c>
    </row>
    <row r="279" spans="1:8" x14ac:dyDescent="0.35">
      <c r="A279" s="2">
        <v>2200</v>
      </c>
      <c r="B279" s="2">
        <v>12702</v>
      </c>
      <c r="C279" s="2">
        <f t="shared" si="24"/>
        <v>1.2702</v>
      </c>
      <c r="D279" s="2">
        <f t="shared" si="25"/>
        <v>4840000</v>
      </c>
      <c r="E279" s="2">
        <f t="shared" si="26"/>
        <v>10648000000</v>
      </c>
      <c r="F279" s="2">
        <f t="shared" si="27"/>
        <v>23425600000000</v>
      </c>
      <c r="G279" s="2">
        <f t="shared" si="28"/>
        <v>2794.44</v>
      </c>
      <c r="H279" s="2">
        <f t="shared" si="29"/>
        <v>6147768</v>
      </c>
    </row>
    <row r="280" spans="1:8" x14ac:dyDescent="0.35">
      <c r="A280" s="2">
        <v>2200</v>
      </c>
      <c r="B280" s="2">
        <v>13491</v>
      </c>
      <c r="C280" s="2">
        <f t="shared" si="24"/>
        <v>1.3491</v>
      </c>
      <c r="D280" s="2">
        <f t="shared" si="25"/>
        <v>4840000</v>
      </c>
      <c r="E280" s="2">
        <f t="shared" si="26"/>
        <v>10648000000</v>
      </c>
      <c r="F280" s="2">
        <f t="shared" si="27"/>
        <v>23425600000000</v>
      </c>
      <c r="G280" s="2">
        <f t="shared" si="28"/>
        <v>2968.02</v>
      </c>
      <c r="H280" s="2">
        <f t="shared" si="29"/>
        <v>6529644</v>
      </c>
    </row>
    <row r="281" spans="1:8" x14ac:dyDescent="0.35">
      <c r="A281" s="2">
        <v>2200</v>
      </c>
      <c r="B281" s="2">
        <v>14704</v>
      </c>
      <c r="C281" s="2">
        <f t="shared" si="24"/>
        <v>1.4703999999999999</v>
      </c>
      <c r="D281" s="2">
        <f t="shared" si="25"/>
        <v>4840000</v>
      </c>
      <c r="E281" s="2">
        <f t="shared" si="26"/>
        <v>10648000000</v>
      </c>
      <c r="F281" s="2">
        <f t="shared" si="27"/>
        <v>23425600000000</v>
      </c>
      <c r="G281" s="2">
        <f t="shared" si="28"/>
        <v>3234.8799999999997</v>
      </c>
      <c r="H281" s="2">
        <f t="shared" si="29"/>
        <v>7116736</v>
      </c>
    </row>
    <row r="282" spans="1:8" x14ac:dyDescent="0.35">
      <c r="A282" s="2">
        <v>2200</v>
      </c>
      <c r="B282" s="2">
        <v>16071</v>
      </c>
      <c r="C282" s="2">
        <f t="shared" si="24"/>
        <v>1.6071</v>
      </c>
      <c r="D282" s="2">
        <f t="shared" si="25"/>
        <v>4840000</v>
      </c>
      <c r="E282" s="2">
        <f t="shared" si="26"/>
        <v>10648000000</v>
      </c>
      <c r="F282" s="2">
        <f t="shared" si="27"/>
        <v>23425600000000</v>
      </c>
      <c r="G282" s="2">
        <f t="shared" si="28"/>
        <v>3535.62</v>
      </c>
      <c r="H282" s="2">
        <f t="shared" si="29"/>
        <v>7778364</v>
      </c>
    </row>
    <row r="283" spans="1:8" x14ac:dyDescent="0.35">
      <c r="A283" s="2">
        <v>2200</v>
      </c>
      <c r="B283" s="2">
        <v>16667</v>
      </c>
      <c r="C283" s="2">
        <f t="shared" si="24"/>
        <v>1.6667000000000001</v>
      </c>
      <c r="D283" s="2">
        <f t="shared" si="25"/>
        <v>4840000</v>
      </c>
      <c r="E283" s="2">
        <f t="shared" si="26"/>
        <v>10648000000</v>
      </c>
      <c r="F283" s="2">
        <f t="shared" si="27"/>
        <v>23425600000000</v>
      </c>
      <c r="G283" s="2">
        <f t="shared" si="28"/>
        <v>3666.7400000000002</v>
      </c>
      <c r="H283" s="2">
        <f t="shared" si="29"/>
        <v>8066828</v>
      </c>
    </row>
    <row r="284" spans="1:8" x14ac:dyDescent="0.35">
      <c r="A284" s="2">
        <v>2200</v>
      </c>
      <c r="B284" s="2">
        <v>16570</v>
      </c>
      <c r="C284" s="2">
        <f t="shared" si="24"/>
        <v>1.657</v>
      </c>
      <c r="D284" s="2">
        <f t="shared" si="25"/>
        <v>4840000</v>
      </c>
      <c r="E284" s="2">
        <f t="shared" si="26"/>
        <v>10648000000</v>
      </c>
      <c r="F284" s="2">
        <f t="shared" si="27"/>
        <v>23425600000000</v>
      </c>
      <c r="G284" s="2">
        <f t="shared" si="28"/>
        <v>3645.4</v>
      </c>
      <c r="H284" s="2">
        <f t="shared" si="29"/>
        <v>8019880</v>
      </c>
    </row>
    <row r="285" spans="1:8" x14ac:dyDescent="0.35">
      <c r="A285" s="2">
        <v>2200</v>
      </c>
      <c r="B285" s="2">
        <v>17214</v>
      </c>
      <c r="C285" s="2">
        <f t="shared" si="24"/>
        <v>1.7214</v>
      </c>
      <c r="D285" s="2">
        <f t="shared" si="25"/>
        <v>4840000</v>
      </c>
      <c r="E285" s="2">
        <f t="shared" si="26"/>
        <v>10648000000</v>
      </c>
      <c r="F285" s="2">
        <f t="shared" si="27"/>
        <v>23425600000000</v>
      </c>
      <c r="G285" s="2">
        <f t="shared" si="28"/>
        <v>3787.08</v>
      </c>
      <c r="H285" s="2">
        <f t="shared" si="29"/>
        <v>8331576</v>
      </c>
    </row>
    <row r="286" spans="1:8" x14ac:dyDescent="0.35">
      <c r="A286" s="2">
        <v>2200</v>
      </c>
      <c r="B286" s="2">
        <v>17892</v>
      </c>
      <c r="C286" s="2">
        <f t="shared" si="24"/>
        <v>1.7891999999999999</v>
      </c>
      <c r="D286" s="2">
        <f t="shared" si="25"/>
        <v>4840000</v>
      </c>
      <c r="E286" s="2">
        <f t="shared" si="26"/>
        <v>10648000000</v>
      </c>
      <c r="F286" s="2">
        <f t="shared" si="27"/>
        <v>23425600000000</v>
      </c>
      <c r="G286" s="2">
        <f t="shared" si="28"/>
        <v>3936.24</v>
      </c>
      <c r="H286" s="2">
        <f t="shared" si="29"/>
        <v>8659728</v>
      </c>
    </row>
    <row r="287" spans="1:8" x14ac:dyDescent="0.35">
      <c r="A287" s="2">
        <v>2200</v>
      </c>
      <c r="B287" s="2">
        <v>18471</v>
      </c>
      <c r="C287" s="2">
        <f t="shared" si="24"/>
        <v>1.8471</v>
      </c>
      <c r="D287" s="2">
        <f t="shared" si="25"/>
        <v>4840000</v>
      </c>
      <c r="E287" s="2">
        <f t="shared" si="26"/>
        <v>10648000000</v>
      </c>
      <c r="F287" s="2">
        <f t="shared" si="27"/>
        <v>23425600000000</v>
      </c>
      <c r="G287" s="2">
        <f t="shared" si="28"/>
        <v>4063.62</v>
      </c>
      <c r="H287" s="2">
        <f t="shared" si="29"/>
        <v>8939964</v>
      </c>
    </row>
    <row r="288" spans="1:8" x14ac:dyDescent="0.35">
      <c r="A288" s="2">
        <v>2200</v>
      </c>
      <c r="B288" s="2">
        <v>17038</v>
      </c>
      <c r="C288" s="2">
        <f t="shared" si="24"/>
        <v>1.7038</v>
      </c>
      <c r="D288" s="2">
        <f t="shared" si="25"/>
        <v>4840000</v>
      </c>
      <c r="E288" s="2">
        <f t="shared" si="26"/>
        <v>10648000000</v>
      </c>
      <c r="F288" s="2">
        <f t="shared" si="27"/>
        <v>23425600000000</v>
      </c>
      <c r="G288" s="2">
        <f t="shared" si="28"/>
        <v>3748.36</v>
      </c>
      <c r="H288" s="2">
        <f t="shared" si="29"/>
        <v>8246392</v>
      </c>
    </row>
    <row r="289" spans="1:8" x14ac:dyDescent="0.35">
      <c r="A289" s="2">
        <v>2200</v>
      </c>
      <c r="B289" s="2">
        <v>17391</v>
      </c>
      <c r="C289" s="2">
        <f t="shared" si="24"/>
        <v>1.7391000000000001</v>
      </c>
      <c r="D289" s="2">
        <f t="shared" si="25"/>
        <v>4840000</v>
      </c>
      <c r="E289" s="2">
        <f t="shared" si="26"/>
        <v>10648000000</v>
      </c>
      <c r="F289" s="2">
        <f t="shared" si="27"/>
        <v>23425600000000</v>
      </c>
      <c r="G289" s="2">
        <f t="shared" si="28"/>
        <v>3826.02</v>
      </c>
      <c r="H289" s="2">
        <f t="shared" si="29"/>
        <v>8417244</v>
      </c>
    </row>
    <row r="290" spans="1:8" x14ac:dyDescent="0.35">
      <c r="A290" s="2">
        <v>2200</v>
      </c>
      <c r="B290" s="2">
        <v>19987</v>
      </c>
      <c r="C290" s="2">
        <f t="shared" si="24"/>
        <v>1.9986999999999999</v>
      </c>
      <c r="D290" s="2">
        <f t="shared" si="25"/>
        <v>4840000</v>
      </c>
      <c r="E290" s="2">
        <f t="shared" si="26"/>
        <v>10648000000</v>
      </c>
      <c r="F290" s="2">
        <f t="shared" si="27"/>
        <v>23425600000000</v>
      </c>
      <c r="G290" s="2">
        <f t="shared" si="28"/>
        <v>4397.1399999999994</v>
      </c>
      <c r="H290" s="2">
        <f t="shared" si="29"/>
        <v>9673708</v>
      </c>
    </row>
    <row r="291" spans="1:8" x14ac:dyDescent="0.35">
      <c r="A291" s="2">
        <v>2200</v>
      </c>
      <c r="B291" s="2">
        <v>28816</v>
      </c>
      <c r="C291" s="2">
        <f t="shared" si="24"/>
        <v>2.8816000000000002</v>
      </c>
      <c r="D291" s="2">
        <f t="shared" si="25"/>
        <v>4840000</v>
      </c>
      <c r="E291" s="2">
        <f t="shared" si="26"/>
        <v>10648000000</v>
      </c>
      <c r="F291" s="2">
        <f t="shared" si="27"/>
        <v>23425600000000</v>
      </c>
      <c r="G291" s="2">
        <f t="shared" si="28"/>
        <v>6339.52</v>
      </c>
      <c r="H291" s="2">
        <f t="shared" si="29"/>
        <v>13946944</v>
      </c>
    </row>
    <row r="292" spans="1:8" x14ac:dyDescent="0.35">
      <c r="A292" s="2">
        <v>2200</v>
      </c>
      <c r="B292" s="2">
        <v>26896</v>
      </c>
      <c r="C292" s="2">
        <f t="shared" si="24"/>
        <v>2.6896</v>
      </c>
      <c r="D292" s="2">
        <f t="shared" si="25"/>
        <v>4840000</v>
      </c>
      <c r="E292" s="2">
        <f t="shared" si="26"/>
        <v>10648000000</v>
      </c>
      <c r="F292" s="2">
        <f t="shared" si="27"/>
        <v>23425600000000</v>
      </c>
      <c r="G292" s="2">
        <f t="shared" si="28"/>
        <v>5917.12</v>
      </c>
      <c r="H292" s="2">
        <f t="shared" si="29"/>
        <v>13017664</v>
      </c>
    </row>
    <row r="293" spans="1:8" x14ac:dyDescent="0.35">
      <c r="A293" s="2">
        <v>2200</v>
      </c>
      <c r="B293" s="2">
        <v>27461</v>
      </c>
      <c r="C293" s="2">
        <f t="shared" si="24"/>
        <v>2.7461000000000002</v>
      </c>
      <c r="D293" s="2">
        <f t="shared" si="25"/>
        <v>4840000</v>
      </c>
      <c r="E293" s="2">
        <f t="shared" si="26"/>
        <v>10648000000</v>
      </c>
      <c r="F293" s="2">
        <f t="shared" si="27"/>
        <v>23425600000000</v>
      </c>
      <c r="G293" s="2">
        <f t="shared" si="28"/>
        <v>6041.42</v>
      </c>
      <c r="H293" s="2">
        <f t="shared" si="29"/>
        <v>13291124.000000002</v>
      </c>
    </row>
    <row r="294" spans="1:8" x14ac:dyDescent="0.35">
      <c r="A294" s="2">
        <v>2200</v>
      </c>
      <c r="B294" s="2">
        <v>27043</v>
      </c>
      <c r="C294" s="2">
        <f t="shared" si="24"/>
        <v>2.7042999999999999</v>
      </c>
      <c r="D294" s="2">
        <f t="shared" si="25"/>
        <v>4840000</v>
      </c>
      <c r="E294" s="2">
        <f t="shared" si="26"/>
        <v>10648000000</v>
      </c>
      <c r="F294" s="2">
        <f t="shared" si="27"/>
        <v>23425600000000</v>
      </c>
      <c r="G294" s="2">
        <f t="shared" si="28"/>
        <v>5949.46</v>
      </c>
      <c r="H294" s="2">
        <f t="shared" si="29"/>
        <v>13088812</v>
      </c>
    </row>
    <row r="295" spans="1:8" x14ac:dyDescent="0.35">
      <c r="A295" s="2">
        <v>2200</v>
      </c>
      <c r="B295" s="2">
        <v>39983</v>
      </c>
      <c r="C295" s="2">
        <f t="shared" si="24"/>
        <v>3.9983</v>
      </c>
      <c r="D295" s="2">
        <f t="shared" si="25"/>
        <v>4840000</v>
      </c>
      <c r="E295" s="2">
        <f t="shared" si="26"/>
        <v>10648000000</v>
      </c>
      <c r="F295" s="2">
        <f t="shared" si="27"/>
        <v>23425600000000</v>
      </c>
      <c r="G295" s="2">
        <f t="shared" si="28"/>
        <v>8796.26</v>
      </c>
      <c r="H295" s="2">
        <f t="shared" si="29"/>
        <v>19351772</v>
      </c>
    </row>
    <row r="296" spans="1:8" x14ac:dyDescent="0.35">
      <c r="A296" s="2">
        <v>2200</v>
      </c>
      <c r="B296" s="2">
        <v>27993</v>
      </c>
      <c r="C296" s="2">
        <f t="shared" si="24"/>
        <v>2.7993000000000001</v>
      </c>
      <c r="D296" s="2">
        <f t="shared" si="25"/>
        <v>4840000</v>
      </c>
      <c r="E296" s="2">
        <f t="shared" si="26"/>
        <v>10648000000</v>
      </c>
      <c r="F296" s="2">
        <f t="shared" si="27"/>
        <v>23425600000000</v>
      </c>
      <c r="G296" s="2">
        <f t="shared" si="28"/>
        <v>6158.46</v>
      </c>
      <c r="H296" s="2">
        <f t="shared" si="29"/>
        <v>13548612</v>
      </c>
    </row>
    <row r="297" spans="1:8" x14ac:dyDescent="0.35">
      <c r="A297" s="2">
        <v>2200</v>
      </c>
      <c r="B297" s="2">
        <v>31400</v>
      </c>
      <c r="C297" s="2">
        <f t="shared" si="24"/>
        <v>3.14</v>
      </c>
      <c r="D297" s="2">
        <f t="shared" si="25"/>
        <v>4840000</v>
      </c>
      <c r="E297" s="2">
        <f t="shared" si="26"/>
        <v>10648000000</v>
      </c>
      <c r="F297" s="2">
        <f t="shared" si="27"/>
        <v>23425600000000</v>
      </c>
      <c r="G297" s="2">
        <f t="shared" si="28"/>
        <v>6908</v>
      </c>
      <c r="H297" s="2">
        <f t="shared" si="29"/>
        <v>15197600</v>
      </c>
    </row>
    <row r="298" spans="1:8" x14ac:dyDescent="0.35">
      <c r="A298" s="2">
        <v>2200</v>
      </c>
      <c r="B298" s="2">
        <v>32382</v>
      </c>
      <c r="C298" s="2">
        <f t="shared" si="24"/>
        <v>3.2382</v>
      </c>
      <c r="D298" s="2">
        <f t="shared" si="25"/>
        <v>4840000</v>
      </c>
      <c r="E298" s="2">
        <f t="shared" si="26"/>
        <v>10648000000</v>
      </c>
      <c r="F298" s="2">
        <f t="shared" si="27"/>
        <v>23425600000000</v>
      </c>
      <c r="G298" s="2">
        <f t="shared" si="28"/>
        <v>7124.04</v>
      </c>
      <c r="H298" s="2">
        <f t="shared" si="29"/>
        <v>15672888</v>
      </c>
    </row>
    <row r="299" spans="1:8" x14ac:dyDescent="0.35">
      <c r="A299" s="2">
        <v>2200</v>
      </c>
      <c r="B299" s="2">
        <v>36893</v>
      </c>
      <c r="C299" s="2">
        <f t="shared" si="24"/>
        <v>3.6892999999999998</v>
      </c>
      <c r="D299" s="2">
        <f t="shared" si="25"/>
        <v>4840000</v>
      </c>
      <c r="E299" s="2">
        <f t="shared" si="26"/>
        <v>10648000000</v>
      </c>
      <c r="F299" s="2">
        <f t="shared" si="27"/>
        <v>23425600000000</v>
      </c>
      <c r="G299" s="2">
        <f t="shared" si="28"/>
        <v>8116.4599999999991</v>
      </c>
      <c r="H299" s="2">
        <f t="shared" si="29"/>
        <v>17856212</v>
      </c>
    </row>
    <row r="300" spans="1:8" x14ac:dyDescent="0.35">
      <c r="A300" s="2">
        <v>2200</v>
      </c>
      <c r="B300" s="2">
        <v>36985</v>
      </c>
      <c r="C300" s="2">
        <f t="shared" si="24"/>
        <v>3.6985000000000001</v>
      </c>
      <c r="D300" s="2">
        <f t="shared" si="25"/>
        <v>4840000</v>
      </c>
      <c r="E300" s="2">
        <f t="shared" si="26"/>
        <v>10648000000</v>
      </c>
      <c r="F300" s="2">
        <f t="shared" si="27"/>
        <v>23425600000000</v>
      </c>
      <c r="G300" s="2">
        <f t="shared" si="28"/>
        <v>8136.7</v>
      </c>
      <c r="H300" s="2">
        <f t="shared" si="29"/>
        <v>17900740</v>
      </c>
    </row>
    <row r="301" spans="1:8" x14ac:dyDescent="0.35">
      <c r="A301" s="2">
        <v>2200</v>
      </c>
      <c r="B301" s="2">
        <v>37635</v>
      </c>
      <c r="C301" s="2">
        <f t="shared" si="24"/>
        <v>3.7635000000000001</v>
      </c>
      <c r="D301" s="2">
        <f t="shared" si="25"/>
        <v>4840000</v>
      </c>
      <c r="E301" s="2">
        <f t="shared" si="26"/>
        <v>10648000000</v>
      </c>
      <c r="F301" s="2">
        <f t="shared" si="27"/>
        <v>23425600000000</v>
      </c>
      <c r="G301" s="2">
        <f t="shared" si="28"/>
        <v>8279.7000000000007</v>
      </c>
      <c r="H301" s="2">
        <f t="shared" si="29"/>
        <v>18215340</v>
      </c>
    </row>
    <row r="302" spans="1:8" x14ac:dyDescent="0.35">
      <c r="A302" s="2">
        <v>2200</v>
      </c>
      <c r="B302" s="2">
        <v>38061</v>
      </c>
      <c r="C302" s="2">
        <f t="shared" si="24"/>
        <v>3.8060999999999998</v>
      </c>
      <c r="D302" s="2">
        <f t="shared" si="25"/>
        <v>4840000</v>
      </c>
      <c r="E302" s="2">
        <f t="shared" si="26"/>
        <v>10648000000</v>
      </c>
      <c r="F302" s="2">
        <f t="shared" si="27"/>
        <v>23425600000000</v>
      </c>
      <c r="G302" s="2">
        <f t="shared" si="28"/>
        <v>8373.42</v>
      </c>
      <c r="H302" s="2">
        <f t="shared" si="29"/>
        <v>18421524</v>
      </c>
    </row>
    <row r="303" spans="1:8" x14ac:dyDescent="0.35">
      <c r="A303" s="2">
        <v>2200</v>
      </c>
      <c r="B303" s="2">
        <v>39556</v>
      </c>
      <c r="C303" s="2">
        <f t="shared" si="24"/>
        <v>3.9556</v>
      </c>
      <c r="D303" s="2">
        <f t="shared" si="25"/>
        <v>4840000</v>
      </c>
      <c r="E303" s="2">
        <f t="shared" si="26"/>
        <v>10648000000</v>
      </c>
      <c r="F303" s="2">
        <f t="shared" si="27"/>
        <v>23425600000000</v>
      </c>
      <c r="G303" s="2">
        <f t="shared" si="28"/>
        <v>8702.32</v>
      </c>
      <c r="H303" s="2">
        <f t="shared" si="29"/>
        <v>19145104</v>
      </c>
    </row>
    <row r="304" spans="1:8" x14ac:dyDescent="0.35">
      <c r="A304" s="2">
        <v>1761</v>
      </c>
      <c r="B304" s="2">
        <v>18980</v>
      </c>
      <c r="C304" s="2">
        <f t="shared" si="24"/>
        <v>1.8979999999999999</v>
      </c>
      <c r="D304" s="2">
        <f t="shared" si="25"/>
        <v>3101121</v>
      </c>
      <c r="E304" s="2">
        <f t="shared" si="26"/>
        <v>5461074081</v>
      </c>
      <c r="F304" s="2">
        <f t="shared" si="27"/>
        <v>9616951456641</v>
      </c>
      <c r="G304" s="2">
        <f t="shared" si="28"/>
        <v>3342.3779999999997</v>
      </c>
      <c r="H304" s="2">
        <f t="shared" si="29"/>
        <v>5885927.6579999998</v>
      </c>
    </row>
    <row r="305" spans="1:8" x14ac:dyDescent="0.35">
      <c r="A305" s="2">
        <v>1761</v>
      </c>
      <c r="B305" s="2">
        <v>18610</v>
      </c>
      <c r="C305" s="2">
        <f t="shared" si="24"/>
        <v>1.861</v>
      </c>
      <c r="D305" s="2">
        <f t="shared" si="25"/>
        <v>3101121</v>
      </c>
      <c r="E305" s="2">
        <f t="shared" si="26"/>
        <v>5461074081</v>
      </c>
      <c r="F305" s="2">
        <f t="shared" si="27"/>
        <v>9616951456641</v>
      </c>
      <c r="G305" s="2">
        <f t="shared" si="28"/>
        <v>3277.221</v>
      </c>
      <c r="H305" s="2">
        <f t="shared" si="29"/>
        <v>5771186.1809999999</v>
      </c>
    </row>
    <row r="306" spans="1:8" x14ac:dyDescent="0.35">
      <c r="A306" s="2">
        <v>1761</v>
      </c>
      <c r="B306" s="2">
        <v>17375</v>
      </c>
      <c r="C306" s="2">
        <f t="shared" si="24"/>
        <v>1.7375</v>
      </c>
      <c r="D306" s="2">
        <f t="shared" si="25"/>
        <v>3101121</v>
      </c>
      <c r="E306" s="2">
        <f t="shared" si="26"/>
        <v>5461074081</v>
      </c>
      <c r="F306" s="2">
        <f t="shared" si="27"/>
        <v>9616951456641</v>
      </c>
      <c r="G306" s="2">
        <f t="shared" si="28"/>
        <v>3059.7375000000002</v>
      </c>
      <c r="H306" s="2">
        <f t="shared" si="29"/>
        <v>5388197.7374999998</v>
      </c>
    </row>
    <row r="307" spans="1:8" x14ac:dyDescent="0.35">
      <c r="A307" s="2">
        <v>1761</v>
      </c>
      <c r="B307" s="2">
        <v>20993</v>
      </c>
      <c r="C307" s="2">
        <f t="shared" si="24"/>
        <v>2.0992999999999999</v>
      </c>
      <c r="D307" s="2">
        <f t="shared" si="25"/>
        <v>3101121</v>
      </c>
      <c r="E307" s="2">
        <f t="shared" si="26"/>
        <v>5461074081</v>
      </c>
      <c r="F307" s="2">
        <f t="shared" si="27"/>
        <v>9616951456641</v>
      </c>
      <c r="G307" s="2">
        <f t="shared" si="28"/>
        <v>3696.8672999999999</v>
      </c>
      <c r="H307" s="2">
        <f t="shared" si="29"/>
        <v>6510183.3152999999</v>
      </c>
    </row>
    <row r="308" spans="1:8" x14ac:dyDescent="0.35">
      <c r="A308" s="2">
        <v>1761</v>
      </c>
      <c r="B308" s="2">
        <v>18803</v>
      </c>
      <c r="C308" s="2">
        <f t="shared" si="24"/>
        <v>1.8803000000000001</v>
      </c>
      <c r="D308" s="2">
        <f t="shared" si="25"/>
        <v>3101121</v>
      </c>
      <c r="E308" s="2">
        <f t="shared" si="26"/>
        <v>5461074081</v>
      </c>
      <c r="F308" s="2">
        <f t="shared" si="27"/>
        <v>9616951456641</v>
      </c>
      <c r="G308" s="2">
        <f t="shared" si="28"/>
        <v>3311.2083000000002</v>
      </c>
      <c r="H308" s="2">
        <f t="shared" si="29"/>
        <v>5831037.8163000001</v>
      </c>
    </row>
    <row r="309" spans="1:8" x14ac:dyDescent="0.35">
      <c r="A309" s="2">
        <v>1761</v>
      </c>
      <c r="B309" s="2">
        <v>23020</v>
      </c>
      <c r="C309" s="2">
        <f t="shared" si="24"/>
        <v>2.302</v>
      </c>
      <c r="D309" s="2">
        <f t="shared" si="25"/>
        <v>3101121</v>
      </c>
      <c r="E309" s="2">
        <f t="shared" si="26"/>
        <v>5461074081</v>
      </c>
      <c r="F309" s="2">
        <f t="shared" si="27"/>
        <v>9616951456641</v>
      </c>
      <c r="G309" s="2">
        <f t="shared" si="28"/>
        <v>4053.8220000000001</v>
      </c>
      <c r="H309" s="2">
        <f t="shared" si="29"/>
        <v>7138780.5420000004</v>
      </c>
    </row>
    <row r="310" spans="1:8" x14ac:dyDescent="0.35">
      <c r="A310" s="2">
        <v>1761</v>
      </c>
      <c r="B310" s="2">
        <v>21349</v>
      </c>
      <c r="C310" s="2">
        <f t="shared" si="24"/>
        <v>2.1349</v>
      </c>
      <c r="D310" s="2">
        <f t="shared" si="25"/>
        <v>3101121</v>
      </c>
      <c r="E310" s="2">
        <f t="shared" si="26"/>
        <v>5461074081</v>
      </c>
      <c r="F310" s="2">
        <f t="shared" si="27"/>
        <v>9616951456641</v>
      </c>
      <c r="G310" s="2">
        <f t="shared" si="28"/>
        <v>3759.5589</v>
      </c>
      <c r="H310" s="2">
        <f t="shared" si="29"/>
        <v>6620583.2229000004</v>
      </c>
    </row>
    <row r="311" spans="1:8" x14ac:dyDescent="0.35">
      <c r="A311" s="2">
        <v>1761</v>
      </c>
      <c r="B311" s="2">
        <v>22912</v>
      </c>
      <c r="C311" s="2">
        <f t="shared" si="24"/>
        <v>2.2911999999999999</v>
      </c>
      <c r="D311" s="2">
        <f t="shared" si="25"/>
        <v>3101121</v>
      </c>
      <c r="E311" s="2">
        <f t="shared" si="26"/>
        <v>5461074081</v>
      </c>
      <c r="F311" s="2">
        <f t="shared" si="27"/>
        <v>9616951456641</v>
      </c>
      <c r="G311" s="2">
        <f t="shared" si="28"/>
        <v>4034.8031999999998</v>
      </c>
      <c r="H311" s="2">
        <f t="shared" si="29"/>
        <v>7105288.4351999993</v>
      </c>
    </row>
    <row r="312" spans="1:8" x14ac:dyDescent="0.35">
      <c r="A312" s="2">
        <v>1761</v>
      </c>
      <c r="B312" s="2">
        <v>23876</v>
      </c>
      <c r="C312" s="2">
        <f t="shared" si="24"/>
        <v>2.3875999999999999</v>
      </c>
      <c r="D312" s="2">
        <f t="shared" si="25"/>
        <v>3101121</v>
      </c>
      <c r="E312" s="2">
        <f t="shared" si="26"/>
        <v>5461074081</v>
      </c>
      <c r="F312" s="2">
        <f t="shared" si="27"/>
        <v>9616951456641</v>
      </c>
      <c r="G312" s="2">
        <f t="shared" si="28"/>
        <v>4204.5635999999995</v>
      </c>
      <c r="H312" s="2">
        <f t="shared" si="29"/>
        <v>7404236.4995999997</v>
      </c>
    </row>
    <row r="313" spans="1:8" x14ac:dyDescent="0.35">
      <c r="A313" s="2">
        <v>1761</v>
      </c>
      <c r="B313" s="2">
        <v>25668</v>
      </c>
      <c r="C313" s="2">
        <f t="shared" si="24"/>
        <v>2.5668000000000002</v>
      </c>
      <c r="D313" s="2">
        <f t="shared" si="25"/>
        <v>3101121</v>
      </c>
      <c r="E313" s="2">
        <f t="shared" si="26"/>
        <v>5461074081</v>
      </c>
      <c r="F313" s="2">
        <f t="shared" si="27"/>
        <v>9616951456641</v>
      </c>
      <c r="G313" s="2">
        <f t="shared" si="28"/>
        <v>4520.1348000000007</v>
      </c>
      <c r="H313" s="2">
        <f t="shared" si="29"/>
        <v>7959957.3828000007</v>
      </c>
    </row>
    <row r="314" spans="1:8" x14ac:dyDescent="0.35">
      <c r="A314" s="2">
        <v>1761</v>
      </c>
      <c r="B314" s="2">
        <v>26578</v>
      </c>
      <c r="C314" s="2">
        <f t="shared" si="24"/>
        <v>2.6577999999999999</v>
      </c>
      <c r="D314" s="2">
        <f t="shared" si="25"/>
        <v>3101121</v>
      </c>
      <c r="E314" s="2">
        <f t="shared" si="26"/>
        <v>5461074081</v>
      </c>
      <c r="F314" s="2">
        <f t="shared" si="27"/>
        <v>9616951456641</v>
      </c>
      <c r="G314" s="2">
        <f t="shared" si="28"/>
        <v>4680.3858</v>
      </c>
      <c r="H314" s="2">
        <f t="shared" si="29"/>
        <v>8242159.3937999997</v>
      </c>
    </row>
    <row r="315" spans="1:8" x14ac:dyDescent="0.35">
      <c r="A315" s="2">
        <v>1761</v>
      </c>
      <c r="B315" s="2">
        <v>27310</v>
      </c>
      <c r="C315" s="2">
        <f t="shared" si="24"/>
        <v>2.7309999999999999</v>
      </c>
      <c r="D315" s="2">
        <f t="shared" si="25"/>
        <v>3101121</v>
      </c>
      <c r="E315" s="2">
        <f t="shared" si="26"/>
        <v>5461074081</v>
      </c>
      <c r="F315" s="2">
        <f t="shared" si="27"/>
        <v>9616951456641</v>
      </c>
      <c r="G315" s="2">
        <f t="shared" si="28"/>
        <v>4809.2910000000002</v>
      </c>
      <c r="H315" s="2">
        <f t="shared" si="29"/>
        <v>8469161.4509999994</v>
      </c>
    </row>
    <row r="316" spans="1:8" x14ac:dyDescent="0.35">
      <c r="A316" s="2">
        <v>1761</v>
      </c>
      <c r="B316" s="2">
        <v>25198</v>
      </c>
      <c r="C316" s="2">
        <f t="shared" si="24"/>
        <v>2.5198</v>
      </c>
      <c r="D316" s="2">
        <f t="shared" si="25"/>
        <v>3101121</v>
      </c>
      <c r="E316" s="2">
        <f t="shared" si="26"/>
        <v>5461074081</v>
      </c>
      <c r="F316" s="2">
        <f t="shared" si="27"/>
        <v>9616951456641</v>
      </c>
      <c r="G316" s="2">
        <f t="shared" si="28"/>
        <v>4437.3678</v>
      </c>
      <c r="H316" s="2">
        <f t="shared" si="29"/>
        <v>7814204.6957999999</v>
      </c>
    </row>
    <row r="317" spans="1:8" x14ac:dyDescent="0.35">
      <c r="A317" s="2">
        <v>1761</v>
      </c>
      <c r="B317" s="2">
        <v>30708</v>
      </c>
      <c r="C317" s="2">
        <f t="shared" si="24"/>
        <v>3.0708000000000002</v>
      </c>
      <c r="D317" s="2">
        <f t="shared" si="25"/>
        <v>3101121</v>
      </c>
      <c r="E317" s="2">
        <f t="shared" si="26"/>
        <v>5461074081</v>
      </c>
      <c r="F317" s="2">
        <f t="shared" si="27"/>
        <v>9616951456641</v>
      </c>
      <c r="G317" s="2">
        <f t="shared" si="28"/>
        <v>5407.6788000000006</v>
      </c>
      <c r="H317" s="2">
        <f t="shared" si="29"/>
        <v>9522922.3668000009</v>
      </c>
    </row>
    <row r="318" spans="1:8" x14ac:dyDescent="0.35">
      <c r="A318" s="2">
        <v>1761</v>
      </c>
      <c r="B318" s="2">
        <v>30382</v>
      </c>
      <c r="C318" s="2">
        <f t="shared" si="24"/>
        <v>3.0381999999999998</v>
      </c>
      <c r="D318" s="2">
        <f t="shared" si="25"/>
        <v>3101121</v>
      </c>
      <c r="E318" s="2">
        <f t="shared" si="26"/>
        <v>5461074081</v>
      </c>
      <c r="F318" s="2">
        <f t="shared" si="27"/>
        <v>9616951456641</v>
      </c>
      <c r="G318" s="2">
        <f t="shared" si="28"/>
        <v>5350.2701999999999</v>
      </c>
      <c r="H318" s="2">
        <f t="shared" si="29"/>
        <v>9421825.8221999984</v>
      </c>
    </row>
    <row r="319" spans="1:8" x14ac:dyDescent="0.35">
      <c r="A319" s="2">
        <v>1761</v>
      </c>
      <c r="B319" s="2">
        <v>32405</v>
      </c>
      <c r="C319" s="2">
        <f t="shared" si="24"/>
        <v>3.2404999999999999</v>
      </c>
      <c r="D319" s="2">
        <f t="shared" si="25"/>
        <v>3101121</v>
      </c>
      <c r="E319" s="2">
        <f t="shared" si="26"/>
        <v>5461074081</v>
      </c>
      <c r="F319" s="2">
        <f t="shared" si="27"/>
        <v>9616951456641</v>
      </c>
      <c r="G319" s="2">
        <f t="shared" si="28"/>
        <v>5706.5204999999996</v>
      </c>
      <c r="H319" s="2">
        <f t="shared" si="29"/>
        <v>10049182.600500001</v>
      </c>
    </row>
    <row r="320" spans="1:8" x14ac:dyDescent="0.35">
      <c r="A320" s="2">
        <v>1761</v>
      </c>
      <c r="B320" s="2">
        <v>33246</v>
      </c>
      <c r="C320" s="2">
        <f t="shared" si="24"/>
        <v>3.3246000000000002</v>
      </c>
      <c r="D320" s="2">
        <f t="shared" si="25"/>
        <v>3101121</v>
      </c>
      <c r="E320" s="2">
        <f t="shared" si="26"/>
        <v>5461074081</v>
      </c>
      <c r="F320" s="2">
        <f t="shared" si="27"/>
        <v>9616951456641</v>
      </c>
      <c r="G320" s="2">
        <f t="shared" si="28"/>
        <v>5854.6206000000002</v>
      </c>
      <c r="H320" s="2">
        <f t="shared" si="29"/>
        <v>10309986.876600001</v>
      </c>
    </row>
    <row r="321" spans="1:8" x14ac:dyDescent="0.35">
      <c r="A321" s="2">
        <v>1761</v>
      </c>
      <c r="B321" s="2">
        <v>35565</v>
      </c>
      <c r="C321" s="2">
        <f t="shared" si="24"/>
        <v>3.5565000000000002</v>
      </c>
      <c r="D321" s="2">
        <f t="shared" si="25"/>
        <v>3101121</v>
      </c>
      <c r="E321" s="2">
        <f t="shared" si="26"/>
        <v>5461074081</v>
      </c>
      <c r="F321" s="2">
        <f t="shared" si="27"/>
        <v>9616951456641</v>
      </c>
      <c r="G321" s="2">
        <f t="shared" si="28"/>
        <v>6262.9965000000002</v>
      </c>
      <c r="H321" s="2">
        <f t="shared" si="29"/>
        <v>11029136.8365</v>
      </c>
    </row>
    <row r="322" spans="1:8" x14ac:dyDescent="0.35">
      <c r="A322" s="2">
        <v>1761</v>
      </c>
      <c r="B322" s="2">
        <v>33691</v>
      </c>
      <c r="C322" s="2">
        <f t="shared" si="24"/>
        <v>3.3691</v>
      </c>
      <c r="D322" s="2">
        <f t="shared" si="25"/>
        <v>3101121</v>
      </c>
      <c r="E322" s="2">
        <f t="shared" si="26"/>
        <v>5461074081</v>
      </c>
      <c r="F322" s="2">
        <f t="shared" si="27"/>
        <v>9616951456641</v>
      </c>
      <c r="G322" s="2">
        <f t="shared" si="28"/>
        <v>5932.9850999999999</v>
      </c>
      <c r="H322" s="2">
        <f t="shared" si="29"/>
        <v>10447986.7611</v>
      </c>
    </row>
    <row r="323" spans="1:8" x14ac:dyDescent="0.35">
      <c r="A323" s="2">
        <v>1761</v>
      </c>
      <c r="B323" s="2">
        <v>38798</v>
      </c>
      <c r="C323" s="2">
        <f t="shared" ref="C323:C386" si="30">B323/10000</f>
        <v>3.8797999999999999</v>
      </c>
      <c r="D323" s="2">
        <f t="shared" ref="D323:D386" si="31">A323^2</f>
        <v>3101121</v>
      </c>
      <c r="E323" s="2">
        <f t="shared" ref="E323:E386" si="32">A323^3</f>
        <v>5461074081</v>
      </c>
      <c r="F323" s="2">
        <f t="shared" ref="F323:F386" si="33">A323^4</f>
        <v>9616951456641</v>
      </c>
      <c r="G323" s="2">
        <f t="shared" ref="G323:G386" si="34">A323*C323</f>
        <v>6832.3278</v>
      </c>
      <c r="H323" s="2">
        <f t="shared" ref="H323:H386" si="35">D323*C323</f>
        <v>12031729.255799999</v>
      </c>
    </row>
    <row r="324" spans="1:8" x14ac:dyDescent="0.35">
      <c r="A324" s="2">
        <v>1761</v>
      </c>
      <c r="B324" s="2">
        <v>38260</v>
      </c>
      <c r="C324" s="2">
        <f t="shared" si="30"/>
        <v>3.8260000000000001</v>
      </c>
      <c r="D324" s="2">
        <f t="shared" si="31"/>
        <v>3101121</v>
      </c>
      <c r="E324" s="2">
        <f t="shared" si="32"/>
        <v>5461074081</v>
      </c>
      <c r="F324" s="2">
        <f t="shared" si="33"/>
        <v>9616951456641</v>
      </c>
      <c r="G324" s="2">
        <f t="shared" si="34"/>
        <v>6737.5860000000002</v>
      </c>
      <c r="H324" s="2">
        <f t="shared" si="35"/>
        <v>11864888.946</v>
      </c>
    </row>
    <row r="325" spans="1:8" x14ac:dyDescent="0.35">
      <c r="A325" s="2">
        <v>1761</v>
      </c>
      <c r="B325" s="2">
        <v>42311</v>
      </c>
      <c r="C325" s="2">
        <f t="shared" si="30"/>
        <v>4.2310999999999996</v>
      </c>
      <c r="D325" s="2">
        <f t="shared" si="31"/>
        <v>3101121</v>
      </c>
      <c r="E325" s="2">
        <f t="shared" si="32"/>
        <v>5461074081</v>
      </c>
      <c r="F325" s="2">
        <f t="shared" si="33"/>
        <v>9616951456641</v>
      </c>
      <c r="G325" s="2">
        <f t="shared" si="34"/>
        <v>7450.9670999999989</v>
      </c>
      <c r="H325" s="2">
        <f t="shared" si="35"/>
        <v>13121153.063099999</v>
      </c>
    </row>
    <row r="326" spans="1:8" x14ac:dyDescent="0.35">
      <c r="A326" s="2">
        <v>1761</v>
      </c>
      <c r="B326" s="2">
        <v>44049</v>
      </c>
      <c r="C326" s="2">
        <f t="shared" si="30"/>
        <v>4.4048999999999996</v>
      </c>
      <c r="D326" s="2">
        <f t="shared" si="31"/>
        <v>3101121</v>
      </c>
      <c r="E326" s="2">
        <f t="shared" si="32"/>
        <v>5461074081</v>
      </c>
      <c r="F326" s="2">
        <f t="shared" si="33"/>
        <v>9616951456641</v>
      </c>
      <c r="G326" s="2">
        <f t="shared" si="34"/>
        <v>7757.0288999999993</v>
      </c>
      <c r="H326" s="2">
        <f t="shared" si="35"/>
        <v>13660127.892899999</v>
      </c>
    </row>
    <row r="327" spans="1:8" x14ac:dyDescent="0.35">
      <c r="A327" s="2">
        <v>1761</v>
      </c>
      <c r="B327" s="2">
        <v>41271</v>
      </c>
      <c r="C327" s="2">
        <f t="shared" si="30"/>
        <v>4.1271000000000004</v>
      </c>
      <c r="D327" s="2">
        <f t="shared" si="31"/>
        <v>3101121</v>
      </c>
      <c r="E327" s="2">
        <f t="shared" si="32"/>
        <v>5461074081</v>
      </c>
      <c r="F327" s="2">
        <f t="shared" si="33"/>
        <v>9616951456641</v>
      </c>
      <c r="G327" s="2">
        <f t="shared" si="34"/>
        <v>7267.8231000000005</v>
      </c>
      <c r="H327" s="2">
        <f t="shared" si="35"/>
        <v>12798636.479100002</v>
      </c>
    </row>
    <row r="328" spans="1:8" x14ac:dyDescent="0.35">
      <c r="A328" s="2">
        <v>1761</v>
      </c>
      <c r="B328" s="2">
        <v>48956</v>
      </c>
      <c r="C328" s="2">
        <f t="shared" si="30"/>
        <v>4.8956</v>
      </c>
      <c r="D328" s="2">
        <f t="shared" si="31"/>
        <v>3101121</v>
      </c>
      <c r="E328" s="2">
        <f t="shared" si="32"/>
        <v>5461074081</v>
      </c>
      <c r="F328" s="2">
        <f t="shared" si="33"/>
        <v>9616951456641</v>
      </c>
      <c r="G328" s="2">
        <f t="shared" si="34"/>
        <v>8621.1515999999992</v>
      </c>
      <c r="H328" s="2">
        <f t="shared" si="35"/>
        <v>15181847.967599999</v>
      </c>
    </row>
    <row r="329" spans="1:8" x14ac:dyDescent="0.35">
      <c r="A329" s="2">
        <v>1761</v>
      </c>
      <c r="B329" s="2">
        <v>47860</v>
      </c>
      <c r="C329" s="2">
        <f t="shared" si="30"/>
        <v>4.7859999999999996</v>
      </c>
      <c r="D329" s="2">
        <f t="shared" si="31"/>
        <v>3101121</v>
      </c>
      <c r="E329" s="2">
        <f t="shared" si="32"/>
        <v>5461074081</v>
      </c>
      <c r="F329" s="2">
        <f t="shared" si="33"/>
        <v>9616951456641</v>
      </c>
      <c r="G329" s="2">
        <f t="shared" si="34"/>
        <v>8428.1459999999988</v>
      </c>
      <c r="H329" s="2">
        <f t="shared" si="35"/>
        <v>14841965.105999999</v>
      </c>
    </row>
    <row r="330" spans="1:8" x14ac:dyDescent="0.35">
      <c r="A330" s="2">
        <v>1761</v>
      </c>
      <c r="B330" s="2">
        <v>50071</v>
      </c>
      <c r="C330" s="2">
        <f t="shared" si="30"/>
        <v>5.0071000000000003</v>
      </c>
      <c r="D330" s="2">
        <f t="shared" si="31"/>
        <v>3101121</v>
      </c>
      <c r="E330" s="2">
        <f t="shared" si="32"/>
        <v>5461074081</v>
      </c>
      <c r="F330" s="2">
        <f t="shared" si="33"/>
        <v>9616951456641</v>
      </c>
      <c r="G330" s="2">
        <f t="shared" si="34"/>
        <v>8817.5030999999999</v>
      </c>
      <c r="H330" s="2">
        <f t="shared" si="35"/>
        <v>15527622.959100001</v>
      </c>
    </row>
    <row r="331" spans="1:8" x14ac:dyDescent="0.35">
      <c r="A331" s="2">
        <v>1761</v>
      </c>
      <c r="B331" s="2">
        <v>52013</v>
      </c>
      <c r="C331" s="2">
        <f t="shared" si="30"/>
        <v>5.2012999999999998</v>
      </c>
      <c r="D331" s="2">
        <f t="shared" si="31"/>
        <v>3101121</v>
      </c>
      <c r="E331" s="2">
        <f t="shared" si="32"/>
        <v>5461074081</v>
      </c>
      <c r="F331" s="2">
        <f t="shared" si="33"/>
        <v>9616951456641</v>
      </c>
      <c r="G331" s="2">
        <f t="shared" si="34"/>
        <v>9159.4892999999993</v>
      </c>
      <c r="H331" s="2">
        <f t="shared" si="35"/>
        <v>16129860.657299999</v>
      </c>
    </row>
    <row r="332" spans="1:8" x14ac:dyDescent="0.35">
      <c r="A332" s="2">
        <v>1761</v>
      </c>
      <c r="B332" s="2">
        <v>57525</v>
      </c>
      <c r="C332" s="2">
        <f t="shared" si="30"/>
        <v>5.7525000000000004</v>
      </c>
      <c r="D332" s="2">
        <f t="shared" si="31"/>
        <v>3101121</v>
      </c>
      <c r="E332" s="2">
        <f t="shared" si="32"/>
        <v>5461074081</v>
      </c>
      <c r="F332" s="2">
        <f t="shared" si="33"/>
        <v>9616951456641</v>
      </c>
      <c r="G332" s="2">
        <f t="shared" si="34"/>
        <v>10130.1525</v>
      </c>
      <c r="H332" s="2">
        <f t="shared" si="35"/>
        <v>17839198.552500002</v>
      </c>
    </row>
    <row r="333" spans="1:8" x14ac:dyDescent="0.35">
      <c r="A333" s="2">
        <v>1761</v>
      </c>
      <c r="B333" s="2">
        <v>54643</v>
      </c>
      <c r="C333" s="2">
        <f t="shared" si="30"/>
        <v>5.4642999999999997</v>
      </c>
      <c r="D333" s="2">
        <f t="shared" si="31"/>
        <v>3101121</v>
      </c>
      <c r="E333" s="2">
        <f t="shared" si="32"/>
        <v>5461074081</v>
      </c>
      <c r="F333" s="2">
        <f t="shared" si="33"/>
        <v>9616951456641</v>
      </c>
      <c r="G333" s="2">
        <f t="shared" si="34"/>
        <v>9622.6322999999993</v>
      </c>
      <c r="H333" s="2">
        <f t="shared" si="35"/>
        <v>16945455.480299998</v>
      </c>
    </row>
    <row r="334" spans="1:8" x14ac:dyDescent="0.35">
      <c r="A334" s="2">
        <v>2722</v>
      </c>
      <c r="B334" s="2">
        <v>12394</v>
      </c>
      <c r="C334" s="2">
        <f t="shared" si="30"/>
        <v>1.2394000000000001</v>
      </c>
      <c r="D334" s="2">
        <f t="shared" si="31"/>
        <v>7409284</v>
      </c>
      <c r="E334" s="2">
        <f t="shared" si="32"/>
        <v>20168071048</v>
      </c>
      <c r="F334" s="2">
        <f t="shared" si="33"/>
        <v>54897489392656</v>
      </c>
      <c r="G334" s="2">
        <f t="shared" si="34"/>
        <v>3373.6468</v>
      </c>
      <c r="H334" s="2">
        <f t="shared" si="35"/>
        <v>9183066.5896000005</v>
      </c>
    </row>
    <row r="335" spans="1:8" x14ac:dyDescent="0.35">
      <c r="A335" s="2">
        <v>2722</v>
      </c>
      <c r="B335" s="2">
        <v>21359</v>
      </c>
      <c r="C335" s="2">
        <f t="shared" si="30"/>
        <v>2.1358999999999999</v>
      </c>
      <c r="D335" s="2">
        <f t="shared" si="31"/>
        <v>7409284</v>
      </c>
      <c r="E335" s="2">
        <f t="shared" si="32"/>
        <v>20168071048</v>
      </c>
      <c r="F335" s="2">
        <f t="shared" si="33"/>
        <v>54897489392656</v>
      </c>
      <c r="G335" s="2">
        <f t="shared" si="34"/>
        <v>5813.9197999999997</v>
      </c>
      <c r="H335" s="2">
        <f t="shared" si="35"/>
        <v>15825489.695599999</v>
      </c>
    </row>
    <row r="336" spans="1:8" x14ac:dyDescent="0.35">
      <c r="A336" s="2">
        <v>2722</v>
      </c>
      <c r="B336" s="2">
        <v>10630</v>
      </c>
      <c r="C336" s="2">
        <f t="shared" si="30"/>
        <v>1.0629999999999999</v>
      </c>
      <c r="D336" s="2">
        <f t="shared" si="31"/>
        <v>7409284</v>
      </c>
      <c r="E336" s="2">
        <f t="shared" si="32"/>
        <v>20168071048</v>
      </c>
      <c r="F336" s="2">
        <f t="shared" si="33"/>
        <v>54897489392656</v>
      </c>
      <c r="G336" s="2">
        <f t="shared" si="34"/>
        <v>2893.4859999999999</v>
      </c>
      <c r="H336" s="2">
        <f t="shared" si="35"/>
        <v>7876068.892</v>
      </c>
    </row>
    <row r="337" spans="1:8" x14ac:dyDescent="0.35">
      <c r="A337" s="2">
        <v>2722</v>
      </c>
      <c r="B337" s="2">
        <v>22286</v>
      </c>
      <c r="C337" s="2">
        <f t="shared" si="30"/>
        <v>2.2286000000000001</v>
      </c>
      <c r="D337" s="2">
        <f t="shared" si="31"/>
        <v>7409284</v>
      </c>
      <c r="E337" s="2">
        <f t="shared" si="32"/>
        <v>20168071048</v>
      </c>
      <c r="F337" s="2">
        <f t="shared" si="33"/>
        <v>54897489392656</v>
      </c>
      <c r="G337" s="2">
        <f t="shared" si="34"/>
        <v>6066.2492000000002</v>
      </c>
      <c r="H337" s="2">
        <f t="shared" si="35"/>
        <v>16512330.322400002</v>
      </c>
    </row>
    <row r="338" spans="1:8" x14ac:dyDescent="0.35">
      <c r="A338" s="2">
        <v>2722</v>
      </c>
      <c r="B338" s="2">
        <v>15500</v>
      </c>
      <c r="C338" s="2">
        <f t="shared" si="30"/>
        <v>1.55</v>
      </c>
      <c r="D338" s="2">
        <f t="shared" si="31"/>
        <v>7409284</v>
      </c>
      <c r="E338" s="2">
        <f t="shared" si="32"/>
        <v>20168071048</v>
      </c>
      <c r="F338" s="2">
        <f t="shared" si="33"/>
        <v>54897489392656</v>
      </c>
      <c r="G338" s="2">
        <f t="shared" si="34"/>
        <v>4219.1000000000004</v>
      </c>
      <c r="H338" s="2">
        <f t="shared" si="35"/>
        <v>11484390.200000001</v>
      </c>
    </row>
    <row r="339" spans="1:8" x14ac:dyDescent="0.35">
      <c r="A339" s="2">
        <v>2722</v>
      </c>
      <c r="B339" s="2">
        <v>16000</v>
      </c>
      <c r="C339" s="2">
        <f t="shared" si="30"/>
        <v>1.6</v>
      </c>
      <c r="D339" s="2">
        <f t="shared" si="31"/>
        <v>7409284</v>
      </c>
      <c r="E339" s="2">
        <f t="shared" si="32"/>
        <v>20168071048</v>
      </c>
      <c r="F339" s="2">
        <f t="shared" si="33"/>
        <v>54897489392656</v>
      </c>
      <c r="G339" s="2">
        <f t="shared" si="34"/>
        <v>4355.2</v>
      </c>
      <c r="H339" s="2">
        <f t="shared" si="35"/>
        <v>11854854.4</v>
      </c>
    </row>
    <row r="340" spans="1:8" x14ac:dyDescent="0.35">
      <c r="A340" s="2">
        <v>2722</v>
      </c>
      <c r="B340" s="2">
        <v>12333</v>
      </c>
      <c r="C340" s="2">
        <f t="shared" si="30"/>
        <v>1.2333000000000001</v>
      </c>
      <c r="D340" s="2">
        <f t="shared" si="31"/>
        <v>7409284</v>
      </c>
      <c r="E340" s="2">
        <f t="shared" si="32"/>
        <v>20168071048</v>
      </c>
      <c r="F340" s="2">
        <f t="shared" si="33"/>
        <v>54897489392656</v>
      </c>
      <c r="G340" s="2">
        <f t="shared" si="34"/>
        <v>3357.0426000000002</v>
      </c>
      <c r="H340" s="2">
        <f t="shared" si="35"/>
        <v>9137869.9572000001</v>
      </c>
    </row>
    <row r="341" spans="1:8" x14ac:dyDescent="0.35">
      <c r="A341" s="2">
        <v>2722</v>
      </c>
      <c r="B341" s="2">
        <v>22571</v>
      </c>
      <c r="C341" s="2">
        <f t="shared" si="30"/>
        <v>2.2570999999999999</v>
      </c>
      <c r="D341" s="2">
        <f t="shared" si="31"/>
        <v>7409284</v>
      </c>
      <c r="E341" s="2">
        <f t="shared" si="32"/>
        <v>20168071048</v>
      </c>
      <c r="F341" s="2">
        <f t="shared" si="33"/>
        <v>54897489392656</v>
      </c>
      <c r="G341" s="2">
        <f t="shared" si="34"/>
        <v>6143.8261999999995</v>
      </c>
      <c r="H341" s="2">
        <f t="shared" si="35"/>
        <v>16723494.916399999</v>
      </c>
    </row>
    <row r="342" spans="1:8" x14ac:dyDescent="0.35">
      <c r="A342" s="2">
        <v>2722</v>
      </c>
      <c r="B342" s="2">
        <v>16702</v>
      </c>
      <c r="C342" s="2">
        <f t="shared" si="30"/>
        <v>1.6701999999999999</v>
      </c>
      <c r="D342" s="2">
        <f t="shared" si="31"/>
        <v>7409284</v>
      </c>
      <c r="E342" s="2">
        <f t="shared" si="32"/>
        <v>20168071048</v>
      </c>
      <c r="F342" s="2">
        <f t="shared" si="33"/>
        <v>54897489392656</v>
      </c>
      <c r="G342" s="2">
        <f t="shared" si="34"/>
        <v>4546.2843999999996</v>
      </c>
      <c r="H342" s="2">
        <f t="shared" si="35"/>
        <v>12374986.136799999</v>
      </c>
    </row>
    <row r="343" spans="1:8" x14ac:dyDescent="0.35">
      <c r="A343" s="2">
        <v>2722</v>
      </c>
      <c r="B343" s="2">
        <v>16387</v>
      </c>
      <c r="C343" s="2">
        <f t="shared" si="30"/>
        <v>1.6387</v>
      </c>
      <c r="D343" s="2">
        <f t="shared" si="31"/>
        <v>7409284</v>
      </c>
      <c r="E343" s="2">
        <f t="shared" si="32"/>
        <v>20168071048</v>
      </c>
      <c r="F343" s="2">
        <f t="shared" si="33"/>
        <v>54897489392656</v>
      </c>
      <c r="G343" s="2">
        <f t="shared" si="34"/>
        <v>4460.5414000000001</v>
      </c>
      <c r="H343" s="2">
        <f t="shared" si="35"/>
        <v>12141593.6908</v>
      </c>
    </row>
    <row r="344" spans="1:8" x14ac:dyDescent="0.35">
      <c r="A344" s="2">
        <v>2722</v>
      </c>
      <c r="B344" s="2">
        <v>16519</v>
      </c>
      <c r="C344" s="2">
        <f t="shared" si="30"/>
        <v>1.6518999999999999</v>
      </c>
      <c r="D344" s="2">
        <f t="shared" si="31"/>
        <v>7409284</v>
      </c>
      <c r="E344" s="2">
        <f t="shared" si="32"/>
        <v>20168071048</v>
      </c>
      <c r="F344" s="2">
        <f t="shared" si="33"/>
        <v>54897489392656</v>
      </c>
      <c r="G344" s="2">
        <f t="shared" si="34"/>
        <v>4496.4717999999993</v>
      </c>
      <c r="H344" s="2">
        <f t="shared" si="35"/>
        <v>12239396.239599999</v>
      </c>
    </row>
    <row r="345" spans="1:8" x14ac:dyDescent="0.35">
      <c r="A345" s="2">
        <v>2722</v>
      </c>
      <c r="B345" s="2">
        <v>13097</v>
      </c>
      <c r="C345" s="2">
        <f t="shared" si="30"/>
        <v>1.3097000000000001</v>
      </c>
      <c r="D345" s="2">
        <f t="shared" si="31"/>
        <v>7409284</v>
      </c>
      <c r="E345" s="2">
        <f t="shared" si="32"/>
        <v>20168071048</v>
      </c>
      <c r="F345" s="2">
        <f t="shared" si="33"/>
        <v>54897489392656</v>
      </c>
      <c r="G345" s="2">
        <f t="shared" si="34"/>
        <v>3565.0034000000001</v>
      </c>
      <c r="H345" s="2">
        <f t="shared" si="35"/>
        <v>9703939.2548000012</v>
      </c>
    </row>
    <row r="346" spans="1:8" x14ac:dyDescent="0.35">
      <c r="A346" s="2">
        <v>2722</v>
      </c>
      <c r="B346" s="2">
        <v>10944</v>
      </c>
      <c r="C346" s="2">
        <f t="shared" si="30"/>
        <v>1.0944</v>
      </c>
      <c r="D346" s="2">
        <f t="shared" si="31"/>
        <v>7409284</v>
      </c>
      <c r="E346" s="2">
        <f t="shared" si="32"/>
        <v>20168071048</v>
      </c>
      <c r="F346" s="2">
        <f t="shared" si="33"/>
        <v>54897489392656</v>
      </c>
      <c r="G346" s="2">
        <f t="shared" si="34"/>
        <v>2978.9567999999999</v>
      </c>
      <c r="H346" s="2">
        <f t="shared" si="35"/>
        <v>8108720.4095999999</v>
      </c>
    </row>
    <row r="347" spans="1:8" x14ac:dyDescent="0.35">
      <c r="A347" s="2">
        <v>2722</v>
      </c>
      <c r="B347" s="2">
        <v>5263</v>
      </c>
      <c r="C347" s="2">
        <f t="shared" si="30"/>
        <v>0.52629999999999999</v>
      </c>
      <c r="D347" s="2">
        <f t="shared" si="31"/>
        <v>7409284</v>
      </c>
      <c r="E347" s="2">
        <f t="shared" si="32"/>
        <v>20168071048</v>
      </c>
      <c r="F347" s="2">
        <f t="shared" si="33"/>
        <v>54897489392656</v>
      </c>
      <c r="G347" s="2">
        <f t="shared" si="34"/>
        <v>1432.5886</v>
      </c>
      <c r="H347" s="2">
        <f t="shared" si="35"/>
        <v>3899506.1691999999</v>
      </c>
    </row>
    <row r="348" spans="1:8" x14ac:dyDescent="0.35">
      <c r="A348" s="2">
        <v>2722</v>
      </c>
      <c r="B348" s="2">
        <v>6500</v>
      </c>
      <c r="C348" s="2">
        <f t="shared" si="30"/>
        <v>0.65</v>
      </c>
      <c r="D348" s="2">
        <f t="shared" si="31"/>
        <v>7409284</v>
      </c>
      <c r="E348" s="2">
        <f t="shared" si="32"/>
        <v>20168071048</v>
      </c>
      <c r="F348" s="2">
        <f t="shared" si="33"/>
        <v>54897489392656</v>
      </c>
      <c r="G348" s="2">
        <f t="shared" si="34"/>
        <v>1769.3</v>
      </c>
      <c r="H348" s="2">
        <f t="shared" si="35"/>
        <v>4816034.6000000006</v>
      </c>
    </row>
    <row r="349" spans="1:8" x14ac:dyDescent="0.35">
      <c r="A349" s="2">
        <v>2722</v>
      </c>
      <c r="B349" s="2">
        <v>7292</v>
      </c>
      <c r="C349" s="2">
        <f t="shared" si="30"/>
        <v>0.72919999999999996</v>
      </c>
      <c r="D349" s="2">
        <f t="shared" si="31"/>
        <v>7409284</v>
      </c>
      <c r="E349" s="2">
        <f t="shared" si="32"/>
        <v>20168071048</v>
      </c>
      <c r="F349" s="2">
        <f t="shared" si="33"/>
        <v>54897489392656</v>
      </c>
      <c r="G349" s="2">
        <f t="shared" si="34"/>
        <v>1984.8824</v>
      </c>
      <c r="H349" s="2">
        <f t="shared" si="35"/>
        <v>5402849.8927999996</v>
      </c>
    </row>
    <row r="350" spans="1:8" x14ac:dyDescent="0.35">
      <c r="A350" s="2">
        <v>2722</v>
      </c>
      <c r="B350" s="2">
        <v>7294</v>
      </c>
      <c r="C350" s="2">
        <f t="shared" si="30"/>
        <v>0.72940000000000005</v>
      </c>
      <c r="D350" s="2">
        <f t="shared" si="31"/>
        <v>7409284</v>
      </c>
      <c r="E350" s="2">
        <f t="shared" si="32"/>
        <v>20168071048</v>
      </c>
      <c r="F350" s="2">
        <f t="shared" si="33"/>
        <v>54897489392656</v>
      </c>
      <c r="G350" s="2">
        <f t="shared" si="34"/>
        <v>1985.4268000000002</v>
      </c>
      <c r="H350" s="2">
        <f t="shared" si="35"/>
        <v>5404331.7496000007</v>
      </c>
    </row>
    <row r="351" spans="1:8" x14ac:dyDescent="0.35">
      <c r="A351" s="2">
        <v>2722</v>
      </c>
      <c r="B351" s="2">
        <v>8190</v>
      </c>
      <c r="C351" s="2">
        <f t="shared" si="30"/>
        <v>0.81899999999999995</v>
      </c>
      <c r="D351" s="2">
        <f t="shared" si="31"/>
        <v>7409284</v>
      </c>
      <c r="E351" s="2">
        <f t="shared" si="32"/>
        <v>20168071048</v>
      </c>
      <c r="F351" s="2">
        <f t="shared" si="33"/>
        <v>54897489392656</v>
      </c>
      <c r="G351" s="2">
        <f t="shared" si="34"/>
        <v>2229.3179999999998</v>
      </c>
      <c r="H351" s="2">
        <f t="shared" si="35"/>
        <v>6068203.5959999999</v>
      </c>
    </row>
    <row r="352" spans="1:8" x14ac:dyDescent="0.35">
      <c r="A352" s="2">
        <v>2722</v>
      </c>
      <c r="B352" s="2">
        <v>8728</v>
      </c>
      <c r="C352" s="2">
        <f t="shared" si="30"/>
        <v>0.87280000000000002</v>
      </c>
      <c r="D352" s="2">
        <f t="shared" si="31"/>
        <v>7409284</v>
      </c>
      <c r="E352" s="2">
        <f t="shared" si="32"/>
        <v>20168071048</v>
      </c>
      <c r="F352" s="2">
        <f t="shared" si="33"/>
        <v>54897489392656</v>
      </c>
      <c r="G352" s="2">
        <f t="shared" si="34"/>
        <v>2375.7616000000003</v>
      </c>
      <c r="H352" s="2">
        <f t="shared" si="35"/>
        <v>6466823.0751999998</v>
      </c>
    </row>
    <row r="353" spans="1:8" x14ac:dyDescent="0.35">
      <c r="A353" s="2">
        <v>2722</v>
      </c>
      <c r="B353" s="2">
        <v>8091</v>
      </c>
      <c r="C353" s="2">
        <f t="shared" si="30"/>
        <v>0.80910000000000004</v>
      </c>
      <c r="D353" s="2">
        <f t="shared" si="31"/>
        <v>7409284</v>
      </c>
      <c r="E353" s="2">
        <f t="shared" si="32"/>
        <v>20168071048</v>
      </c>
      <c r="F353" s="2">
        <f t="shared" si="33"/>
        <v>54897489392656</v>
      </c>
      <c r="G353" s="2">
        <f t="shared" si="34"/>
        <v>2202.3702000000003</v>
      </c>
      <c r="H353" s="2">
        <f t="shared" si="35"/>
        <v>5994851.6844000006</v>
      </c>
    </row>
    <row r="354" spans="1:8" x14ac:dyDescent="0.35">
      <c r="A354" s="2">
        <v>2722</v>
      </c>
      <c r="B354" s="2">
        <v>7255</v>
      </c>
      <c r="C354" s="2">
        <f t="shared" si="30"/>
        <v>0.72550000000000003</v>
      </c>
      <c r="D354" s="2">
        <f t="shared" si="31"/>
        <v>7409284</v>
      </c>
      <c r="E354" s="2">
        <f t="shared" si="32"/>
        <v>20168071048</v>
      </c>
      <c r="F354" s="2">
        <f t="shared" si="33"/>
        <v>54897489392656</v>
      </c>
      <c r="G354" s="2">
        <f t="shared" si="34"/>
        <v>1974.8110000000001</v>
      </c>
      <c r="H354" s="2">
        <f t="shared" si="35"/>
        <v>5375435.5420000004</v>
      </c>
    </row>
    <row r="355" spans="1:8" x14ac:dyDescent="0.35">
      <c r="A355" s="2">
        <v>2722</v>
      </c>
      <c r="B355" s="2">
        <v>7008</v>
      </c>
      <c r="C355" s="2">
        <f t="shared" si="30"/>
        <v>0.70079999999999998</v>
      </c>
      <c r="D355" s="2">
        <f t="shared" si="31"/>
        <v>7409284</v>
      </c>
      <c r="E355" s="2">
        <f t="shared" si="32"/>
        <v>20168071048</v>
      </c>
      <c r="F355" s="2">
        <f t="shared" si="33"/>
        <v>54897489392656</v>
      </c>
      <c r="G355" s="2">
        <f t="shared" si="34"/>
        <v>1907.5775999999998</v>
      </c>
      <c r="H355" s="2">
        <f t="shared" si="35"/>
        <v>5192426.2271999996</v>
      </c>
    </row>
    <row r="356" spans="1:8" x14ac:dyDescent="0.35">
      <c r="A356" s="2">
        <v>2722</v>
      </c>
      <c r="B356" s="2">
        <v>5147</v>
      </c>
      <c r="C356" s="2">
        <f t="shared" si="30"/>
        <v>0.51470000000000005</v>
      </c>
      <c r="D356" s="2">
        <f t="shared" si="31"/>
        <v>7409284</v>
      </c>
      <c r="E356" s="2">
        <f t="shared" si="32"/>
        <v>20168071048</v>
      </c>
      <c r="F356" s="2">
        <f t="shared" si="33"/>
        <v>54897489392656</v>
      </c>
      <c r="G356" s="2">
        <f t="shared" si="34"/>
        <v>1401.0134</v>
      </c>
      <c r="H356" s="2">
        <f t="shared" si="35"/>
        <v>3813558.4748000004</v>
      </c>
    </row>
    <row r="357" spans="1:8" x14ac:dyDescent="0.35">
      <c r="A357" s="2">
        <v>2722</v>
      </c>
      <c r="B357" s="2">
        <v>5801</v>
      </c>
      <c r="C357" s="2">
        <f t="shared" si="30"/>
        <v>0.58009999999999995</v>
      </c>
      <c r="D357" s="2">
        <f t="shared" si="31"/>
        <v>7409284</v>
      </c>
      <c r="E357" s="2">
        <f t="shared" si="32"/>
        <v>20168071048</v>
      </c>
      <c r="F357" s="2">
        <f t="shared" si="33"/>
        <v>54897489392656</v>
      </c>
      <c r="G357" s="2">
        <f t="shared" si="34"/>
        <v>1579.0321999999999</v>
      </c>
      <c r="H357" s="2">
        <f t="shared" si="35"/>
        <v>4298125.6483999994</v>
      </c>
    </row>
    <row r="358" spans="1:8" x14ac:dyDescent="0.35">
      <c r="A358" s="2">
        <v>2722</v>
      </c>
      <c r="B358" s="2">
        <v>9227</v>
      </c>
      <c r="C358" s="2">
        <f t="shared" si="30"/>
        <v>0.92269999999999996</v>
      </c>
      <c r="D358" s="2">
        <f t="shared" si="31"/>
        <v>7409284</v>
      </c>
      <c r="E358" s="2">
        <f t="shared" si="32"/>
        <v>20168071048</v>
      </c>
      <c r="F358" s="2">
        <f t="shared" si="33"/>
        <v>54897489392656</v>
      </c>
      <c r="G358" s="2">
        <f t="shared" si="34"/>
        <v>2511.5893999999998</v>
      </c>
      <c r="H358" s="2">
        <f t="shared" si="35"/>
        <v>6836546.3467999995</v>
      </c>
    </row>
    <row r="359" spans="1:8" x14ac:dyDescent="0.35">
      <c r="A359" s="2">
        <v>2722</v>
      </c>
      <c r="B359" s="2">
        <v>9772</v>
      </c>
      <c r="C359" s="2">
        <f t="shared" si="30"/>
        <v>0.97719999999999996</v>
      </c>
      <c r="D359" s="2">
        <f t="shared" si="31"/>
        <v>7409284</v>
      </c>
      <c r="E359" s="2">
        <f t="shared" si="32"/>
        <v>20168071048</v>
      </c>
      <c r="F359" s="2">
        <f t="shared" si="33"/>
        <v>54897489392656</v>
      </c>
      <c r="G359" s="2">
        <f t="shared" si="34"/>
        <v>2659.9384</v>
      </c>
      <c r="H359" s="2">
        <f t="shared" si="35"/>
        <v>7240352.3247999996</v>
      </c>
    </row>
    <row r="360" spans="1:8" x14ac:dyDescent="0.35">
      <c r="A360" s="2">
        <v>2722</v>
      </c>
      <c r="B360" s="2">
        <v>9664</v>
      </c>
      <c r="C360" s="2">
        <f t="shared" si="30"/>
        <v>0.96640000000000004</v>
      </c>
      <c r="D360" s="2">
        <f t="shared" si="31"/>
        <v>7409284</v>
      </c>
      <c r="E360" s="2">
        <f t="shared" si="32"/>
        <v>20168071048</v>
      </c>
      <c r="F360" s="2">
        <f t="shared" si="33"/>
        <v>54897489392656</v>
      </c>
      <c r="G360" s="2">
        <f t="shared" si="34"/>
        <v>2630.5408000000002</v>
      </c>
      <c r="H360" s="2">
        <f t="shared" si="35"/>
        <v>7160332.0575999999</v>
      </c>
    </row>
    <row r="361" spans="1:8" x14ac:dyDescent="0.35">
      <c r="A361" s="2">
        <v>2722</v>
      </c>
      <c r="B361" s="2">
        <v>8411</v>
      </c>
      <c r="C361" s="2">
        <f t="shared" si="30"/>
        <v>0.84109999999999996</v>
      </c>
      <c r="D361" s="2">
        <f t="shared" si="31"/>
        <v>7409284</v>
      </c>
      <c r="E361" s="2">
        <f t="shared" si="32"/>
        <v>20168071048</v>
      </c>
      <c r="F361" s="2">
        <f t="shared" si="33"/>
        <v>54897489392656</v>
      </c>
      <c r="G361" s="2">
        <f t="shared" si="34"/>
        <v>2289.4742000000001</v>
      </c>
      <c r="H361" s="2">
        <f t="shared" si="35"/>
        <v>6231948.7724000001</v>
      </c>
    </row>
    <row r="362" spans="1:8" x14ac:dyDescent="0.35">
      <c r="A362" s="2">
        <v>2722</v>
      </c>
      <c r="B362" s="2">
        <v>8086</v>
      </c>
      <c r="C362" s="2">
        <f t="shared" si="30"/>
        <v>0.80859999999999999</v>
      </c>
      <c r="D362" s="2">
        <f t="shared" si="31"/>
        <v>7409284</v>
      </c>
      <c r="E362" s="2">
        <f t="shared" si="32"/>
        <v>20168071048</v>
      </c>
      <c r="F362" s="2">
        <f t="shared" si="33"/>
        <v>54897489392656</v>
      </c>
      <c r="G362" s="2">
        <f t="shared" si="34"/>
        <v>2201.0092</v>
      </c>
      <c r="H362" s="2">
        <f t="shared" si="35"/>
        <v>5991147.0423999997</v>
      </c>
    </row>
    <row r="363" spans="1:8" x14ac:dyDescent="0.35">
      <c r="A363" s="2">
        <v>2722</v>
      </c>
      <c r="B363" s="2">
        <v>8442</v>
      </c>
      <c r="C363" s="2">
        <f t="shared" si="30"/>
        <v>0.84419999999999995</v>
      </c>
      <c r="D363" s="2">
        <f t="shared" si="31"/>
        <v>7409284</v>
      </c>
      <c r="E363" s="2">
        <f t="shared" si="32"/>
        <v>20168071048</v>
      </c>
      <c r="F363" s="2">
        <f t="shared" si="33"/>
        <v>54897489392656</v>
      </c>
      <c r="G363" s="2">
        <f t="shared" si="34"/>
        <v>2297.9123999999997</v>
      </c>
      <c r="H363" s="2">
        <f t="shared" si="35"/>
        <v>6254917.5527999997</v>
      </c>
    </row>
    <row r="364" spans="1:8" x14ac:dyDescent="0.35">
      <c r="A364" s="2">
        <v>608</v>
      </c>
      <c r="B364" s="2">
        <v>42464</v>
      </c>
      <c r="C364" s="2">
        <f t="shared" si="30"/>
        <v>4.2464000000000004</v>
      </c>
      <c r="D364" s="2">
        <f t="shared" si="31"/>
        <v>369664</v>
      </c>
      <c r="E364" s="2">
        <f t="shared" si="32"/>
        <v>224755712</v>
      </c>
      <c r="F364" s="2">
        <f t="shared" si="33"/>
        <v>136651472896</v>
      </c>
      <c r="G364" s="2">
        <f t="shared" si="34"/>
        <v>2581.8112000000001</v>
      </c>
      <c r="H364" s="2">
        <f t="shared" si="35"/>
        <v>1569741.2096000002</v>
      </c>
    </row>
    <row r="365" spans="1:8" x14ac:dyDescent="0.35">
      <c r="A365" s="2">
        <v>608</v>
      </c>
      <c r="B365" s="2">
        <v>47064</v>
      </c>
      <c r="C365" s="2">
        <f t="shared" si="30"/>
        <v>4.7064000000000004</v>
      </c>
      <c r="D365" s="2">
        <f t="shared" si="31"/>
        <v>369664</v>
      </c>
      <c r="E365" s="2">
        <f t="shared" si="32"/>
        <v>224755712</v>
      </c>
      <c r="F365" s="2">
        <f t="shared" si="33"/>
        <v>136651472896</v>
      </c>
      <c r="G365" s="2">
        <f t="shared" si="34"/>
        <v>2861.4912000000004</v>
      </c>
      <c r="H365" s="2">
        <f t="shared" si="35"/>
        <v>1739786.6496000001</v>
      </c>
    </row>
    <row r="366" spans="1:8" x14ac:dyDescent="0.35">
      <c r="A366" s="2">
        <v>608</v>
      </c>
      <c r="B366" s="2">
        <v>37475</v>
      </c>
      <c r="C366" s="2">
        <f t="shared" si="30"/>
        <v>3.7475000000000001</v>
      </c>
      <c r="D366" s="2">
        <f t="shared" si="31"/>
        <v>369664</v>
      </c>
      <c r="E366" s="2">
        <f t="shared" si="32"/>
        <v>224755712</v>
      </c>
      <c r="F366" s="2">
        <f t="shared" si="33"/>
        <v>136651472896</v>
      </c>
      <c r="G366" s="2">
        <f t="shared" si="34"/>
        <v>2278.48</v>
      </c>
      <c r="H366" s="2">
        <f t="shared" si="35"/>
        <v>1385315.84</v>
      </c>
    </row>
    <row r="367" spans="1:8" x14ac:dyDescent="0.35">
      <c r="A367" s="2">
        <v>608</v>
      </c>
      <c r="B367" s="2">
        <v>31315</v>
      </c>
      <c r="C367" s="2">
        <f t="shared" si="30"/>
        <v>3.1315</v>
      </c>
      <c r="D367" s="2">
        <f t="shared" si="31"/>
        <v>369664</v>
      </c>
      <c r="E367" s="2">
        <f t="shared" si="32"/>
        <v>224755712</v>
      </c>
      <c r="F367" s="2">
        <f t="shared" si="33"/>
        <v>136651472896</v>
      </c>
      <c r="G367" s="2">
        <f t="shared" si="34"/>
        <v>1903.952</v>
      </c>
      <c r="H367" s="2">
        <f t="shared" si="35"/>
        <v>1157602.8159999999</v>
      </c>
    </row>
    <row r="368" spans="1:8" x14ac:dyDescent="0.35">
      <c r="A368" s="2">
        <v>608</v>
      </c>
      <c r="B368" s="2">
        <v>23785</v>
      </c>
      <c r="C368" s="2">
        <f t="shared" si="30"/>
        <v>2.3784999999999998</v>
      </c>
      <c r="D368" s="2">
        <f t="shared" si="31"/>
        <v>369664</v>
      </c>
      <c r="E368" s="2">
        <f t="shared" si="32"/>
        <v>224755712</v>
      </c>
      <c r="F368" s="2">
        <f t="shared" si="33"/>
        <v>136651472896</v>
      </c>
      <c r="G368" s="2">
        <f t="shared" si="34"/>
        <v>1446.1279999999999</v>
      </c>
      <c r="H368" s="2">
        <f t="shared" si="35"/>
        <v>879245.82399999991</v>
      </c>
    </row>
    <row r="369" spans="1:8" x14ac:dyDescent="0.35">
      <c r="A369" s="2">
        <v>608</v>
      </c>
      <c r="B369" s="2">
        <v>25397</v>
      </c>
      <c r="C369" s="2">
        <f t="shared" si="30"/>
        <v>2.5396999999999998</v>
      </c>
      <c r="D369" s="2">
        <f t="shared" si="31"/>
        <v>369664</v>
      </c>
      <c r="E369" s="2">
        <f t="shared" si="32"/>
        <v>224755712</v>
      </c>
      <c r="F369" s="2">
        <f t="shared" si="33"/>
        <v>136651472896</v>
      </c>
      <c r="G369" s="2">
        <f t="shared" si="34"/>
        <v>1544.1376</v>
      </c>
      <c r="H369" s="2">
        <f t="shared" si="35"/>
        <v>938835.66079999995</v>
      </c>
    </row>
    <row r="370" spans="1:8" x14ac:dyDescent="0.35">
      <c r="A370" s="2">
        <v>608</v>
      </c>
      <c r="B370" s="2">
        <v>32042</v>
      </c>
      <c r="C370" s="2">
        <f t="shared" si="30"/>
        <v>3.2042000000000002</v>
      </c>
      <c r="D370" s="2">
        <f t="shared" si="31"/>
        <v>369664</v>
      </c>
      <c r="E370" s="2">
        <f t="shared" si="32"/>
        <v>224755712</v>
      </c>
      <c r="F370" s="2">
        <f t="shared" si="33"/>
        <v>136651472896</v>
      </c>
      <c r="G370" s="2">
        <f t="shared" si="34"/>
        <v>1948.1536000000001</v>
      </c>
      <c r="H370" s="2">
        <f t="shared" si="35"/>
        <v>1184477.3888000001</v>
      </c>
    </row>
    <row r="371" spans="1:8" x14ac:dyDescent="0.35">
      <c r="A371" s="2">
        <v>608</v>
      </c>
      <c r="B371" s="2">
        <v>34761</v>
      </c>
      <c r="C371" s="2">
        <f t="shared" si="30"/>
        <v>3.4761000000000002</v>
      </c>
      <c r="D371" s="2">
        <f t="shared" si="31"/>
        <v>369664</v>
      </c>
      <c r="E371" s="2">
        <f t="shared" si="32"/>
        <v>224755712</v>
      </c>
      <c r="F371" s="2">
        <f t="shared" si="33"/>
        <v>136651472896</v>
      </c>
      <c r="G371" s="2">
        <f t="shared" si="34"/>
        <v>2113.4688000000001</v>
      </c>
      <c r="H371" s="2">
        <f t="shared" si="35"/>
        <v>1284989.0304</v>
      </c>
    </row>
    <row r="372" spans="1:8" x14ac:dyDescent="0.35">
      <c r="A372" s="2">
        <v>608</v>
      </c>
      <c r="B372" s="2">
        <v>37195</v>
      </c>
      <c r="C372" s="2">
        <f t="shared" si="30"/>
        <v>3.7195</v>
      </c>
      <c r="D372" s="2">
        <f t="shared" si="31"/>
        <v>369664</v>
      </c>
      <c r="E372" s="2">
        <f t="shared" si="32"/>
        <v>224755712</v>
      </c>
      <c r="F372" s="2">
        <f t="shared" si="33"/>
        <v>136651472896</v>
      </c>
      <c r="G372" s="2">
        <f t="shared" si="34"/>
        <v>2261.4560000000001</v>
      </c>
      <c r="H372" s="2">
        <f t="shared" si="35"/>
        <v>1374965.2479999999</v>
      </c>
    </row>
    <row r="373" spans="1:8" x14ac:dyDescent="0.35">
      <c r="A373" s="2">
        <v>608</v>
      </c>
      <c r="B373" s="2">
        <v>36116</v>
      </c>
      <c r="C373" s="2">
        <f t="shared" si="30"/>
        <v>3.6116000000000001</v>
      </c>
      <c r="D373" s="2">
        <f t="shared" si="31"/>
        <v>369664</v>
      </c>
      <c r="E373" s="2">
        <f t="shared" si="32"/>
        <v>224755712</v>
      </c>
      <c r="F373" s="2">
        <f t="shared" si="33"/>
        <v>136651472896</v>
      </c>
      <c r="G373" s="2">
        <f t="shared" si="34"/>
        <v>2195.8528000000001</v>
      </c>
      <c r="H373" s="2">
        <f t="shared" si="35"/>
        <v>1335078.5024000001</v>
      </c>
    </row>
    <row r="374" spans="1:8" x14ac:dyDescent="0.35">
      <c r="A374" s="2">
        <v>608</v>
      </c>
      <c r="B374" s="2">
        <v>33891</v>
      </c>
      <c r="C374" s="2">
        <f t="shared" si="30"/>
        <v>3.3891</v>
      </c>
      <c r="D374" s="2">
        <f t="shared" si="31"/>
        <v>369664</v>
      </c>
      <c r="E374" s="2">
        <f t="shared" si="32"/>
        <v>224755712</v>
      </c>
      <c r="F374" s="2">
        <f t="shared" si="33"/>
        <v>136651472896</v>
      </c>
      <c r="G374" s="2">
        <f t="shared" si="34"/>
        <v>2060.5727999999999</v>
      </c>
      <c r="H374" s="2">
        <f t="shared" si="35"/>
        <v>1252828.2623999999</v>
      </c>
    </row>
    <row r="375" spans="1:8" x14ac:dyDescent="0.35">
      <c r="A375" s="2">
        <v>608</v>
      </c>
      <c r="B375" s="2">
        <v>29871</v>
      </c>
      <c r="C375" s="2">
        <f t="shared" si="30"/>
        <v>2.9870999999999999</v>
      </c>
      <c r="D375" s="2">
        <f t="shared" si="31"/>
        <v>369664</v>
      </c>
      <c r="E375" s="2">
        <f t="shared" si="32"/>
        <v>224755712</v>
      </c>
      <c r="F375" s="2">
        <f t="shared" si="33"/>
        <v>136651472896</v>
      </c>
      <c r="G375" s="2">
        <f t="shared" si="34"/>
        <v>1816.1568</v>
      </c>
      <c r="H375" s="2">
        <f t="shared" si="35"/>
        <v>1104223.3344000001</v>
      </c>
    </row>
    <row r="376" spans="1:8" x14ac:dyDescent="0.35">
      <c r="A376" s="2">
        <v>608</v>
      </c>
      <c r="B376" s="2">
        <v>31467</v>
      </c>
      <c r="C376" s="2">
        <f t="shared" si="30"/>
        <v>3.1467000000000001</v>
      </c>
      <c r="D376" s="2">
        <f t="shared" si="31"/>
        <v>369664</v>
      </c>
      <c r="E376" s="2">
        <f t="shared" si="32"/>
        <v>224755712</v>
      </c>
      <c r="F376" s="2">
        <f t="shared" si="33"/>
        <v>136651472896</v>
      </c>
      <c r="G376" s="2">
        <f t="shared" si="34"/>
        <v>1913.1936000000001</v>
      </c>
      <c r="H376" s="2">
        <f t="shared" si="35"/>
        <v>1163221.7087999999</v>
      </c>
    </row>
    <row r="377" spans="1:8" x14ac:dyDescent="0.35">
      <c r="A377" s="2">
        <v>608</v>
      </c>
      <c r="B377" s="2">
        <v>49400</v>
      </c>
      <c r="C377" s="2">
        <f t="shared" si="30"/>
        <v>4.9400000000000004</v>
      </c>
      <c r="D377" s="2">
        <f t="shared" si="31"/>
        <v>369664</v>
      </c>
      <c r="E377" s="2">
        <f t="shared" si="32"/>
        <v>224755712</v>
      </c>
      <c r="F377" s="2">
        <f t="shared" si="33"/>
        <v>136651472896</v>
      </c>
      <c r="G377" s="2">
        <f t="shared" si="34"/>
        <v>3003.5200000000004</v>
      </c>
      <c r="H377" s="2">
        <f t="shared" si="35"/>
        <v>1826140.1600000001</v>
      </c>
    </row>
    <row r="378" spans="1:8" x14ac:dyDescent="0.35">
      <c r="A378" s="2">
        <v>608</v>
      </c>
      <c r="B378" s="2">
        <v>47001</v>
      </c>
      <c r="C378" s="2">
        <f t="shared" si="30"/>
        <v>4.7000999999999999</v>
      </c>
      <c r="D378" s="2">
        <f t="shared" si="31"/>
        <v>369664</v>
      </c>
      <c r="E378" s="2">
        <f t="shared" si="32"/>
        <v>224755712</v>
      </c>
      <c r="F378" s="2">
        <f t="shared" si="33"/>
        <v>136651472896</v>
      </c>
      <c r="G378" s="2">
        <f t="shared" si="34"/>
        <v>2857.6608000000001</v>
      </c>
      <c r="H378" s="2">
        <f t="shared" si="35"/>
        <v>1737457.7664000001</v>
      </c>
    </row>
    <row r="379" spans="1:8" x14ac:dyDescent="0.35">
      <c r="A379" s="2">
        <v>608</v>
      </c>
      <c r="B379" s="2">
        <v>48001</v>
      </c>
      <c r="C379" s="2">
        <f t="shared" si="30"/>
        <v>4.8000999999999996</v>
      </c>
      <c r="D379" s="2">
        <f t="shared" si="31"/>
        <v>369664</v>
      </c>
      <c r="E379" s="2">
        <f t="shared" si="32"/>
        <v>224755712</v>
      </c>
      <c r="F379" s="2">
        <f t="shared" si="33"/>
        <v>136651472896</v>
      </c>
      <c r="G379" s="2">
        <f t="shared" si="34"/>
        <v>2918.4607999999998</v>
      </c>
      <c r="H379" s="2">
        <f t="shared" si="35"/>
        <v>1774424.1663999998</v>
      </c>
    </row>
    <row r="380" spans="1:8" x14ac:dyDescent="0.35">
      <c r="A380" s="2">
        <v>608</v>
      </c>
      <c r="B380" s="2">
        <v>43099</v>
      </c>
      <c r="C380" s="2">
        <f t="shared" si="30"/>
        <v>4.3098999999999998</v>
      </c>
      <c r="D380" s="2">
        <f t="shared" si="31"/>
        <v>369664</v>
      </c>
      <c r="E380" s="2">
        <f t="shared" si="32"/>
        <v>224755712</v>
      </c>
      <c r="F380" s="2">
        <f t="shared" si="33"/>
        <v>136651472896</v>
      </c>
      <c r="G380" s="2">
        <f t="shared" si="34"/>
        <v>2620.4191999999998</v>
      </c>
      <c r="H380" s="2">
        <f t="shared" si="35"/>
        <v>1593214.8736</v>
      </c>
    </row>
    <row r="381" spans="1:8" x14ac:dyDescent="0.35">
      <c r="A381" s="2">
        <v>608</v>
      </c>
      <c r="B381" s="2">
        <v>49596</v>
      </c>
      <c r="C381" s="2">
        <f t="shared" si="30"/>
        <v>4.9596</v>
      </c>
      <c r="D381" s="2">
        <f t="shared" si="31"/>
        <v>369664</v>
      </c>
      <c r="E381" s="2">
        <f t="shared" si="32"/>
        <v>224755712</v>
      </c>
      <c r="F381" s="2">
        <f t="shared" si="33"/>
        <v>136651472896</v>
      </c>
      <c r="G381" s="2">
        <f t="shared" si="34"/>
        <v>3015.4367999999999</v>
      </c>
      <c r="H381" s="2">
        <f t="shared" si="35"/>
        <v>1833385.5744</v>
      </c>
    </row>
    <row r="382" spans="1:8" x14ac:dyDescent="0.35">
      <c r="A382" s="2">
        <v>608</v>
      </c>
      <c r="B382" s="2">
        <v>44801</v>
      </c>
      <c r="C382" s="2">
        <f t="shared" si="30"/>
        <v>4.4801000000000002</v>
      </c>
      <c r="D382" s="2">
        <f t="shared" si="31"/>
        <v>369664</v>
      </c>
      <c r="E382" s="2">
        <f t="shared" si="32"/>
        <v>224755712</v>
      </c>
      <c r="F382" s="2">
        <f t="shared" si="33"/>
        <v>136651472896</v>
      </c>
      <c r="G382" s="2">
        <f t="shared" si="34"/>
        <v>2723.9008000000003</v>
      </c>
      <c r="H382" s="2">
        <f t="shared" si="35"/>
        <v>1656131.6864</v>
      </c>
    </row>
    <row r="383" spans="1:8" x14ac:dyDescent="0.35">
      <c r="A383" s="2">
        <v>608</v>
      </c>
      <c r="B383" s="2">
        <v>44080</v>
      </c>
      <c r="C383" s="2">
        <f t="shared" si="30"/>
        <v>4.4080000000000004</v>
      </c>
      <c r="D383" s="2">
        <f t="shared" si="31"/>
        <v>369664</v>
      </c>
      <c r="E383" s="2">
        <f t="shared" si="32"/>
        <v>224755712</v>
      </c>
      <c r="F383" s="2">
        <f t="shared" si="33"/>
        <v>136651472896</v>
      </c>
      <c r="G383" s="2">
        <f t="shared" si="34"/>
        <v>2680.0640000000003</v>
      </c>
      <c r="H383" s="2">
        <f t="shared" si="35"/>
        <v>1629478.9120000002</v>
      </c>
    </row>
    <row r="384" spans="1:8" x14ac:dyDescent="0.35">
      <c r="A384" s="2">
        <v>608</v>
      </c>
      <c r="B384" s="2">
        <v>46447</v>
      </c>
      <c r="C384" s="2">
        <f t="shared" si="30"/>
        <v>4.6447000000000003</v>
      </c>
      <c r="D384" s="2">
        <f t="shared" si="31"/>
        <v>369664</v>
      </c>
      <c r="E384" s="2">
        <f t="shared" si="32"/>
        <v>224755712</v>
      </c>
      <c r="F384" s="2">
        <f t="shared" si="33"/>
        <v>136651472896</v>
      </c>
      <c r="G384" s="2">
        <f t="shared" si="34"/>
        <v>2823.9776000000002</v>
      </c>
      <c r="H384" s="2">
        <f t="shared" si="35"/>
        <v>1716978.3808000002</v>
      </c>
    </row>
    <row r="385" spans="1:8" x14ac:dyDescent="0.35">
      <c r="A385" s="2">
        <v>608</v>
      </c>
      <c r="B385" s="2">
        <v>49621</v>
      </c>
      <c r="C385" s="2">
        <f t="shared" si="30"/>
        <v>4.9621000000000004</v>
      </c>
      <c r="D385" s="2">
        <f t="shared" si="31"/>
        <v>369664</v>
      </c>
      <c r="E385" s="2">
        <f t="shared" si="32"/>
        <v>224755712</v>
      </c>
      <c r="F385" s="2">
        <f t="shared" si="33"/>
        <v>136651472896</v>
      </c>
      <c r="G385" s="2">
        <f t="shared" si="34"/>
        <v>3016.9568000000004</v>
      </c>
      <c r="H385" s="2">
        <f t="shared" si="35"/>
        <v>1834309.7344000002</v>
      </c>
    </row>
    <row r="386" spans="1:8" x14ac:dyDescent="0.35">
      <c r="A386" s="2">
        <v>608</v>
      </c>
      <c r="B386" s="2">
        <v>52263</v>
      </c>
      <c r="C386" s="2">
        <f t="shared" si="30"/>
        <v>5.2263000000000002</v>
      </c>
      <c r="D386" s="2">
        <f t="shared" si="31"/>
        <v>369664</v>
      </c>
      <c r="E386" s="2">
        <f t="shared" si="32"/>
        <v>224755712</v>
      </c>
      <c r="F386" s="2">
        <f t="shared" si="33"/>
        <v>136651472896</v>
      </c>
      <c r="G386" s="2">
        <f t="shared" si="34"/>
        <v>3177.5904</v>
      </c>
      <c r="H386" s="2">
        <f t="shared" si="35"/>
        <v>1931974.9632000001</v>
      </c>
    </row>
    <row r="387" spans="1:8" x14ac:dyDescent="0.35">
      <c r="A387" s="2">
        <v>608</v>
      </c>
      <c r="B387" s="2">
        <v>47952</v>
      </c>
      <c r="C387" s="2">
        <f t="shared" ref="C387:C450" si="36">B387/10000</f>
        <v>4.7952000000000004</v>
      </c>
      <c r="D387" s="2">
        <f t="shared" ref="D387:D450" si="37">A387^2</f>
        <v>369664</v>
      </c>
      <c r="E387" s="2">
        <f t="shared" ref="E387:E450" si="38">A387^3</f>
        <v>224755712</v>
      </c>
      <c r="F387" s="2">
        <f t="shared" ref="F387:F450" si="39">A387^4</f>
        <v>136651472896</v>
      </c>
      <c r="G387" s="2">
        <f t="shared" ref="G387:G450" si="40">A387*C387</f>
        <v>2915.4816000000001</v>
      </c>
      <c r="H387" s="2">
        <f t="shared" ref="H387:H450" si="41">D387*C387</f>
        <v>1772612.8128000002</v>
      </c>
    </row>
    <row r="388" spans="1:8" x14ac:dyDescent="0.35">
      <c r="A388" s="2">
        <v>608</v>
      </c>
      <c r="B388" s="2">
        <v>50563</v>
      </c>
      <c r="C388" s="2">
        <f t="shared" si="36"/>
        <v>5.0563000000000002</v>
      </c>
      <c r="D388" s="2">
        <f t="shared" si="37"/>
        <v>369664</v>
      </c>
      <c r="E388" s="2">
        <f t="shared" si="38"/>
        <v>224755712</v>
      </c>
      <c r="F388" s="2">
        <f t="shared" si="39"/>
        <v>136651472896</v>
      </c>
      <c r="G388" s="2">
        <f t="shared" si="40"/>
        <v>3074.2304000000004</v>
      </c>
      <c r="H388" s="2">
        <f t="shared" si="41"/>
        <v>1869132.0832</v>
      </c>
    </row>
    <row r="389" spans="1:8" x14ac:dyDescent="0.35">
      <c r="A389" s="2">
        <v>608</v>
      </c>
      <c r="B389" s="2">
        <v>55605</v>
      </c>
      <c r="C389" s="2">
        <f t="shared" si="36"/>
        <v>5.5605000000000002</v>
      </c>
      <c r="D389" s="2">
        <f t="shared" si="37"/>
        <v>369664</v>
      </c>
      <c r="E389" s="2">
        <f t="shared" si="38"/>
        <v>224755712</v>
      </c>
      <c r="F389" s="2">
        <f t="shared" si="39"/>
        <v>136651472896</v>
      </c>
      <c r="G389" s="2">
        <f t="shared" si="40"/>
        <v>3380.7840000000001</v>
      </c>
      <c r="H389" s="2">
        <f t="shared" si="41"/>
        <v>2055516.672</v>
      </c>
    </row>
    <row r="390" spans="1:8" x14ac:dyDescent="0.35">
      <c r="A390" s="2">
        <v>608</v>
      </c>
      <c r="B390" s="2">
        <v>54945</v>
      </c>
      <c r="C390" s="2">
        <f t="shared" si="36"/>
        <v>5.4945000000000004</v>
      </c>
      <c r="D390" s="2">
        <f t="shared" si="37"/>
        <v>369664</v>
      </c>
      <c r="E390" s="2">
        <f t="shared" si="38"/>
        <v>224755712</v>
      </c>
      <c r="F390" s="2">
        <f t="shared" si="39"/>
        <v>136651472896</v>
      </c>
      <c r="G390" s="2">
        <f t="shared" si="40"/>
        <v>3340.6560000000004</v>
      </c>
      <c r="H390" s="2">
        <f t="shared" si="41"/>
        <v>2031118.8480000002</v>
      </c>
    </row>
    <row r="391" spans="1:8" x14ac:dyDescent="0.35">
      <c r="A391" s="2">
        <v>608</v>
      </c>
      <c r="B391" s="2">
        <v>49040</v>
      </c>
      <c r="C391" s="2">
        <f t="shared" si="36"/>
        <v>4.9039999999999999</v>
      </c>
      <c r="D391" s="2">
        <f t="shared" si="37"/>
        <v>369664</v>
      </c>
      <c r="E391" s="2">
        <f t="shared" si="38"/>
        <v>224755712</v>
      </c>
      <c r="F391" s="2">
        <f t="shared" si="39"/>
        <v>136651472896</v>
      </c>
      <c r="G391" s="2">
        <f t="shared" si="40"/>
        <v>2981.6320000000001</v>
      </c>
      <c r="H391" s="2">
        <f t="shared" si="41"/>
        <v>1812832.2560000001</v>
      </c>
    </row>
    <row r="392" spans="1:8" x14ac:dyDescent="0.35">
      <c r="A392" s="2">
        <v>608</v>
      </c>
      <c r="B392" s="2">
        <v>54540</v>
      </c>
      <c r="C392" s="2">
        <f t="shared" si="36"/>
        <v>5.4539999999999997</v>
      </c>
      <c r="D392" s="2">
        <f t="shared" si="37"/>
        <v>369664</v>
      </c>
      <c r="E392" s="2">
        <f t="shared" si="38"/>
        <v>224755712</v>
      </c>
      <c r="F392" s="2">
        <f t="shared" si="39"/>
        <v>136651472896</v>
      </c>
      <c r="G392" s="2">
        <f t="shared" si="40"/>
        <v>3316.0319999999997</v>
      </c>
      <c r="H392" s="2">
        <f t="shared" si="41"/>
        <v>2016147.456</v>
      </c>
    </row>
    <row r="393" spans="1:8" x14ac:dyDescent="0.35">
      <c r="A393" s="2">
        <v>608</v>
      </c>
      <c r="B393" s="2">
        <v>54032</v>
      </c>
      <c r="C393" s="2">
        <f t="shared" si="36"/>
        <v>5.4032</v>
      </c>
      <c r="D393" s="2">
        <f t="shared" si="37"/>
        <v>369664</v>
      </c>
      <c r="E393" s="2">
        <f t="shared" si="38"/>
        <v>224755712</v>
      </c>
      <c r="F393" s="2">
        <f t="shared" si="39"/>
        <v>136651472896</v>
      </c>
      <c r="G393" s="2">
        <f t="shared" si="40"/>
        <v>3285.1455999999998</v>
      </c>
      <c r="H393" s="2">
        <f t="shared" si="41"/>
        <v>1997368.5248</v>
      </c>
    </row>
    <row r="394" spans="1:8" x14ac:dyDescent="0.35">
      <c r="A394" s="2">
        <v>748</v>
      </c>
      <c r="B394" s="2">
        <v>18144</v>
      </c>
      <c r="C394" s="2">
        <f t="shared" si="36"/>
        <v>1.8144</v>
      </c>
      <c r="D394" s="2">
        <f t="shared" si="37"/>
        <v>559504</v>
      </c>
      <c r="E394" s="2">
        <f t="shared" si="38"/>
        <v>418508992</v>
      </c>
      <c r="F394" s="2">
        <f t="shared" si="39"/>
        <v>313044726016</v>
      </c>
      <c r="G394" s="2">
        <f t="shared" si="40"/>
        <v>1357.1712</v>
      </c>
      <c r="H394" s="2">
        <f t="shared" si="41"/>
        <v>1015164.0576000001</v>
      </c>
    </row>
    <row r="395" spans="1:8" x14ac:dyDescent="0.35">
      <c r="A395" s="2">
        <v>748</v>
      </c>
      <c r="B395" s="2">
        <v>16802</v>
      </c>
      <c r="C395" s="2">
        <f t="shared" si="36"/>
        <v>1.6801999999999999</v>
      </c>
      <c r="D395" s="2">
        <f t="shared" si="37"/>
        <v>559504</v>
      </c>
      <c r="E395" s="2">
        <f t="shared" si="38"/>
        <v>418508992</v>
      </c>
      <c r="F395" s="2">
        <f t="shared" si="39"/>
        <v>313044726016</v>
      </c>
      <c r="G395" s="2">
        <f t="shared" si="40"/>
        <v>1256.7895999999998</v>
      </c>
      <c r="H395" s="2">
        <f t="shared" si="41"/>
        <v>940078.62079999992</v>
      </c>
    </row>
    <row r="396" spans="1:8" x14ac:dyDescent="0.35">
      <c r="A396" s="2">
        <v>748</v>
      </c>
      <c r="B396" s="2">
        <v>11516</v>
      </c>
      <c r="C396" s="2">
        <f t="shared" si="36"/>
        <v>1.1516</v>
      </c>
      <c r="D396" s="2">
        <f t="shared" si="37"/>
        <v>559504</v>
      </c>
      <c r="E396" s="2">
        <f t="shared" si="38"/>
        <v>418508992</v>
      </c>
      <c r="F396" s="2">
        <f t="shared" si="39"/>
        <v>313044726016</v>
      </c>
      <c r="G396" s="2">
        <f t="shared" si="40"/>
        <v>861.39679999999998</v>
      </c>
      <c r="H396" s="2">
        <f t="shared" si="41"/>
        <v>644324.8064</v>
      </c>
    </row>
    <row r="397" spans="1:8" x14ac:dyDescent="0.35">
      <c r="A397" s="2">
        <v>748</v>
      </c>
      <c r="B397" s="2">
        <v>20541</v>
      </c>
      <c r="C397" s="2">
        <f t="shared" si="36"/>
        <v>2.0541</v>
      </c>
      <c r="D397" s="2">
        <f t="shared" si="37"/>
        <v>559504</v>
      </c>
      <c r="E397" s="2">
        <f t="shared" si="38"/>
        <v>418508992</v>
      </c>
      <c r="F397" s="2">
        <f t="shared" si="39"/>
        <v>313044726016</v>
      </c>
      <c r="G397" s="2">
        <f t="shared" si="40"/>
        <v>1536.4667999999999</v>
      </c>
      <c r="H397" s="2">
        <f t="shared" si="41"/>
        <v>1149277.1664</v>
      </c>
    </row>
    <row r="398" spans="1:8" x14ac:dyDescent="0.35">
      <c r="A398" s="2">
        <v>748</v>
      </c>
      <c r="B398" s="2">
        <v>20783</v>
      </c>
      <c r="C398" s="2">
        <f t="shared" si="36"/>
        <v>2.0783</v>
      </c>
      <c r="D398" s="2">
        <f t="shared" si="37"/>
        <v>559504</v>
      </c>
      <c r="E398" s="2">
        <f t="shared" si="38"/>
        <v>418508992</v>
      </c>
      <c r="F398" s="2">
        <f t="shared" si="39"/>
        <v>313044726016</v>
      </c>
      <c r="G398" s="2">
        <f t="shared" si="40"/>
        <v>1554.5684000000001</v>
      </c>
      <c r="H398" s="2">
        <f t="shared" si="41"/>
        <v>1162817.1632000001</v>
      </c>
    </row>
    <row r="399" spans="1:8" x14ac:dyDescent="0.35">
      <c r="A399" s="2">
        <v>748</v>
      </c>
      <c r="B399" s="2">
        <v>21444</v>
      </c>
      <c r="C399" s="2">
        <f t="shared" si="36"/>
        <v>2.1444000000000001</v>
      </c>
      <c r="D399" s="2">
        <f t="shared" si="37"/>
        <v>559504</v>
      </c>
      <c r="E399" s="2">
        <f t="shared" si="38"/>
        <v>418508992</v>
      </c>
      <c r="F399" s="2">
        <f t="shared" si="39"/>
        <v>313044726016</v>
      </c>
      <c r="G399" s="2">
        <f t="shared" si="40"/>
        <v>1604.0112000000001</v>
      </c>
      <c r="H399" s="2">
        <f t="shared" si="41"/>
        <v>1199800.3776</v>
      </c>
    </row>
    <row r="400" spans="1:8" x14ac:dyDescent="0.35">
      <c r="A400" s="2">
        <v>748</v>
      </c>
      <c r="B400" s="2">
        <v>18831</v>
      </c>
      <c r="C400" s="2">
        <f t="shared" si="36"/>
        <v>1.8831</v>
      </c>
      <c r="D400" s="2">
        <f t="shared" si="37"/>
        <v>559504</v>
      </c>
      <c r="E400" s="2">
        <f t="shared" si="38"/>
        <v>418508992</v>
      </c>
      <c r="F400" s="2">
        <f t="shared" si="39"/>
        <v>313044726016</v>
      </c>
      <c r="G400" s="2">
        <f t="shared" si="40"/>
        <v>1408.5588</v>
      </c>
      <c r="H400" s="2">
        <f t="shared" si="41"/>
        <v>1053601.9824000001</v>
      </c>
    </row>
    <row r="401" spans="1:8" x14ac:dyDescent="0.35">
      <c r="A401" s="2">
        <v>748</v>
      </c>
      <c r="B401" s="2">
        <v>21630</v>
      </c>
      <c r="C401" s="2">
        <f t="shared" si="36"/>
        <v>2.1629999999999998</v>
      </c>
      <c r="D401" s="2">
        <f t="shared" si="37"/>
        <v>559504</v>
      </c>
      <c r="E401" s="2">
        <f t="shared" si="38"/>
        <v>418508992</v>
      </c>
      <c r="F401" s="2">
        <f t="shared" si="39"/>
        <v>313044726016</v>
      </c>
      <c r="G401" s="2">
        <f t="shared" si="40"/>
        <v>1617.9239999999998</v>
      </c>
      <c r="H401" s="2">
        <f t="shared" si="41"/>
        <v>1210207.152</v>
      </c>
    </row>
    <row r="402" spans="1:8" x14ac:dyDescent="0.35">
      <c r="A402" s="2">
        <v>748</v>
      </c>
      <c r="B402" s="2">
        <v>19582</v>
      </c>
      <c r="C402" s="2">
        <f t="shared" si="36"/>
        <v>1.9581999999999999</v>
      </c>
      <c r="D402" s="2">
        <f t="shared" si="37"/>
        <v>559504</v>
      </c>
      <c r="E402" s="2">
        <f t="shared" si="38"/>
        <v>418508992</v>
      </c>
      <c r="F402" s="2">
        <f t="shared" si="39"/>
        <v>313044726016</v>
      </c>
      <c r="G402" s="2">
        <f t="shared" si="40"/>
        <v>1464.7336</v>
      </c>
      <c r="H402" s="2">
        <f t="shared" si="41"/>
        <v>1095620.7327999999</v>
      </c>
    </row>
    <row r="403" spans="1:8" x14ac:dyDescent="0.35">
      <c r="A403" s="2">
        <v>748</v>
      </c>
      <c r="B403" s="2">
        <v>19249</v>
      </c>
      <c r="C403" s="2">
        <f t="shared" si="36"/>
        <v>1.9249000000000001</v>
      </c>
      <c r="D403" s="2">
        <f t="shared" si="37"/>
        <v>559504</v>
      </c>
      <c r="E403" s="2">
        <f t="shared" si="38"/>
        <v>418508992</v>
      </c>
      <c r="F403" s="2">
        <f t="shared" si="39"/>
        <v>313044726016</v>
      </c>
      <c r="G403" s="2">
        <f t="shared" si="40"/>
        <v>1439.8252</v>
      </c>
      <c r="H403" s="2">
        <f t="shared" si="41"/>
        <v>1076989.2496</v>
      </c>
    </row>
    <row r="404" spans="1:8" x14ac:dyDescent="0.35">
      <c r="A404" s="2">
        <v>748</v>
      </c>
      <c r="B404" s="2">
        <v>23883</v>
      </c>
      <c r="C404" s="2">
        <f t="shared" si="36"/>
        <v>2.3883000000000001</v>
      </c>
      <c r="D404" s="2">
        <f t="shared" si="37"/>
        <v>559504</v>
      </c>
      <c r="E404" s="2">
        <f t="shared" si="38"/>
        <v>418508992</v>
      </c>
      <c r="F404" s="2">
        <f t="shared" si="39"/>
        <v>313044726016</v>
      </c>
      <c r="G404" s="2">
        <f t="shared" si="40"/>
        <v>1786.4484</v>
      </c>
      <c r="H404" s="2">
        <f t="shared" si="41"/>
        <v>1336263.4032000001</v>
      </c>
    </row>
    <row r="405" spans="1:8" x14ac:dyDescent="0.35">
      <c r="A405" s="2">
        <v>748</v>
      </c>
      <c r="B405" s="2">
        <v>15750</v>
      </c>
      <c r="C405" s="2">
        <f t="shared" si="36"/>
        <v>1.575</v>
      </c>
      <c r="D405" s="2">
        <f t="shared" si="37"/>
        <v>559504</v>
      </c>
      <c r="E405" s="2">
        <f t="shared" si="38"/>
        <v>418508992</v>
      </c>
      <c r="F405" s="2">
        <f t="shared" si="39"/>
        <v>313044726016</v>
      </c>
      <c r="G405" s="2">
        <f t="shared" si="40"/>
        <v>1178.0999999999999</v>
      </c>
      <c r="H405" s="2">
        <f t="shared" si="41"/>
        <v>881218.79999999993</v>
      </c>
    </row>
    <row r="406" spans="1:8" x14ac:dyDescent="0.35">
      <c r="A406" s="2">
        <v>748</v>
      </c>
      <c r="B406" s="2">
        <v>19388</v>
      </c>
      <c r="C406" s="2">
        <f t="shared" si="36"/>
        <v>1.9388000000000001</v>
      </c>
      <c r="D406" s="2">
        <f t="shared" si="37"/>
        <v>559504</v>
      </c>
      <c r="E406" s="2">
        <f t="shared" si="38"/>
        <v>418508992</v>
      </c>
      <c r="F406" s="2">
        <f t="shared" si="39"/>
        <v>313044726016</v>
      </c>
      <c r="G406" s="2">
        <f t="shared" si="40"/>
        <v>1450.2224000000001</v>
      </c>
      <c r="H406" s="2">
        <f t="shared" si="41"/>
        <v>1084766.3552000001</v>
      </c>
    </row>
    <row r="407" spans="1:8" x14ac:dyDescent="0.35">
      <c r="A407" s="2">
        <v>748</v>
      </c>
      <c r="B407" s="2">
        <v>24824</v>
      </c>
      <c r="C407" s="2">
        <f t="shared" si="36"/>
        <v>2.4824000000000002</v>
      </c>
      <c r="D407" s="2">
        <f t="shared" si="37"/>
        <v>559504</v>
      </c>
      <c r="E407" s="2">
        <f t="shared" si="38"/>
        <v>418508992</v>
      </c>
      <c r="F407" s="2">
        <f t="shared" si="39"/>
        <v>313044726016</v>
      </c>
      <c r="G407" s="2">
        <f t="shared" si="40"/>
        <v>1856.8352000000002</v>
      </c>
      <c r="H407" s="2">
        <f t="shared" si="41"/>
        <v>1388912.7296000002</v>
      </c>
    </row>
    <row r="408" spans="1:8" x14ac:dyDescent="0.35">
      <c r="A408" s="2">
        <v>748</v>
      </c>
      <c r="B408" s="2">
        <v>25675</v>
      </c>
      <c r="C408" s="2">
        <f t="shared" si="36"/>
        <v>2.5674999999999999</v>
      </c>
      <c r="D408" s="2">
        <f t="shared" si="37"/>
        <v>559504</v>
      </c>
      <c r="E408" s="2">
        <f t="shared" si="38"/>
        <v>418508992</v>
      </c>
      <c r="F408" s="2">
        <f t="shared" si="39"/>
        <v>313044726016</v>
      </c>
      <c r="G408" s="2">
        <f t="shared" si="40"/>
        <v>1920.49</v>
      </c>
      <c r="H408" s="2">
        <f t="shared" si="41"/>
        <v>1436526.52</v>
      </c>
    </row>
    <row r="409" spans="1:8" x14ac:dyDescent="0.35">
      <c r="A409" s="2">
        <v>748</v>
      </c>
      <c r="B409" s="2">
        <v>18795</v>
      </c>
      <c r="C409" s="2">
        <f t="shared" si="36"/>
        <v>1.8794999999999999</v>
      </c>
      <c r="D409" s="2">
        <f t="shared" si="37"/>
        <v>559504</v>
      </c>
      <c r="E409" s="2">
        <f t="shared" si="38"/>
        <v>418508992</v>
      </c>
      <c r="F409" s="2">
        <f t="shared" si="39"/>
        <v>313044726016</v>
      </c>
      <c r="G409" s="2">
        <f t="shared" si="40"/>
        <v>1405.866</v>
      </c>
      <c r="H409" s="2">
        <f t="shared" si="41"/>
        <v>1051587.7679999999</v>
      </c>
    </row>
    <row r="410" spans="1:8" x14ac:dyDescent="0.35">
      <c r="A410" s="2">
        <v>748</v>
      </c>
      <c r="B410" s="2">
        <v>19010</v>
      </c>
      <c r="C410" s="2">
        <f t="shared" si="36"/>
        <v>1.901</v>
      </c>
      <c r="D410" s="2">
        <f t="shared" si="37"/>
        <v>559504</v>
      </c>
      <c r="E410" s="2">
        <f t="shared" si="38"/>
        <v>418508992</v>
      </c>
      <c r="F410" s="2">
        <f t="shared" si="39"/>
        <v>313044726016</v>
      </c>
      <c r="G410" s="2">
        <f t="shared" si="40"/>
        <v>1421.9480000000001</v>
      </c>
      <c r="H410" s="2">
        <f t="shared" si="41"/>
        <v>1063617.1040000001</v>
      </c>
    </row>
    <row r="411" spans="1:8" x14ac:dyDescent="0.35">
      <c r="A411" s="2">
        <v>748</v>
      </c>
      <c r="B411" s="2">
        <v>15047</v>
      </c>
      <c r="C411" s="2">
        <f t="shared" si="36"/>
        <v>1.5046999999999999</v>
      </c>
      <c r="D411" s="2">
        <f t="shared" si="37"/>
        <v>559504</v>
      </c>
      <c r="E411" s="2">
        <f t="shared" si="38"/>
        <v>418508992</v>
      </c>
      <c r="F411" s="2">
        <f t="shared" si="39"/>
        <v>313044726016</v>
      </c>
      <c r="G411" s="2">
        <f t="shared" si="40"/>
        <v>1125.5155999999999</v>
      </c>
      <c r="H411" s="2">
        <f t="shared" si="41"/>
        <v>841885.66879999998</v>
      </c>
    </row>
    <row r="412" spans="1:8" x14ac:dyDescent="0.35">
      <c r="A412" s="2">
        <v>748</v>
      </c>
      <c r="B412" s="2">
        <v>17791</v>
      </c>
      <c r="C412" s="2">
        <f t="shared" si="36"/>
        <v>1.7790999999999999</v>
      </c>
      <c r="D412" s="2">
        <f t="shared" si="37"/>
        <v>559504</v>
      </c>
      <c r="E412" s="2">
        <f t="shared" si="38"/>
        <v>418508992</v>
      </c>
      <c r="F412" s="2">
        <f t="shared" si="39"/>
        <v>313044726016</v>
      </c>
      <c r="G412" s="2">
        <f t="shared" si="40"/>
        <v>1330.7667999999999</v>
      </c>
      <c r="H412" s="2">
        <f t="shared" si="41"/>
        <v>995413.56639999989</v>
      </c>
    </row>
    <row r="413" spans="1:8" x14ac:dyDescent="0.35">
      <c r="A413" s="2">
        <v>748</v>
      </c>
      <c r="B413" s="2">
        <v>25724</v>
      </c>
      <c r="C413" s="2">
        <f t="shared" si="36"/>
        <v>2.5724</v>
      </c>
      <c r="D413" s="2">
        <f t="shared" si="37"/>
        <v>559504</v>
      </c>
      <c r="E413" s="2">
        <f t="shared" si="38"/>
        <v>418508992</v>
      </c>
      <c r="F413" s="2">
        <f t="shared" si="39"/>
        <v>313044726016</v>
      </c>
      <c r="G413" s="2">
        <f t="shared" si="40"/>
        <v>1924.1551999999999</v>
      </c>
      <c r="H413" s="2">
        <f t="shared" si="41"/>
        <v>1439268.0896000001</v>
      </c>
    </row>
    <row r="414" spans="1:8" x14ac:dyDescent="0.35">
      <c r="A414" s="2">
        <v>748</v>
      </c>
      <c r="B414" s="2">
        <v>17002</v>
      </c>
      <c r="C414" s="2">
        <f t="shared" si="36"/>
        <v>1.7001999999999999</v>
      </c>
      <c r="D414" s="2">
        <f t="shared" si="37"/>
        <v>559504</v>
      </c>
      <c r="E414" s="2">
        <f t="shared" si="38"/>
        <v>418508992</v>
      </c>
      <c r="F414" s="2">
        <f t="shared" si="39"/>
        <v>313044726016</v>
      </c>
      <c r="G414" s="2">
        <f t="shared" si="40"/>
        <v>1271.7495999999999</v>
      </c>
      <c r="H414" s="2">
        <f t="shared" si="41"/>
        <v>951268.70079999999</v>
      </c>
    </row>
    <row r="415" spans="1:8" x14ac:dyDescent="0.35">
      <c r="A415" s="2">
        <v>748</v>
      </c>
      <c r="B415" s="2">
        <v>24355</v>
      </c>
      <c r="C415" s="2">
        <f t="shared" si="36"/>
        <v>2.4355000000000002</v>
      </c>
      <c r="D415" s="2">
        <f t="shared" si="37"/>
        <v>559504</v>
      </c>
      <c r="E415" s="2">
        <f t="shared" si="38"/>
        <v>418508992</v>
      </c>
      <c r="F415" s="2">
        <f t="shared" si="39"/>
        <v>313044726016</v>
      </c>
      <c r="G415" s="2">
        <f t="shared" si="40"/>
        <v>1821.7540000000001</v>
      </c>
      <c r="H415" s="2">
        <f t="shared" si="41"/>
        <v>1362671.9920000001</v>
      </c>
    </row>
    <row r="416" spans="1:8" x14ac:dyDescent="0.35">
      <c r="A416" s="2">
        <v>748</v>
      </c>
      <c r="B416" s="2">
        <v>23154</v>
      </c>
      <c r="C416" s="2">
        <f t="shared" si="36"/>
        <v>2.3153999999999999</v>
      </c>
      <c r="D416" s="2">
        <f t="shared" si="37"/>
        <v>559504</v>
      </c>
      <c r="E416" s="2">
        <f t="shared" si="38"/>
        <v>418508992</v>
      </c>
      <c r="F416" s="2">
        <f t="shared" si="39"/>
        <v>313044726016</v>
      </c>
      <c r="G416" s="2">
        <f t="shared" si="40"/>
        <v>1731.9191999999998</v>
      </c>
      <c r="H416" s="2">
        <f t="shared" si="41"/>
        <v>1295475.5615999999</v>
      </c>
    </row>
    <row r="417" spans="1:8" x14ac:dyDescent="0.35">
      <c r="A417" s="2">
        <v>748</v>
      </c>
      <c r="B417" s="2">
        <v>20238</v>
      </c>
      <c r="C417" s="2">
        <f t="shared" si="36"/>
        <v>2.0238</v>
      </c>
      <c r="D417" s="2">
        <f t="shared" si="37"/>
        <v>559504</v>
      </c>
      <c r="E417" s="2">
        <f t="shared" si="38"/>
        <v>418508992</v>
      </c>
      <c r="F417" s="2">
        <f t="shared" si="39"/>
        <v>313044726016</v>
      </c>
      <c r="G417" s="2">
        <f t="shared" si="40"/>
        <v>1513.8024</v>
      </c>
      <c r="H417" s="2">
        <f t="shared" si="41"/>
        <v>1132324.1952</v>
      </c>
    </row>
    <row r="418" spans="1:8" x14ac:dyDescent="0.35">
      <c r="A418" s="2">
        <v>748</v>
      </c>
      <c r="B418" s="2">
        <v>17676</v>
      </c>
      <c r="C418" s="2">
        <f t="shared" si="36"/>
        <v>1.7676000000000001</v>
      </c>
      <c r="D418" s="2">
        <f t="shared" si="37"/>
        <v>559504</v>
      </c>
      <c r="E418" s="2">
        <f t="shared" si="38"/>
        <v>418508992</v>
      </c>
      <c r="F418" s="2">
        <f t="shared" si="39"/>
        <v>313044726016</v>
      </c>
      <c r="G418" s="2">
        <f t="shared" si="40"/>
        <v>1322.1648</v>
      </c>
      <c r="H418" s="2">
        <f t="shared" si="41"/>
        <v>988979.27040000004</v>
      </c>
    </row>
    <row r="419" spans="1:8" x14ac:dyDescent="0.35">
      <c r="A419" s="2">
        <v>748</v>
      </c>
      <c r="B419" s="2">
        <v>23336</v>
      </c>
      <c r="C419" s="2">
        <f t="shared" si="36"/>
        <v>2.3336000000000001</v>
      </c>
      <c r="D419" s="2">
        <f t="shared" si="37"/>
        <v>559504</v>
      </c>
      <c r="E419" s="2">
        <f t="shared" si="38"/>
        <v>418508992</v>
      </c>
      <c r="F419" s="2">
        <f t="shared" si="39"/>
        <v>313044726016</v>
      </c>
      <c r="G419" s="2">
        <f t="shared" si="40"/>
        <v>1745.5328000000002</v>
      </c>
      <c r="H419" s="2">
        <f t="shared" si="41"/>
        <v>1305658.5344</v>
      </c>
    </row>
    <row r="420" spans="1:8" x14ac:dyDescent="0.35">
      <c r="A420" s="2">
        <v>748</v>
      </c>
      <c r="B420" s="2">
        <v>21993</v>
      </c>
      <c r="C420" s="2">
        <f t="shared" si="36"/>
        <v>2.1993</v>
      </c>
      <c r="D420" s="2">
        <f t="shared" si="37"/>
        <v>559504</v>
      </c>
      <c r="E420" s="2">
        <f t="shared" si="38"/>
        <v>418508992</v>
      </c>
      <c r="F420" s="2">
        <f t="shared" si="39"/>
        <v>313044726016</v>
      </c>
      <c r="G420" s="2">
        <f t="shared" si="40"/>
        <v>1645.0763999999999</v>
      </c>
      <c r="H420" s="2">
        <f t="shared" si="41"/>
        <v>1230517.1472</v>
      </c>
    </row>
    <row r="421" spans="1:8" x14ac:dyDescent="0.35">
      <c r="A421" s="2">
        <v>748</v>
      </c>
      <c r="B421" s="2">
        <v>24088</v>
      </c>
      <c r="C421" s="2">
        <f t="shared" si="36"/>
        <v>2.4087999999999998</v>
      </c>
      <c r="D421" s="2">
        <f t="shared" si="37"/>
        <v>559504</v>
      </c>
      <c r="E421" s="2">
        <f t="shared" si="38"/>
        <v>418508992</v>
      </c>
      <c r="F421" s="2">
        <f t="shared" si="39"/>
        <v>313044726016</v>
      </c>
      <c r="G421" s="2">
        <f t="shared" si="40"/>
        <v>1801.7823999999998</v>
      </c>
      <c r="H421" s="2">
        <f t="shared" si="41"/>
        <v>1347733.2352</v>
      </c>
    </row>
    <row r="422" spans="1:8" x14ac:dyDescent="0.35">
      <c r="A422" s="2">
        <v>748</v>
      </c>
      <c r="B422" s="2">
        <v>22032</v>
      </c>
      <c r="C422" s="2">
        <f t="shared" si="36"/>
        <v>2.2031999999999998</v>
      </c>
      <c r="D422" s="2">
        <f t="shared" si="37"/>
        <v>559504</v>
      </c>
      <c r="E422" s="2">
        <f t="shared" si="38"/>
        <v>418508992</v>
      </c>
      <c r="F422" s="2">
        <f t="shared" si="39"/>
        <v>313044726016</v>
      </c>
      <c r="G422" s="2">
        <f t="shared" si="40"/>
        <v>1647.9935999999998</v>
      </c>
      <c r="H422" s="2">
        <f t="shared" si="41"/>
        <v>1232699.2127999999</v>
      </c>
    </row>
    <row r="423" spans="1:8" x14ac:dyDescent="0.35">
      <c r="A423" s="2">
        <v>748</v>
      </c>
      <c r="B423" s="2">
        <v>21718</v>
      </c>
      <c r="C423" s="2">
        <f t="shared" si="36"/>
        <v>2.1718000000000002</v>
      </c>
      <c r="D423" s="2">
        <f t="shared" si="37"/>
        <v>559504</v>
      </c>
      <c r="E423" s="2">
        <f t="shared" si="38"/>
        <v>418508992</v>
      </c>
      <c r="F423" s="2">
        <f t="shared" si="39"/>
        <v>313044726016</v>
      </c>
      <c r="G423" s="2">
        <f t="shared" si="40"/>
        <v>1624.5064000000002</v>
      </c>
      <c r="H423" s="2">
        <f t="shared" si="41"/>
        <v>1215130.7872000001</v>
      </c>
    </row>
    <row r="424" spans="1:8" x14ac:dyDescent="0.35">
      <c r="A424" s="2">
        <v>1274</v>
      </c>
      <c r="B424" s="2">
        <v>44150</v>
      </c>
      <c r="C424" s="2">
        <f t="shared" si="36"/>
        <v>4.415</v>
      </c>
      <c r="D424" s="2">
        <f t="shared" si="37"/>
        <v>1623076</v>
      </c>
      <c r="E424" s="2">
        <f t="shared" si="38"/>
        <v>2067798824</v>
      </c>
      <c r="F424" s="2">
        <f t="shared" si="39"/>
        <v>2634375701776</v>
      </c>
      <c r="G424" s="2">
        <f t="shared" si="40"/>
        <v>5624.71</v>
      </c>
      <c r="H424" s="2">
        <f t="shared" si="41"/>
        <v>7165880.54</v>
      </c>
    </row>
    <row r="425" spans="1:8" x14ac:dyDescent="0.35">
      <c r="A425" s="2">
        <v>1274</v>
      </c>
      <c r="B425" s="2">
        <v>30837</v>
      </c>
      <c r="C425" s="2">
        <f t="shared" si="36"/>
        <v>3.0836999999999999</v>
      </c>
      <c r="D425" s="2">
        <f t="shared" si="37"/>
        <v>1623076</v>
      </c>
      <c r="E425" s="2">
        <f t="shared" si="38"/>
        <v>2067798824</v>
      </c>
      <c r="F425" s="2">
        <f t="shared" si="39"/>
        <v>2634375701776</v>
      </c>
      <c r="G425" s="2">
        <f t="shared" si="40"/>
        <v>3928.6338000000001</v>
      </c>
      <c r="H425" s="2">
        <f t="shared" si="41"/>
        <v>5005079.4611999998</v>
      </c>
    </row>
    <row r="426" spans="1:8" x14ac:dyDescent="0.35">
      <c r="A426" s="2">
        <v>1274</v>
      </c>
      <c r="B426" s="2">
        <v>23333</v>
      </c>
      <c r="C426" s="2">
        <f t="shared" si="36"/>
        <v>2.3332999999999999</v>
      </c>
      <c r="D426" s="2">
        <f t="shared" si="37"/>
        <v>1623076</v>
      </c>
      <c r="E426" s="2">
        <f t="shared" si="38"/>
        <v>2067798824</v>
      </c>
      <c r="F426" s="2">
        <f t="shared" si="39"/>
        <v>2634375701776</v>
      </c>
      <c r="G426" s="2">
        <f t="shared" si="40"/>
        <v>2972.6241999999997</v>
      </c>
      <c r="H426" s="2">
        <f t="shared" si="41"/>
        <v>3787123.2308</v>
      </c>
    </row>
    <row r="427" spans="1:8" x14ac:dyDescent="0.35">
      <c r="A427" s="2">
        <v>1274</v>
      </c>
      <c r="B427" s="2">
        <v>33333</v>
      </c>
      <c r="C427" s="2">
        <f t="shared" si="36"/>
        <v>3.3332999999999999</v>
      </c>
      <c r="D427" s="2">
        <f t="shared" si="37"/>
        <v>1623076</v>
      </c>
      <c r="E427" s="2">
        <f t="shared" si="38"/>
        <v>2067798824</v>
      </c>
      <c r="F427" s="2">
        <f t="shared" si="39"/>
        <v>2634375701776</v>
      </c>
      <c r="G427" s="2">
        <f t="shared" si="40"/>
        <v>4246.6242000000002</v>
      </c>
      <c r="H427" s="2">
        <f t="shared" si="41"/>
        <v>5410199.2308</v>
      </c>
    </row>
    <row r="428" spans="1:8" x14ac:dyDescent="0.35">
      <c r="A428" s="2">
        <v>1274</v>
      </c>
      <c r="B428" s="2">
        <v>33333</v>
      </c>
      <c r="C428" s="2">
        <f t="shared" si="36"/>
        <v>3.3332999999999999</v>
      </c>
      <c r="D428" s="2">
        <f t="shared" si="37"/>
        <v>1623076</v>
      </c>
      <c r="E428" s="2">
        <f t="shared" si="38"/>
        <v>2067798824</v>
      </c>
      <c r="F428" s="2">
        <f t="shared" si="39"/>
        <v>2634375701776</v>
      </c>
      <c r="G428" s="2">
        <f t="shared" si="40"/>
        <v>4246.6242000000002</v>
      </c>
      <c r="H428" s="2">
        <f t="shared" si="41"/>
        <v>5410199.2308</v>
      </c>
    </row>
    <row r="429" spans="1:8" x14ac:dyDescent="0.35">
      <c r="A429" s="2">
        <v>1274</v>
      </c>
      <c r="B429" s="2">
        <v>30923</v>
      </c>
      <c r="C429" s="2">
        <f t="shared" si="36"/>
        <v>3.0922999999999998</v>
      </c>
      <c r="D429" s="2">
        <f t="shared" si="37"/>
        <v>1623076</v>
      </c>
      <c r="E429" s="2">
        <f t="shared" si="38"/>
        <v>2067798824</v>
      </c>
      <c r="F429" s="2">
        <f t="shared" si="39"/>
        <v>2634375701776</v>
      </c>
      <c r="G429" s="2">
        <f t="shared" si="40"/>
        <v>3939.5901999999996</v>
      </c>
      <c r="H429" s="2">
        <f t="shared" si="41"/>
        <v>5019037.9147999994</v>
      </c>
    </row>
    <row r="430" spans="1:8" x14ac:dyDescent="0.35">
      <c r="A430" s="2">
        <v>1274</v>
      </c>
      <c r="B430" s="2">
        <v>31077</v>
      </c>
      <c r="C430" s="2">
        <f t="shared" si="36"/>
        <v>3.1076999999999999</v>
      </c>
      <c r="D430" s="2">
        <f t="shared" si="37"/>
        <v>1623076</v>
      </c>
      <c r="E430" s="2">
        <f t="shared" si="38"/>
        <v>2067798824</v>
      </c>
      <c r="F430" s="2">
        <f t="shared" si="39"/>
        <v>2634375701776</v>
      </c>
      <c r="G430" s="2">
        <f t="shared" si="40"/>
        <v>3959.2098000000001</v>
      </c>
      <c r="H430" s="2">
        <f t="shared" si="41"/>
        <v>5044033.2851999998</v>
      </c>
    </row>
    <row r="431" spans="1:8" x14ac:dyDescent="0.35">
      <c r="A431" s="2">
        <v>1274</v>
      </c>
      <c r="B431" s="2">
        <v>31398</v>
      </c>
      <c r="C431" s="2">
        <f t="shared" si="36"/>
        <v>3.1398000000000001</v>
      </c>
      <c r="D431" s="2">
        <f t="shared" si="37"/>
        <v>1623076</v>
      </c>
      <c r="E431" s="2">
        <f t="shared" si="38"/>
        <v>2067798824</v>
      </c>
      <c r="F431" s="2">
        <f t="shared" si="39"/>
        <v>2634375701776</v>
      </c>
      <c r="G431" s="2">
        <f t="shared" si="40"/>
        <v>4000.1052</v>
      </c>
      <c r="H431" s="2">
        <f t="shared" si="41"/>
        <v>5096134.0247999998</v>
      </c>
    </row>
    <row r="432" spans="1:8" x14ac:dyDescent="0.35">
      <c r="A432" s="2">
        <v>1274</v>
      </c>
      <c r="B432" s="2">
        <v>31099</v>
      </c>
      <c r="C432" s="2">
        <f t="shared" si="36"/>
        <v>3.1099000000000001</v>
      </c>
      <c r="D432" s="2">
        <f t="shared" si="37"/>
        <v>1623076</v>
      </c>
      <c r="E432" s="2">
        <f t="shared" si="38"/>
        <v>2067798824</v>
      </c>
      <c r="F432" s="2">
        <f t="shared" si="39"/>
        <v>2634375701776</v>
      </c>
      <c r="G432" s="2">
        <f t="shared" si="40"/>
        <v>3962.0126</v>
      </c>
      <c r="H432" s="2">
        <f t="shared" si="41"/>
        <v>5047604.0524000004</v>
      </c>
    </row>
    <row r="433" spans="1:8" x14ac:dyDescent="0.35">
      <c r="A433" s="2">
        <v>1274</v>
      </c>
      <c r="B433" s="2">
        <v>26819</v>
      </c>
      <c r="C433" s="2">
        <f t="shared" si="36"/>
        <v>2.6819000000000002</v>
      </c>
      <c r="D433" s="2">
        <f t="shared" si="37"/>
        <v>1623076</v>
      </c>
      <c r="E433" s="2">
        <f t="shared" si="38"/>
        <v>2067798824</v>
      </c>
      <c r="F433" s="2">
        <f t="shared" si="39"/>
        <v>2634375701776</v>
      </c>
      <c r="G433" s="2">
        <f t="shared" si="40"/>
        <v>3416.7406000000001</v>
      </c>
      <c r="H433" s="2">
        <f t="shared" si="41"/>
        <v>4352927.5244000005</v>
      </c>
    </row>
    <row r="434" spans="1:8" x14ac:dyDescent="0.35">
      <c r="A434" s="2">
        <v>1274</v>
      </c>
      <c r="B434" s="2">
        <v>27873</v>
      </c>
      <c r="C434" s="2">
        <f t="shared" si="36"/>
        <v>2.7873000000000001</v>
      </c>
      <c r="D434" s="2">
        <f t="shared" si="37"/>
        <v>1623076</v>
      </c>
      <c r="E434" s="2">
        <f t="shared" si="38"/>
        <v>2067798824</v>
      </c>
      <c r="F434" s="2">
        <f t="shared" si="39"/>
        <v>2634375701776</v>
      </c>
      <c r="G434" s="2">
        <f t="shared" si="40"/>
        <v>3551.0201999999999</v>
      </c>
      <c r="H434" s="2">
        <f t="shared" si="41"/>
        <v>4523999.7347999997</v>
      </c>
    </row>
    <row r="435" spans="1:8" x14ac:dyDescent="0.35">
      <c r="A435" s="2">
        <v>1274</v>
      </c>
      <c r="B435" s="2">
        <v>32551</v>
      </c>
      <c r="C435" s="2">
        <f t="shared" si="36"/>
        <v>3.2551000000000001</v>
      </c>
      <c r="D435" s="2">
        <f t="shared" si="37"/>
        <v>1623076</v>
      </c>
      <c r="E435" s="2">
        <f t="shared" si="38"/>
        <v>2067798824</v>
      </c>
      <c r="F435" s="2">
        <f t="shared" si="39"/>
        <v>2634375701776</v>
      </c>
      <c r="G435" s="2">
        <f t="shared" si="40"/>
        <v>4146.9974000000002</v>
      </c>
      <c r="H435" s="2">
        <f t="shared" si="41"/>
        <v>5283274.6875999998</v>
      </c>
    </row>
    <row r="436" spans="1:8" x14ac:dyDescent="0.35">
      <c r="A436" s="2">
        <v>1274</v>
      </c>
      <c r="B436" s="2">
        <v>29927</v>
      </c>
      <c r="C436" s="2">
        <f t="shared" si="36"/>
        <v>2.9927000000000001</v>
      </c>
      <c r="D436" s="2">
        <f t="shared" si="37"/>
        <v>1623076</v>
      </c>
      <c r="E436" s="2">
        <f t="shared" si="38"/>
        <v>2067798824</v>
      </c>
      <c r="F436" s="2">
        <f t="shared" si="39"/>
        <v>2634375701776</v>
      </c>
      <c r="G436" s="2">
        <f t="shared" si="40"/>
        <v>3812.6998000000003</v>
      </c>
      <c r="H436" s="2">
        <f t="shared" si="41"/>
        <v>4857379.5452000005</v>
      </c>
    </row>
    <row r="437" spans="1:8" x14ac:dyDescent="0.35">
      <c r="A437" s="2">
        <v>1274</v>
      </c>
      <c r="B437" s="2">
        <v>32572</v>
      </c>
      <c r="C437" s="2">
        <f t="shared" si="36"/>
        <v>3.2572000000000001</v>
      </c>
      <c r="D437" s="2">
        <f t="shared" si="37"/>
        <v>1623076</v>
      </c>
      <c r="E437" s="2">
        <f t="shared" si="38"/>
        <v>2067798824</v>
      </c>
      <c r="F437" s="2">
        <f t="shared" si="39"/>
        <v>2634375701776</v>
      </c>
      <c r="G437" s="2">
        <f t="shared" si="40"/>
        <v>4149.6728000000003</v>
      </c>
      <c r="H437" s="2">
        <f t="shared" si="41"/>
        <v>5286683.1472000005</v>
      </c>
    </row>
    <row r="438" spans="1:8" x14ac:dyDescent="0.35">
      <c r="A438" s="2">
        <v>1274</v>
      </c>
      <c r="B438" s="2">
        <v>30399</v>
      </c>
      <c r="C438" s="2">
        <f t="shared" si="36"/>
        <v>3.0398999999999998</v>
      </c>
      <c r="D438" s="2">
        <f t="shared" si="37"/>
        <v>1623076</v>
      </c>
      <c r="E438" s="2">
        <f t="shared" si="38"/>
        <v>2067798824</v>
      </c>
      <c r="F438" s="2">
        <f t="shared" si="39"/>
        <v>2634375701776</v>
      </c>
      <c r="G438" s="2">
        <f t="shared" si="40"/>
        <v>3872.8325999999997</v>
      </c>
      <c r="H438" s="2">
        <f t="shared" si="41"/>
        <v>4933988.7324000001</v>
      </c>
    </row>
    <row r="439" spans="1:8" x14ac:dyDescent="0.35">
      <c r="A439" s="2">
        <v>1274</v>
      </c>
      <c r="B439" s="2">
        <v>32063</v>
      </c>
      <c r="C439" s="2">
        <f t="shared" si="36"/>
        <v>3.2063000000000001</v>
      </c>
      <c r="D439" s="2">
        <f t="shared" si="37"/>
        <v>1623076</v>
      </c>
      <c r="E439" s="2">
        <f t="shared" si="38"/>
        <v>2067798824</v>
      </c>
      <c r="F439" s="2">
        <f t="shared" si="39"/>
        <v>2634375701776</v>
      </c>
      <c r="G439" s="2">
        <f t="shared" si="40"/>
        <v>4084.8262</v>
      </c>
      <c r="H439" s="2">
        <f t="shared" si="41"/>
        <v>5204068.5788000003</v>
      </c>
    </row>
    <row r="440" spans="1:8" x14ac:dyDescent="0.35">
      <c r="A440" s="2">
        <v>1274</v>
      </c>
      <c r="B440" s="2">
        <v>32629</v>
      </c>
      <c r="C440" s="2">
        <f t="shared" si="36"/>
        <v>3.2629000000000001</v>
      </c>
      <c r="D440" s="2">
        <f t="shared" si="37"/>
        <v>1623076</v>
      </c>
      <c r="E440" s="2">
        <f t="shared" si="38"/>
        <v>2067798824</v>
      </c>
      <c r="F440" s="2">
        <f t="shared" si="39"/>
        <v>2634375701776</v>
      </c>
      <c r="G440" s="2">
        <f t="shared" si="40"/>
        <v>4156.9346000000005</v>
      </c>
      <c r="H440" s="2">
        <f t="shared" si="41"/>
        <v>5295934.6804</v>
      </c>
    </row>
    <row r="441" spans="1:8" x14ac:dyDescent="0.35">
      <c r="A441" s="2">
        <v>1274</v>
      </c>
      <c r="B441" s="2">
        <v>32924</v>
      </c>
      <c r="C441" s="2">
        <f t="shared" si="36"/>
        <v>3.2924000000000002</v>
      </c>
      <c r="D441" s="2">
        <f t="shared" si="37"/>
        <v>1623076</v>
      </c>
      <c r="E441" s="2">
        <f t="shared" si="38"/>
        <v>2067798824</v>
      </c>
      <c r="F441" s="2">
        <f t="shared" si="39"/>
        <v>2634375701776</v>
      </c>
      <c r="G441" s="2">
        <f t="shared" si="40"/>
        <v>4194.5176000000001</v>
      </c>
      <c r="H441" s="2">
        <f t="shared" si="41"/>
        <v>5343815.4224000005</v>
      </c>
    </row>
    <row r="442" spans="1:8" x14ac:dyDescent="0.35">
      <c r="A442" s="2">
        <v>1274</v>
      </c>
      <c r="B442" s="2">
        <v>34144</v>
      </c>
      <c r="C442" s="2">
        <f t="shared" si="36"/>
        <v>3.4144000000000001</v>
      </c>
      <c r="D442" s="2">
        <f t="shared" si="37"/>
        <v>1623076</v>
      </c>
      <c r="E442" s="2">
        <f t="shared" si="38"/>
        <v>2067798824</v>
      </c>
      <c r="F442" s="2">
        <f t="shared" si="39"/>
        <v>2634375701776</v>
      </c>
      <c r="G442" s="2">
        <f t="shared" si="40"/>
        <v>4349.9456</v>
      </c>
      <c r="H442" s="2">
        <f t="shared" si="41"/>
        <v>5541830.6944000004</v>
      </c>
    </row>
    <row r="443" spans="1:8" x14ac:dyDescent="0.35">
      <c r="A443" s="2">
        <v>1274</v>
      </c>
      <c r="B443" s="2">
        <v>33322</v>
      </c>
      <c r="C443" s="2">
        <f t="shared" si="36"/>
        <v>3.3321999999999998</v>
      </c>
      <c r="D443" s="2">
        <f t="shared" si="37"/>
        <v>1623076</v>
      </c>
      <c r="E443" s="2">
        <f t="shared" si="38"/>
        <v>2067798824</v>
      </c>
      <c r="F443" s="2">
        <f t="shared" si="39"/>
        <v>2634375701776</v>
      </c>
      <c r="G443" s="2">
        <f t="shared" si="40"/>
        <v>4245.2227999999996</v>
      </c>
      <c r="H443" s="2">
        <f t="shared" si="41"/>
        <v>5408413.8471999997</v>
      </c>
    </row>
    <row r="444" spans="1:8" x14ac:dyDescent="0.35">
      <c r="A444" s="2">
        <v>1274</v>
      </c>
      <c r="B444" s="2">
        <v>33767</v>
      </c>
      <c r="C444" s="2">
        <f t="shared" si="36"/>
        <v>3.3767</v>
      </c>
      <c r="D444" s="2">
        <f t="shared" si="37"/>
        <v>1623076</v>
      </c>
      <c r="E444" s="2">
        <f t="shared" si="38"/>
        <v>2067798824</v>
      </c>
      <c r="F444" s="2">
        <f t="shared" si="39"/>
        <v>2634375701776</v>
      </c>
      <c r="G444" s="2">
        <f t="shared" si="40"/>
        <v>4301.9157999999998</v>
      </c>
      <c r="H444" s="2">
        <f t="shared" si="41"/>
        <v>5480640.7291999999</v>
      </c>
    </row>
    <row r="445" spans="1:8" x14ac:dyDescent="0.35">
      <c r="A445" s="2">
        <v>1274</v>
      </c>
      <c r="B445" s="2">
        <v>32203</v>
      </c>
      <c r="C445" s="2">
        <f t="shared" si="36"/>
        <v>3.2202999999999999</v>
      </c>
      <c r="D445" s="2">
        <f t="shared" si="37"/>
        <v>1623076</v>
      </c>
      <c r="E445" s="2">
        <f t="shared" si="38"/>
        <v>2067798824</v>
      </c>
      <c r="F445" s="2">
        <f t="shared" si="39"/>
        <v>2634375701776</v>
      </c>
      <c r="G445" s="2">
        <f t="shared" si="40"/>
        <v>4102.6621999999998</v>
      </c>
      <c r="H445" s="2">
        <f t="shared" si="41"/>
        <v>5226791.6427999996</v>
      </c>
    </row>
    <row r="446" spans="1:8" x14ac:dyDescent="0.35">
      <c r="A446" s="2">
        <v>1274</v>
      </c>
      <c r="B446" s="2">
        <v>32680</v>
      </c>
      <c r="C446" s="2">
        <f t="shared" si="36"/>
        <v>3.2679999999999998</v>
      </c>
      <c r="D446" s="2">
        <f t="shared" si="37"/>
        <v>1623076</v>
      </c>
      <c r="E446" s="2">
        <f t="shared" si="38"/>
        <v>2067798824</v>
      </c>
      <c r="F446" s="2">
        <f t="shared" si="39"/>
        <v>2634375701776</v>
      </c>
      <c r="G446" s="2">
        <f t="shared" si="40"/>
        <v>4163.4319999999998</v>
      </c>
      <c r="H446" s="2">
        <f t="shared" si="41"/>
        <v>5304212.3679999998</v>
      </c>
    </row>
    <row r="447" spans="1:8" x14ac:dyDescent="0.35">
      <c r="A447" s="2">
        <v>1274</v>
      </c>
      <c r="B447" s="2">
        <v>28268</v>
      </c>
      <c r="C447" s="2">
        <f t="shared" si="36"/>
        <v>2.8268</v>
      </c>
      <c r="D447" s="2">
        <f t="shared" si="37"/>
        <v>1623076</v>
      </c>
      <c r="E447" s="2">
        <f t="shared" si="38"/>
        <v>2067798824</v>
      </c>
      <c r="F447" s="2">
        <f t="shared" si="39"/>
        <v>2634375701776</v>
      </c>
      <c r="G447" s="2">
        <f t="shared" si="40"/>
        <v>3601.3431999999998</v>
      </c>
      <c r="H447" s="2">
        <f t="shared" si="41"/>
        <v>4588111.2368000001</v>
      </c>
    </row>
    <row r="448" spans="1:8" x14ac:dyDescent="0.35">
      <c r="A448" s="2">
        <v>1274</v>
      </c>
      <c r="B448" s="2">
        <v>26876</v>
      </c>
      <c r="C448" s="2">
        <f t="shared" si="36"/>
        <v>2.6876000000000002</v>
      </c>
      <c r="D448" s="2">
        <f t="shared" si="37"/>
        <v>1623076</v>
      </c>
      <c r="E448" s="2">
        <f t="shared" si="38"/>
        <v>2067798824</v>
      </c>
      <c r="F448" s="2">
        <f t="shared" si="39"/>
        <v>2634375701776</v>
      </c>
      <c r="G448" s="2">
        <f t="shared" si="40"/>
        <v>3424.0024000000003</v>
      </c>
      <c r="H448" s="2">
        <f t="shared" si="41"/>
        <v>4362179.0575999999</v>
      </c>
    </row>
    <row r="449" spans="1:8" x14ac:dyDescent="0.35">
      <c r="A449" s="2">
        <v>1274</v>
      </c>
      <c r="B449" s="2">
        <v>21041</v>
      </c>
      <c r="C449" s="2">
        <f t="shared" si="36"/>
        <v>2.1040999999999999</v>
      </c>
      <c r="D449" s="2">
        <f t="shared" si="37"/>
        <v>1623076</v>
      </c>
      <c r="E449" s="2">
        <f t="shared" si="38"/>
        <v>2067798824</v>
      </c>
      <c r="F449" s="2">
        <f t="shared" si="39"/>
        <v>2634375701776</v>
      </c>
      <c r="G449" s="2">
        <f t="shared" si="40"/>
        <v>2680.6233999999999</v>
      </c>
      <c r="H449" s="2">
        <f t="shared" si="41"/>
        <v>3415114.2115999996</v>
      </c>
    </row>
    <row r="450" spans="1:8" x14ac:dyDescent="0.35">
      <c r="A450" s="2">
        <v>1274</v>
      </c>
      <c r="B450" s="2">
        <v>19130</v>
      </c>
      <c r="C450" s="2">
        <f t="shared" si="36"/>
        <v>1.913</v>
      </c>
      <c r="D450" s="2">
        <f t="shared" si="37"/>
        <v>1623076</v>
      </c>
      <c r="E450" s="2">
        <f t="shared" si="38"/>
        <v>2067798824</v>
      </c>
      <c r="F450" s="2">
        <f t="shared" si="39"/>
        <v>2634375701776</v>
      </c>
      <c r="G450" s="2">
        <f t="shared" si="40"/>
        <v>2437.1620000000003</v>
      </c>
      <c r="H450" s="2">
        <f t="shared" si="41"/>
        <v>3104944.3880000003</v>
      </c>
    </row>
    <row r="451" spans="1:8" x14ac:dyDescent="0.35">
      <c r="A451" s="2">
        <v>1274</v>
      </c>
      <c r="B451" s="2">
        <v>28393</v>
      </c>
      <c r="C451" s="2">
        <f t="shared" ref="C451:C514" si="42">B451/10000</f>
        <v>2.8393000000000002</v>
      </c>
      <c r="D451" s="2">
        <f t="shared" ref="D451:D514" si="43">A451^2</f>
        <v>1623076</v>
      </c>
      <c r="E451" s="2">
        <f t="shared" ref="E451:E514" si="44">A451^3</f>
        <v>2067798824</v>
      </c>
      <c r="F451" s="2">
        <f t="shared" ref="F451:F514" si="45">A451^4</f>
        <v>2634375701776</v>
      </c>
      <c r="G451" s="2">
        <f t="shared" ref="G451:G514" si="46">A451*C451</f>
        <v>3617.2682</v>
      </c>
      <c r="H451" s="2">
        <f t="shared" ref="H451:H514" si="47">D451*C451</f>
        <v>4608399.6868000003</v>
      </c>
    </row>
    <row r="452" spans="1:8" x14ac:dyDescent="0.35">
      <c r="A452" s="2">
        <v>1274</v>
      </c>
      <c r="B452" s="2">
        <v>11293</v>
      </c>
      <c r="C452" s="2">
        <f t="shared" si="42"/>
        <v>1.1293</v>
      </c>
      <c r="D452" s="2">
        <f t="shared" si="43"/>
        <v>1623076</v>
      </c>
      <c r="E452" s="2">
        <f t="shared" si="44"/>
        <v>2067798824</v>
      </c>
      <c r="F452" s="2">
        <f t="shared" si="45"/>
        <v>2634375701776</v>
      </c>
      <c r="G452" s="2">
        <f t="shared" si="46"/>
        <v>1438.7282</v>
      </c>
      <c r="H452" s="2">
        <f t="shared" si="47"/>
        <v>1832939.7268000001</v>
      </c>
    </row>
    <row r="453" spans="1:8" x14ac:dyDescent="0.35">
      <c r="A453" s="2">
        <v>1274</v>
      </c>
      <c r="B453" s="2">
        <v>23001</v>
      </c>
      <c r="C453" s="2">
        <f t="shared" si="42"/>
        <v>2.3001</v>
      </c>
      <c r="D453" s="2">
        <f t="shared" si="43"/>
        <v>1623076</v>
      </c>
      <c r="E453" s="2">
        <f t="shared" si="44"/>
        <v>2067798824</v>
      </c>
      <c r="F453" s="2">
        <f t="shared" si="45"/>
        <v>2634375701776</v>
      </c>
      <c r="G453" s="2">
        <f t="shared" si="46"/>
        <v>2930.3274000000001</v>
      </c>
      <c r="H453" s="2">
        <f t="shared" si="47"/>
        <v>3733237.1076000002</v>
      </c>
    </row>
    <row r="454" spans="1:8" x14ac:dyDescent="0.35">
      <c r="A454" s="2">
        <v>1904</v>
      </c>
      <c r="B454" s="2">
        <v>12497</v>
      </c>
      <c r="C454" s="2">
        <f t="shared" si="42"/>
        <v>1.2497</v>
      </c>
      <c r="D454" s="2">
        <f t="shared" si="43"/>
        <v>3625216</v>
      </c>
      <c r="E454" s="2">
        <f t="shared" si="44"/>
        <v>6902411264</v>
      </c>
      <c r="F454" s="2">
        <f t="shared" si="45"/>
        <v>13142191046656</v>
      </c>
      <c r="G454" s="2">
        <f t="shared" si="46"/>
        <v>2379.4288000000001</v>
      </c>
      <c r="H454" s="2">
        <f t="shared" si="47"/>
        <v>4530432.4352000002</v>
      </c>
    </row>
    <row r="455" spans="1:8" x14ac:dyDescent="0.35">
      <c r="A455" s="2">
        <v>1904</v>
      </c>
      <c r="B455" s="2">
        <v>13770</v>
      </c>
      <c r="C455" s="2">
        <f t="shared" si="42"/>
        <v>1.377</v>
      </c>
      <c r="D455" s="2">
        <f t="shared" si="43"/>
        <v>3625216</v>
      </c>
      <c r="E455" s="2">
        <f t="shared" si="44"/>
        <v>6902411264</v>
      </c>
      <c r="F455" s="2">
        <f t="shared" si="45"/>
        <v>13142191046656</v>
      </c>
      <c r="G455" s="2">
        <f t="shared" si="46"/>
        <v>2621.808</v>
      </c>
      <c r="H455" s="2">
        <f t="shared" si="47"/>
        <v>4991922.432</v>
      </c>
    </row>
    <row r="456" spans="1:8" x14ac:dyDescent="0.35">
      <c r="A456" s="2">
        <v>1904</v>
      </c>
      <c r="B456" s="2">
        <v>13248</v>
      </c>
      <c r="C456" s="2">
        <f t="shared" si="42"/>
        <v>1.3248</v>
      </c>
      <c r="D456" s="2">
        <f t="shared" si="43"/>
        <v>3625216</v>
      </c>
      <c r="E456" s="2">
        <f t="shared" si="44"/>
        <v>6902411264</v>
      </c>
      <c r="F456" s="2">
        <f t="shared" si="45"/>
        <v>13142191046656</v>
      </c>
      <c r="G456" s="2">
        <f t="shared" si="46"/>
        <v>2522.4191999999998</v>
      </c>
      <c r="H456" s="2">
        <f t="shared" si="47"/>
        <v>4802686.1568</v>
      </c>
    </row>
    <row r="457" spans="1:8" x14ac:dyDescent="0.35">
      <c r="A457" s="2">
        <v>1904</v>
      </c>
      <c r="B457" s="2">
        <v>14358</v>
      </c>
      <c r="C457" s="2">
        <f t="shared" si="42"/>
        <v>1.4358</v>
      </c>
      <c r="D457" s="2">
        <f t="shared" si="43"/>
        <v>3625216</v>
      </c>
      <c r="E457" s="2">
        <f t="shared" si="44"/>
        <v>6902411264</v>
      </c>
      <c r="F457" s="2">
        <f t="shared" si="45"/>
        <v>13142191046656</v>
      </c>
      <c r="G457" s="2">
        <f t="shared" si="46"/>
        <v>2733.7631999999999</v>
      </c>
      <c r="H457" s="2">
        <f t="shared" si="47"/>
        <v>5205085.1327999998</v>
      </c>
    </row>
    <row r="458" spans="1:8" x14ac:dyDescent="0.35">
      <c r="A458" s="2">
        <v>1904</v>
      </c>
      <c r="B458" s="2">
        <v>13477</v>
      </c>
      <c r="C458" s="2">
        <f t="shared" si="42"/>
        <v>1.3476999999999999</v>
      </c>
      <c r="D458" s="2">
        <f t="shared" si="43"/>
        <v>3625216</v>
      </c>
      <c r="E458" s="2">
        <f t="shared" si="44"/>
        <v>6902411264</v>
      </c>
      <c r="F458" s="2">
        <f t="shared" si="45"/>
        <v>13142191046656</v>
      </c>
      <c r="G458" s="2">
        <f t="shared" si="46"/>
        <v>2566.0207999999998</v>
      </c>
      <c r="H458" s="2">
        <f t="shared" si="47"/>
        <v>4885703.6031999998</v>
      </c>
    </row>
    <row r="459" spans="1:8" x14ac:dyDescent="0.35">
      <c r="A459" s="2">
        <v>1904</v>
      </c>
      <c r="B459" s="2">
        <v>13962</v>
      </c>
      <c r="C459" s="2">
        <f t="shared" si="42"/>
        <v>1.3962000000000001</v>
      </c>
      <c r="D459" s="2">
        <f t="shared" si="43"/>
        <v>3625216</v>
      </c>
      <c r="E459" s="2">
        <f t="shared" si="44"/>
        <v>6902411264</v>
      </c>
      <c r="F459" s="2">
        <f t="shared" si="45"/>
        <v>13142191046656</v>
      </c>
      <c r="G459" s="2">
        <f t="shared" si="46"/>
        <v>2658.3648000000003</v>
      </c>
      <c r="H459" s="2">
        <f t="shared" si="47"/>
        <v>5061526.5792000005</v>
      </c>
    </row>
    <row r="460" spans="1:8" x14ac:dyDescent="0.35">
      <c r="A460" s="2">
        <v>1904</v>
      </c>
      <c r="B460" s="2">
        <v>13178</v>
      </c>
      <c r="C460" s="2">
        <f t="shared" si="42"/>
        <v>1.3178000000000001</v>
      </c>
      <c r="D460" s="2">
        <f t="shared" si="43"/>
        <v>3625216</v>
      </c>
      <c r="E460" s="2">
        <f t="shared" si="44"/>
        <v>6902411264</v>
      </c>
      <c r="F460" s="2">
        <f t="shared" si="45"/>
        <v>13142191046656</v>
      </c>
      <c r="G460" s="2">
        <f t="shared" si="46"/>
        <v>2509.0912000000003</v>
      </c>
      <c r="H460" s="2">
        <f t="shared" si="47"/>
        <v>4777309.6447999999</v>
      </c>
    </row>
    <row r="461" spans="1:8" x14ac:dyDescent="0.35">
      <c r="A461" s="2">
        <v>1904</v>
      </c>
      <c r="B461" s="2">
        <v>13069</v>
      </c>
      <c r="C461" s="2">
        <f t="shared" si="42"/>
        <v>1.3069</v>
      </c>
      <c r="D461" s="2">
        <f t="shared" si="43"/>
        <v>3625216</v>
      </c>
      <c r="E461" s="2">
        <f t="shared" si="44"/>
        <v>6902411264</v>
      </c>
      <c r="F461" s="2">
        <f t="shared" si="45"/>
        <v>13142191046656</v>
      </c>
      <c r="G461" s="2">
        <f t="shared" si="46"/>
        <v>2488.3375999999998</v>
      </c>
      <c r="H461" s="2">
        <f t="shared" si="47"/>
        <v>4737794.7903999994</v>
      </c>
    </row>
    <row r="462" spans="1:8" x14ac:dyDescent="0.35">
      <c r="A462" s="2">
        <v>1904</v>
      </c>
      <c r="B462" s="2">
        <v>14877</v>
      </c>
      <c r="C462" s="2">
        <f t="shared" si="42"/>
        <v>1.4877</v>
      </c>
      <c r="D462" s="2">
        <f t="shared" si="43"/>
        <v>3625216</v>
      </c>
      <c r="E462" s="2">
        <f t="shared" si="44"/>
        <v>6902411264</v>
      </c>
      <c r="F462" s="2">
        <f t="shared" si="45"/>
        <v>13142191046656</v>
      </c>
      <c r="G462" s="2">
        <f t="shared" si="46"/>
        <v>2832.5808000000002</v>
      </c>
      <c r="H462" s="2">
        <f t="shared" si="47"/>
        <v>5393233.8432</v>
      </c>
    </row>
    <row r="463" spans="1:8" x14ac:dyDescent="0.35">
      <c r="A463" s="2">
        <v>1904</v>
      </c>
      <c r="B463" s="2">
        <v>17920</v>
      </c>
      <c r="C463" s="2">
        <f t="shared" si="42"/>
        <v>1.792</v>
      </c>
      <c r="D463" s="2">
        <f t="shared" si="43"/>
        <v>3625216</v>
      </c>
      <c r="E463" s="2">
        <f t="shared" si="44"/>
        <v>6902411264</v>
      </c>
      <c r="F463" s="2">
        <f t="shared" si="45"/>
        <v>13142191046656</v>
      </c>
      <c r="G463" s="2">
        <f t="shared" si="46"/>
        <v>3411.9679999999998</v>
      </c>
      <c r="H463" s="2">
        <f t="shared" si="47"/>
        <v>6496387.0719999997</v>
      </c>
    </row>
    <row r="464" spans="1:8" x14ac:dyDescent="0.35">
      <c r="A464" s="2">
        <v>1904</v>
      </c>
      <c r="B464" s="2">
        <v>18116</v>
      </c>
      <c r="C464" s="2">
        <f t="shared" si="42"/>
        <v>1.8116000000000001</v>
      </c>
      <c r="D464" s="2">
        <f t="shared" si="43"/>
        <v>3625216</v>
      </c>
      <c r="E464" s="2">
        <f t="shared" si="44"/>
        <v>6902411264</v>
      </c>
      <c r="F464" s="2">
        <f t="shared" si="45"/>
        <v>13142191046656</v>
      </c>
      <c r="G464" s="2">
        <f t="shared" si="46"/>
        <v>3449.2864000000004</v>
      </c>
      <c r="H464" s="2">
        <f t="shared" si="47"/>
        <v>6567441.3056000005</v>
      </c>
    </row>
    <row r="465" spans="1:8" x14ac:dyDescent="0.35">
      <c r="A465" s="2">
        <v>1904</v>
      </c>
      <c r="B465" s="2">
        <v>17706</v>
      </c>
      <c r="C465" s="2">
        <f t="shared" si="42"/>
        <v>1.7706</v>
      </c>
      <c r="D465" s="2">
        <f t="shared" si="43"/>
        <v>3625216</v>
      </c>
      <c r="E465" s="2">
        <f t="shared" si="44"/>
        <v>6902411264</v>
      </c>
      <c r="F465" s="2">
        <f t="shared" si="45"/>
        <v>13142191046656</v>
      </c>
      <c r="G465" s="2">
        <f t="shared" si="46"/>
        <v>3371.2224000000001</v>
      </c>
      <c r="H465" s="2">
        <f t="shared" si="47"/>
        <v>6418807.4495999999</v>
      </c>
    </row>
    <row r="466" spans="1:8" x14ac:dyDescent="0.35">
      <c r="A466" s="2">
        <v>1904</v>
      </c>
      <c r="B466" s="2">
        <v>17884</v>
      </c>
      <c r="C466" s="2">
        <f t="shared" si="42"/>
        <v>1.7884</v>
      </c>
      <c r="D466" s="2">
        <f t="shared" si="43"/>
        <v>3625216</v>
      </c>
      <c r="E466" s="2">
        <f t="shared" si="44"/>
        <v>6902411264</v>
      </c>
      <c r="F466" s="2">
        <f t="shared" si="45"/>
        <v>13142191046656</v>
      </c>
      <c r="G466" s="2">
        <f t="shared" si="46"/>
        <v>3405.1136000000001</v>
      </c>
      <c r="H466" s="2">
        <f t="shared" si="47"/>
        <v>6483336.2944</v>
      </c>
    </row>
    <row r="467" spans="1:8" x14ac:dyDescent="0.35">
      <c r="A467" s="2">
        <v>1904</v>
      </c>
      <c r="B467" s="2">
        <v>19433</v>
      </c>
      <c r="C467" s="2">
        <f t="shared" si="42"/>
        <v>1.9433</v>
      </c>
      <c r="D467" s="2">
        <f t="shared" si="43"/>
        <v>3625216</v>
      </c>
      <c r="E467" s="2">
        <f t="shared" si="44"/>
        <v>6902411264</v>
      </c>
      <c r="F467" s="2">
        <f t="shared" si="45"/>
        <v>13142191046656</v>
      </c>
      <c r="G467" s="2">
        <f t="shared" si="46"/>
        <v>3700.0432000000001</v>
      </c>
      <c r="H467" s="2">
        <f t="shared" si="47"/>
        <v>7044882.2527999999</v>
      </c>
    </row>
    <row r="468" spans="1:8" x14ac:dyDescent="0.35">
      <c r="A468" s="2">
        <v>1904</v>
      </c>
      <c r="B468" s="2">
        <v>21155</v>
      </c>
      <c r="C468" s="2">
        <f t="shared" si="42"/>
        <v>2.1154999999999999</v>
      </c>
      <c r="D468" s="2">
        <f t="shared" si="43"/>
        <v>3625216</v>
      </c>
      <c r="E468" s="2">
        <f t="shared" si="44"/>
        <v>6902411264</v>
      </c>
      <c r="F468" s="2">
        <f t="shared" si="45"/>
        <v>13142191046656</v>
      </c>
      <c r="G468" s="2">
        <f t="shared" si="46"/>
        <v>4027.9119999999998</v>
      </c>
      <c r="H468" s="2">
        <f t="shared" si="47"/>
        <v>7669144.4479999999</v>
      </c>
    </row>
    <row r="469" spans="1:8" x14ac:dyDescent="0.35">
      <c r="A469" s="2">
        <v>1904</v>
      </c>
      <c r="B469" s="2">
        <v>20699</v>
      </c>
      <c r="C469" s="2">
        <f t="shared" si="42"/>
        <v>2.0699000000000001</v>
      </c>
      <c r="D469" s="2">
        <f t="shared" si="43"/>
        <v>3625216</v>
      </c>
      <c r="E469" s="2">
        <f t="shared" si="44"/>
        <v>6902411264</v>
      </c>
      <c r="F469" s="2">
        <f t="shared" si="45"/>
        <v>13142191046656</v>
      </c>
      <c r="G469" s="2">
        <f t="shared" si="46"/>
        <v>3941.0896000000002</v>
      </c>
      <c r="H469" s="2">
        <f t="shared" si="47"/>
        <v>7503834.5984000005</v>
      </c>
    </row>
    <row r="470" spans="1:8" x14ac:dyDescent="0.35">
      <c r="A470" s="2">
        <v>1904</v>
      </c>
      <c r="B470" s="2">
        <v>19164</v>
      </c>
      <c r="C470" s="2">
        <f t="shared" si="42"/>
        <v>1.9164000000000001</v>
      </c>
      <c r="D470" s="2">
        <f t="shared" si="43"/>
        <v>3625216</v>
      </c>
      <c r="E470" s="2">
        <f t="shared" si="44"/>
        <v>6902411264</v>
      </c>
      <c r="F470" s="2">
        <f t="shared" si="45"/>
        <v>13142191046656</v>
      </c>
      <c r="G470" s="2">
        <f t="shared" si="46"/>
        <v>3648.8256000000001</v>
      </c>
      <c r="H470" s="2">
        <f t="shared" si="47"/>
        <v>6947363.9424000001</v>
      </c>
    </row>
    <row r="471" spans="1:8" x14ac:dyDescent="0.35">
      <c r="A471" s="2">
        <v>1904</v>
      </c>
      <c r="B471" s="2">
        <v>19773</v>
      </c>
      <c r="C471" s="2">
        <f t="shared" si="42"/>
        <v>1.9773000000000001</v>
      </c>
      <c r="D471" s="2">
        <f t="shared" si="43"/>
        <v>3625216</v>
      </c>
      <c r="E471" s="2">
        <f t="shared" si="44"/>
        <v>6902411264</v>
      </c>
      <c r="F471" s="2">
        <f t="shared" si="45"/>
        <v>13142191046656</v>
      </c>
      <c r="G471" s="2">
        <f t="shared" si="46"/>
        <v>3764.7791999999999</v>
      </c>
      <c r="H471" s="2">
        <f t="shared" si="47"/>
        <v>7168139.5968000004</v>
      </c>
    </row>
    <row r="472" spans="1:8" x14ac:dyDescent="0.35">
      <c r="A472" s="2">
        <v>1904</v>
      </c>
      <c r="B472" s="2">
        <v>24793</v>
      </c>
      <c r="C472" s="2">
        <f t="shared" si="42"/>
        <v>2.4792999999999998</v>
      </c>
      <c r="D472" s="2">
        <f t="shared" si="43"/>
        <v>3625216</v>
      </c>
      <c r="E472" s="2">
        <f t="shared" si="44"/>
        <v>6902411264</v>
      </c>
      <c r="F472" s="2">
        <f t="shared" si="45"/>
        <v>13142191046656</v>
      </c>
      <c r="G472" s="2">
        <f t="shared" si="46"/>
        <v>4720.5871999999999</v>
      </c>
      <c r="H472" s="2">
        <f t="shared" si="47"/>
        <v>8987998.0287999995</v>
      </c>
    </row>
    <row r="473" spans="1:8" x14ac:dyDescent="0.35">
      <c r="A473" s="2">
        <v>1904</v>
      </c>
      <c r="B473" s="2">
        <v>24893</v>
      </c>
      <c r="C473" s="2">
        <f t="shared" si="42"/>
        <v>2.4893000000000001</v>
      </c>
      <c r="D473" s="2">
        <f t="shared" si="43"/>
        <v>3625216</v>
      </c>
      <c r="E473" s="2">
        <f t="shared" si="44"/>
        <v>6902411264</v>
      </c>
      <c r="F473" s="2">
        <f t="shared" si="45"/>
        <v>13142191046656</v>
      </c>
      <c r="G473" s="2">
        <f t="shared" si="46"/>
        <v>4739.6271999999999</v>
      </c>
      <c r="H473" s="2">
        <f t="shared" si="47"/>
        <v>9024250.1887999997</v>
      </c>
    </row>
    <row r="474" spans="1:8" x14ac:dyDescent="0.35">
      <c r="A474" s="2">
        <v>1904</v>
      </c>
      <c r="B474" s="2">
        <v>26216</v>
      </c>
      <c r="C474" s="2">
        <f t="shared" si="42"/>
        <v>2.6215999999999999</v>
      </c>
      <c r="D474" s="2">
        <f t="shared" si="43"/>
        <v>3625216</v>
      </c>
      <c r="E474" s="2">
        <f t="shared" si="44"/>
        <v>6902411264</v>
      </c>
      <c r="F474" s="2">
        <f t="shared" si="45"/>
        <v>13142191046656</v>
      </c>
      <c r="G474" s="2">
        <f t="shared" si="46"/>
        <v>4991.5263999999997</v>
      </c>
      <c r="H474" s="2">
        <f t="shared" si="47"/>
        <v>9503866.2655999996</v>
      </c>
    </row>
    <row r="475" spans="1:8" x14ac:dyDescent="0.35">
      <c r="A475" s="2">
        <v>1904</v>
      </c>
      <c r="B475" s="2">
        <v>27457</v>
      </c>
      <c r="C475" s="2">
        <f t="shared" si="42"/>
        <v>2.7456999999999998</v>
      </c>
      <c r="D475" s="2">
        <f t="shared" si="43"/>
        <v>3625216</v>
      </c>
      <c r="E475" s="2">
        <f t="shared" si="44"/>
        <v>6902411264</v>
      </c>
      <c r="F475" s="2">
        <f t="shared" si="45"/>
        <v>13142191046656</v>
      </c>
      <c r="G475" s="2">
        <f t="shared" si="46"/>
        <v>5227.8127999999997</v>
      </c>
      <c r="H475" s="2">
        <f t="shared" si="47"/>
        <v>9953755.5712000001</v>
      </c>
    </row>
    <row r="476" spans="1:8" x14ac:dyDescent="0.35">
      <c r="A476" s="2">
        <v>1904</v>
      </c>
      <c r="B476" s="2">
        <v>28363</v>
      </c>
      <c r="C476" s="2">
        <f t="shared" si="42"/>
        <v>2.8363</v>
      </c>
      <c r="D476" s="2">
        <f t="shared" si="43"/>
        <v>3625216</v>
      </c>
      <c r="E476" s="2">
        <f t="shared" si="44"/>
        <v>6902411264</v>
      </c>
      <c r="F476" s="2">
        <f t="shared" si="45"/>
        <v>13142191046656</v>
      </c>
      <c r="G476" s="2">
        <f t="shared" si="46"/>
        <v>5400.3152</v>
      </c>
      <c r="H476" s="2">
        <f t="shared" si="47"/>
        <v>10282200.140799999</v>
      </c>
    </row>
    <row r="477" spans="1:8" x14ac:dyDescent="0.35">
      <c r="A477" s="2">
        <v>1904</v>
      </c>
      <c r="B477" s="2">
        <v>29697</v>
      </c>
      <c r="C477" s="2">
        <f t="shared" si="42"/>
        <v>2.9697</v>
      </c>
      <c r="D477" s="2">
        <f t="shared" si="43"/>
        <v>3625216</v>
      </c>
      <c r="E477" s="2">
        <f t="shared" si="44"/>
        <v>6902411264</v>
      </c>
      <c r="F477" s="2">
        <f t="shared" si="45"/>
        <v>13142191046656</v>
      </c>
      <c r="G477" s="2">
        <f t="shared" si="46"/>
        <v>5654.3087999999998</v>
      </c>
      <c r="H477" s="2">
        <f t="shared" si="47"/>
        <v>10765803.9552</v>
      </c>
    </row>
    <row r="478" spans="1:8" x14ac:dyDescent="0.35">
      <c r="A478" s="2">
        <v>1904</v>
      </c>
      <c r="B478" s="2">
        <v>29574</v>
      </c>
      <c r="C478" s="2">
        <f t="shared" si="42"/>
        <v>2.9573999999999998</v>
      </c>
      <c r="D478" s="2">
        <f t="shared" si="43"/>
        <v>3625216</v>
      </c>
      <c r="E478" s="2">
        <f t="shared" si="44"/>
        <v>6902411264</v>
      </c>
      <c r="F478" s="2">
        <f t="shared" si="45"/>
        <v>13142191046656</v>
      </c>
      <c r="G478" s="2">
        <f t="shared" si="46"/>
        <v>5630.8895999999995</v>
      </c>
      <c r="H478" s="2">
        <f t="shared" si="47"/>
        <v>10721213.7984</v>
      </c>
    </row>
    <row r="479" spans="1:8" x14ac:dyDescent="0.35">
      <c r="A479" s="2">
        <v>1904</v>
      </c>
      <c r="B479" s="2">
        <v>30892</v>
      </c>
      <c r="C479" s="2">
        <f t="shared" si="42"/>
        <v>3.0891999999999999</v>
      </c>
      <c r="D479" s="2">
        <f t="shared" si="43"/>
        <v>3625216</v>
      </c>
      <c r="E479" s="2">
        <f t="shared" si="44"/>
        <v>6902411264</v>
      </c>
      <c r="F479" s="2">
        <f t="shared" si="45"/>
        <v>13142191046656</v>
      </c>
      <c r="G479" s="2">
        <f t="shared" si="46"/>
        <v>5881.8368</v>
      </c>
      <c r="H479" s="2">
        <f t="shared" si="47"/>
        <v>11199017.267200001</v>
      </c>
    </row>
    <row r="480" spans="1:8" x14ac:dyDescent="0.35">
      <c r="A480" s="2">
        <v>1904</v>
      </c>
      <c r="B480" s="2">
        <v>31675</v>
      </c>
      <c r="C480" s="2">
        <f t="shared" si="42"/>
        <v>3.1675</v>
      </c>
      <c r="D480" s="2">
        <f t="shared" si="43"/>
        <v>3625216</v>
      </c>
      <c r="E480" s="2">
        <f t="shared" si="44"/>
        <v>6902411264</v>
      </c>
      <c r="F480" s="2">
        <f t="shared" si="45"/>
        <v>13142191046656</v>
      </c>
      <c r="G480" s="2">
        <f t="shared" si="46"/>
        <v>6030.92</v>
      </c>
      <c r="H480" s="2">
        <f t="shared" si="47"/>
        <v>11482871.68</v>
      </c>
    </row>
    <row r="481" spans="1:8" x14ac:dyDescent="0.35">
      <c r="A481" s="2">
        <v>1904</v>
      </c>
      <c r="B481" s="2">
        <v>32639</v>
      </c>
      <c r="C481" s="2">
        <f t="shared" si="42"/>
        <v>3.2639</v>
      </c>
      <c r="D481" s="2">
        <f t="shared" si="43"/>
        <v>3625216</v>
      </c>
      <c r="E481" s="2">
        <f t="shared" si="44"/>
        <v>6902411264</v>
      </c>
      <c r="F481" s="2">
        <f t="shared" si="45"/>
        <v>13142191046656</v>
      </c>
      <c r="G481" s="2">
        <f t="shared" si="46"/>
        <v>6214.4656000000004</v>
      </c>
      <c r="H481" s="2">
        <f t="shared" si="47"/>
        <v>11832342.5024</v>
      </c>
    </row>
    <row r="482" spans="1:8" x14ac:dyDescent="0.35">
      <c r="A482" s="2">
        <v>1904</v>
      </c>
      <c r="B482" s="2">
        <v>33398</v>
      </c>
      <c r="C482" s="2">
        <f t="shared" si="42"/>
        <v>3.3397999999999999</v>
      </c>
      <c r="D482" s="2">
        <f t="shared" si="43"/>
        <v>3625216</v>
      </c>
      <c r="E482" s="2">
        <f t="shared" si="44"/>
        <v>6902411264</v>
      </c>
      <c r="F482" s="2">
        <f t="shared" si="45"/>
        <v>13142191046656</v>
      </c>
      <c r="G482" s="2">
        <f t="shared" si="46"/>
        <v>6358.9791999999998</v>
      </c>
      <c r="H482" s="2">
        <f t="shared" si="47"/>
        <v>12107496.3968</v>
      </c>
    </row>
    <row r="483" spans="1:8" x14ac:dyDescent="0.35">
      <c r="A483" s="2">
        <v>1904</v>
      </c>
      <c r="B483" s="2">
        <v>34277</v>
      </c>
      <c r="C483" s="2">
        <f t="shared" si="42"/>
        <v>3.4277000000000002</v>
      </c>
      <c r="D483" s="2">
        <f t="shared" si="43"/>
        <v>3625216</v>
      </c>
      <c r="E483" s="2">
        <f t="shared" si="44"/>
        <v>6902411264</v>
      </c>
      <c r="F483" s="2">
        <f t="shared" si="45"/>
        <v>13142191046656</v>
      </c>
      <c r="G483" s="2">
        <f t="shared" si="46"/>
        <v>6526.3407999999999</v>
      </c>
      <c r="H483" s="2">
        <f t="shared" si="47"/>
        <v>12426152.883200001</v>
      </c>
    </row>
    <row r="484" spans="1:8" x14ac:dyDescent="0.35">
      <c r="A484" s="2">
        <v>1604</v>
      </c>
      <c r="B484" s="2">
        <v>47375</v>
      </c>
      <c r="C484" s="2">
        <f t="shared" si="42"/>
        <v>4.7374999999999998</v>
      </c>
      <c r="D484" s="2">
        <f t="shared" si="43"/>
        <v>2572816</v>
      </c>
      <c r="E484" s="2">
        <f t="shared" si="44"/>
        <v>4126796864</v>
      </c>
      <c r="F484" s="2">
        <f t="shared" si="45"/>
        <v>6619382169856</v>
      </c>
      <c r="G484" s="2">
        <f t="shared" si="46"/>
        <v>7598.95</v>
      </c>
      <c r="H484" s="2">
        <f t="shared" si="47"/>
        <v>12188715.799999999</v>
      </c>
    </row>
    <row r="485" spans="1:8" x14ac:dyDescent="0.35">
      <c r="A485" s="2">
        <v>1604</v>
      </c>
      <c r="B485" s="2">
        <v>45000</v>
      </c>
      <c r="C485" s="2">
        <f t="shared" si="42"/>
        <v>4.5</v>
      </c>
      <c r="D485" s="2">
        <f t="shared" si="43"/>
        <v>2572816</v>
      </c>
      <c r="E485" s="2">
        <f t="shared" si="44"/>
        <v>4126796864</v>
      </c>
      <c r="F485" s="2">
        <f t="shared" si="45"/>
        <v>6619382169856</v>
      </c>
      <c r="G485" s="2">
        <f t="shared" si="46"/>
        <v>7218</v>
      </c>
      <c r="H485" s="2">
        <f t="shared" si="47"/>
        <v>11577672</v>
      </c>
    </row>
    <row r="486" spans="1:8" x14ac:dyDescent="0.35">
      <c r="A486" s="2">
        <v>1604</v>
      </c>
      <c r="B486" s="2">
        <v>43400</v>
      </c>
      <c r="C486" s="2">
        <f t="shared" si="42"/>
        <v>4.34</v>
      </c>
      <c r="D486" s="2">
        <f t="shared" si="43"/>
        <v>2572816</v>
      </c>
      <c r="E486" s="2">
        <f t="shared" si="44"/>
        <v>4126796864</v>
      </c>
      <c r="F486" s="2">
        <f t="shared" si="45"/>
        <v>6619382169856</v>
      </c>
      <c r="G486" s="2">
        <f t="shared" si="46"/>
        <v>6961.36</v>
      </c>
      <c r="H486" s="2">
        <f t="shared" si="47"/>
        <v>11166021.439999999</v>
      </c>
    </row>
    <row r="487" spans="1:8" x14ac:dyDescent="0.35">
      <c r="A487" s="2">
        <v>1604</v>
      </c>
      <c r="B487" s="2">
        <v>54668</v>
      </c>
      <c r="C487" s="2">
        <f t="shared" si="42"/>
        <v>5.4668000000000001</v>
      </c>
      <c r="D487" s="2">
        <f t="shared" si="43"/>
        <v>2572816</v>
      </c>
      <c r="E487" s="2">
        <f t="shared" si="44"/>
        <v>4126796864</v>
      </c>
      <c r="F487" s="2">
        <f t="shared" si="45"/>
        <v>6619382169856</v>
      </c>
      <c r="G487" s="2">
        <f t="shared" si="46"/>
        <v>8768.7471999999998</v>
      </c>
      <c r="H487" s="2">
        <f t="shared" si="47"/>
        <v>14065070.5088</v>
      </c>
    </row>
    <row r="488" spans="1:8" x14ac:dyDescent="0.35">
      <c r="A488" s="2">
        <v>1604</v>
      </c>
      <c r="B488" s="2">
        <v>49999</v>
      </c>
      <c r="C488" s="2">
        <f t="shared" si="42"/>
        <v>4.9999000000000002</v>
      </c>
      <c r="D488" s="2">
        <f t="shared" si="43"/>
        <v>2572816</v>
      </c>
      <c r="E488" s="2">
        <f t="shared" si="44"/>
        <v>4126796864</v>
      </c>
      <c r="F488" s="2">
        <f t="shared" si="45"/>
        <v>6619382169856</v>
      </c>
      <c r="G488" s="2">
        <f t="shared" si="46"/>
        <v>8019.8396000000002</v>
      </c>
      <c r="H488" s="2">
        <f t="shared" si="47"/>
        <v>12863822.718400002</v>
      </c>
    </row>
    <row r="489" spans="1:8" x14ac:dyDescent="0.35">
      <c r="A489" s="2">
        <v>1604</v>
      </c>
      <c r="B489" s="2">
        <v>36400</v>
      </c>
      <c r="C489" s="2">
        <f t="shared" si="42"/>
        <v>3.64</v>
      </c>
      <c r="D489" s="2">
        <f t="shared" si="43"/>
        <v>2572816</v>
      </c>
      <c r="E489" s="2">
        <f t="shared" si="44"/>
        <v>4126796864</v>
      </c>
      <c r="F489" s="2">
        <f t="shared" si="45"/>
        <v>6619382169856</v>
      </c>
      <c r="G489" s="2">
        <f t="shared" si="46"/>
        <v>5838.56</v>
      </c>
      <c r="H489" s="2">
        <f t="shared" si="47"/>
        <v>9365050.2400000002</v>
      </c>
    </row>
    <row r="490" spans="1:8" x14ac:dyDescent="0.35">
      <c r="A490" s="2">
        <v>1604</v>
      </c>
      <c r="B490" s="2">
        <v>35000</v>
      </c>
      <c r="C490" s="2">
        <f t="shared" si="42"/>
        <v>3.5</v>
      </c>
      <c r="D490" s="2">
        <f t="shared" si="43"/>
        <v>2572816</v>
      </c>
      <c r="E490" s="2">
        <f t="shared" si="44"/>
        <v>4126796864</v>
      </c>
      <c r="F490" s="2">
        <f t="shared" si="45"/>
        <v>6619382169856</v>
      </c>
      <c r="G490" s="2">
        <f t="shared" si="46"/>
        <v>5614</v>
      </c>
      <c r="H490" s="2">
        <f t="shared" si="47"/>
        <v>9004856</v>
      </c>
    </row>
    <row r="491" spans="1:8" x14ac:dyDescent="0.35">
      <c r="A491" s="2">
        <v>1604</v>
      </c>
      <c r="B491" s="2">
        <v>29000</v>
      </c>
      <c r="C491" s="2">
        <f t="shared" si="42"/>
        <v>2.9</v>
      </c>
      <c r="D491" s="2">
        <f t="shared" si="43"/>
        <v>2572816</v>
      </c>
      <c r="E491" s="2">
        <f t="shared" si="44"/>
        <v>4126796864</v>
      </c>
      <c r="F491" s="2">
        <f t="shared" si="45"/>
        <v>6619382169856</v>
      </c>
      <c r="G491" s="2">
        <f t="shared" si="46"/>
        <v>4651.5999999999995</v>
      </c>
      <c r="H491" s="2">
        <f t="shared" si="47"/>
        <v>7461166.3999999994</v>
      </c>
    </row>
    <row r="492" spans="1:8" x14ac:dyDescent="0.35">
      <c r="A492" s="2">
        <v>1604</v>
      </c>
      <c r="B492" s="2">
        <v>31423</v>
      </c>
      <c r="C492" s="2">
        <f t="shared" si="42"/>
        <v>3.1423000000000001</v>
      </c>
      <c r="D492" s="2">
        <f t="shared" si="43"/>
        <v>2572816</v>
      </c>
      <c r="E492" s="2">
        <f t="shared" si="44"/>
        <v>4126796864</v>
      </c>
      <c r="F492" s="2">
        <f t="shared" si="45"/>
        <v>6619382169856</v>
      </c>
      <c r="G492" s="2">
        <f t="shared" si="46"/>
        <v>5040.2492000000002</v>
      </c>
      <c r="H492" s="2">
        <f t="shared" si="47"/>
        <v>8084559.7168000005</v>
      </c>
    </row>
    <row r="493" spans="1:8" x14ac:dyDescent="0.35">
      <c r="A493" s="2">
        <v>1604</v>
      </c>
      <c r="B493" s="2">
        <v>31307</v>
      </c>
      <c r="C493" s="2">
        <f t="shared" si="42"/>
        <v>3.1307</v>
      </c>
      <c r="D493" s="2">
        <f t="shared" si="43"/>
        <v>2572816</v>
      </c>
      <c r="E493" s="2">
        <f t="shared" si="44"/>
        <v>4126796864</v>
      </c>
      <c r="F493" s="2">
        <f t="shared" si="45"/>
        <v>6619382169856</v>
      </c>
      <c r="G493" s="2">
        <f t="shared" si="46"/>
        <v>5021.6427999999996</v>
      </c>
      <c r="H493" s="2">
        <f t="shared" si="47"/>
        <v>8054715.0511999996</v>
      </c>
    </row>
    <row r="494" spans="1:8" x14ac:dyDescent="0.35">
      <c r="A494" s="2">
        <v>1604</v>
      </c>
      <c r="B494" s="2">
        <v>31391</v>
      </c>
      <c r="C494" s="2">
        <f t="shared" si="42"/>
        <v>3.1391</v>
      </c>
      <c r="D494" s="2">
        <f t="shared" si="43"/>
        <v>2572816</v>
      </c>
      <c r="E494" s="2">
        <f t="shared" si="44"/>
        <v>4126796864</v>
      </c>
      <c r="F494" s="2">
        <f t="shared" si="45"/>
        <v>6619382169856</v>
      </c>
      <c r="G494" s="2">
        <f t="shared" si="46"/>
        <v>5035.1163999999999</v>
      </c>
      <c r="H494" s="2">
        <f t="shared" si="47"/>
        <v>8076326.7056</v>
      </c>
    </row>
    <row r="495" spans="1:8" x14ac:dyDescent="0.35">
      <c r="A495" s="2">
        <v>1604</v>
      </c>
      <c r="B495" s="2">
        <v>33636</v>
      </c>
      <c r="C495" s="2">
        <f t="shared" si="42"/>
        <v>3.3635999999999999</v>
      </c>
      <c r="D495" s="2">
        <f t="shared" si="43"/>
        <v>2572816</v>
      </c>
      <c r="E495" s="2">
        <f t="shared" si="44"/>
        <v>4126796864</v>
      </c>
      <c r="F495" s="2">
        <f t="shared" si="45"/>
        <v>6619382169856</v>
      </c>
      <c r="G495" s="2">
        <f t="shared" si="46"/>
        <v>5395.2143999999998</v>
      </c>
      <c r="H495" s="2">
        <f t="shared" si="47"/>
        <v>8653923.8976000007</v>
      </c>
    </row>
    <row r="496" spans="1:8" x14ac:dyDescent="0.35">
      <c r="A496" s="2">
        <v>1604</v>
      </c>
      <c r="B496" s="2">
        <v>35467</v>
      </c>
      <c r="C496" s="2">
        <f t="shared" si="42"/>
        <v>3.5467</v>
      </c>
      <c r="D496" s="2">
        <f t="shared" si="43"/>
        <v>2572816</v>
      </c>
      <c r="E496" s="2">
        <f t="shared" si="44"/>
        <v>4126796864</v>
      </c>
      <c r="F496" s="2">
        <f t="shared" si="45"/>
        <v>6619382169856</v>
      </c>
      <c r="G496" s="2">
        <f t="shared" si="46"/>
        <v>5688.9067999999997</v>
      </c>
      <c r="H496" s="2">
        <f t="shared" si="47"/>
        <v>9125006.5072000008</v>
      </c>
    </row>
    <row r="497" spans="1:8" x14ac:dyDescent="0.35">
      <c r="A497" s="2">
        <v>1604</v>
      </c>
      <c r="B497" s="2">
        <v>33095</v>
      </c>
      <c r="C497" s="2">
        <f t="shared" si="42"/>
        <v>3.3094999999999999</v>
      </c>
      <c r="D497" s="2">
        <f t="shared" si="43"/>
        <v>2572816</v>
      </c>
      <c r="E497" s="2">
        <f t="shared" si="44"/>
        <v>4126796864</v>
      </c>
      <c r="F497" s="2">
        <f t="shared" si="45"/>
        <v>6619382169856</v>
      </c>
      <c r="G497" s="2">
        <f t="shared" si="46"/>
        <v>5308.4380000000001</v>
      </c>
      <c r="H497" s="2">
        <f t="shared" si="47"/>
        <v>8514734.5519999992</v>
      </c>
    </row>
    <row r="498" spans="1:8" x14ac:dyDescent="0.35">
      <c r="A498" s="2">
        <v>1604</v>
      </c>
      <c r="B498" s="2">
        <v>30103</v>
      </c>
      <c r="C498" s="2">
        <f t="shared" si="42"/>
        <v>3.0103</v>
      </c>
      <c r="D498" s="2">
        <f t="shared" si="43"/>
        <v>2572816</v>
      </c>
      <c r="E498" s="2">
        <f t="shared" si="44"/>
        <v>4126796864</v>
      </c>
      <c r="F498" s="2">
        <f t="shared" si="45"/>
        <v>6619382169856</v>
      </c>
      <c r="G498" s="2">
        <f t="shared" si="46"/>
        <v>4828.5212000000001</v>
      </c>
      <c r="H498" s="2">
        <f t="shared" si="47"/>
        <v>7744948.0048000002</v>
      </c>
    </row>
    <row r="499" spans="1:8" x14ac:dyDescent="0.35">
      <c r="A499" s="2">
        <v>1604</v>
      </c>
      <c r="B499" s="2">
        <v>30242</v>
      </c>
      <c r="C499" s="2">
        <f t="shared" si="42"/>
        <v>3.0242</v>
      </c>
      <c r="D499" s="2">
        <f t="shared" si="43"/>
        <v>2572816</v>
      </c>
      <c r="E499" s="2">
        <f t="shared" si="44"/>
        <v>4126796864</v>
      </c>
      <c r="F499" s="2">
        <f t="shared" si="45"/>
        <v>6619382169856</v>
      </c>
      <c r="G499" s="2">
        <f t="shared" si="46"/>
        <v>4850.8167999999996</v>
      </c>
      <c r="H499" s="2">
        <f t="shared" si="47"/>
        <v>7780710.1471999995</v>
      </c>
    </row>
    <row r="500" spans="1:8" x14ac:dyDescent="0.35">
      <c r="A500" s="2">
        <v>1604</v>
      </c>
      <c r="B500" s="2">
        <v>11137</v>
      </c>
      <c r="C500" s="2">
        <f t="shared" si="42"/>
        <v>1.1136999999999999</v>
      </c>
      <c r="D500" s="2">
        <f t="shared" si="43"/>
        <v>2572816</v>
      </c>
      <c r="E500" s="2">
        <f t="shared" si="44"/>
        <v>4126796864</v>
      </c>
      <c r="F500" s="2">
        <f t="shared" si="45"/>
        <v>6619382169856</v>
      </c>
      <c r="G500" s="2">
        <f t="shared" si="46"/>
        <v>1786.3747999999998</v>
      </c>
      <c r="H500" s="2">
        <f t="shared" si="47"/>
        <v>2865345.1791999997</v>
      </c>
    </row>
    <row r="501" spans="1:8" x14ac:dyDescent="0.35">
      <c r="A501" s="2">
        <v>1604</v>
      </c>
      <c r="B501" s="2">
        <v>12416</v>
      </c>
      <c r="C501" s="2">
        <f t="shared" si="42"/>
        <v>1.2416</v>
      </c>
      <c r="D501" s="2">
        <f t="shared" si="43"/>
        <v>2572816</v>
      </c>
      <c r="E501" s="2">
        <f t="shared" si="44"/>
        <v>4126796864</v>
      </c>
      <c r="F501" s="2">
        <f t="shared" si="45"/>
        <v>6619382169856</v>
      </c>
      <c r="G501" s="2">
        <f t="shared" si="46"/>
        <v>1991.5264</v>
      </c>
      <c r="H501" s="2">
        <f t="shared" si="47"/>
        <v>3194408.3456000001</v>
      </c>
    </row>
    <row r="502" spans="1:8" x14ac:dyDescent="0.35">
      <c r="A502" s="2">
        <v>1604</v>
      </c>
      <c r="B502" s="2">
        <v>12971</v>
      </c>
      <c r="C502" s="2">
        <f t="shared" si="42"/>
        <v>1.2970999999999999</v>
      </c>
      <c r="D502" s="2">
        <f t="shared" si="43"/>
        <v>2572816</v>
      </c>
      <c r="E502" s="2">
        <f t="shared" si="44"/>
        <v>4126796864</v>
      </c>
      <c r="F502" s="2">
        <f t="shared" si="45"/>
        <v>6619382169856</v>
      </c>
      <c r="G502" s="2">
        <f t="shared" si="46"/>
        <v>2080.5483999999997</v>
      </c>
      <c r="H502" s="2">
        <f t="shared" si="47"/>
        <v>3337199.6335999998</v>
      </c>
    </row>
    <row r="503" spans="1:8" x14ac:dyDescent="0.35">
      <c r="A503" s="2">
        <v>1604</v>
      </c>
      <c r="B503" s="2">
        <v>12905</v>
      </c>
      <c r="C503" s="2">
        <f t="shared" si="42"/>
        <v>1.2905</v>
      </c>
      <c r="D503" s="2">
        <f t="shared" si="43"/>
        <v>2572816</v>
      </c>
      <c r="E503" s="2">
        <f t="shared" si="44"/>
        <v>4126796864</v>
      </c>
      <c r="F503" s="2">
        <f t="shared" si="45"/>
        <v>6619382169856</v>
      </c>
      <c r="G503" s="2">
        <f t="shared" si="46"/>
        <v>2069.962</v>
      </c>
      <c r="H503" s="2">
        <f t="shared" si="47"/>
        <v>3320219.048</v>
      </c>
    </row>
    <row r="504" spans="1:8" x14ac:dyDescent="0.35">
      <c r="A504" s="2">
        <v>1604</v>
      </c>
      <c r="B504" s="2">
        <v>10000</v>
      </c>
      <c r="C504" s="2">
        <f t="shared" si="42"/>
        <v>1</v>
      </c>
      <c r="D504" s="2">
        <f t="shared" si="43"/>
        <v>2572816</v>
      </c>
      <c r="E504" s="2">
        <f t="shared" si="44"/>
        <v>4126796864</v>
      </c>
      <c r="F504" s="2">
        <f t="shared" si="45"/>
        <v>6619382169856</v>
      </c>
      <c r="G504" s="2">
        <f t="shared" si="46"/>
        <v>1604</v>
      </c>
      <c r="H504" s="2">
        <f t="shared" si="47"/>
        <v>2572816</v>
      </c>
    </row>
    <row r="505" spans="1:8" x14ac:dyDescent="0.35">
      <c r="A505" s="2">
        <v>1604</v>
      </c>
      <c r="B505" s="2">
        <v>10000</v>
      </c>
      <c r="C505" s="2">
        <f t="shared" si="42"/>
        <v>1</v>
      </c>
      <c r="D505" s="2">
        <f t="shared" si="43"/>
        <v>2572816</v>
      </c>
      <c r="E505" s="2">
        <f t="shared" si="44"/>
        <v>4126796864</v>
      </c>
      <c r="F505" s="2">
        <f t="shared" si="45"/>
        <v>6619382169856</v>
      </c>
      <c r="G505" s="2">
        <f t="shared" si="46"/>
        <v>1604</v>
      </c>
      <c r="H505" s="2">
        <f t="shared" si="47"/>
        <v>2572816</v>
      </c>
    </row>
    <row r="506" spans="1:8" x14ac:dyDescent="0.35">
      <c r="A506" s="2">
        <v>1604</v>
      </c>
      <c r="B506" s="2">
        <v>27475</v>
      </c>
      <c r="C506" s="2">
        <f t="shared" si="42"/>
        <v>2.7475000000000001</v>
      </c>
      <c r="D506" s="2">
        <f t="shared" si="43"/>
        <v>2572816</v>
      </c>
      <c r="E506" s="2">
        <f t="shared" si="44"/>
        <v>4126796864</v>
      </c>
      <c r="F506" s="2">
        <f t="shared" si="45"/>
        <v>6619382169856</v>
      </c>
      <c r="G506" s="2">
        <f t="shared" si="46"/>
        <v>4406.99</v>
      </c>
      <c r="H506" s="2">
        <f t="shared" si="47"/>
        <v>7068811.96</v>
      </c>
    </row>
    <row r="507" spans="1:8" x14ac:dyDescent="0.35">
      <c r="A507" s="2">
        <v>1604</v>
      </c>
      <c r="B507" s="2">
        <v>10936</v>
      </c>
      <c r="C507" s="2">
        <f t="shared" si="42"/>
        <v>1.0935999999999999</v>
      </c>
      <c r="D507" s="2">
        <f t="shared" si="43"/>
        <v>2572816</v>
      </c>
      <c r="E507" s="2">
        <f t="shared" si="44"/>
        <v>4126796864</v>
      </c>
      <c r="F507" s="2">
        <f t="shared" si="45"/>
        <v>6619382169856</v>
      </c>
      <c r="G507" s="2">
        <f t="shared" si="46"/>
        <v>1754.1343999999999</v>
      </c>
      <c r="H507" s="2">
        <f t="shared" si="47"/>
        <v>2813631.5776</v>
      </c>
    </row>
    <row r="508" spans="1:8" x14ac:dyDescent="0.35">
      <c r="A508" s="2">
        <v>1604</v>
      </c>
      <c r="B508" s="2">
        <v>13464</v>
      </c>
      <c r="C508" s="2">
        <f t="shared" si="42"/>
        <v>1.3464</v>
      </c>
      <c r="D508" s="2">
        <f t="shared" si="43"/>
        <v>2572816</v>
      </c>
      <c r="E508" s="2">
        <f t="shared" si="44"/>
        <v>4126796864</v>
      </c>
      <c r="F508" s="2">
        <f t="shared" si="45"/>
        <v>6619382169856</v>
      </c>
      <c r="G508" s="2">
        <f t="shared" si="46"/>
        <v>2159.6255999999998</v>
      </c>
      <c r="H508" s="2">
        <f t="shared" si="47"/>
        <v>3464039.4624000001</v>
      </c>
    </row>
    <row r="509" spans="1:8" x14ac:dyDescent="0.35">
      <c r="A509" s="2">
        <v>1604</v>
      </c>
      <c r="B509" s="2">
        <v>14217</v>
      </c>
      <c r="C509" s="2">
        <f t="shared" si="42"/>
        <v>1.4217</v>
      </c>
      <c r="D509" s="2">
        <f t="shared" si="43"/>
        <v>2572816</v>
      </c>
      <c r="E509" s="2">
        <f t="shared" si="44"/>
        <v>4126796864</v>
      </c>
      <c r="F509" s="2">
        <f t="shared" si="45"/>
        <v>6619382169856</v>
      </c>
      <c r="G509" s="2">
        <f t="shared" si="46"/>
        <v>2280.4067999999997</v>
      </c>
      <c r="H509" s="2">
        <f t="shared" si="47"/>
        <v>3657772.5071999999</v>
      </c>
    </row>
    <row r="510" spans="1:8" x14ac:dyDescent="0.35">
      <c r="A510" s="2">
        <v>1604</v>
      </c>
      <c r="B510" s="2">
        <v>11641</v>
      </c>
      <c r="C510" s="2">
        <f t="shared" si="42"/>
        <v>1.1640999999999999</v>
      </c>
      <c r="D510" s="2">
        <f t="shared" si="43"/>
        <v>2572816</v>
      </c>
      <c r="E510" s="2">
        <f t="shared" si="44"/>
        <v>4126796864</v>
      </c>
      <c r="F510" s="2">
        <f t="shared" si="45"/>
        <v>6619382169856</v>
      </c>
      <c r="G510" s="2">
        <f t="shared" si="46"/>
        <v>1867.2163999999998</v>
      </c>
      <c r="H510" s="2">
        <f t="shared" si="47"/>
        <v>2995015.1055999999</v>
      </c>
    </row>
    <row r="511" spans="1:8" x14ac:dyDescent="0.35">
      <c r="A511" s="2">
        <v>1604</v>
      </c>
      <c r="B511" s="2">
        <v>12076</v>
      </c>
      <c r="C511" s="2">
        <f t="shared" si="42"/>
        <v>1.2076</v>
      </c>
      <c r="D511" s="2">
        <f t="shared" si="43"/>
        <v>2572816</v>
      </c>
      <c r="E511" s="2">
        <f t="shared" si="44"/>
        <v>4126796864</v>
      </c>
      <c r="F511" s="2">
        <f t="shared" si="45"/>
        <v>6619382169856</v>
      </c>
      <c r="G511" s="2">
        <f t="shared" si="46"/>
        <v>1936.9903999999999</v>
      </c>
      <c r="H511" s="2">
        <f t="shared" si="47"/>
        <v>3106932.6016000002</v>
      </c>
    </row>
    <row r="512" spans="1:8" x14ac:dyDescent="0.35">
      <c r="A512" s="2">
        <v>1604</v>
      </c>
      <c r="B512" s="2">
        <v>12271</v>
      </c>
      <c r="C512" s="2">
        <f t="shared" si="42"/>
        <v>1.2271000000000001</v>
      </c>
      <c r="D512" s="2">
        <f t="shared" si="43"/>
        <v>2572816</v>
      </c>
      <c r="E512" s="2">
        <f t="shared" si="44"/>
        <v>4126796864</v>
      </c>
      <c r="F512" s="2">
        <f t="shared" si="45"/>
        <v>6619382169856</v>
      </c>
      <c r="G512" s="2">
        <f t="shared" si="46"/>
        <v>1968.2684000000002</v>
      </c>
      <c r="H512" s="2">
        <f t="shared" si="47"/>
        <v>3157102.5136000002</v>
      </c>
    </row>
    <row r="513" spans="1:8" x14ac:dyDescent="0.35">
      <c r="A513" s="2">
        <v>1604</v>
      </c>
      <c r="B513" s="2">
        <v>13011</v>
      </c>
      <c r="C513" s="2">
        <f t="shared" si="42"/>
        <v>1.3010999999999999</v>
      </c>
      <c r="D513" s="2">
        <f t="shared" si="43"/>
        <v>2572816</v>
      </c>
      <c r="E513" s="2">
        <f t="shared" si="44"/>
        <v>4126796864</v>
      </c>
      <c r="F513" s="2">
        <f t="shared" si="45"/>
        <v>6619382169856</v>
      </c>
      <c r="G513" s="2">
        <f t="shared" si="46"/>
        <v>2086.9643999999998</v>
      </c>
      <c r="H513" s="2">
        <f t="shared" si="47"/>
        <v>3347490.8975999998</v>
      </c>
    </row>
    <row r="514" spans="1:8" x14ac:dyDescent="0.35">
      <c r="A514" s="2">
        <v>1342</v>
      </c>
      <c r="B514" s="2">
        <v>16839</v>
      </c>
      <c r="C514" s="2">
        <f t="shared" si="42"/>
        <v>1.6839</v>
      </c>
      <c r="D514" s="2">
        <f t="shared" si="43"/>
        <v>1800964</v>
      </c>
      <c r="E514" s="2">
        <f t="shared" si="44"/>
        <v>2416893688</v>
      </c>
      <c r="F514" s="2">
        <f t="shared" si="45"/>
        <v>3243471329296</v>
      </c>
      <c r="G514" s="2">
        <f t="shared" si="46"/>
        <v>2259.7937999999999</v>
      </c>
      <c r="H514" s="2">
        <f t="shared" si="47"/>
        <v>3032643.2796</v>
      </c>
    </row>
    <row r="515" spans="1:8" x14ac:dyDescent="0.35">
      <c r="A515" s="2">
        <v>1342</v>
      </c>
      <c r="B515" s="2">
        <v>10693</v>
      </c>
      <c r="C515" s="2">
        <f t="shared" ref="C515:C578" si="48">B515/10000</f>
        <v>1.0692999999999999</v>
      </c>
      <c r="D515" s="2">
        <f t="shared" ref="D515:D578" si="49">A515^2</f>
        <v>1800964</v>
      </c>
      <c r="E515" s="2">
        <f t="shared" ref="E515:E578" si="50">A515^3</f>
        <v>2416893688</v>
      </c>
      <c r="F515" s="2">
        <f t="shared" ref="F515:F578" si="51">A515^4</f>
        <v>3243471329296</v>
      </c>
      <c r="G515" s="2">
        <f t="shared" ref="G515:G578" si="52">A515*C515</f>
        <v>1435.0005999999998</v>
      </c>
      <c r="H515" s="2">
        <f t="shared" ref="H515:H578" si="53">D515*C515</f>
        <v>1925770.8051999998</v>
      </c>
    </row>
    <row r="516" spans="1:8" x14ac:dyDescent="0.35">
      <c r="A516" s="2">
        <v>1342</v>
      </c>
      <c r="B516" s="2">
        <v>11583</v>
      </c>
      <c r="C516" s="2">
        <f t="shared" si="48"/>
        <v>1.1583000000000001</v>
      </c>
      <c r="D516" s="2">
        <f t="shared" si="49"/>
        <v>1800964</v>
      </c>
      <c r="E516" s="2">
        <f t="shared" si="50"/>
        <v>2416893688</v>
      </c>
      <c r="F516" s="2">
        <f t="shared" si="51"/>
        <v>3243471329296</v>
      </c>
      <c r="G516" s="2">
        <f t="shared" si="52"/>
        <v>1554.4386000000002</v>
      </c>
      <c r="H516" s="2">
        <f t="shared" si="53"/>
        <v>2086056.6012000002</v>
      </c>
    </row>
    <row r="517" spans="1:8" x14ac:dyDescent="0.35">
      <c r="A517" s="2">
        <v>1342</v>
      </c>
      <c r="B517" s="2">
        <v>15485</v>
      </c>
      <c r="C517" s="2">
        <f t="shared" si="48"/>
        <v>1.5485</v>
      </c>
      <c r="D517" s="2">
        <f t="shared" si="49"/>
        <v>1800964</v>
      </c>
      <c r="E517" s="2">
        <f t="shared" si="50"/>
        <v>2416893688</v>
      </c>
      <c r="F517" s="2">
        <f t="shared" si="51"/>
        <v>3243471329296</v>
      </c>
      <c r="G517" s="2">
        <f t="shared" si="52"/>
        <v>2078.087</v>
      </c>
      <c r="H517" s="2">
        <f t="shared" si="53"/>
        <v>2788792.7540000002</v>
      </c>
    </row>
    <row r="518" spans="1:8" x14ac:dyDescent="0.35">
      <c r="A518" s="2">
        <v>1342</v>
      </c>
      <c r="B518" s="2">
        <v>16729</v>
      </c>
      <c r="C518" s="2">
        <f t="shared" si="48"/>
        <v>1.6729000000000001</v>
      </c>
      <c r="D518" s="2">
        <f t="shared" si="49"/>
        <v>1800964</v>
      </c>
      <c r="E518" s="2">
        <f t="shared" si="50"/>
        <v>2416893688</v>
      </c>
      <c r="F518" s="2">
        <f t="shared" si="51"/>
        <v>3243471329296</v>
      </c>
      <c r="G518" s="2">
        <f t="shared" si="52"/>
        <v>2245.0318000000002</v>
      </c>
      <c r="H518" s="2">
        <f t="shared" si="53"/>
        <v>3012832.6756000002</v>
      </c>
    </row>
    <row r="519" spans="1:8" x14ac:dyDescent="0.35">
      <c r="A519" s="2">
        <v>1342</v>
      </c>
      <c r="B519" s="2">
        <v>13375</v>
      </c>
      <c r="C519" s="2">
        <f t="shared" si="48"/>
        <v>1.3374999999999999</v>
      </c>
      <c r="D519" s="2">
        <f t="shared" si="49"/>
        <v>1800964</v>
      </c>
      <c r="E519" s="2">
        <f t="shared" si="50"/>
        <v>2416893688</v>
      </c>
      <c r="F519" s="2">
        <f t="shared" si="51"/>
        <v>3243471329296</v>
      </c>
      <c r="G519" s="2">
        <f t="shared" si="52"/>
        <v>1794.925</v>
      </c>
      <c r="H519" s="2">
        <f t="shared" si="53"/>
        <v>2408789.3499999996</v>
      </c>
    </row>
    <row r="520" spans="1:8" x14ac:dyDescent="0.35">
      <c r="A520" s="2">
        <v>1342</v>
      </c>
      <c r="B520" s="2">
        <v>14516</v>
      </c>
      <c r="C520" s="2">
        <f t="shared" si="48"/>
        <v>1.4516</v>
      </c>
      <c r="D520" s="2">
        <f t="shared" si="49"/>
        <v>1800964</v>
      </c>
      <c r="E520" s="2">
        <f t="shared" si="50"/>
        <v>2416893688</v>
      </c>
      <c r="F520" s="2">
        <f t="shared" si="51"/>
        <v>3243471329296</v>
      </c>
      <c r="G520" s="2">
        <f t="shared" si="52"/>
        <v>1948.0472</v>
      </c>
      <c r="H520" s="2">
        <f t="shared" si="53"/>
        <v>2614279.3424</v>
      </c>
    </row>
    <row r="521" spans="1:8" x14ac:dyDescent="0.35">
      <c r="A521" s="2">
        <v>1342</v>
      </c>
      <c r="B521" s="2">
        <v>14514</v>
      </c>
      <c r="C521" s="2">
        <f t="shared" si="48"/>
        <v>1.4514</v>
      </c>
      <c r="D521" s="2">
        <f t="shared" si="49"/>
        <v>1800964</v>
      </c>
      <c r="E521" s="2">
        <f t="shared" si="50"/>
        <v>2416893688</v>
      </c>
      <c r="F521" s="2">
        <f t="shared" si="51"/>
        <v>3243471329296</v>
      </c>
      <c r="G521" s="2">
        <f t="shared" si="52"/>
        <v>1947.7788</v>
      </c>
      <c r="H521" s="2">
        <f t="shared" si="53"/>
        <v>2613919.1496000001</v>
      </c>
    </row>
    <row r="522" spans="1:8" x14ac:dyDescent="0.35">
      <c r="A522" s="2">
        <v>1342</v>
      </c>
      <c r="B522" s="2">
        <v>13201</v>
      </c>
      <c r="C522" s="2">
        <f t="shared" si="48"/>
        <v>1.3201000000000001</v>
      </c>
      <c r="D522" s="2">
        <f t="shared" si="49"/>
        <v>1800964</v>
      </c>
      <c r="E522" s="2">
        <f t="shared" si="50"/>
        <v>2416893688</v>
      </c>
      <c r="F522" s="2">
        <f t="shared" si="51"/>
        <v>3243471329296</v>
      </c>
      <c r="G522" s="2">
        <f t="shared" si="52"/>
        <v>1771.5742</v>
      </c>
      <c r="H522" s="2">
        <f t="shared" si="53"/>
        <v>2377452.5764000001</v>
      </c>
    </row>
    <row r="523" spans="1:8" x14ac:dyDescent="0.35">
      <c r="A523" s="2">
        <v>1342</v>
      </c>
      <c r="B523" s="2">
        <v>15214</v>
      </c>
      <c r="C523" s="2">
        <f t="shared" si="48"/>
        <v>1.5214000000000001</v>
      </c>
      <c r="D523" s="2">
        <f t="shared" si="49"/>
        <v>1800964</v>
      </c>
      <c r="E523" s="2">
        <f t="shared" si="50"/>
        <v>2416893688</v>
      </c>
      <c r="F523" s="2">
        <f t="shared" si="51"/>
        <v>3243471329296</v>
      </c>
      <c r="G523" s="2">
        <f t="shared" si="52"/>
        <v>2041.7188000000001</v>
      </c>
      <c r="H523" s="2">
        <f t="shared" si="53"/>
        <v>2739986.6296000001</v>
      </c>
    </row>
    <row r="524" spans="1:8" x14ac:dyDescent="0.35">
      <c r="A524" s="2">
        <v>1342</v>
      </c>
      <c r="B524" s="2">
        <v>13200</v>
      </c>
      <c r="C524" s="2">
        <f t="shared" si="48"/>
        <v>1.32</v>
      </c>
      <c r="D524" s="2">
        <f t="shared" si="49"/>
        <v>1800964</v>
      </c>
      <c r="E524" s="2">
        <f t="shared" si="50"/>
        <v>2416893688</v>
      </c>
      <c r="F524" s="2">
        <f t="shared" si="51"/>
        <v>3243471329296</v>
      </c>
      <c r="G524" s="2">
        <f t="shared" si="52"/>
        <v>1771.44</v>
      </c>
      <c r="H524" s="2">
        <f t="shared" si="53"/>
        <v>2377272.48</v>
      </c>
    </row>
    <row r="525" spans="1:8" x14ac:dyDescent="0.35">
      <c r="A525" s="2">
        <v>1342</v>
      </c>
      <c r="B525" s="2">
        <v>14167</v>
      </c>
      <c r="C525" s="2">
        <f t="shared" si="48"/>
        <v>1.4167000000000001</v>
      </c>
      <c r="D525" s="2">
        <f t="shared" si="49"/>
        <v>1800964</v>
      </c>
      <c r="E525" s="2">
        <f t="shared" si="50"/>
        <v>2416893688</v>
      </c>
      <c r="F525" s="2">
        <f t="shared" si="51"/>
        <v>3243471329296</v>
      </c>
      <c r="G525" s="2">
        <f t="shared" si="52"/>
        <v>1901.2114000000001</v>
      </c>
      <c r="H525" s="2">
        <f t="shared" si="53"/>
        <v>2551425.6987999999</v>
      </c>
    </row>
    <row r="526" spans="1:8" x14ac:dyDescent="0.35">
      <c r="A526" s="2">
        <v>1342</v>
      </c>
      <c r="B526" s="2">
        <v>14231</v>
      </c>
      <c r="C526" s="2">
        <f t="shared" si="48"/>
        <v>1.4231</v>
      </c>
      <c r="D526" s="2">
        <f t="shared" si="49"/>
        <v>1800964</v>
      </c>
      <c r="E526" s="2">
        <f t="shared" si="50"/>
        <v>2416893688</v>
      </c>
      <c r="F526" s="2">
        <f t="shared" si="51"/>
        <v>3243471329296</v>
      </c>
      <c r="G526" s="2">
        <f t="shared" si="52"/>
        <v>1909.8002000000001</v>
      </c>
      <c r="H526" s="2">
        <f t="shared" si="53"/>
        <v>2562951.8684</v>
      </c>
    </row>
    <row r="527" spans="1:8" x14ac:dyDescent="0.35">
      <c r="A527" s="2">
        <v>1342</v>
      </c>
      <c r="B527" s="2">
        <v>15000</v>
      </c>
      <c r="C527" s="2">
        <f t="shared" si="48"/>
        <v>1.5</v>
      </c>
      <c r="D527" s="2">
        <f t="shared" si="49"/>
        <v>1800964</v>
      </c>
      <c r="E527" s="2">
        <f t="shared" si="50"/>
        <v>2416893688</v>
      </c>
      <c r="F527" s="2">
        <f t="shared" si="51"/>
        <v>3243471329296</v>
      </c>
      <c r="G527" s="2">
        <f t="shared" si="52"/>
        <v>2013</v>
      </c>
      <c r="H527" s="2">
        <f t="shared" si="53"/>
        <v>2701446</v>
      </c>
    </row>
    <row r="528" spans="1:8" x14ac:dyDescent="0.35">
      <c r="A528" s="2">
        <v>1342</v>
      </c>
      <c r="B528" s="2">
        <v>14903</v>
      </c>
      <c r="C528" s="2">
        <f t="shared" si="48"/>
        <v>1.4903</v>
      </c>
      <c r="D528" s="2">
        <f t="shared" si="49"/>
        <v>1800964</v>
      </c>
      <c r="E528" s="2">
        <f t="shared" si="50"/>
        <v>2416893688</v>
      </c>
      <c r="F528" s="2">
        <f t="shared" si="51"/>
        <v>3243471329296</v>
      </c>
      <c r="G528" s="2">
        <f t="shared" si="52"/>
        <v>1999.9826</v>
      </c>
      <c r="H528" s="2">
        <f t="shared" si="53"/>
        <v>2683976.6491999999</v>
      </c>
    </row>
    <row r="529" spans="1:8" x14ac:dyDescent="0.35">
      <c r="A529" s="2">
        <v>1342</v>
      </c>
      <c r="B529" s="2">
        <v>14882</v>
      </c>
      <c r="C529" s="2">
        <f t="shared" si="48"/>
        <v>1.4882</v>
      </c>
      <c r="D529" s="2">
        <f t="shared" si="49"/>
        <v>1800964</v>
      </c>
      <c r="E529" s="2">
        <f t="shared" si="50"/>
        <v>2416893688</v>
      </c>
      <c r="F529" s="2">
        <f t="shared" si="51"/>
        <v>3243471329296</v>
      </c>
      <c r="G529" s="2">
        <f t="shared" si="52"/>
        <v>1997.1643999999999</v>
      </c>
      <c r="H529" s="2">
        <f t="shared" si="53"/>
        <v>2680194.6247999999</v>
      </c>
    </row>
    <row r="530" spans="1:8" x14ac:dyDescent="0.35">
      <c r="A530" s="2">
        <v>1342</v>
      </c>
      <c r="B530" s="2">
        <v>14891</v>
      </c>
      <c r="C530" s="2">
        <f t="shared" si="48"/>
        <v>1.4891000000000001</v>
      </c>
      <c r="D530" s="2">
        <f t="shared" si="49"/>
        <v>1800964</v>
      </c>
      <c r="E530" s="2">
        <f t="shared" si="50"/>
        <v>2416893688</v>
      </c>
      <c r="F530" s="2">
        <f t="shared" si="51"/>
        <v>3243471329296</v>
      </c>
      <c r="G530" s="2">
        <f t="shared" si="52"/>
        <v>1998.3722</v>
      </c>
      <c r="H530" s="2">
        <f t="shared" si="53"/>
        <v>2681815.4924000003</v>
      </c>
    </row>
    <row r="531" spans="1:8" x14ac:dyDescent="0.35">
      <c r="A531" s="2">
        <v>1342</v>
      </c>
      <c r="B531" s="2">
        <v>19938</v>
      </c>
      <c r="C531" s="2">
        <f t="shared" si="48"/>
        <v>1.9938</v>
      </c>
      <c r="D531" s="2">
        <f t="shared" si="49"/>
        <v>1800964</v>
      </c>
      <c r="E531" s="2">
        <f t="shared" si="50"/>
        <v>2416893688</v>
      </c>
      <c r="F531" s="2">
        <f t="shared" si="51"/>
        <v>3243471329296</v>
      </c>
      <c r="G531" s="2">
        <f t="shared" si="52"/>
        <v>2675.6795999999999</v>
      </c>
      <c r="H531" s="2">
        <f t="shared" si="53"/>
        <v>3590762.0232000002</v>
      </c>
    </row>
    <row r="532" spans="1:8" x14ac:dyDescent="0.35">
      <c r="A532" s="2">
        <v>1342</v>
      </c>
      <c r="B532" s="2">
        <v>20087</v>
      </c>
      <c r="C532" s="2">
        <f t="shared" si="48"/>
        <v>2.0087000000000002</v>
      </c>
      <c r="D532" s="2">
        <f t="shared" si="49"/>
        <v>1800964</v>
      </c>
      <c r="E532" s="2">
        <f t="shared" si="50"/>
        <v>2416893688</v>
      </c>
      <c r="F532" s="2">
        <f t="shared" si="51"/>
        <v>3243471329296</v>
      </c>
      <c r="G532" s="2">
        <f t="shared" si="52"/>
        <v>2695.6754000000001</v>
      </c>
      <c r="H532" s="2">
        <f t="shared" si="53"/>
        <v>3617596.3868000004</v>
      </c>
    </row>
    <row r="533" spans="1:8" x14ac:dyDescent="0.35">
      <c r="A533" s="2">
        <v>1342</v>
      </c>
      <c r="B533" s="2">
        <v>16000</v>
      </c>
      <c r="C533" s="2">
        <f t="shared" si="48"/>
        <v>1.6</v>
      </c>
      <c r="D533" s="2">
        <f t="shared" si="49"/>
        <v>1800964</v>
      </c>
      <c r="E533" s="2">
        <f t="shared" si="50"/>
        <v>2416893688</v>
      </c>
      <c r="F533" s="2">
        <f t="shared" si="51"/>
        <v>3243471329296</v>
      </c>
      <c r="G533" s="2">
        <f t="shared" si="52"/>
        <v>2147.2000000000003</v>
      </c>
      <c r="H533" s="2">
        <f t="shared" si="53"/>
        <v>2881542.4000000004</v>
      </c>
    </row>
    <row r="534" spans="1:8" x14ac:dyDescent="0.35">
      <c r="A534" s="2">
        <v>1342</v>
      </c>
      <c r="B534" s="2">
        <v>15000</v>
      </c>
      <c r="C534" s="2">
        <f t="shared" si="48"/>
        <v>1.5</v>
      </c>
      <c r="D534" s="2">
        <f t="shared" si="49"/>
        <v>1800964</v>
      </c>
      <c r="E534" s="2">
        <f t="shared" si="50"/>
        <v>2416893688</v>
      </c>
      <c r="F534" s="2">
        <f t="shared" si="51"/>
        <v>3243471329296</v>
      </c>
      <c r="G534" s="2">
        <f t="shared" si="52"/>
        <v>2013</v>
      </c>
      <c r="H534" s="2">
        <f t="shared" si="53"/>
        <v>2701446</v>
      </c>
    </row>
    <row r="535" spans="1:8" x14ac:dyDescent="0.35">
      <c r="A535" s="2">
        <v>1342</v>
      </c>
      <c r="B535" s="2">
        <v>15000</v>
      </c>
      <c r="C535" s="2">
        <f t="shared" si="48"/>
        <v>1.5</v>
      </c>
      <c r="D535" s="2">
        <f t="shared" si="49"/>
        <v>1800964</v>
      </c>
      <c r="E535" s="2">
        <f t="shared" si="50"/>
        <v>2416893688</v>
      </c>
      <c r="F535" s="2">
        <f t="shared" si="51"/>
        <v>3243471329296</v>
      </c>
      <c r="G535" s="2">
        <f t="shared" si="52"/>
        <v>2013</v>
      </c>
      <c r="H535" s="2">
        <f t="shared" si="53"/>
        <v>2701446</v>
      </c>
    </row>
    <row r="536" spans="1:8" x14ac:dyDescent="0.35">
      <c r="A536" s="2">
        <v>1342</v>
      </c>
      <c r="B536" s="2">
        <v>15000</v>
      </c>
      <c r="C536" s="2">
        <f t="shared" si="48"/>
        <v>1.5</v>
      </c>
      <c r="D536" s="2">
        <f t="shared" si="49"/>
        <v>1800964</v>
      </c>
      <c r="E536" s="2">
        <f t="shared" si="50"/>
        <v>2416893688</v>
      </c>
      <c r="F536" s="2">
        <f t="shared" si="51"/>
        <v>3243471329296</v>
      </c>
      <c r="G536" s="2">
        <f t="shared" si="52"/>
        <v>2013</v>
      </c>
      <c r="H536" s="2">
        <f t="shared" si="53"/>
        <v>2701446</v>
      </c>
    </row>
    <row r="537" spans="1:8" x14ac:dyDescent="0.35">
      <c r="A537" s="2">
        <v>1342</v>
      </c>
      <c r="B537" s="2">
        <v>23353</v>
      </c>
      <c r="C537" s="2">
        <f t="shared" si="48"/>
        <v>2.3353000000000002</v>
      </c>
      <c r="D537" s="2">
        <f t="shared" si="49"/>
        <v>1800964</v>
      </c>
      <c r="E537" s="2">
        <f t="shared" si="50"/>
        <v>2416893688</v>
      </c>
      <c r="F537" s="2">
        <f t="shared" si="51"/>
        <v>3243471329296</v>
      </c>
      <c r="G537" s="2">
        <f t="shared" si="52"/>
        <v>3133.9726000000001</v>
      </c>
      <c r="H537" s="2">
        <f t="shared" si="53"/>
        <v>4205791.2291999999</v>
      </c>
    </row>
    <row r="538" spans="1:8" x14ac:dyDescent="0.35">
      <c r="A538" s="2">
        <v>1342</v>
      </c>
      <c r="B538" s="2">
        <v>16000</v>
      </c>
      <c r="C538" s="2">
        <f t="shared" si="48"/>
        <v>1.6</v>
      </c>
      <c r="D538" s="2">
        <f t="shared" si="49"/>
        <v>1800964</v>
      </c>
      <c r="E538" s="2">
        <f t="shared" si="50"/>
        <v>2416893688</v>
      </c>
      <c r="F538" s="2">
        <f t="shared" si="51"/>
        <v>3243471329296</v>
      </c>
      <c r="G538" s="2">
        <f t="shared" si="52"/>
        <v>2147.2000000000003</v>
      </c>
      <c r="H538" s="2">
        <f t="shared" si="53"/>
        <v>2881542.4000000004</v>
      </c>
    </row>
    <row r="539" spans="1:8" x14ac:dyDescent="0.35">
      <c r="A539" s="2">
        <v>1342</v>
      </c>
      <c r="B539" s="2">
        <v>30000</v>
      </c>
      <c r="C539" s="2">
        <f t="shared" si="48"/>
        <v>3</v>
      </c>
      <c r="D539" s="2">
        <f t="shared" si="49"/>
        <v>1800964</v>
      </c>
      <c r="E539" s="2">
        <f t="shared" si="50"/>
        <v>2416893688</v>
      </c>
      <c r="F539" s="2">
        <f t="shared" si="51"/>
        <v>3243471329296</v>
      </c>
      <c r="G539" s="2">
        <f t="shared" si="52"/>
        <v>4026</v>
      </c>
      <c r="H539" s="2">
        <f t="shared" si="53"/>
        <v>5402892</v>
      </c>
    </row>
    <row r="540" spans="1:8" x14ac:dyDescent="0.35">
      <c r="A540" s="2">
        <v>1342</v>
      </c>
      <c r="B540" s="2">
        <v>18665</v>
      </c>
      <c r="C540" s="2">
        <f t="shared" si="48"/>
        <v>1.8665</v>
      </c>
      <c r="D540" s="2">
        <f t="shared" si="49"/>
        <v>1800964</v>
      </c>
      <c r="E540" s="2">
        <f t="shared" si="50"/>
        <v>2416893688</v>
      </c>
      <c r="F540" s="2">
        <f t="shared" si="51"/>
        <v>3243471329296</v>
      </c>
      <c r="G540" s="2">
        <f t="shared" si="52"/>
        <v>2504.8429999999998</v>
      </c>
      <c r="H540" s="2">
        <f t="shared" si="53"/>
        <v>3361499.3059999999</v>
      </c>
    </row>
    <row r="541" spans="1:8" x14ac:dyDescent="0.35">
      <c r="A541" s="2">
        <v>1342</v>
      </c>
      <c r="B541" s="2">
        <v>14000</v>
      </c>
      <c r="C541" s="2">
        <f t="shared" si="48"/>
        <v>1.4</v>
      </c>
      <c r="D541" s="2">
        <f t="shared" si="49"/>
        <v>1800964</v>
      </c>
      <c r="E541" s="2">
        <f t="shared" si="50"/>
        <v>2416893688</v>
      </c>
      <c r="F541" s="2">
        <f t="shared" si="51"/>
        <v>3243471329296</v>
      </c>
      <c r="G541" s="2">
        <f t="shared" si="52"/>
        <v>1878.8</v>
      </c>
      <c r="H541" s="2">
        <f t="shared" si="53"/>
        <v>2521349.5999999996</v>
      </c>
    </row>
    <row r="542" spans="1:8" x14ac:dyDescent="0.35">
      <c r="A542" s="2">
        <v>1342</v>
      </c>
      <c r="B542" s="2">
        <v>14000</v>
      </c>
      <c r="C542" s="2">
        <f t="shared" si="48"/>
        <v>1.4</v>
      </c>
      <c r="D542" s="2">
        <f t="shared" si="49"/>
        <v>1800964</v>
      </c>
      <c r="E542" s="2">
        <f t="shared" si="50"/>
        <v>2416893688</v>
      </c>
      <c r="F542" s="2">
        <f t="shared" si="51"/>
        <v>3243471329296</v>
      </c>
      <c r="G542" s="2">
        <f t="shared" si="52"/>
        <v>1878.8</v>
      </c>
      <c r="H542" s="2">
        <f t="shared" si="53"/>
        <v>2521349.5999999996</v>
      </c>
    </row>
    <row r="543" spans="1:8" x14ac:dyDescent="0.35">
      <c r="A543" s="2">
        <v>1342</v>
      </c>
      <c r="B543" s="2">
        <v>14792</v>
      </c>
      <c r="C543" s="2">
        <f t="shared" si="48"/>
        <v>1.4792000000000001</v>
      </c>
      <c r="D543" s="2">
        <f t="shared" si="49"/>
        <v>1800964</v>
      </c>
      <c r="E543" s="2">
        <f t="shared" si="50"/>
        <v>2416893688</v>
      </c>
      <c r="F543" s="2">
        <f t="shared" si="51"/>
        <v>3243471329296</v>
      </c>
      <c r="G543" s="2">
        <f t="shared" si="52"/>
        <v>1985.0864000000001</v>
      </c>
      <c r="H543" s="2">
        <f t="shared" si="53"/>
        <v>2663985.9487999999</v>
      </c>
    </row>
    <row r="544" spans="1:8" x14ac:dyDescent="0.35">
      <c r="A544" s="2">
        <v>322</v>
      </c>
      <c r="B544" s="2">
        <v>5287</v>
      </c>
      <c r="C544" s="2">
        <f t="shared" si="48"/>
        <v>0.52869999999999995</v>
      </c>
      <c r="D544" s="2">
        <f t="shared" si="49"/>
        <v>103684</v>
      </c>
      <c r="E544" s="2">
        <f t="shared" si="50"/>
        <v>33386248</v>
      </c>
      <c r="F544" s="2">
        <f t="shared" si="51"/>
        <v>10750371856</v>
      </c>
      <c r="G544" s="2">
        <f t="shared" si="52"/>
        <v>170.24139999999997</v>
      </c>
      <c r="H544" s="2">
        <f t="shared" si="53"/>
        <v>54817.730799999998</v>
      </c>
    </row>
    <row r="545" spans="1:8" x14ac:dyDescent="0.35">
      <c r="A545" s="2">
        <v>322</v>
      </c>
      <c r="B545" s="2">
        <v>8083</v>
      </c>
      <c r="C545" s="2">
        <f t="shared" si="48"/>
        <v>0.80830000000000002</v>
      </c>
      <c r="D545" s="2">
        <f t="shared" si="49"/>
        <v>103684</v>
      </c>
      <c r="E545" s="2">
        <f t="shared" si="50"/>
        <v>33386248</v>
      </c>
      <c r="F545" s="2">
        <f t="shared" si="51"/>
        <v>10750371856</v>
      </c>
      <c r="G545" s="2">
        <f t="shared" si="52"/>
        <v>260.27260000000001</v>
      </c>
      <c r="H545" s="2">
        <f t="shared" si="53"/>
        <v>83807.777199999997</v>
      </c>
    </row>
    <row r="546" spans="1:8" x14ac:dyDescent="0.35">
      <c r="A546" s="2">
        <v>322</v>
      </c>
      <c r="B546" s="2">
        <v>9131</v>
      </c>
      <c r="C546" s="2">
        <f t="shared" si="48"/>
        <v>0.91310000000000002</v>
      </c>
      <c r="D546" s="2">
        <f t="shared" si="49"/>
        <v>103684</v>
      </c>
      <c r="E546" s="2">
        <f t="shared" si="50"/>
        <v>33386248</v>
      </c>
      <c r="F546" s="2">
        <f t="shared" si="51"/>
        <v>10750371856</v>
      </c>
      <c r="G546" s="2">
        <f t="shared" si="52"/>
        <v>294.01819999999998</v>
      </c>
      <c r="H546" s="2">
        <f t="shared" si="53"/>
        <v>94673.860400000005</v>
      </c>
    </row>
    <row r="547" spans="1:8" x14ac:dyDescent="0.35">
      <c r="A547" s="2">
        <v>322</v>
      </c>
      <c r="B547" s="2">
        <v>27888</v>
      </c>
      <c r="C547" s="2">
        <f t="shared" si="48"/>
        <v>2.7888000000000002</v>
      </c>
      <c r="D547" s="2">
        <f t="shared" si="49"/>
        <v>103684</v>
      </c>
      <c r="E547" s="2">
        <f t="shared" si="50"/>
        <v>33386248</v>
      </c>
      <c r="F547" s="2">
        <f t="shared" si="51"/>
        <v>10750371856</v>
      </c>
      <c r="G547" s="2">
        <f t="shared" si="52"/>
        <v>897.99360000000001</v>
      </c>
      <c r="H547" s="2">
        <f t="shared" si="53"/>
        <v>289153.93920000002</v>
      </c>
    </row>
    <row r="548" spans="1:8" x14ac:dyDescent="0.35">
      <c r="A548" s="2">
        <v>322</v>
      </c>
      <c r="B548" s="2">
        <v>17916</v>
      </c>
      <c r="C548" s="2">
        <f t="shared" si="48"/>
        <v>1.7916000000000001</v>
      </c>
      <c r="D548" s="2">
        <f t="shared" si="49"/>
        <v>103684</v>
      </c>
      <c r="E548" s="2">
        <f t="shared" si="50"/>
        <v>33386248</v>
      </c>
      <c r="F548" s="2">
        <f t="shared" si="51"/>
        <v>10750371856</v>
      </c>
      <c r="G548" s="2">
        <f t="shared" si="52"/>
        <v>576.89520000000005</v>
      </c>
      <c r="H548" s="2">
        <f t="shared" si="53"/>
        <v>185760.25440000001</v>
      </c>
    </row>
    <row r="549" spans="1:8" x14ac:dyDescent="0.35">
      <c r="A549" s="2">
        <v>322</v>
      </c>
      <c r="B549" s="2">
        <v>24287</v>
      </c>
      <c r="C549" s="2">
        <f t="shared" si="48"/>
        <v>2.4287000000000001</v>
      </c>
      <c r="D549" s="2">
        <f t="shared" si="49"/>
        <v>103684</v>
      </c>
      <c r="E549" s="2">
        <f t="shared" si="50"/>
        <v>33386248</v>
      </c>
      <c r="F549" s="2">
        <f t="shared" si="51"/>
        <v>10750371856</v>
      </c>
      <c r="G549" s="2">
        <f t="shared" si="52"/>
        <v>782.04140000000007</v>
      </c>
      <c r="H549" s="2">
        <f t="shared" si="53"/>
        <v>251817.3308</v>
      </c>
    </row>
    <row r="550" spans="1:8" x14ac:dyDescent="0.35">
      <c r="A550" s="2">
        <v>322</v>
      </c>
      <c r="B550" s="2">
        <v>20265</v>
      </c>
      <c r="C550" s="2">
        <f t="shared" si="48"/>
        <v>2.0265</v>
      </c>
      <c r="D550" s="2">
        <f t="shared" si="49"/>
        <v>103684</v>
      </c>
      <c r="E550" s="2">
        <f t="shared" si="50"/>
        <v>33386248</v>
      </c>
      <c r="F550" s="2">
        <f t="shared" si="51"/>
        <v>10750371856</v>
      </c>
      <c r="G550" s="2">
        <f t="shared" si="52"/>
        <v>652.53300000000002</v>
      </c>
      <c r="H550" s="2">
        <f t="shared" si="53"/>
        <v>210115.62599999999</v>
      </c>
    </row>
    <row r="551" spans="1:8" x14ac:dyDescent="0.35">
      <c r="A551" s="2">
        <v>322</v>
      </c>
      <c r="B551" s="2">
        <v>5586</v>
      </c>
      <c r="C551" s="2">
        <f t="shared" si="48"/>
        <v>0.55859999999999999</v>
      </c>
      <c r="D551" s="2">
        <f t="shared" si="49"/>
        <v>103684</v>
      </c>
      <c r="E551" s="2">
        <f t="shared" si="50"/>
        <v>33386248</v>
      </c>
      <c r="F551" s="2">
        <f t="shared" si="51"/>
        <v>10750371856</v>
      </c>
      <c r="G551" s="2">
        <f t="shared" si="52"/>
        <v>179.86920000000001</v>
      </c>
      <c r="H551" s="2">
        <f t="shared" si="53"/>
        <v>57917.882399999995</v>
      </c>
    </row>
    <row r="552" spans="1:8" x14ac:dyDescent="0.35">
      <c r="A552" s="2">
        <v>322</v>
      </c>
      <c r="B552" s="2">
        <v>17414</v>
      </c>
      <c r="C552" s="2">
        <f t="shared" si="48"/>
        <v>1.7414000000000001</v>
      </c>
      <c r="D552" s="2">
        <f t="shared" si="49"/>
        <v>103684</v>
      </c>
      <c r="E552" s="2">
        <f t="shared" si="50"/>
        <v>33386248</v>
      </c>
      <c r="F552" s="2">
        <f t="shared" si="51"/>
        <v>10750371856</v>
      </c>
      <c r="G552" s="2">
        <f t="shared" si="52"/>
        <v>560.73080000000004</v>
      </c>
      <c r="H552" s="2">
        <f t="shared" si="53"/>
        <v>180555.31760000001</v>
      </c>
    </row>
    <row r="553" spans="1:8" x14ac:dyDescent="0.35">
      <c r="A553" s="2">
        <v>322</v>
      </c>
      <c r="B553" s="2">
        <v>11342</v>
      </c>
      <c r="C553" s="2">
        <f t="shared" si="48"/>
        <v>1.1342000000000001</v>
      </c>
      <c r="D553" s="2">
        <f t="shared" si="49"/>
        <v>103684</v>
      </c>
      <c r="E553" s="2">
        <f t="shared" si="50"/>
        <v>33386248</v>
      </c>
      <c r="F553" s="2">
        <f t="shared" si="51"/>
        <v>10750371856</v>
      </c>
      <c r="G553" s="2">
        <f t="shared" si="52"/>
        <v>365.21240000000006</v>
      </c>
      <c r="H553" s="2">
        <f t="shared" si="53"/>
        <v>117598.39280000002</v>
      </c>
    </row>
    <row r="554" spans="1:8" x14ac:dyDescent="0.35">
      <c r="A554" s="2">
        <v>322</v>
      </c>
      <c r="B554" s="2">
        <v>15685</v>
      </c>
      <c r="C554" s="2">
        <f t="shared" si="48"/>
        <v>1.5685</v>
      </c>
      <c r="D554" s="2">
        <f t="shared" si="49"/>
        <v>103684</v>
      </c>
      <c r="E554" s="2">
        <f t="shared" si="50"/>
        <v>33386248</v>
      </c>
      <c r="F554" s="2">
        <f t="shared" si="51"/>
        <v>10750371856</v>
      </c>
      <c r="G554" s="2">
        <f t="shared" si="52"/>
        <v>505.05700000000002</v>
      </c>
      <c r="H554" s="2">
        <f t="shared" si="53"/>
        <v>162628.35399999999</v>
      </c>
    </row>
    <row r="555" spans="1:8" x14ac:dyDescent="0.35">
      <c r="A555" s="2">
        <v>322</v>
      </c>
      <c r="B555" s="2">
        <v>12903</v>
      </c>
      <c r="C555" s="2">
        <f t="shared" si="48"/>
        <v>1.2903</v>
      </c>
      <c r="D555" s="2">
        <f t="shared" si="49"/>
        <v>103684</v>
      </c>
      <c r="E555" s="2">
        <f t="shared" si="50"/>
        <v>33386248</v>
      </c>
      <c r="F555" s="2">
        <f t="shared" si="51"/>
        <v>10750371856</v>
      </c>
      <c r="G555" s="2">
        <f t="shared" si="52"/>
        <v>415.47660000000002</v>
      </c>
      <c r="H555" s="2">
        <f t="shared" si="53"/>
        <v>133783.46520000001</v>
      </c>
    </row>
    <row r="556" spans="1:8" x14ac:dyDescent="0.35">
      <c r="A556" s="2">
        <v>322</v>
      </c>
      <c r="B556" s="2">
        <v>13125</v>
      </c>
      <c r="C556" s="2">
        <f t="shared" si="48"/>
        <v>1.3125</v>
      </c>
      <c r="D556" s="2">
        <f t="shared" si="49"/>
        <v>103684</v>
      </c>
      <c r="E556" s="2">
        <f t="shared" si="50"/>
        <v>33386248</v>
      </c>
      <c r="F556" s="2">
        <f t="shared" si="51"/>
        <v>10750371856</v>
      </c>
      <c r="G556" s="2">
        <f t="shared" si="52"/>
        <v>422.625</v>
      </c>
      <c r="H556" s="2">
        <f t="shared" si="53"/>
        <v>136085.25</v>
      </c>
    </row>
    <row r="557" spans="1:8" x14ac:dyDescent="0.35">
      <c r="A557" s="2">
        <v>322</v>
      </c>
      <c r="B557" s="2">
        <v>17421</v>
      </c>
      <c r="C557" s="2">
        <f t="shared" si="48"/>
        <v>1.7421</v>
      </c>
      <c r="D557" s="2">
        <f t="shared" si="49"/>
        <v>103684</v>
      </c>
      <c r="E557" s="2">
        <f t="shared" si="50"/>
        <v>33386248</v>
      </c>
      <c r="F557" s="2">
        <f t="shared" si="51"/>
        <v>10750371856</v>
      </c>
      <c r="G557" s="2">
        <f t="shared" si="52"/>
        <v>560.95619999999997</v>
      </c>
      <c r="H557" s="2">
        <f t="shared" si="53"/>
        <v>180627.8964</v>
      </c>
    </row>
    <row r="558" spans="1:8" x14ac:dyDescent="0.35">
      <c r="A558" s="2">
        <v>322</v>
      </c>
      <c r="B558" s="2">
        <v>10341</v>
      </c>
      <c r="C558" s="2">
        <f t="shared" si="48"/>
        <v>1.0341</v>
      </c>
      <c r="D558" s="2">
        <f t="shared" si="49"/>
        <v>103684</v>
      </c>
      <c r="E558" s="2">
        <f t="shared" si="50"/>
        <v>33386248</v>
      </c>
      <c r="F558" s="2">
        <f t="shared" si="51"/>
        <v>10750371856</v>
      </c>
      <c r="G558" s="2">
        <f t="shared" si="52"/>
        <v>332.98020000000002</v>
      </c>
      <c r="H558" s="2">
        <f t="shared" si="53"/>
        <v>107219.6244</v>
      </c>
    </row>
    <row r="559" spans="1:8" x14ac:dyDescent="0.35">
      <c r="A559" s="2">
        <v>322</v>
      </c>
      <c r="B559" s="2">
        <v>12868</v>
      </c>
      <c r="C559" s="2">
        <f t="shared" si="48"/>
        <v>1.2867999999999999</v>
      </c>
      <c r="D559" s="2">
        <f t="shared" si="49"/>
        <v>103684</v>
      </c>
      <c r="E559" s="2">
        <f t="shared" si="50"/>
        <v>33386248</v>
      </c>
      <c r="F559" s="2">
        <f t="shared" si="51"/>
        <v>10750371856</v>
      </c>
      <c r="G559" s="2">
        <f t="shared" si="52"/>
        <v>414.34960000000001</v>
      </c>
      <c r="H559" s="2">
        <f t="shared" si="53"/>
        <v>133420.57120000001</v>
      </c>
    </row>
    <row r="560" spans="1:8" x14ac:dyDescent="0.35">
      <c r="A560" s="2">
        <v>322</v>
      </c>
      <c r="B560" s="2">
        <v>12994</v>
      </c>
      <c r="C560" s="2">
        <f t="shared" si="48"/>
        <v>1.2994000000000001</v>
      </c>
      <c r="D560" s="2">
        <f t="shared" si="49"/>
        <v>103684</v>
      </c>
      <c r="E560" s="2">
        <f t="shared" si="50"/>
        <v>33386248</v>
      </c>
      <c r="F560" s="2">
        <f t="shared" si="51"/>
        <v>10750371856</v>
      </c>
      <c r="G560" s="2">
        <f t="shared" si="52"/>
        <v>418.40680000000003</v>
      </c>
      <c r="H560" s="2">
        <f t="shared" si="53"/>
        <v>134726.9896</v>
      </c>
    </row>
    <row r="561" spans="1:8" x14ac:dyDescent="0.35">
      <c r="A561" s="2">
        <v>322</v>
      </c>
      <c r="B561" s="2">
        <v>9705</v>
      </c>
      <c r="C561" s="2">
        <f t="shared" si="48"/>
        <v>0.97050000000000003</v>
      </c>
      <c r="D561" s="2">
        <f t="shared" si="49"/>
        <v>103684</v>
      </c>
      <c r="E561" s="2">
        <f t="shared" si="50"/>
        <v>33386248</v>
      </c>
      <c r="F561" s="2">
        <f t="shared" si="51"/>
        <v>10750371856</v>
      </c>
      <c r="G561" s="2">
        <f t="shared" si="52"/>
        <v>312.50100000000003</v>
      </c>
      <c r="H561" s="2">
        <f t="shared" si="53"/>
        <v>100625.322</v>
      </c>
    </row>
    <row r="562" spans="1:8" x14ac:dyDescent="0.35">
      <c r="A562" s="2">
        <v>322</v>
      </c>
      <c r="B562" s="2">
        <v>13264</v>
      </c>
      <c r="C562" s="2">
        <f t="shared" si="48"/>
        <v>1.3264</v>
      </c>
      <c r="D562" s="2">
        <f t="shared" si="49"/>
        <v>103684</v>
      </c>
      <c r="E562" s="2">
        <f t="shared" si="50"/>
        <v>33386248</v>
      </c>
      <c r="F562" s="2">
        <f t="shared" si="51"/>
        <v>10750371856</v>
      </c>
      <c r="G562" s="2">
        <f t="shared" si="52"/>
        <v>427.10079999999999</v>
      </c>
      <c r="H562" s="2">
        <f t="shared" si="53"/>
        <v>137526.45759999999</v>
      </c>
    </row>
    <row r="563" spans="1:8" x14ac:dyDescent="0.35">
      <c r="A563" s="2">
        <v>322</v>
      </c>
      <c r="B563" s="2">
        <v>10263</v>
      </c>
      <c r="C563" s="2">
        <f t="shared" si="48"/>
        <v>1.0263</v>
      </c>
      <c r="D563" s="2">
        <f t="shared" si="49"/>
        <v>103684</v>
      </c>
      <c r="E563" s="2">
        <f t="shared" si="50"/>
        <v>33386248</v>
      </c>
      <c r="F563" s="2">
        <f t="shared" si="51"/>
        <v>10750371856</v>
      </c>
      <c r="G563" s="2">
        <f t="shared" si="52"/>
        <v>330.46859999999998</v>
      </c>
      <c r="H563" s="2">
        <f t="shared" si="53"/>
        <v>106410.88920000001</v>
      </c>
    </row>
    <row r="564" spans="1:8" x14ac:dyDescent="0.35">
      <c r="A564" s="2">
        <v>322</v>
      </c>
      <c r="B564" s="2">
        <v>12486</v>
      </c>
      <c r="C564" s="2">
        <f t="shared" si="48"/>
        <v>1.2485999999999999</v>
      </c>
      <c r="D564" s="2">
        <f t="shared" si="49"/>
        <v>103684</v>
      </c>
      <c r="E564" s="2">
        <f t="shared" si="50"/>
        <v>33386248</v>
      </c>
      <c r="F564" s="2">
        <f t="shared" si="51"/>
        <v>10750371856</v>
      </c>
      <c r="G564" s="2">
        <f t="shared" si="52"/>
        <v>402.04919999999998</v>
      </c>
      <c r="H564" s="2">
        <f t="shared" si="53"/>
        <v>129459.84239999999</v>
      </c>
    </row>
    <row r="565" spans="1:8" x14ac:dyDescent="0.35">
      <c r="A565" s="2">
        <v>322</v>
      </c>
      <c r="B565" s="2">
        <v>15696</v>
      </c>
      <c r="C565" s="2">
        <f t="shared" si="48"/>
        <v>1.5696000000000001</v>
      </c>
      <c r="D565" s="2">
        <f t="shared" si="49"/>
        <v>103684</v>
      </c>
      <c r="E565" s="2">
        <f t="shared" si="50"/>
        <v>33386248</v>
      </c>
      <c r="F565" s="2">
        <f t="shared" si="51"/>
        <v>10750371856</v>
      </c>
      <c r="G565" s="2">
        <f t="shared" si="52"/>
        <v>505.41120000000001</v>
      </c>
      <c r="H565" s="2">
        <f t="shared" si="53"/>
        <v>162742.40640000001</v>
      </c>
    </row>
    <row r="566" spans="1:8" x14ac:dyDescent="0.35">
      <c r="A566" s="2">
        <v>322</v>
      </c>
      <c r="B566" s="2">
        <v>10481</v>
      </c>
      <c r="C566" s="2">
        <f t="shared" si="48"/>
        <v>1.0481</v>
      </c>
      <c r="D566" s="2">
        <f t="shared" si="49"/>
        <v>103684</v>
      </c>
      <c r="E566" s="2">
        <f t="shared" si="50"/>
        <v>33386248</v>
      </c>
      <c r="F566" s="2">
        <f t="shared" si="51"/>
        <v>10750371856</v>
      </c>
      <c r="G566" s="2">
        <f t="shared" si="52"/>
        <v>337.48820000000001</v>
      </c>
      <c r="H566" s="2">
        <f t="shared" si="53"/>
        <v>108671.2004</v>
      </c>
    </row>
    <row r="567" spans="1:8" x14ac:dyDescent="0.35">
      <c r="A567" s="2">
        <v>322</v>
      </c>
      <c r="B567" s="2">
        <v>13415</v>
      </c>
      <c r="C567" s="2">
        <f t="shared" si="48"/>
        <v>1.3414999999999999</v>
      </c>
      <c r="D567" s="2">
        <f t="shared" si="49"/>
        <v>103684</v>
      </c>
      <c r="E567" s="2">
        <f t="shared" si="50"/>
        <v>33386248</v>
      </c>
      <c r="F567" s="2">
        <f t="shared" si="51"/>
        <v>10750371856</v>
      </c>
      <c r="G567" s="2">
        <f t="shared" si="52"/>
        <v>431.96299999999997</v>
      </c>
      <c r="H567" s="2">
        <f t="shared" si="53"/>
        <v>139092.08599999998</v>
      </c>
    </row>
    <row r="568" spans="1:8" x14ac:dyDescent="0.35">
      <c r="A568" s="2">
        <v>322</v>
      </c>
      <c r="B568" s="2">
        <v>14296</v>
      </c>
      <c r="C568" s="2">
        <f t="shared" si="48"/>
        <v>1.4296</v>
      </c>
      <c r="D568" s="2">
        <f t="shared" si="49"/>
        <v>103684</v>
      </c>
      <c r="E568" s="2">
        <f t="shared" si="50"/>
        <v>33386248</v>
      </c>
      <c r="F568" s="2">
        <f t="shared" si="51"/>
        <v>10750371856</v>
      </c>
      <c r="G568" s="2">
        <f t="shared" si="52"/>
        <v>460.33119999999997</v>
      </c>
      <c r="H568" s="2">
        <f t="shared" si="53"/>
        <v>148226.6464</v>
      </c>
    </row>
    <row r="569" spans="1:8" x14ac:dyDescent="0.35">
      <c r="A569" s="2">
        <v>322</v>
      </c>
      <c r="B569" s="2">
        <v>12978</v>
      </c>
      <c r="C569" s="2">
        <f t="shared" si="48"/>
        <v>1.2978000000000001</v>
      </c>
      <c r="D569" s="2">
        <f t="shared" si="49"/>
        <v>103684</v>
      </c>
      <c r="E569" s="2">
        <f t="shared" si="50"/>
        <v>33386248</v>
      </c>
      <c r="F569" s="2">
        <f t="shared" si="51"/>
        <v>10750371856</v>
      </c>
      <c r="G569" s="2">
        <f t="shared" si="52"/>
        <v>417.89160000000004</v>
      </c>
      <c r="H569" s="2">
        <f t="shared" si="53"/>
        <v>134561.09520000001</v>
      </c>
    </row>
    <row r="570" spans="1:8" x14ac:dyDescent="0.35">
      <c r="A570" s="2">
        <v>322</v>
      </c>
      <c r="B570" s="2">
        <v>17377</v>
      </c>
      <c r="C570" s="2">
        <f t="shared" si="48"/>
        <v>1.7377</v>
      </c>
      <c r="D570" s="2">
        <f t="shared" si="49"/>
        <v>103684</v>
      </c>
      <c r="E570" s="2">
        <f t="shared" si="50"/>
        <v>33386248</v>
      </c>
      <c r="F570" s="2">
        <f t="shared" si="51"/>
        <v>10750371856</v>
      </c>
      <c r="G570" s="2">
        <f t="shared" si="52"/>
        <v>559.5394</v>
      </c>
      <c r="H570" s="2">
        <f t="shared" si="53"/>
        <v>180171.6868</v>
      </c>
    </row>
    <row r="571" spans="1:8" x14ac:dyDescent="0.35">
      <c r="A571" s="2">
        <v>322</v>
      </c>
      <c r="B571" s="2">
        <v>15699</v>
      </c>
      <c r="C571" s="2">
        <f t="shared" si="48"/>
        <v>1.5699000000000001</v>
      </c>
      <c r="D571" s="2">
        <f t="shared" si="49"/>
        <v>103684</v>
      </c>
      <c r="E571" s="2">
        <f t="shared" si="50"/>
        <v>33386248</v>
      </c>
      <c r="F571" s="2">
        <f t="shared" si="51"/>
        <v>10750371856</v>
      </c>
      <c r="G571" s="2">
        <f t="shared" si="52"/>
        <v>505.50780000000003</v>
      </c>
      <c r="H571" s="2">
        <f t="shared" si="53"/>
        <v>162773.5116</v>
      </c>
    </row>
    <row r="572" spans="1:8" x14ac:dyDescent="0.35">
      <c r="A572" s="2">
        <v>322</v>
      </c>
      <c r="B572" s="2">
        <v>14155</v>
      </c>
      <c r="C572" s="2">
        <f t="shared" si="48"/>
        <v>1.4155</v>
      </c>
      <c r="D572" s="2">
        <f t="shared" si="49"/>
        <v>103684</v>
      </c>
      <c r="E572" s="2">
        <f t="shared" si="50"/>
        <v>33386248</v>
      </c>
      <c r="F572" s="2">
        <f t="shared" si="51"/>
        <v>10750371856</v>
      </c>
      <c r="G572" s="2">
        <f t="shared" si="52"/>
        <v>455.791</v>
      </c>
      <c r="H572" s="2">
        <f t="shared" si="53"/>
        <v>146764.70199999999</v>
      </c>
    </row>
    <row r="573" spans="1:8" x14ac:dyDescent="0.35">
      <c r="A573" s="2">
        <v>322</v>
      </c>
      <c r="B573" s="2">
        <v>14128</v>
      </c>
      <c r="C573" s="2">
        <f t="shared" si="48"/>
        <v>1.4128000000000001</v>
      </c>
      <c r="D573" s="2">
        <f t="shared" si="49"/>
        <v>103684</v>
      </c>
      <c r="E573" s="2">
        <f t="shared" si="50"/>
        <v>33386248</v>
      </c>
      <c r="F573" s="2">
        <f t="shared" si="51"/>
        <v>10750371856</v>
      </c>
      <c r="G573" s="2">
        <f t="shared" si="52"/>
        <v>454.92160000000001</v>
      </c>
      <c r="H573" s="2">
        <f t="shared" si="53"/>
        <v>146484.75520000001</v>
      </c>
    </row>
    <row r="574" spans="1:8" x14ac:dyDescent="0.35">
      <c r="A574" s="2">
        <v>1522</v>
      </c>
      <c r="B574" s="2">
        <v>40667</v>
      </c>
      <c r="C574" s="2">
        <f t="shared" si="48"/>
        <v>4.0667</v>
      </c>
      <c r="D574" s="2">
        <f t="shared" si="49"/>
        <v>2316484</v>
      </c>
      <c r="E574" s="2">
        <f t="shared" si="50"/>
        <v>3525688648</v>
      </c>
      <c r="F574" s="2">
        <f t="shared" si="51"/>
        <v>5366098122256</v>
      </c>
      <c r="G574" s="2">
        <f t="shared" si="52"/>
        <v>6189.5173999999997</v>
      </c>
      <c r="H574" s="2">
        <f t="shared" si="53"/>
        <v>9420445.4827999994</v>
      </c>
    </row>
    <row r="575" spans="1:8" x14ac:dyDescent="0.35">
      <c r="A575" s="2">
        <v>1522</v>
      </c>
      <c r="B575" s="2">
        <v>39559</v>
      </c>
      <c r="C575" s="2">
        <f t="shared" si="48"/>
        <v>3.9559000000000002</v>
      </c>
      <c r="D575" s="2">
        <f t="shared" si="49"/>
        <v>2316484</v>
      </c>
      <c r="E575" s="2">
        <f t="shared" si="50"/>
        <v>3525688648</v>
      </c>
      <c r="F575" s="2">
        <f t="shared" si="51"/>
        <v>5366098122256</v>
      </c>
      <c r="G575" s="2">
        <f t="shared" si="52"/>
        <v>6020.8798000000006</v>
      </c>
      <c r="H575" s="2">
        <f t="shared" si="53"/>
        <v>9163779.0556000005</v>
      </c>
    </row>
    <row r="576" spans="1:8" x14ac:dyDescent="0.35">
      <c r="A576" s="2">
        <v>1522</v>
      </c>
      <c r="B576" s="2">
        <v>39451</v>
      </c>
      <c r="C576" s="2">
        <f t="shared" si="48"/>
        <v>3.9451000000000001</v>
      </c>
      <c r="D576" s="2">
        <f t="shared" si="49"/>
        <v>2316484</v>
      </c>
      <c r="E576" s="2">
        <f t="shared" si="50"/>
        <v>3525688648</v>
      </c>
      <c r="F576" s="2">
        <f t="shared" si="51"/>
        <v>5366098122256</v>
      </c>
      <c r="G576" s="2">
        <f t="shared" si="52"/>
        <v>6004.4422000000004</v>
      </c>
      <c r="H576" s="2">
        <f t="shared" si="53"/>
        <v>9138761.0284000002</v>
      </c>
    </row>
    <row r="577" spans="1:8" x14ac:dyDescent="0.35">
      <c r="A577" s="2">
        <v>1522</v>
      </c>
      <c r="B577" s="2">
        <v>43077</v>
      </c>
      <c r="C577" s="2">
        <f t="shared" si="48"/>
        <v>4.3076999999999996</v>
      </c>
      <c r="D577" s="2">
        <f t="shared" si="49"/>
        <v>2316484</v>
      </c>
      <c r="E577" s="2">
        <f t="shared" si="50"/>
        <v>3525688648</v>
      </c>
      <c r="F577" s="2">
        <f t="shared" si="51"/>
        <v>5366098122256</v>
      </c>
      <c r="G577" s="2">
        <f t="shared" si="52"/>
        <v>6556.3193999999994</v>
      </c>
      <c r="H577" s="2">
        <f t="shared" si="53"/>
        <v>9978718.1267999988</v>
      </c>
    </row>
    <row r="578" spans="1:8" x14ac:dyDescent="0.35">
      <c r="A578" s="2">
        <v>1522</v>
      </c>
      <c r="B578" s="2">
        <v>41734</v>
      </c>
      <c r="C578" s="2">
        <f t="shared" si="48"/>
        <v>4.1734</v>
      </c>
      <c r="D578" s="2">
        <f t="shared" si="49"/>
        <v>2316484</v>
      </c>
      <c r="E578" s="2">
        <f t="shared" si="50"/>
        <v>3525688648</v>
      </c>
      <c r="F578" s="2">
        <f t="shared" si="51"/>
        <v>5366098122256</v>
      </c>
      <c r="G578" s="2">
        <f t="shared" si="52"/>
        <v>6351.9147999999996</v>
      </c>
      <c r="H578" s="2">
        <f t="shared" si="53"/>
        <v>9667614.3256000001</v>
      </c>
    </row>
    <row r="579" spans="1:8" x14ac:dyDescent="0.35">
      <c r="A579" s="2">
        <v>1522</v>
      </c>
      <c r="B579" s="2">
        <v>39366</v>
      </c>
      <c r="C579" s="2">
        <f t="shared" ref="C579:C642" si="54">B579/10000</f>
        <v>3.9365999999999999</v>
      </c>
      <c r="D579" s="2">
        <f t="shared" ref="D579:D642" si="55">A579^2</f>
        <v>2316484</v>
      </c>
      <c r="E579" s="2">
        <f t="shared" ref="E579:E642" si="56">A579^3</f>
        <v>3525688648</v>
      </c>
      <c r="F579" s="2">
        <f t="shared" ref="F579:F642" si="57">A579^4</f>
        <v>5366098122256</v>
      </c>
      <c r="G579" s="2">
        <f t="shared" ref="G579:G642" si="58">A579*C579</f>
        <v>5991.5051999999996</v>
      </c>
      <c r="H579" s="2">
        <f t="shared" ref="H579:H642" si="59">D579*C579</f>
        <v>9119070.9144000001</v>
      </c>
    </row>
    <row r="580" spans="1:8" x14ac:dyDescent="0.35">
      <c r="A580" s="2">
        <v>1522</v>
      </c>
      <c r="B580" s="2">
        <v>42044</v>
      </c>
      <c r="C580" s="2">
        <f t="shared" si="54"/>
        <v>4.2043999999999997</v>
      </c>
      <c r="D580" s="2">
        <f t="shared" si="55"/>
        <v>2316484</v>
      </c>
      <c r="E580" s="2">
        <f t="shared" si="56"/>
        <v>3525688648</v>
      </c>
      <c r="F580" s="2">
        <f t="shared" si="57"/>
        <v>5366098122256</v>
      </c>
      <c r="G580" s="2">
        <f t="shared" si="58"/>
        <v>6399.0967999999993</v>
      </c>
      <c r="H580" s="2">
        <f t="shared" si="59"/>
        <v>9739425.3295999989</v>
      </c>
    </row>
    <row r="581" spans="1:8" x14ac:dyDescent="0.35">
      <c r="A581" s="2">
        <v>1522</v>
      </c>
      <c r="B581" s="2">
        <v>44921</v>
      </c>
      <c r="C581" s="2">
        <f t="shared" si="54"/>
        <v>4.4920999999999998</v>
      </c>
      <c r="D581" s="2">
        <f t="shared" si="55"/>
        <v>2316484</v>
      </c>
      <c r="E581" s="2">
        <f t="shared" si="56"/>
        <v>3525688648</v>
      </c>
      <c r="F581" s="2">
        <f t="shared" si="57"/>
        <v>5366098122256</v>
      </c>
      <c r="G581" s="2">
        <f t="shared" si="58"/>
        <v>6836.9762000000001</v>
      </c>
      <c r="H581" s="2">
        <f t="shared" si="59"/>
        <v>10405877.7764</v>
      </c>
    </row>
    <row r="582" spans="1:8" x14ac:dyDescent="0.35">
      <c r="A582" s="2">
        <v>1522</v>
      </c>
      <c r="B582" s="2">
        <v>43834</v>
      </c>
      <c r="C582" s="2">
        <f t="shared" si="54"/>
        <v>4.3834</v>
      </c>
      <c r="D582" s="2">
        <f t="shared" si="55"/>
        <v>2316484</v>
      </c>
      <c r="E582" s="2">
        <f t="shared" si="56"/>
        <v>3525688648</v>
      </c>
      <c r="F582" s="2">
        <f t="shared" si="57"/>
        <v>5366098122256</v>
      </c>
      <c r="G582" s="2">
        <f t="shared" si="58"/>
        <v>6671.5348000000004</v>
      </c>
      <c r="H582" s="2">
        <f t="shared" si="59"/>
        <v>10154075.965600001</v>
      </c>
    </row>
    <row r="583" spans="1:8" x14ac:dyDescent="0.35">
      <c r="A583" s="2">
        <v>1522</v>
      </c>
      <c r="B583" s="2">
        <v>43000</v>
      </c>
      <c r="C583" s="2">
        <f t="shared" si="54"/>
        <v>4.3</v>
      </c>
      <c r="D583" s="2">
        <f t="shared" si="55"/>
        <v>2316484</v>
      </c>
      <c r="E583" s="2">
        <f t="shared" si="56"/>
        <v>3525688648</v>
      </c>
      <c r="F583" s="2">
        <f t="shared" si="57"/>
        <v>5366098122256</v>
      </c>
      <c r="G583" s="2">
        <f t="shared" si="58"/>
        <v>6544.5999999999995</v>
      </c>
      <c r="H583" s="2">
        <f t="shared" si="59"/>
        <v>9960881.1999999993</v>
      </c>
    </row>
    <row r="584" spans="1:8" x14ac:dyDescent="0.35">
      <c r="A584" s="2">
        <v>1522</v>
      </c>
      <c r="B584" s="2">
        <v>47704</v>
      </c>
      <c r="C584" s="2">
        <f t="shared" si="54"/>
        <v>4.7704000000000004</v>
      </c>
      <c r="D584" s="2">
        <f t="shared" si="55"/>
        <v>2316484</v>
      </c>
      <c r="E584" s="2">
        <f t="shared" si="56"/>
        <v>3525688648</v>
      </c>
      <c r="F584" s="2">
        <f t="shared" si="57"/>
        <v>5366098122256</v>
      </c>
      <c r="G584" s="2">
        <f t="shared" si="58"/>
        <v>7260.5488000000005</v>
      </c>
      <c r="H584" s="2">
        <f t="shared" si="59"/>
        <v>11050555.273600001</v>
      </c>
    </row>
    <row r="585" spans="1:8" x14ac:dyDescent="0.35">
      <c r="A585" s="2">
        <v>1522</v>
      </c>
      <c r="B585" s="2">
        <v>36336</v>
      </c>
      <c r="C585" s="2">
        <f t="shared" si="54"/>
        <v>3.6335999999999999</v>
      </c>
      <c r="D585" s="2">
        <f t="shared" si="55"/>
        <v>2316484</v>
      </c>
      <c r="E585" s="2">
        <f t="shared" si="56"/>
        <v>3525688648</v>
      </c>
      <c r="F585" s="2">
        <f t="shared" si="57"/>
        <v>5366098122256</v>
      </c>
      <c r="G585" s="2">
        <f t="shared" si="58"/>
        <v>5530.3392000000003</v>
      </c>
      <c r="H585" s="2">
        <f t="shared" si="59"/>
        <v>8417176.2623999994</v>
      </c>
    </row>
    <row r="586" spans="1:8" x14ac:dyDescent="0.35">
      <c r="A586" s="2">
        <v>1522</v>
      </c>
      <c r="B586" s="2">
        <v>39089</v>
      </c>
      <c r="C586" s="2">
        <f t="shared" si="54"/>
        <v>3.9089</v>
      </c>
      <c r="D586" s="2">
        <f t="shared" si="55"/>
        <v>2316484</v>
      </c>
      <c r="E586" s="2">
        <f t="shared" si="56"/>
        <v>3525688648</v>
      </c>
      <c r="F586" s="2">
        <f t="shared" si="57"/>
        <v>5366098122256</v>
      </c>
      <c r="G586" s="2">
        <f t="shared" si="58"/>
        <v>5949.3458000000001</v>
      </c>
      <c r="H586" s="2">
        <f t="shared" si="59"/>
        <v>9054904.3076000009</v>
      </c>
    </row>
    <row r="587" spans="1:8" x14ac:dyDescent="0.35">
      <c r="A587" s="2">
        <v>1522</v>
      </c>
      <c r="B587" s="2">
        <v>41508</v>
      </c>
      <c r="C587" s="2">
        <f t="shared" si="54"/>
        <v>4.1508000000000003</v>
      </c>
      <c r="D587" s="2">
        <f t="shared" si="55"/>
        <v>2316484</v>
      </c>
      <c r="E587" s="2">
        <f t="shared" si="56"/>
        <v>3525688648</v>
      </c>
      <c r="F587" s="2">
        <f t="shared" si="57"/>
        <v>5366098122256</v>
      </c>
      <c r="G587" s="2">
        <f t="shared" si="58"/>
        <v>6317.5176000000001</v>
      </c>
      <c r="H587" s="2">
        <f t="shared" si="59"/>
        <v>9615261.7872000001</v>
      </c>
    </row>
    <row r="588" spans="1:8" x14ac:dyDescent="0.35">
      <c r="A588" s="2">
        <v>1522</v>
      </c>
      <c r="B588" s="2">
        <v>52414</v>
      </c>
      <c r="C588" s="2">
        <f t="shared" si="54"/>
        <v>5.2413999999999996</v>
      </c>
      <c r="D588" s="2">
        <f t="shared" si="55"/>
        <v>2316484</v>
      </c>
      <c r="E588" s="2">
        <f t="shared" si="56"/>
        <v>3525688648</v>
      </c>
      <c r="F588" s="2">
        <f t="shared" si="57"/>
        <v>5366098122256</v>
      </c>
      <c r="G588" s="2">
        <f t="shared" si="58"/>
        <v>7977.4107999999997</v>
      </c>
      <c r="H588" s="2">
        <f t="shared" si="59"/>
        <v>12141619.237599999</v>
      </c>
    </row>
    <row r="589" spans="1:8" x14ac:dyDescent="0.35">
      <c r="A589" s="2">
        <v>1522</v>
      </c>
      <c r="B589" s="2">
        <v>50179</v>
      </c>
      <c r="C589" s="2">
        <f t="shared" si="54"/>
        <v>5.0179</v>
      </c>
      <c r="D589" s="2">
        <f t="shared" si="55"/>
        <v>2316484</v>
      </c>
      <c r="E589" s="2">
        <f t="shared" si="56"/>
        <v>3525688648</v>
      </c>
      <c r="F589" s="2">
        <f t="shared" si="57"/>
        <v>5366098122256</v>
      </c>
      <c r="G589" s="2">
        <f t="shared" si="58"/>
        <v>7637.2438000000002</v>
      </c>
      <c r="H589" s="2">
        <f t="shared" si="59"/>
        <v>11623885.0636</v>
      </c>
    </row>
    <row r="590" spans="1:8" x14ac:dyDescent="0.35">
      <c r="A590" s="2">
        <v>1522</v>
      </c>
      <c r="B590" s="2">
        <v>50724</v>
      </c>
      <c r="C590" s="2">
        <f t="shared" si="54"/>
        <v>5.0724</v>
      </c>
      <c r="D590" s="2">
        <f t="shared" si="55"/>
        <v>2316484</v>
      </c>
      <c r="E590" s="2">
        <f t="shared" si="56"/>
        <v>3525688648</v>
      </c>
      <c r="F590" s="2">
        <f t="shared" si="57"/>
        <v>5366098122256</v>
      </c>
      <c r="G590" s="2">
        <f t="shared" si="58"/>
        <v>7720.1927999999998</v>
      </c>
      <c r="H590" s="2">
        <f t="shared" si="59"/>
        <v>11750133.4416</v>
      </c>
    </row>
    <row r="591" spans="1:8" x14ac:dyDescent="0.35">
      <c r="A591" s="2">
        <v>1522</v>
      </c>
      <c r="B591" s="2">
        <v>47898</v>
      </c>
      <c r="C591" s="2">
        <f t="shared" si="54"/>
        <v>4.7897999999999996</v>
      </c>
      <c r="D591" s="2">
        <f t="shared" si="55"/>
        <v>2316484</v>
      </c>
      <c r="E591" s="2">
        <f t="shared" si="56"/>
        <v>3525688648</v>
      </c>
      <c r="F591" s="2">
        <f t="shared" si="57"/>
        <v>5366098122256</v>
      </c>
      <c r="G591" s="2">
        <f t="shared" si="58"/>
        <v>7290.0755999999992</v>
      </c>
      <c r="H591" s="2">
        <f t="shared" si="59"/>
        <v>11095495.063199999</v>
      </c>
    </row>
    <row r="592" spans="1:8" x14ac:dyDescent="0.35">
      <c r="A592" s="2">
        <v>1522</v>
      </c>
      <c r="B592" s="2">
        <v>46677</v>
      </c>
      <c r="C592" s="2">
        <f t="shared" si="54"/>
        <v>4.6677</v>
      </c>
      <c r="D592" s="2">
        <f t="shared" si="55"/>
        <v>2316484</v>
      </c>
      <c r="E592" s="2">
        <f t="shared" si="56"/>
        <v>3525688648</v>
      </c>
      <c r="F592" s="2">
        <f t="shared" si="57"/>
        <v>5366098122256</v>
      </c>
      <c r="G592" s="2">
        <f t="shared" si="58"/>
        <v>7104.2394000000004</v>
      </c>
      <c r="H592" s="2">
        <f t="shared" si="59"/>
        <v>10812652.366799999</v>
      </c>
    </row>
    <row r="593" spans="1:8" x14ac:dyDescent="0.35">
      <c r="A593" s="2">
        <v>1522</v>
      </c>
      <c r="B593" s="2">
        <v>57296</v>
      </c>
      <c r="C593" s="2">
        <f t="shared" si="54"/>
        <v>5.7295999999999996</v>
      </c>
      <c r="D593" s="2">
        <f t="shared" si="55"/>
        <v>2316484</v>
      </c>
      <c r="E593" s="2">
        <f t="shared" si="56"/>
        <v>3525688648</v>
      </c>
      <c r="F593" s="2">
        <f t="shared" si="57"/>
        <v>5366098122256</v>
      </c>
      <c r="G593" s="2">
        <f t="shared" si="58"/>
        <v>8720.4511999999995</v>
      </c>
      <c r="H593" s="2">
        <f t="shared" si="59"/>
        <v>13272526.726399999</v>
      </c>
    </row>
    <row r="594" spans="1:8" x14ac:dyDescent="0.35">
      <c r="A594" s="2">
        <v>1522</v>
      </c>
      <c r="B594" s="2">
        <v>50663</v>
      </c>
      <c r="C594" s="2">
        <f t="shared" si="54"/>
        <v>5.0663</v>
      </c>
      <c r="D594" s="2">
        <f t="shared" si="55"/>
        <v>2316484</v>
      </c>
      <c r="E594" s="2">
        <f t="shared" si="56"/>
        <v>3525688648</v>
      </c>
      <c r="F594" s="2">
        <f t="shared" si="57"/>
        <v>5366098122256</v>
      </c>
      <c r="G594" s="2">
        <f t="shared" si="58"/>
        <v>7710.9085999999998</v>
      </c>
      <c r="H594" s="2">
        <f t="shared" si="59"/>
        <v>11736002.8892</v>
      </c>
    </row>
    <row r="595" spans="1:8" x14ac:dyDescent="0.35">
      <c r="A595" s="2">
        <v>1522</v>
      </c>
      <c r="B595" s="2">
        <v>57920</v>
      </c>
      <c r="C595" s="2">
        <f t="shared" si="54"/>
        <v>5.7919999999999998</v>
      </c>
      <c r="D595" s="2">
        <f t="shared" si="55"/>
        <v>2316484</v>
      </c>
      <c r="E595" s="2">
        <f t="shared" si="56"/>
        <v>3525688648</v>
      </c>
      <c r="F595" s="2">
        <f t="shared" si="57"/>
        <v>5366098122256</v>
      </c>
      <c r="G595" s="2">
        <f t="shared" si="58"/>
        <v>8815.4239999999991</v>
      </c>
      <c r="H595" s="2">
        <f t="shared" si="59"/>
        <v>13417075.328</v>
      </c>
    </row>
    <row r="596" spans="1:8" x14ac:dyDescent="0.35">
      <c r="A596" s="2">
        <v>1522</v>
      </c>
      <c r="B596" s="2">
        <v>53763</v>
      </c>
      <c r="C596" s="2">
        <f t="shared" si="54"/>
        <v>5.3762999999999996</v>
      </c>
      <c r="D596" s="2">
        <f t="shared" si="55"/>
        <v>2316484</v>
      </c>
      <c r="E596" s="2">
        <f t="shared" si="56"/>
        <v>3525688648</v>
      </c>
      <c r="F596" s="2">
        <f t="shared" si="57"/>
        <v>5366098122256</v>
      </c>
      <c r="G596" s="2">
        <f t="shared" si="58"/>
        <v>8182.7285999999995</v>
      </c>
      <c r="H596" s="2">
        <f t="shared" si="59"/>
        <v>12454112.929199999</v>
      </c>
    </row>
    <row r="597" spans="1:8" x14ac:dyDescent="0.35">
      <c r="A597" s="2">
        <v>1522</v>
      </c>
      <c r="B597" s="2">
        <v>38599</v>
      </c>
      <c r="C597" s="2">
        <f t="shared" si="54"/>
        <v>3.8599000000000001</v>
      </c>
      <c r="D597" s="2">
        <f t="shared" si="55"/>
        <v>2316484</v>
      </c>
      <c r="E597" s="2">
        <f t="shared" si="56"/>
        <v>3525688648</v>
      </c>
      <c r="F597" s="2">
        <f t="shared" si="57"/>
        <v>5366098122256</v>
      </c>
      <c r="G597" s="2">
        <f t="shared" si="58"/>
        <v>5874.7678000000005</v>
      </c>
      <c r="H597" s="2">
        <f t="shared" si="59"/>
        <v>8941396.5916000009</v>
      </c>
    </row>
    <row r="598" spans="1:8" x14ac:dyDescent="0.35">
      <c r="A598" s="2">
        <v>1522</v>
      </c>
      <c r="B598" s="2">
        <v>51899</v>
      </c>
      <c r="C598" s="2">
        <f t="shared" si="54"/>
        <v>5.1898999999999997</v>
      </c>
      <c r="D598" s="2">
        <f t="shared" si="55"/>
        <v>2316484</v>
      </c>
      <c r="E598" s="2">
        <f t="shared" si="56"/>
        <v>3525688648</v>
      </c>
      <c r="F598" s="2">
        <f t="shared" si="57"/>
        <v>5366098122256</v>
      </c>
      <c r="G598" s="2">
        <f t="shared" si="58"/>
        <v>7899.0277999999998</v>
      </c>
      <c r="H598" s="2">
        <f t="shared" si="59"/>
        <v>12022320.3116</v>
      </c>
    </row>
    <row r="599" spans="1:8" x14ac:dyDescent="0.35">
      <c r="A599" s="2">
        <v>1522</v>
      </c>
      <c r="B599" s="2">
        <v>62435</v>
      </c>
      <c r="C599" s="2">
        <f t="shared" si="54"/>
        <v>6.2435</v>
      </c>
      <c r="D599" s="2">
        <f t="shared" si="55"/>
        <v>2316484</v>
      </c>
      <c r="E599" s="2">
        <f t="shared" si="56"/>
        <v>3525688648</v>
      </c>
      <c r="F599" s="2">
        <f t="shared" si="57"/>
        <v>5366098122256</v>
      </c>
      <c r="G599" s="2">
        <f t="shared" si="58"/>
        <v>9502.607</v>
      </c>
      <c r="H599" s="2">
        <f t="shared" si="59"/>
        <v>14462967.854</v>
      </c>
    </row>
    <row r="600" spans="1:8" x14ac:dyDescent="0.35">
      <c r="A600" s="2">
        <v>1522</v>
      </c>
      <c r="B600" s="2">
        <v>62051</v>
      </c>
      <c r="C600" s="2">
        <f t="shared" si="54"/>
        <v>6.2050999999999998</v>
      </c>
      <c r="D600" s="2">
        <f t="shared" si="55"/>
        <v>2316484</v>
      </c>
      <c r="E600" s="2">
        <f t="shared" si="56"/>
        <v>3525688648</v>
      </c>
      <c r="F600" s="2">
        <f t="shared" si="57"/>
        <v>5366098122256</v>
      </c>
      <c r="G600" s="2">
        <f t="shared" si="58"/>
        <v>9444.1621999999988</v>
      </c>
      <c r="H600" s="2">
        <f t="shared" si="59"/>
        <v>14374014.8684</v>
      </c>
    </row>
    <row r="601" spans="1:8" x14ac:dyDescent="0.35">
      <c r="A601" s="2">
        <v>1522</v>
      </c>
      <c r="B601" s="2">
        <v>60221</v>
      </c>
      <c r="C601" s="2">
        <f t="shared" si="54"/>
        <v>6.0221</v>
      </c>
      <c r="D601" s="2">
        <f t="shared" si="55"/>
        <v>2316484</v>
      </c>
      <c r="E601" s="2">
        <f t="shared" si="56"/>
        <v>3525688648</v>
      </c>
      <c r="F601" s="2">
        <f t="shared" si="57"/>
        <v>5366098122256</v>
      </c>
      <c r="G601" s="2">
        <f t="shared" si="58"/>
        <v>9165.6362000000008</v>
      </c>
      <c r="H601" s="2">
        <f t="shared" si="59"/>
        <v>13950098.296399999</v>
      </c>
    </row>
    <row r="602" spans="1:8" x14ac:dyDescent="0.35">
      <c r="A602" s="2">
        <v>1522</v>
      </c>
      <c r="B602" s="2">
        <v>68972</v>
      </c>
      <c r="C602" s="2">
        <f t="shared" si="54"/>
        <v>6.8971999999999998</v>
      </c>
      <c r="D602" s="2">
        <f t="shared" si="55"/>
        <v>2316484</v>
      </c>
      <c r="E602" s="2">
        <f t="shared" si="56"/>
        <v>3525688648</v>
      </c>
      <c r="F602" s="2">
        <f t="shared" si="57"/>
        <v>5366098122256</v>
      </c>
      <c r="G602" s="2">
        <f t="shared" si="58"/>
        <v>10497.538399999999</v>
      </c>
      <c r="H602" s="2">
        <f t="shared" si="59"/>
        <v>15977253.444799999</v>
      </c>
    </row>
    <row r="603" spans="1:8" x14ac:dyDescent="0.35">
      <c r="A603" s="2">
        <v>1522</v>
      </c>
      <c r="B603" s="2">
        <v>65564</v>
      </c>
      <c r="C603" s="2">
        <f t="shared" si="54"/>
        <v>6.5564</v>
      </c>
      <c r="D603" s="2">
        <f t="shared" si="55"/>
        <v>2316484</v>
      </c>
      <c r="E603" s="2">
        <f t="shared" si="56"/>
        <v>3525688648</v>
      </c>
      <c r="F603" s="2">
        <f t="shared" si="57"/>
        <v>5366098122256</v>
      </c>
      <c r="G603" s="2">
        <f t="shared" si="58"/>
        <v>9978.8407999999999</v>
      </c>
      <c r="H603" s="2">
        <f t="shared" si="59"/>
        <v>15187795.6976</v>
      </c>
    </row>
    <row r="604" spans="1:8" x14ac:dyDescent="0.35">
      <c r="A604" s="2">
        <v>645</v>
      </c>
      <c r="B604" s="2">
        <v>52498</v>
      </c>
      <c r="C604" s="2">
        <f t="shared" si="54"/>
        <v>5.2497999999999996</v>
      </c>
      <c r="D604" s="2">
        <f t="shared" si="55"/>
        <v>416025</v>
      </c>
      <c r="E604" s="2">
        <f t="shared" si="56"/>
        <v>268336125</v>
      </c>
      <c r="F604" s="2">
        <f t="shared" si="57"/>
        <v>173076800625</v>
      </c>
      <c r="G604" s="2">
        <f t="shared" si="58"/>
        <v>3386.1209999999996</v>
      </c>
      <c r="H604" s="2">
        <f t="shared" si="59"/>
        <v>2184048.0449999999</v>
      </c>
    </row>
    <row r="605" spans="1:8" x14ac:dyDescent="0.35">
      <c r="A605" s="2">
        <v>645</v>
      </c>
      <c r="B605" s="2">
        <v>53272</v>
      </c>
      <c r="C605" s="2">
        <f t="shared" si="54"/>
        <v>5.3272000000000004</v>
      </c>
      <c r="D605" s="2">
        <f t="shared" si="55"/>
        <v>416025</v>
      </c>
      <c r="E605" s="2">
        <f t="shared" si="56"/>
        <v>268336125</v>
      </c>
      <c r="F605" s="2">
        <f t="shared" si="57"/>
        <v>173076800625</v>
      </c>
      <c r="G605" s="2">
        <f t="shared" si="58"/>
        <v>3436.0440000000003</v>
      </c>
      <c r="H605" s="2">
        <f t="shared" si="59"/>
        <v>2216248.3800000004</v>
      </c>
    </row>
    <row r="606" spans="1:8" x14ac:dyDescent="0.35">
      <c r="A606" s="2">
        <v>645</v>
      </c>
      <c r="B606" s="2">
        <v>54035</v>
      </c>
      <c r="C606" s="2">
        <f t="shared" si="54"/>
        <v>5.4035000000000002</v>
      </c>
      <c r="D606" s="2">
        <f t="shared" si="55"/>
        <v>416025</v>
      </c>
      <c r="E606" s="2">
        <f t="shared" si="56"/>
        <v>268336125</v>
      </c>
      <c r="F606" s="2">
        <f t="shared" si="57"/>
        <v>173076800625</v>
      </c>
      <c r="G606" s="2">
        <f t="shared" si="58"/>
        <v>3485.2575000000002</v>
      </c>
      <c r="H606" s="2">
        <f t="shared" si="59"/>
        <v>2247991.0874999999</v>
      </c>
    </row>
    <row r="607" spans="1:8" x14ac:dyDescent="0.35">
      <c r="A607" s="2">
        <v>645</v>
      </c>
      <c r="B607" s="2">
        <v>55005</v>
      </c>
      <c r="C607" s="2">
        <f t="shared" si="54"/>
        <v>5.5004999999999997</v>
      </c>
      <c r="D607" s="2">
        <f t="shared" si="55"/>
        <v>416025</v>
      </c>
      <c r="E607" s="2">
        <f t="shared" si="56"/>
        <v>268336125</v>
      </c>
      <c r="F607" s="2">
        <f t="shared" si="57"/>
        <v>173076800625</v>
      </c>
      <c r="G607" s="2">
        <f t="shared" si="58"/>
        <v>3547.8224999999998</v>
      </c>
      <c r="H607" s="2">
        <f t="shared" si="59"/>
        <v>2288345.5124999997</v>
      </c>
    </row>
    <row r="608" spans="1:8" x14ac:dyDescent="0.35">
      <c r="A608" s="2">
        <v>645</v>
      </c>
      <c r="B608" s="2">
        <v>57166</v>
      </c>
      <c r="C608" s="2">
        <f t="shared" si="54"/>
        <v>5.7165999999999997</v>
      </c>
      <c r="D608" s="2">
        <f t="shared" si="55"/>
        <v>416025</v>
      </c>
      <c r="E608" s="2">
        <f t="shared" si="56"/>
        <v>268336125</v>
      </c>
      <c r="F608" s="2">
        <f t="shared" si="57"/>
        <v>173076800625</v>
      </c>
      <c r="G608" s="2">
        <f t="shared" si="58"/>
        <v>3687.2069999999999</v>
      </c>
      <c r="H608" s="2">
        <f t="shared" si="59"/>
        <v>2378248.5149999997</v>
      </c>
    </row>
    <row r="609" spans="1:8" x14ac:dyDescent="0.35">
      <c r="A609" s="2">
        <v>645</v>
      </c>
      <c r="B609" s="2">
        <v>56369</v>
      </c>
      <c r="C609" s="2">
        <f t="shared" si="54"/>
        <v>5.6368999999999998</v>
      </c>
      <c r="D609" s="2">
        <f t="shared" si="55"/>
        <v>416025</v>
      </c>
      <c r="E609" s="2">
        <f t="shared" si="56"/>
        <v>268336125</v>
      </c>
      <c r="F609" s="2">
        <f t="shared" si="57"/>
        <v>173076800625</v>
      </c>
      <c r="G609" s="2">
        <f t="shared" si="58"/>
        <v>3635.8004999999998</v>
      </c>
      <c r="H609" s="2">
        <f t="shared" si="59"/>
        <v>2345091.3224999998</v>
      </c>
    </row>
    <row r="610" spans="1:8" x14ac:dyDescent="0.35">
      <c r="A610" s="2">
        <v>645</v>
      </c>
      <c r="B610" s="2">
        <v>57959</v>
      </c>
      <c r="C610" s="2">
        <f t="shared" si="54"/>
        <v>5.7958999999999996</v>
      </c>
      <c r="D610" s="2">
        <f t="shared" si="55"/>
        <v>416025</v>
      </c>
      <c r="E610" s="2">
        <f t="shared" si="56"/>
        <v>268336125</v>
      </c>
      <c r="F610" s="2">
        <f t="shared" si="57"/>
        <v>173076800625</v>
      </c>
      <c r="G610" s="2">
        <f t="shared" si="58"/>
        <v>3738.3554999999997</v>
      </c>
      <c r="H610" s="2">
        <f t="shared" si="59"/>
        <v>2411239.2974999999</v>
      </c>
    </row>
    <row r="611" spans="1:8" x14ac:dyDescent="0.35">
      <c r="A611" s="2">
        <v>645</v>
      </c>
      <c r="B611" s="2">
        <v>58462</v>
      </c>
      <c r="C611" s="2">
        <f t="shared" si="54"/>
        <v>5.8461999999999996</v>
      </c>
      <c r="D611" s="2">
        <f t="shared" si="55"/>
        <v>416025</v>
      </c>
      <c r="E611" s="2">
        <f t="shared" si="56"/>
        <v>268336125</v>
      </c>
      <c r="F611" s="2">
        <f t="shared" si="57"/>
        <v>173076800625</v>
      </c>
      <c r="G611" s="2">
        <f t="shared" si="58"/>
        <v>3770.799</v>
      </c>
      <c r="H611" s="2">
        <f t="shared" si="59"/>
        <v>2432165.355</v>
      </c>
    </row>
    <row r="612" spans="1:8" x14ac:dyDescent="0.35">
      <c r="A612" s="2">
        <v>645</v>
      </c>
      <c r="B612" s="2">
        <v>58288</v>
      </c>
      <c r="C612" s="2">
        <f t="shared" si="54"/>
        <v>5.8288000000000002</v>
      </c>
      <c r="D612" s="2">
        <f t="shared" si="55"/>
        <v>416025</v>
      </c>
      <c r="E612" s="2">
        <f t="shared" si="56"/>
        <v>268336125</v>
      </c>
      <c r="F612" s="2">
        <f t="shared" si="57"/>
        <v>173076800625</v>
      </c>
      <c r="G612" s="2">
        <f t="shared" si="58"/>
        <v>3759.576</v>
      </c>
      <c r="H612" s="2">
        <f t="shared" si="59"/>
        <v>2424926.52</v>
      </c>
    </row>
    <row r="613" spans="1:8" x14ac:dyDescent="0.35">
      <c r="A613" s="2">
        <v>645</v>
      </c>
      <c r="B613" s="2">
        <v>60210</v>
      </c>
      <c r="C613" s="2">
        <f t="shared" si="54"/>
        <v>6.0209999999999999</v>
      </c>
      <c r="D613" s="2">
        <f t="shared" si="55"/>
        <v>416025</v>
      </c>
      <c r="E613" s="2">
        <f t="shared" si="56"/>
        <v>268336125</v>
      </c>
      <c r="F613" s="2">
        <f t="shared" si="57"/>
        <v>173076800625</v>
      </c>
      <c r="G613" s="2">
        <f t="shared" si="58"/>
        <v>3883.5450000000001</v>
      </c>
      <c r="H613" s="2">
        <f t="shared" si="59"/>
        <v>2504886.5249999999</v>
      </c>
    </row>
    <row r="614" spans="1:8" x14ac:dyDescent="0.35">
      <c r="A614" s="2">
        <v>645</v>
      </c>
      <c r="B614" s="2">
        <v>62050</v>
      </c>
      <c r="C614" s="2">
        <f t="shared" si="54"/>
        <v>6.2050000000000001</v>
      </c>
      <c r="D614" s="2">
        <f t="shared" si="55"/>
        <v>416025</v>
      </c>
      <c r="E614" s="2">
        <f t="shared" si="56"/>
        <v>268336125</v>
      </c>
      <c r="F614" s="2">
        <f t="shared" si="57"/>
        <v>173076800625</v>
      </c>
      <c r="G614" s="2">
        <f t="shared" si="58"/>
        <v>4002.2249999999999</v>
      </c>
      <c r="H614" s="2">
        <f t="shared" si="59"/>
        <v>2581435.125</v>
      </c>
    </row>
    <row r="615" spans="1:8" x14ac:dyDescent="0.35">
      <c r="A615" s="2">
        <v>645</v>
      </c>
      <c r="B615" s="2">
        <v>63111</v>
      </c>
      <c r="C615" s="2">
        <f t="shared" si="54"/>
        <v>6.3110999999999997</v>
      </c>
      <c r="D615" s="2">
        <f t="shared" si="55"/>
        <v>416025</v>
      </c>
      <c r="E615" s="2">
        <f t="shared" si="56"/>
        <v>268336125</v>
      </c>
      <c r="F615" s="2">
        <f t="shared" si="57"/>
        <v>173076800625</v>
      </c>
      <c r="G615" s="2">
        <f t="shared" si="58"/>
        <v>4070.6594999999998</v>
      </c>
      <c r="H615" s="2">
        <f t="shared" si="59"/>
        <v>2625575.3774999999</v>
      </c>
    </row>
    <row r="616" spans="1:8" x14ac:dyDescent="0.35">
      <c r="A616" s="2">
        <v>645</v>
      </c>
      <c r="B616" s="2">
        <v>63529</v>
      </c>
      <c r="C616" s="2">
        <f t="shared" si="54"/>
        <v>6.3529</v>
      </c>
      <c r="D616" s="2">
        <f t="shared" si="55"/>
        <v>416025</v>
      </c>
      <c r="E616" s="2">
        <f t="shared" si="56"/>
        <v>268336125</v>
      </c>
      <c r="F616" s="2">
        <f t="shared" si="57"/>
        <v>173076800625</v>
      </c>
      <c r="G616" s="2">
        <f t="shared" si="58"/>
        <v>4097.6205</v>
      </c>
      <c r="H616" s="2">
        <f t="shared" si="59"/>
        <v>2642965.2225000001</v>
      </c>
    </row>
    <row r="617" spans="1:8" x14ac:dyDescent="0.35">
      <c r="A617" s="2">
        <v>645</v>
      </c>
      <c r="B617" s="2">
        <v>63344</v>
      </c>
      <c r="C617" s="2">
        <f t="shared" si="54"/>
        <v>6.3343999999999996</v>
      </c>
      <c r="D617" s="2">
        <f t="shared" si="55"/>
        <v>416025</v>
      </c>
      <c r="E617" s="2">
        <f t="shared" si="56"/>
        <v>268336125</v>
      </c>
      <c r="F617" s="2">
        <f t="shared" si="57"/>
        <v>173076800625</v>
      </c>
      <c r="G617" s="2">
        <f t="shared" si="58"/>
        <v>4085.6879999999996</v>
      </c>
      <c r="H617" s="2">
        <f t="shared" si="59"/>
        <v>2635268.7599999998</v>
      </c>
    </row>
    <row r="618" spans="1:8" x14ac:dyDescent="0.35">
      <c r="A618" s="2">
        <v>645</v>
      </c>
      <c r="B618" s="2">
        <v>62642</v>
      </c>
      <c r="C618" s="2">
        <f t="shared" si="54"/>
        <v>6.2641999999999998</v>
      </c>
      <c r="D618" s="2">
        <f t="shared" si="55"/>
        <v>416025</v>
      </c>
      <c r="E618" s="2">
        <f t="shared" si="56"/>
        <v>268336125</v>
      </c>
      <c r="F618" s="2">
        <f t="shared" si="57"/>
        <v>173076800625</v>
      </c>
      <c r="G618" s="2">
        <f t="shared" si="58"/>
        <v>4040.4089999999997</v>
      </c>
      <c r="H618" s="2">
        <f t="shared" si="59"/>
        <v>2606063.8049999997</v>
      </c>
    </row>
    <row r="619" spans="1:8" x14ac:dyDescent="0.35">
      <c r="A619" s="2">
        <v>645</v>
      </c>
      <c r="B619" s="2">
        <v>61524</v>
      </c>
      <c r="C619" s="2">
        <f t="shared" si="54"/>
        <v>6.1524000000000001</v>
      </c>
      <c r="D619" s="2">
        <f t="shared" si="55"/>
        <v>416025</v>
      </c>
      <c r="E619" s="2">
        <f t="shared" si="56"/>
        <v>268336125</v>
      </c>
      <c r="F619" s="2">
        <f t="shared" si="57"/>
        <v>173076800625</v>
      </c>
      <c r="G619" s="2">
        <f t="shared" si="58"/>
        <v>3968.2980000000002</v>
      </c>
      <c r="H619" s="2">
        <f t="shared" si="59"/>
        <v>2559552.21</v>
      </c>
    </row>
    <row r="620" spans="1:8" x14ac:dyDescent="0.35">
      <c r="A620" s="2">
        <v>645</v>
      </c>
      <c r="B620" s="2">
        <v>61855</v>
      </c>
      <c r="C620" s="2">
        <f t="shared" si="54"/>
        <v>6.1855000000000002</v>
      </c>
      <c r="D620" s="2">
        <f t="shared" si="55"/>
        <v>416025</v>
      </c>
      <c r="E620" s="2">
        <f t="shared" si="56"/>
        <v>268336125</v>
      </c>
      <c r="F620" s="2">
        <f t="shared" si="57"/>
        <v>173076800625</v>
      </c>
      <c r="G620" s="2">
        <f t="shared" si="58"/>
        <v>3989.6475</v>
      </c>
      <c r="H620" s="2">
        <f t="shared" si="59"/>
        <v>2573322.6375000002</v>
      </c>
    </row>
    <row r="621" spans="1:8" x14ac:dyDescent="0.35">
      <c r="A621" s="2">
        <v>645</v>
      </c>
      <c r="B621" s="2">
        <v>63085</v>
      </c>
      <c r="C621" s="2">
        <f t="shared" si="54"/>
        <v>6.3085000000000004</v>
      </c>
      <c r="D621" s="2">
        <f t="shared" si="55"/>
        <v>416025</v>
      </c>
      <c r="E621" s="2">
        <f t="shared" si="56"/>
        <v>268336125</v>
      </c>
      <c r="F621" s="2">
        <f t="shared" si="57"/>
        <v>173076800625</v>
      </c>
      <c r="G621" s="2">
        <f t="shared" si="58"/>
        <v>4068.9825000000001</v>
      </c>
      <c r="H621" s="2">
        <f t="shared" si="59"/>
        <v>2624493.7125000004</v>
      </c>
    </row>
    <row r="622" spans="1:8" x14ac:dyDescent="0.35">
      <c r="A622" s="2">
        <v>645</v>
      </c>
      <c r="B622" s="2">
        <v>62527</v>
      </c>
      <c r="C622" s="2">
        <f t="shared" si="54"/>
        <v>6.2526999999999999</v>
      </c>
      <c r="D622" s="2">
        <f t="shared" si="55"/>
        <v>416025</v>
      </c>
      <c r="E622" s="2">
        <f t="shared" si="56"/>
        <v>268336125</v>
      </c>
      <c r="F622" s="2">
        <f t="shared" si="57"/>
        <v>173076800625</v>
      </c>
      <c r="G622" s="2">
        <f t="shared" si="58"/>
        <v>4032.9915000000001</v>
      </c>
      <c r="H622" s="2">
        <f t="shared" si="59"/>
        <v>2601279.5175000001</v>
      </c>
    </row>
    <row r="623" spans="1:8" x14ac:dyDescent="0.35">
      <c r="A623" s="2">
        <v>645</v>
      </c>
      <c r="B623" s="2">
        <v>62763</v>
      </c>
      <c r="C623" s="2">
        <f t="shared" si="54"/>
        <v>6.2763</v>
      </c>
      <c r="D623" s="2">
        <f t="shared" si="55"/>
        <v>416025</v>
      </c>
      <c r="E623" s="2">
        <f t="shared" si="56"/>
        <v>268336125</v>
      </c>
      <c r="F623" s="2">
        <f t="shared" si="57"/>
        <v>173076800625</v>
      </c>
      <c r="G623" s="2">
        <f t="shared" si="58"/>
        <v>4048.2134999999998</v>
      </c>
      <c r="H623" s="2">
        <f t="shared" si="59"/>
        <v>2611097.7075</v>
      </c>
    </row>
    <row r="624" spans="1:8" x14ac:dyDescent="0.35">
      <c r="A624" s="2">
        <v>645</v>
      </c>
      <c r="B624" s="2">
        <v>64223</v>
      </c>
      <c r="C624" s="2">
        <f t="shared" si="54"/>
        <v>6.4222999999999999</v>
      </c>
      <c r="D624" s="2">
        <f t="shared" si="55"/>
        <v>416025</v>
      </c>
      <c r="E624" s="2">
        <f t="shared" si="56"/>
        <v>268336125</v>
      </c>
      <c r="F624" s="2">
        <f t="shared" si="57"/>
        <v>173076800625</v>
      </c>
      <c r="G624" s="2">
        <f t="shared" si="58"/>
        <v>4142.3834999999999</v>
      </c>
      <c r="H624" s="2">
        <f t="shared" si="59"/>
        <v>2671837.3574999999</v>
      </c>
    </row>
    <row r="625" spans="1:8" x14ac:dyDescent="0.35">
      <c r="A625" s="2">
        <v>645</v>
      </c>
      <c r="B625" s="2">
        <v>65558</v>
      </c>
      <c r="C625" s="2">
        <f t="shared" si="54"/>
        <v>6.5557999999999996</v>
      </c>
      <c r="D625" s="2">
        <f t="shared" si="55"/>
        <v>416025</v>
      </c>
      <c r="E625" s="2">
        <f t="shared" si="56"/>
        <v>268336125</v>
      </c>
      <c r="F625" s="2">
        <f t="shared" si="57"/>
        <v>173076800625</v>
      </c>
      <c r="G625" s="2">
        <f t="shared" si="58"/>
        <v>4228.491</v>
      </c>
      <c r="H625" s="2">
        <f t="shared" si="59"/>
        <v>2727376.6949999998</v>
      </c>
    </row>
    <row r="626" spans="1:8" x14ac:dyDescent="0.35">
      <c r="A626" s="2">
        <v>645</v>
      </c>
      <c r="B626" s="2">
        <v>65820</v>
      </c>
      <c r="C626" s="2">
        <f t="shared" si="54"/>
        <v>6.5819999999999999</v>
      </c>
      <c r="D626" s="2">
        <f t="shared" si="55"/>
        <v>416025</v>
      </c>
      <c r="E626" s="2">
        <f t="shared" si="56"/>
        <v>268336125</v>
      </c>
      <c r="F626" s="2">
        <f t="shared" si="57"/>
        <v>173076800625</v>
      </c>
      <c r="G626" s="2">
        <f t="shared" si="58"/>
        <v>4245.3900000000003</v>
      </c>
      <c r="H626" s="2">
        <f t="shared" si="59"/>
        <v>2738276.55</v>
      </c>
    </row>
    <row r="627" spans="1:8" x14ac:dyDescent="0.35">
      <c r="A627" s="2">
        <v>645</v>
      </c>
      <c r="B627" s="2">
        <v>65481</v>
      </c>
      <c r="C627" s="2">
        <f t="shared" si="54"/>
        <v>6.5480999999999998</v>
      </c>
      <c r="D627" s="2">
        <f t="shared" si="55"/>
        <v>416025</v>
      </c>
      <c r="E627" s="2">
        <f t="shared" si="56"/>
        <v>268336125</v>
      </c>
      <c r="F627" s="2">
        <f t="shared" si="57"/>
        <v>173076800625</v>
      </c>
      <c r="G627" s="2">
        <f t="shared" si="58"/>
        <v>4223.5244999999995</v>
      </c>
      <c r="H627" s="2">
        <f t="shared" si="59"/>
        <v>2724173.3024999998</v>
      </c>
    </row>
    <row r="628" spans="1:8" x14ac:dyDescent="0.35">
      <c r="A628" s="2">
        <v>645</v>
      </c>
      <c r="B628" s="2">
        <v>66862</v>
      </c>
      <c r="C628" s="2">
        <f t="shared" si="54"/>
        <v>6.6862000000000004</v>
      </c>
      <c r="D628" s="2">
        <f t="shared" si="55"/>
        <v>416025</v>
      </c>
      <c r="E628" s="2">
        <f t="shared" si="56"/>
        <v>268336125</v>
      </c>
      <c r="F628" s="2">
        <f t="shared" si="57"/>
        <v>173076800625</v>
      </c>
      <c r="G628" s="2">
        <f t="shared" si="58"/>
        <v>4312.5990000000002</v>
      </c>
      <c r="H628" s="2">
        <f t="shared" si="59"/>
        <v>2781626.355</v>
      </c>
    </row>
    <row r="629" spans="1:8" x14ac:dyDescent="0.35">
      <c r="A629" s="2">
        <v>645</v>
      </c>
      <c r="B629" s="2">
        <v>67747</v>
      </c>
      <c r="C629" s="2">
        <f t="shared" si="54"/>
        <v>6.7747000000000002</v>
      </c>
      <c r="D629" s="2">
        <f t="shared" si="55"/>
        <v>416025</v>
      </c>
      <c r="E629" s="2">
        <f t="shared" si="56"/>
        <v>268336125</v>
      </c>
      <c r="F629" s="2">
        <f t="shared" si="57"/>
        <v>173076800625</v>
      </c>
      <c r="G629" s="2">
        <f t="shared" si="58"/>
        <v>4369.6814999999997</v>
      </c>
      <c r="H629" s="2">
        <f t="shared" si="59"/>
        <v>2818444.5674999999</v>
      </c>
    </row>
    <row r="630" spans="1:8" x14ac:dyDescent="0.35">
      <c r="A630" s="2">
        <v>645</v>
      </c>
      <c r="B630" s="2">
        <v>67099</v>
      </c>
      <c r="C630" s="2">
        <f t="shared" si="54"/>
        <v>6.7099000000000002</v>
      </c>
      <c r="D630" s="2">
        <f t="shared" si="55"/>
        <v>416025</v>
      </c>
      <c r="E630" s="2">
        <f t="shared" si="56"/>
        <v>268336125</v>
      </c>
      <c r="F630" s="2">
        <f t="shared" si="57"/>
        <v>173076800625</v>
      </c>
      <c r="G630" s="2">
        <f t="shared" si="58"/>
        <v>4327.8855000000003</v>
      </c>
      <c r="H630" s="2">
        <f t="shared" si="59"/>
        <v>2791486.1475</v>
      </c>
    </row>
    <row r="631" spans="1:8" x14ac:dyDescent="0.35">
      <c r="A631" s="2">
        <v>645</v>
      </c>
      <c r="B631" s="2">
        <v>68095</v>
      </c>
      <c r="C631" s="2">
        <f t="shared" si="54"/>
        <v>6.8094999999999999</v>
      </c>
      <c r="D631" s="2">
        <f t="shared" si="55"/>
        <v>416025</v>
      </c>
      <c r="E631" s="2">
        <f t="shared" si="56"/>
        <v>268336125</v>
      </c>
      <c r="F631" s="2">
        <f t="shared" si="57"/>
        <v>173076800625</v>
      </c>
      <c r="G631" s="2">
        <f t="shared" si="58"/>
        <v>4392.1274999999996</v>
      </c>
      <c r="H631" s="2">
        <f t="shared" si="59"/>
        <v>2832922.2374999998</v>
      </c>
    </row>
    <row r="632" spans="1:8" x14ac:dyDescent="0.35">
      <c r="A632" s="2">
        <v>645</v>
      </c>
      <c r="B632" s="2">
        <v>68864</v>
      </c>
      <c r="C632" s="2">
        <f t="shared" si="54"/>
        <v>6.8864000000000001</v>
      </c>
      <c r="D632" s="2">
        <f t="shared" si="55"/>
        <v>416025</v>
      </c>
      <c r="E632" s="2">
        <f t="shared" si="56"/>
        <v>268336125</v>
      </c>
      <c r="F632" s="2">
        <f t="shared" si="57"/>
        <v>173076800625</v>
      </c>
      <c r="G632" s="2">
        <f t="shared" si="58"/>
        <v>4441.7280000000001</v>
      </c>
      <c r="H632" s="2">
        <f t="shared" si="59"/>
        <v>2864914.56</v>
      </c>
    </row>
    <row r="633" spans="1:8" x14ac:dyDescent="0.35">
      <c r="A633" s="2">
        <v>645</v>
      </c>
      <c r="B633" s="2">
        <v>69324</v>
      </c>
      <c r="C633" s="2">
        <f t="shared" si="54"/>
        <v>6.9324000000000003</v>
      </c>
      <c r="D633" s="2">
        <f t="shared" si="55"/>
        <v>416025</v>
      </c>
      <c r="E633" s="2">
        <f t="shared" si="56"/>
        <v>268336125</v>
      </c>
      <c r="F633" s="2">
        <f t="shared" si="57"/>
        <v>173076800625</v>
      </c>
      <c r="G633" s="2">
        <f t="shared" si="58"/>
        <v>4471.3980000000001</v>
      </c>
      <c r="H633" s="2">
        <f t="shared" si="59"/>
        <v>2884051.71</v>
      </c>
    </row>
    <row r="634" spans="1:8" x14ac:dyDescent="0.35">
      <c r="A634" s="2">
        <v>3240</v>
      </c>
      <c r="B634" s="2">
        <v>46994</v>
      </c>
      <c r="C634" s="2">
        <f t="shared" si="54"/>
        <v>4.6993999999999998</v>
      </c>
      <c r="D634" s="2">
        <f t="shared" si="55"/>
        <v>10497600</v>
      </c>
      <c r="E634" s="2">
        <f t="shared" si="56"/>
        <v>34012224000</v>
      </c>
      <c r="F634" s="2">
        <f t="shared" si="57"/>
        <v>110199605760000</v>
      </c>
      <c r="G634" s="2">
        <f t="shared" si="58"/>
        <v>15226.055999999999</v>
      </c>
      <c r="H634" s="2">
        <f t="shared" si="59"/>
        <v>49332421.439999998</v>
      </c>
    </row>
    <row r="635" spans="1:8" x14ac:dyDescent="0.35">
      <c r="A635" s="2">
        <v>3240</v>
      </c>
      <c r="B635" s="2">
        <v>46774</v>
      </c>
      <c r="C635" s="2">
        <f t="shared" si="54"/>
        <v>4.6773999999999996</v>
      </c>
      <c r="D635" s="2">
        <f t="shared" si="55"/>
        <v>10497600</v>
      </c>
      <c r="E635" s="2">
        <f t="shared" si="56"/>
        <v>34012224000</v>
      </c>
      <c r="F635" s="2">
        <f t="shared" si="57"/>
        <v>110199605760000</v>
      </c>
      <c r="G635" s="2">
        <f t="shared" si="58"/>
        <v>15154.775999999998</v>
      </c>
      <c r="H635" s="2">
        <f t="shared" si="59"/>
        <v>49101474.239999995</v>
      </c>
    </row>
    <row r="636" spans="1:8" x14ac:dyDescent="0.35">
      <c r="A636" s="2">
        <v>3240</v>
      </c>
      <c r="B636" s="2">
        <v>53501</v>
      </c>
      <c r="C636" s="2">
        <f t="shared" si="54"/>
        <v>5.3501000000000003</v>
      </c>
      <c r="D636" s="2">
        <f t="shared" si="55"/>
        <v>10497600</v>
      </c>
      <c r="E636" s="2">
        <f t="shared" si="56"/>
        <v>34012224000</v>
      </c>
      <c r="F636" s="2">
        <f t="shared" si="57"/>
        <v>110199605760000</v>
      </c>
      <c r="G636" s="2">
        <f t="shared" si="58"/>
        <v>17334.324000000001</v>
      </c>
      <c r="H636" s="2">
        <f t="shared" si="59"/>
        <v>56163209.760000005</v>
      </c>
    </row>
    <row r="637" spans="1:8" x14ac:dyDescent="0.35">
      <c r="A637" s="2">
        <v>3240</v>
      </c>
      <c r="B637" s="2">
        <v>40748</v>
      </c>
      <c r="C637" s="2">
        <f t="shared" si="54"/>
        <v>4.0747999999999998</v>
      </c>
      <c r="D637" s="2">
        <f t="shared" si="55"/>
        <v>10497600</v>
      </c>
      <c r="E637" s="2">
        <f t="shared" si="56"/>
        <v>34012224000</v>
      </c>
      <c r="F637" s="2">
        <f t="shared" si="57"/>
        <v>110199605760000</v>
      </c>
      <c r="G637" s="2">
        <f t="shared" si="58"/>
        <v>13202.351999999999</v>
      </c>
      <c r="H637" s="2">
        <f t="shared" si="59"/>
        <v>42775620.479999997</v>
      </c>
    </row>
    <row r="638" spans="1:8" x14ac:dyDescent="0.35">
      <c r="A638" s="2">
        <v>3240</v>
      </c>
      <c r="B638" s="2">
        <v>40618</v>
      </c>
      <c r="C638" s="2">
        <f t="shared" si="54"/>
        <v>4.0617999999999999</v>
      </c>
      <c r="D638" s="2">
        <f t="shared" si="55"/>
        <v>10497600</v>
      </c>
      <c r="E638" s="2">
        <f t="shared" si="56"/>
        <v>34012224000</v>
      </c>
      <c r="F638" s="2">
        <f t="shared" si="57"/>
        <v>110199605760000</v>
      </c>
      <c r="G638" s="2">
        <f t="shared" si="58"/>
        <v>13160.232</v>
      </c>
      <c r="H638" s="2">
        <f t="shared" si="59"/>
        <v>42639151.68</v>
      </c>
    </row>
    <row r="639" spans="1:8" x14ac:dyDescent="0.35">
      <c r="A639" s="2">
        <v>3240</v>
      </c>
      <c r="B639" s="2">
        <v>39959</v>
      </c>
      <c r="C639" s="2">
        <f t="shared" si="54"/>
        <v>3.9958999999999998</v>
      </c>
      <c r="D639" s="2">
        <f t="shared" si="55"/>
        <v>10497600</v>
      </c>
      <c r="E639" s="2">
        <f t="shared" si="56"/>
        <v>34012224000</v>
      </c>
      <c r="F639" s="2">
        <f t="shared" si="57"/>
        <v>110199605760000</v>
      </c>
      <c r="G639" s="2">
        <f t="shared" si="58"/>
        <v>12946.715999999999</v>
      </c>
      <c r="H639" s="2">
        <f t="shared" si="59"/>
        <v>41947359.839999996</v>
      </c>
    </row>
    <row r="640" spans="1:8" x14ac:dyDescent="0.35">
      <c r="A640" s="2">
        <v>3240</v>
      </c>
      <c r="B640" s="2">
        <v>40960</v>
      </c>
      <c r="C640" s="2">
        <f t="shared" si="54"/>
        <v>4.0960000000000001</v>
      </c>
      <c r="D640" s="2">
        <f t="shared" si="55"/>
        <v>10497600</v>
      </c>
      <c r="E640" s="2">
        <f t="shared" si="56"/>
        <v>34012224000</v>
      </c>
      <c r="F640" s="2">
        <f t="shared" si="57"/>
        <v>110199605760000</v>
      </c>
      <c r="G640" s="2">
        <f t="shared" si="58"/>
        <v>13271.04</v>
      </c>
      <c r="H640" s="2">
        <f t="shared" si="59"/>
        <v>42998169.600000001</v>
      </c>
    </row>
    <row r="641" spans="1:8" x14ac:dyDescent="0.35">
      <c r="A641" s="2">
        <v>3240</v>
      </c>
      <c r="B641" s="2">
        <v>41202</v>
      </c>
      <c r="C641" s="2">
        <f t="shared" si="54"/>
        <v>4.1201999999999996</v>
      </c>
      <c r="D641" s="2">
        <f t="shared" si="55"/>
        <v>10497600</v>
      </c>
      <c r="E641" s="2">
        <f t="shared" si="56"/>
        <v>34012224000</v>
      </c>
      <c r="F641" s="2">
        <f t="shared" si="57"/>
        <v>110199605760000</v>
      </c>
      <c r="G641" s="2">
        <f t="shared" si="58"/>
        <v>13349.447999999999</v>
      </c>
      <c r="H641" s="2">
        <f t="shared" si="59"/>
        <v>43252211.519999996</v>
      </c>
    </row>
    <row r="642" spans="1:8" x14ac:dyDescent="0.35">
      <c r="A642" s="2">
        <v>3240</v>
      </c>
      <c r="B642" s="2">
        <v>40590</v>
      </c>
      <c r="C642" s="2">
        <f t="shared" si="54"/>
        <v>4.0590000000000002</v>
      </c>
      <c r="D642" s="2">
        <f t="shared" si="55"/>
        <v>10497600</v>
      </c>
      <c r="E642" s="2">
        <f t="shared" si="56"/>
        <v>34012224000</v>
      </c>
      <c r="F642" s="2">
        <f t="shared" si="57"/>
        <v>110199605760000</v>
      </c>
      <c r="G642" s="2">
        <f t="shared" si="58"/>
        <v>13151.16</v>
      </c>
      <c r="H642" s="2">
        <f t="shared" si="59"/>
        <v>42609758.399999999</v>
      </c>
    </row>
    <row r="643" spans="1:8" x14ac:dyDescent="0.35">
      <c r="A643" s="2">
        <v>3240</v>
      </c>
      <c r="B643" s="2">
        <v>42840</v>
      </c>
      <c r="C643" s="2">
        <f t="shared" ref="C643:C706" si="60">B643/10000</f>
        <v>4.2839999999999998</v>
      </c>
      <c r="D643" s="2">
        <f t="shared" ref="D643:D706" si="61">A643^2</f>
        <v>10497600</v>
      </c>
      <c r="E643" s="2">
        <f t="shared" ref="E643:E706" si="62">A643^3</f>
        <v>34012224000</v>
      </c>
      <c r="F643" s="2">
        <f t="shared" ref="F643:F706" si="63">A643^4</f>
        <v>110199605760000</v>
      </c>
      <c r="G643" s="2">
        <f t="shared" ref="G643:G706" si="64">A643*C643</f>
        <v>13880.16</v>
      </c>
      <c r="H643" s="2">
        <f t="shared" ref="H643:H706" si="65">D643*C643</f>
        <v>44971718.399999999</v>
      </c>
    </row>
    <row r="644" spans="1:8" x14ac:dyDescent="0.35">
      <c r="A644" s="2">
        <v>3240</v>
      </c>
      <c r="B644" s="2">
        <v>40794</v>
      </c>
      <c r="C644" s="2">
        <f t="shared" si="60"/>
        <v>4.0793999999999997</v>
      </c>
      <c r="D644" s="2">
        <f t="shared" si="61"/>
        <v>10497600</v>
      </c>
      <c r="E644" s="2">
        <f t="shared" si="62"/>
        <v>34012224000</v>
      </c>
      <c r="F644" s="2">
        <f t="shared" si="63"/>
        <v>110199605760000</v>
      </c>
      <c r="G644" s="2">
        <f t="shared" si="64"/>
        <v>13217.255999999999</v>
      </c>
      <c r="H644" s="2">
        <f t="shared" si="65"/>
        <v>42823909.439999998</v>
      </c>
    </row>
    <row r="645" spans="1:8" x14ac:dyDescent="0.35">
      <c r="A645" s="2">
        <v>3240</v>
      </c>
      <c r="B645" s="2">
        <v>46445</v>
      </c>
      <c r="C645" s="2">
        <f t="shared" si="60"/>
        <v>4.6444999999999999</v>
      </c>
      <c r="D645" s="2">
        <f t="shared" si="61"/>
        <v>10497600</v>
      </c>
      <c r="E645" s="2">
        <f t="shared" si="62"/>
        <v>34012224000</v>
      </c>
      <c r="F645" s="2">
        <f t="shared" si="63"/>
        <v>110199605760000</v>
      </c>
      <c r="G645" s="2">
        <f t="shared" si="64"/>
        <v>15048.18</v>
      </c>
      <c r="H645" s="2">
        <f t="shared" si="65"/>
        <v>48756103.199999996</v>
      </c>
    </row>
    <row r="646" spans="1:8" x14ac:dyDescent="0.35">
      <c r="A646" s="2">
        <v>3240</v>
      </c>
      <c r="B646" s="2">
        <v>47116</v>
      </c>
      <c r="C646" s="2">
        <f t="shared" si="60"/>
        <v>4.7115999999999998</v>
      </c>
      <c r="D646" s="2">
        <f t="shared" si="61"/>
        <v>10497600</v>
      </c>
      <c r="E646" s="2">
        <f t="shared" si="62"/>
        <v>34012224000</v>
      </c>
      <c r="F646" s="2">
        <f t="shared" si="63"/>
        <v>110199605760000</v>
      </c>
      <c r="G646" s="2">
        <f t="shared" si="64"/>
        <v>15265.583999999999</v>
      </c>
      <c r="H646" s="2">
        <f t="shared" si="65"/>
        <v>49460492.159999996</v>
      </c>
    </row>
    <row r="647" spans="1:8" x14ac:dyDescent="0.35">
      <c r="A647" s="2">
        <v>3240</v>
      </c>
      <c r="B647" s="2">
        <v>48009</v>
      </c>
      <c r="C647" s="2">
        <f t="shared" si="60"/>
        <v>4.8009000000000004</v>
      </c>
      <c r="D647" s="2">
        <f t="shared" si="61"/>
        <v>10497600</v>
      </c>
      <c r="E647" s="2">
        <f t="shared" si="62"/>
        <v>34012224000</v>
      </c>
      <c r="F647" s="2">
        <f t="shared" si="63"/>
        <v>110199605760000</v>
      </c>
      <c r="G647" s="2">
        <f t="shared" si="64"/>
        <v>15554.916000000001</v>
      </c>
      <c r="H647" s="2">
        <f t="shared" si="65"/>
        <v>50397927.840000004</v>
      </c>
    </row>
    <row r="648" spans="1:8" x14ac:dyDescent="0.35">
      <c r="A648" s="2">
        <v>3240</v>
      </c>
      <c r="B648" s="2">
        <v>47324</v>
      </c>
      <c r="C648" s="2">
        <f t="shared" si="60"/>
        <v>4.7324000000000002</v>
      </c>
      <c r="D648" s="2">
        <f t="shared" si="61"/>
        <v>10497600</v>
      </c>
      <c r="E648" s="2">
        <f t="shared" si="62"/>
        <v>34012224000</v>
      </c>
      <c r="F648" s="2">
        <f t="shared" si="63"/>
        <v>110199605760000</v>
      </c>
      <c r="G648" s="2">
        <f t="shared" si="64"/>
        <v>15332.976000000001</v>
      </c>
      <c r="H648" s="2">
        <f t="shared" si="65"/>
        <v>49678842.240000002</v>
      </c>
    </row>
    <row r="649" spans="1:8" x14ac:dyDescent="0.35">
      <c r="A649" s="2">
        <v>3240</v>
      </c>
      <c r="B649" s="2">
        <v>45472</v>
      </c>
      <c r="C649" s="2">
        <f t="shared" si="60"/>
        <v>4.5472000000000001</v>
      </c>
      <c r="D649" s="2">
        <f t="shared" si="61"/>
        <v>10497600</v>
      </c>
      <c r="E649" s="2">
        <f t="shared" si="62"/>
        <v>34012224000</v>
      </c>
      <c r="F649" s="2">
        <f t="shared" si="63"/>
        <v>110199605760000</v>
      </c>
      <c r="G649" s="2">
        <f t="shared" si="64"/>
        <v>14732.928</v>
      </c>
      <c r="H649" s="2">
        <f t="shared" si="65"/>
        <v>47734686.719999999</v>
      </c>
    </row>
    <row r="650" spans="1:8" x14ac:dyDescent="0.35">
      <c r="A650" s="2">
        <v>3240</v>
      </c>
      <c r="B650" s="2">
        <v>48001</v>
      </c>
      <c r="C650" s="2">
        <f t="shared" si="60"/>
        <v>4.8000999999999996</v>
      </c>
      <c r="D650" s="2">
        <f t="shared" si="61"/>
        <v>10497600</v>
      </c>
      <c r="E650" s="2">
        <f t="shared" si="62"/>
        <v>34012224000</v>
      </c>
      <c r="F650" s="2">
        <f t="shared" si="63"/>
        <v>110199605760000</v>
      </c>
      <c r="G650" s="2">
        <f t="shared" si="64"/>
        <v>15552.323999999999</v>
      </c>
      <c r="H650" s="2">
        <f t="shared" si="65"/>
        <v>50389529.759999998</v>
      </c>
    </row>
    <row r="651" spans="1:8" x14ac:dyDescent="0.35">
      <c r="A651" s="2">
        <v>3240</v>
      </c>
      <c r="B651" s="2">
        <v>48038</v>
      </c>
      <c r="C651" s="2">
        <f t="shared" si="60"/>
        <v>4.8037999999999998</v>
      </c>
      <c r="D651" s="2">
        <f t="shared" si="61"/>
        <v>10497600</v>
      </c>
      <c r="E651" s="2">
        <f t="shared" si="62"/>
        <v>34012224000</v>
      </c>
      <c r="F651" s="2">
        <f t="shared" si="63"/>
        <v>110199605760000</v>
      </c>
      <c r="G651" s="2">
        <f t="shared" si="64"/>
        <v>15564.312</v>
      </c>
      <c r="H651" s="2">
        <f t="shared" si="65"/>
        <v>50428370.879999995</v>
      </c>
    </row>
    <row r="652" spans="1:8" x14ac:dyDescent="0.35">
      <c r="A652" s="2">
        <v>3240</v>
      </c>
      <c r="B652" s="2">
        <v>48388</v>
      </c>
      <c r="C652" s="2">
        <f t="shared" si="60"/>
        <v>4.8388</v>
      </c>
      <c r="D652" s="2">
        <f t="shared" si="61"/>
        <v>10497600</v>
      </c>
      <c r="E652" s="2">
        <f t="shared" si="62"/>
        <v>34012224000</v>
      </c>
      <c r="F652" s="2">
        <f t="shared" si="63"/>
        <v>110199605760000</v>
      </c>
      <c r="G652" s="2">
        <f t="shared" si="64"/>
        <v>15677.712</v>
      </c>
      <c r="H652" s="2">
        <f t="shared" si="65"/>
        <v>50795786.880000003</v>
      </c>
    </row>
    <row r="653" spans="1:8" x14ac:dyDescent="0.35">
      <c r="A653" s="2">
        <v>3240</v>
      </c>
      <c r="B653" s="2">
        <v>45717</v>
      </c>
      <c r="C653" s="2">
        <f t="shared" si="60"/>
        <v>4.5716999999999999</v>
      </c>
      <c r="D653" s="2">
        <f t="shared" si="61"/>
        <v>10497600</v>
      </c>
      <c r="E653" s="2">
        <f t="shared" si="62"/>
        <v>34012224000</v>
      </c>
      <c r="F653" s="2">
        <f t="shared" si="63"/>
        <v>110199605760000</v>
      </c>
      <c r="G653" s="2">
        <f t="shared" si="64"/>
        <v>14812.307999999999</v>
      </c>
      <c r="H653" s="2">
        <f t="shared" si="65"/>
        <v>47991877.920000002</v>
      </c>
    </row>
    <row r="654" spans="1:8" x14ac:dyDescent="0.35">
      <c r="A654" s="2">
        <v>3240</v>
      </c>
      <c r="B654" s="2">
        <v>49020</v>
      </c>
      <c r="C654" s="2">
        <f t="shared" si="60"/>
        <v>4.9020000000000001</v>
      </c>
      <c r="D654" s="2">
        <f t="shared" si="61"/>
        <v>10497600</v>
      </c>
      <c r="E654" s="2">
        <f t="shared" si="62"/>
        <v>34012224000</v>
      </c>
      <c r="F654" s="2">
        <f t="shared" si="63"/>
        <v>110199605760000</v>
      </c>
      <c r="G654" s="2">
        <f t="shared" si="64"/>
        <v>15882.48</v>
      </c>
      <c r="H654" s="2">
        <f t="shared" si="65"/>
        <v>51459235.200000003</v>
      </c>
    </row>
    <row r="655" spans="1:8" x14ac:dyDescent="0.35">
      <c r="A655" s="2">
        <v>3240</v>
      </c>
      <c r="B655" s="2">
        <v>48887</v>
      </c>
      <c r="C655" s="2">
        <f t="shared" si="60"/>
        <v>4.8887</v>
      </c>
      <c r="D655" s="2">
        <f t="shared" si="61"/>
        <v>10497600</v>
      </c>
      <c r="E655" s="2">
        <f t="shared" si="62"/>
        <v>34012224000</v>
      </c>
      <c r="F655" s="2">
        <f t="shared" si="63"/>
        <v>110199605760000</v>
      </c>
      <c r="G655" s="2">
        <f t="shared" si="64"/>
        <v>15839.388000000001</v>
      </c>
      <c r="H655" s="2">
        <f t="shared" si="65"/>
        <v>51319617.119999997</v>
      </c>
    </row>
    <row r="656" spans="1:8" x14ac:dyDescent="0.35">
      <c r="A656" s="2">
        <v>3240</v>
      </c>
      <c r="B656" s="2">
        <v>46956</v>
      </c>
      <c r="C656" s="2">
        <f t="shared" si="60"/>
        <v>4.6955999999999998</v>
      </c>
      <c r="D656" s="2">
        <f t="shared" si="61"/>
        <v>10497600</v>
      </c>
      <c r="E656" s="2">
        <f t="shared" si="62"/>
        <v>34012224000</v>
      </c>
      <c r="F656" s="2">
        <f t="shared" si="63"/>
        <v>110199605760000</v>
      </c>
      <c r="G656" s="2">
        <f t="shared" si="64"/>
        <v>15213.743999999999</v>
      </c>
      <c r="H656" s="2">
        <f t="shared" si="65"/>
        <v>49292530.559999995</v>
      </c>
    </row>
    <row r="657" spans="1:8" x14ac:dyDescent="0.35">
      <c r="A657" s="2">
        <v>3240</v>
      </c>
      <c r="B657" s="2">
        <v>41223</v>
      </c>
      <c r="C657" s="2">
        <f t="shared" si="60"/>
        <v>4.1223000000000001</v>
      </c>
      <c r="D657" s="2">
        <f t="shared" si="61"/>
        <v>10497600</v>
      </c>
      <c r="E657" s="2">
        <f t="shared" si="62"/>
        <v>34012224000</v>
      </c>
      <c r="F657" s="2">
        <f t="shared" si="63"/>
        <v>110199605760000</v>
      </c>
      <c r="G657" s="2">
        <f t="shared" si="64"/>
        <v>13356.252</v>
      </c>
      <c r="H657" s="2">
        <f t="shared" si="65"/>
        <v>43274256.480000004</v>
      </c>
    </row>
    <row r="658" spans="1:8" x14ac:dyDescent="0.35">
      <c r="A658" s="2">
        <v>3240</v>
      </c>
      <c r="B658" s="2">
        <v>39589</v>
      </c>
      <c r="C658" s="2">
        <f t="shared" si="60"/>
        <v>3.9588999999999999</v>
      </c>
      <c r="D658" s="2">
        <f t="shared" si="61"/>
        <v>10497600</v>
      </c>
      <c r="E658" s="2">
        <f t="shared" si="62"/>
        <v>34012224000</v>
      </c>
      <c r="F658" s="2">
        <f t="shared" si="63"/>
        <v>110199605760000</v>
      </c>
      <c r="G658" s="2">
        <f t="shared" si="64"/>
        <v>12826.835999999999</v>
      </c>
      <c r="H658" s="2">
        <f t="shared" si="65"/>
        <v>41558948.640000001</v>
      </c>
    </row>
    <row r="659" spans="1:8" x14ac:dyDescent="0.35">
      <c r="A659" s="2">
        <v>3240</v>
      </c>
      <c r="B659" s="2">
        <v>48066</v>
      </c>
      <c r="C659" s="2">
        <f t="shared" si="60"/>
        <v>4.8066000000000004</v>
      </c>
      <c r="D659" s="2">
        <f t="shared" si="61"/>
        <v>10497600</v>
      </c>
      <c r="E659" s="2">
        <f t="shared" si="62"/>
        <v>34012224000</v>
      </c>
      <c r="F659" s="2">
        <f t="shared" si="63"/>
        <v>110199605760000</v>
      </c>
      <c r="G659" s="2">
        <f t="shared" si="64"/>
        <v>15573.384000000002</v>
      </c>
      <c r="H659" s="2">
        <f t="shared" si="65"/>
        <v>50457764.160000004</v>
      </c>
    </row>
    <row r="660" spans="1:8" x14ac:dyDescent="0.35">
      <c r="A660" s="2">
        <v>3240</v>
      </c>
      <c r="B660" s="2">
        <v>38371</v>
      </c>
      <c r="C660" s="2">
        <f t="shared" si="60"/>
        <v>3.8371</v>
      </c>
      <c r="D660" s="2">
        <f t="shared" si="61"/>
        <v>10497600</v>
      </c>
      <c r="E660" s="2">
        <f t="shared" si="62"/>
        <v>34012224000</v>
      </c>
      <c r="F660" s="2">
        <f t="shared" si="63"/>
        <v>110199605760000</v>
      </c>
      <c r="G660" s="2">
        <f t="shared" si="64"/>
        <v>12432.204</v>
      </c>
      <c r="H660" s="2">
        <f t="shared" si="65"/>
        <v>40280340.960000001</v>
      </c>
    </row>
    <row r="661" spans="1:8" x14ac:dyDescent="0.35">
      <c r="A661" s="2">
        <v>3240</v>
      </c>
      <c r="B661" s="2">
        <v>47836</v>
      </c>
      <c r="C661" s="2">
        <f t="shared" si="60"/>
        <v>4.7835999999999999</v>
      </c>
      <c r="D661" s="2">
        <f t="shared" si="61"/>
        <v>10497600</v>
      </c>
      <c r="E661" s="2">
        <f t="shared" si="62"/>
        <v>34012224000</v>
      </c>
      <c r="F661" s="2">
        <f t="shared" si="63"/>
        <v>110199605760000</v>
      </c>
      <c r="G661" s="2">
        <f t="shared" si="64"/>
        <v>15498.864</v>
      </c>
      <c r="H661" s="2">
        <f t="shared" si="65"/>
        <v>50216319.359999999</v>
      </c>
    </row>
    <row r="662" spans="1:8" x14ac:dyDescent="0.35">
      <c r="A662" s="2">
        <v>3240</v>
      </c>
      <c r="B662" s="2">
        <v>48709</v>
      </c>
      <c r="C662" s="2">
        <f t="shared" si="60"/>
        <v>4.8708999999999998</v>
      </c>
      <c r="D662" s="2">
        <f t="shared" si="61"/>
        <v>10497600</v>
      </c>
      <c r="E662" s="2">
        <f t="shared" si="62"/>
        <v>34012224000</v>
      </c>
      <c r="F662" s="2">
        <f t="shared" si="63"/>
        <v>110199605760000</v>
      </c>
      <c r="G662" s="2">
        <f t="shared" si="64"/>
        <v>15781.715999999999</v>
      </c>
      <c r="H662" s="2">
        <f t="shared" si="65"/>
        <v>51132759.839999996</v>
      </c>
    </row>
    <row r="663" spans="1:8" x14ac:dyDescent="0.35">
      <c r="A663" s="2">
        <v>3240</v>
      </c>
      <c r="B663" s="2">
        <v>47109</v>
      </c>
      <c r="C663" s="2">
        <f t="shared" si="60"/>
        <v>4.7108999999999996</v>
      </c>
      <c r="D663" s="2">
        <f t="shared" si="61"/>
        <v>10497600</v>
      </c>
      <c r="E663" s="2">
        <f t="shared" si="62"/>
        <v>34012224000</v>
      </c>
      <c r="F663" s="2">
        <f t="shared" si="63"/>
        <v>110199605760000</v>
      </c>
      <c r="G663" s="2">
        <f t="shared" si="64"/>
        <v>15263.315999999999</v>
      </c>
      <c r="H663" s="2">
        <f t="shared" si="65"/>
        <v>49453143.839999996</v>
      </c>
    </row>
    <row r="664" spans="1:8" x14ac:dyDescent="0.35">
      <c r="A664" s="2">
        <v>900</v>
      </c>
      <c r="B664" s="2">
        <v>10156</v>
      </c>
      <c r="C664" s="2">
        <f t="shared" si="60"/>
        <v>1.0156000000000001</v>
      </c>
      <c r="D664" s="2">
        <f t="shared" si="61"/>
        <v>810000</v>
      </c>
      <c r="E664" s="2">
        <f t="shared" si="62"/>
        <v>729000000</v>
      </c>
      <c r="F664" s="2">
        <f t="shared" si="63"/>
        <v>656100000000</v>
      </c>
      <c r="G664" s="2">
        <f t="shared" si="64"/>
        <v>914.04000000000008</v>
      </c>
      <c r="H664" s="2">
        <f t="shared" si="65"/>
        <v>822636</v>
      </c>
    </row>
    <row r="665" spans="1:8" x14ac:dyDescent="0.35">
      <c r="A665" s="2">
        <v>900</v>
      </c>
      <c r="B665" s="2">
        <v>10156</v>
      </c>
      <c r="C665" s="2">
        <f t="shared" si="60"/>
        <v>1.0156000000000001</v>
      </c>
      <c r="D665" s="2">
        <f t="shared" si="61"/>
        <v>810000</v>
      </c>
      <c r="E665" s="2">
        <f t="shared" si="62"/>
        <v>729000000</v>
      </c>
      <c r="F665" s="2">
        <f t="shared" si="63"/>
        <v>656100000000</v>
      </c>
      <c r="G665" s="2">
        <f t="shared" si="64"/>
        <v>914.04000000000008</v>
      </c>
      <c r="H665" s="2">
        <f t="shared" si="65"/>
        <v>822636</v>
      </c>
    </row>
    <row r="666" spans="1:8" x14ac:dyDescent="0.35">
      <c r="A666" s="2">
        <v>900</v>
      </c>
      <c r="B666" s="2">
        <v>10156</v>
      </c>
      <c r="C666" s="2">
        <f t="shared" si="60"/>
        <v>1.0156000000000001</v>
      </c>
      <c r="D666" s="2">
        <f t="shared" si="61"/>
        <v>810000</v>
      </c>
      <c r="E666" s="2">
        <f t="shared" si="62"/>
        <v>729000000</v>
      </c>
      <c r="F666" s="2">
        <f t="shared" si="63"/>
        <v>656100000000</v>
      </c>
      <c r="G666" s="2">
        <f t="shared" si="64"/>
        <v>914.04000000000008</v>
      </c>
      <c r="H666" s="2">
        <f t="shared" si="65"/>
        <v>822636</v>
      </c>
    </row>
    <row r="667" spans="1:8" x14ac:dyDescent="0.35">
      <c r="A667" s="2">
        <v>900</v>
      </c>
      <c r="B667" s="2">
        <v>11538</v>
      </c>
      <c r="C667" s="2">
        <f t="shared" si="60"/>
        <v>1.1537999999999999</v>
      </c>
      <c r="D667" s="2">
        <f t="shared" si="61"/>
        <v>810000</v>
      </c>
      <c r="E667" s="2">
        <f t="shared" si="62"/>
        <v>729000000</v>
      </c>
      <c r="F667" s="2">
        <f t="shared" si="63"/>
        <v>656100000000</v>
      </c>
      <c r="G667" s="2">
        <f t="shared" si="64"/>
        <v>1038.4199999999998</v>
      </c>
      <c r="H667" s="2">
        <f t="shared" si="65"/>
        <v>934578</v>
      </c>
    </row>
    <row r="668" spans="1:8" x14ac:dyDescent="0.35">
      <c r="A668" s="2">
        <v>900</v>
      </c>
      <c r="B668" s="2">
        <v>11407</v>
      </c>
      <c r="C668" s="2">
        <f t="shared" si="60"/>
        <v>1.1407</v>
      </c>
      <c r="D668" s="2">
        <f t="shared" si="61"/>
        <v>810000</v>
      </c>
      <c r="E668" s="2">
        <f t="shared" si="62"/>
        <v>729000000</v>
      </c>
      <c r="F668" s="2">
        <f t="shared" si="63"/>
        <v>656100000000</v>
      </c>
      <c r="G668" s="2">
        <f t="shared" si="64"/>
        <v>1026.6300000000001</v>
      </c>
      <c r="H668" s="2">
        <f t="shared" si="65"/>
        <v>923967</v>
      </c>
    </row>
    <row r="669" spans="1:8" x14ac:dyDescent="0.35">
      <c r="A669" s="2">
        <v>900</v>
      </c>
      <c r="B669" s="2">
        <v>11852</v>
      </c>
      <c r="C669" s="2">
        <f t="shared" si="60"/>
        <v>1.1852</v>
      </c>
      <c r="D669" s="2">
        <f t="shared" si="61"/>
        <v>810000</v>
      </c>
      <c r="E669" s="2">
        <f t="shared" si="62"/>
        <v>729000000</v>
      </c>
      <c r="F669" s="2">
        <f t="shared" si="63"/>
        <v>656100000000</v>
      </c>
      <c r="G669" s="2">
        <f t="shared" si="64"/>
        <v>1066.68</v>
      </c>
      <c r="H669" s="2">
        <f t="shared" si="65"/>
        <v>960012</v>
      </c>
    </row>
    <row r="670" spans="1:8" x14ac:dyDescent="0.35">
      <c r="A670" s="2">
        <v>900</v>
      </c>
      <c r="B670" s="2">
        <v>11786</v>
      </c>
      <c r="C670" s="2">
        <f t="shared" si="60"/>
        <v>1.1786000000000001</v>
      </c>
      <c r="D670" s="2">
        <f t="shared" si="61"/>
        <v>810000</v>
      </c>
      <c r="E670" s="2">
        <f t="shared" si="62"/>
        <v>729000000</v>
      </c>
      <c r="F670" s="2">
        <f t="shared" si="63"/>
        <v>656100000000</v>
      </c>
      <c r="G670" s="2">
        <f t="shared" si="64"/>
        <v>1060.74</v>
      </c>
      <c r="H670" s="2">
        <f t="shared" si="65"/>
        <v>954666.00000000012</v>
      </c>
    </row>
    <row r="671" spans="1:8" x14ac:dyDescent="0.35">
      <c r="A671" s="2">
        <v>900</v>
      </c>
      <c r="B671" s="2">
        <v>11807</v>
      </c>
      <c r="C671" s="2">
        <f t="shared" si="60"/>
        <v>1.1807000000000001</v>
      </c>
      <c r="D671" s="2">
        <f t="shared" si="61"/>
        <v>810000</v>
      </c>
      <c r="E671" s="2">
        <f t="shared" si="62"/>
        <v>729000000</v>
      </c>
      <c r="F671" s="2">
        <f t="shared" si="63"/>
        <v>656100000000</v>
      </c>
      <c r="G671" s="2">
        <f t="shared" si="64"/>
        <v>1062.6300000000001</v>
      </c>
      <c r="H671" s="2">
        <f t="shared" si="65"/>
        <v>956367.00000000012</v>
      </c>
    </row>
    <row r="672" spans="1:8" x14ac:dyDescent="0.35">
      <c r="A672" s="2">
        <v>900</v>
      </c>
      <c r="B672" s="2">
        <v>11827</v>
      </c>
      <c r="C672" s="2">
        <f t="shared" si="60"/>
        <v>1.1827000000000001</v>
      </c>
      <c r="D672" s="2">
        <f t="shared" si="61"/>
        <v>810000</v>
      </c>
      <c r="E672" s="2">
        <f t="shared" si="62"/>
        <v>729000000</v>
      </c>
      <c r="F672" s="2">
        <f t="shared" si="63"/>
        <v>656100000000</v>
      </c>
      <c r="G672" s="2">
        <f t="shared" si="64"/>
        <v>1064.43</v>
      </c>
      <c r="H672" s="2">
        <f t="shared" si="65"/>
        <v>957987.00000000012</v>
      </c>
    </row>
    <row r="673" spans="1:8" x14ac:dyDescent="0.35">
      <c r="A673" s="2">
        <v>900</v>
      </c>
      <c r="B673" s="2">
        <v>11850</v>
      </c>
      <c r="C673" s="2">
        <f t="shared" si="60"/>
        <v>1.1850000000000001</v>
      </c>
      <c r="D673" s="2">
        <f t="shared" si="61"/>
        <v>810000</v>
      </c>
      <c r="E673" s="2">
        <f t="shared" si="62"/>
        <v>729000000</v>
      </c>
      <c r="F673" s="2">
        <f t="shared" si="63"/>
        <v>656100000000</v>
      </c>
      <c r="G673" s="2">
        <f t="shared" si="64"/>
        <v>1066.5</v>
      </c>
      <c r="H673" s="2">
        <f t="shared" si="65"/>
        <v>959850</v>
      </c>
    </row>
    <row r="674" spans="1:8" x14ac:dyDescent="0.35">
      <c r="A674" s="2">
        <v>900</v>
      </c>
      <c r="B674" s="2">
        <v>11876</v>
      </c>
      <c r="C674" s="2">
        <f t="shared" si="60"/>
        <v>1.1876</v>
      </c>
      <c r="D674" s="2">
        <f t="shared" si="61"/>
        <v>810000</v>
      </c>
      <c r="E674" s="2">
        <f t="shared" si="62"/>
        <v>729000000</v>
      </c>
      <c r="F674" s="2">
        <f t="shared" si="63"/>
        <v>656100000000</v>
      </c>
      <c r="G674" s="2">
        <f t="shared" si="64"/>
        <v>1068.8399999999999</v>
      </c>
      <c r="H674" s="2">
        <f t="shared" si="65"/>
        <v>961956</v>
      </c>
    </row>
    <row r="675" spans="1:8" x14ac:dyDescent="0.35">
      <c r="A675" s="2">
        <v>900</v>
      </c>
      <c r="B675" s="2">
        <v>11904</v>
      </c>
      <c r="C675" s="2">
        <f t="shared" si="60"/>
        <v>1.1903999999999999</v>
      </c>
      <c r="D675" s="2">
        <f t="shared" si="61"/>
        <v>810000</v>
      </c>
      <c r="E675" s="2">
        <f t="shared" si="62"/>
        <v>729000000</v>
      </c>
      <c r="F675" s="2">
        <f t="shared" si="63"/>
        <v>656100000000</v>
      </c>
      <c r="G675" s="2">
        <f t="shared" si="64"/>
        <v>1071.3599999999999</v>
      </c>
      <c r="H675" s="2">
        <f t="shared" si="65"/>
        <v>964223.99999999988</v>
      </c>
    </row>
    <row r="676" spans="1:8" x14ac:dyDescent="0.35">
      <c r="A676" s="2">
        <v>900</v>
      </c>
      <c r="B676" s="2">
        <v>11931</v>
      </c>
      <c r="C676" s="2">
        <f t="shared" si="60"/>
        <v>1.1931</v>
      </c>
      <c r="D676" s="2">
        <f t="shared" si="61"/>
        <v>810000</v>
      </c>
      <c r="E676" s="2">
        <f t="shared" si="62"/>
        <v>729000000</v>
      </c>
      <c r="F676" s="2">
        <f t="shared" si="63"/>
        <v>656100000000</v>
      </c>
      <c r="G676" s="2">
        <f t="shared" si="64"/>
        <v>1073.79</v>
      </c>
      <c r="H676" s="2">
        <f t="shared" si="65"/>
        <v>966411</v>
      </c>
    </row>
    <row r="677" spans="1:8" x14ac:dyDescent="0.35">
      <c r="A677" s="2">
        <v>900</v>
      </c>
      <c r="B677" s="2">
        <v>11955</v>
      </c>
      <c r="C677" s="2">
        <f t="shared" si="60"/>
        <v>1.1955</v>
      </c>
      <c r="D677" s="2">
        <f t="shared" si="61"/>
        <v>810000</v>
      </c>
      <c r="E677" s="2">
        <f t="shared" si="62"/>
        <v>729000000</v>
      </c>
      <c r="F677" s="2">
        <f t="shared" si="63"/>
        <v>656100000000</v>
      </c>
      <c r="G677" s="2">
        <f t="shared" si="64"/>
        <v>1075.95</v>
      </c>
      <c r="H677" s="2">
        <f t="shared" si="65"/>
        <v>968355</v>
      </c>
    </row>
    <row r="678" spans="1:8" x14ac:dyDescent="0.35">
      <c r="A678" s="2">
        <v>900</v>
      </c>
      <c r="B678" s="2">
        <v>12020</v>
      </c>
      <c r="C678" s="2">
        <f t="shared" si="60"/>
        <v>1.202</v>
      </c>
      <c r="D678" s="2">
        <f t="shared" si="61"/>
        <v>810000</v>
      </c>
      <c r="E678" s="2">
        <f t="shared" si="62"/>
        <v>729000000</v>
      </c>
      <c r="F678" s="2">
        <f t="shared" si="63"/>
        <v>656100000000</v>
      </c>
      <c r="G678" s="2">
        <f t="shared" si="64"/>
        <v>1081.8</v>
      </c>
      <c r="H678" s="2">
        <f t="shared" si="65"/>
        <v>973620</v>
      </c>
    </row>
    <row r="679" spans="1:8" x14ac:dyDescent="0.35">
      <c r="A679" s="2">
        <v>900</v>
      </c>
      <c r="B679" s="2">
        <v>12026</v>
      </c>
      <c r="C679" s="2">
        <f t="shared" si="60"/>
        <v>1.2025999999999999</v>
      </c>
      <c r="D679" s="2">
        <f t="shared" si="61"/>
        <v>810000</v>
      </c>
      <c r="E679" s="2">
        <f t="shared" si="62"/>
        <v>729000000</v>
      </c>
      <c r="F679" s="2">
        <f t="shared" si="63"/>
        <v>656100000000</v>
      </c>
      <c r="G679" s="2">
        <f t="shared" si="64"/>
        <v>1082.3399999999999</v>
      </c>
      <c r="H679" s="2">
        <f t="shared" si="65"/>
        <v>974105.99999999988</v>
      </c>
    </row>
    <row r="680" spans="1:8" x14ac:dyDescent="0.35">
      <c r="A680" s="2">
        <v>900</v>
      </c>
      <c r="B680" s="2">
        <v>12027</v>
      </c>
      <c r="C680" s="2">
        <f t="shared" si="60"/>
        <v>1.2027000000000001</v>
      </c>
      <c r="D680" s="2">
        <f t="shared" si="61"/>
        <v>810000</v>
      </c>
      <c r="E680" s="2">
        <f t="shared" si="62"/>
        <v>729000000</v>
      </c>
      <c r="F680" s="2">
        <f t="shared" si="63"/>
        <v>656100000000</v>
      </c>
      <c r="G680" s="2">
        <f t="shared" si="64"/>
        <v>1082.43</v>
      </c>
      <c r="H680" s="2">
        <f t="shared" si="65"/>
        <v>974187.00000000012</v>
      </c>
    </row>
    <row r="681" spans="1:8" x14ac:dyDescent="0.35">
      <c r="A681" s="2">
        <v>900</v>
      </c>
      <c r="B681" s="2">
        <v>12020</v>
      </c>
      <c r="C681" s="2">
        <f t="shared" si="60"/>
        <v>1.202</v>
      </c>
      <c r="D681" s="2">
        <f t="shared" si="61"/>
        <v>810000</v>
      </c>
      <c r="E681" s="2">
        <f t="shared" si="62"/>
        <v>729000000</v>
      </c>
      <c r="F681" s="2">
        <f t="shared" si="63"/>
        <v>656100000000</v>
      </c>
      <c r="G681" s="2">
        <f t="shared" si="64"/>
        <v>1081.8</v>
      </c>
      <c r="H681" s="2">
        <f t="shared" si="65"/>
        <v>973620</v>
      </c>
    </row>
    <row r="682" spans="1:8" x14ac:dyDescent="0.35">
      <c r="A682" s="2">
        <v>900</v>
      </c>
      <c r="B682" s="2">
        <v>12000</v>
      </c>
      <c r="C682" s="2">
        <f t="shared" si="60"/>
        <v>1.2</v>
      </c>
      <c r="D682" s="2">
        <f t="shared" si="61"/>
        <v>810000</v>
      </c>
      <c r="E682" s="2">
        <f t="shared" si="62"/>
        <v>729000000</v>
      </c>
      <c r="F682" s="2">
        <f t="shared" si="63"/>
        <v>656100000000</v>
      </c>
      <c r="G682" s="2">
        <f t="shared" si="64"/>
        <v>1080</v>
      </c>
      <c r="H682" s="2">
        <f t="shared" si="65"/>
        <v>972000</v>
      </c>
    </row>
    <row r="683" spans="1:8" x14ac:dyDescent="0.35">
      <c r="A683" s="2">
        <v>900</v>
      </c>
      <c r="B683" s="2">
        <v>11765</v>
      </c>
      <c r="C683" s="2">
        <f t="shared" si="60"/>
        <v>1.1765000000000001</v>
      </c>
      <c r="D683" s="2">
        <f t="shared" si="61"/>
        <v>810000</v>
      </c>
      <c r="E683" s="2">
        <f t="shared" si="62"/>
        <v>729000000</v>
      </c>
      <c r="F683" s="2">
        <f t="shared" si="63"/>
        <v>656100000000</v>
      </c>
      <c r="G683" s="2">
        <f t="shared" si="64"/>
        <v>1058.8500000000001</v>
      </c>
      <c r="H683" s="2">
        <f t="shared" si="65"/>
        <v>952965.00000000012</v>
      </c>
    </row>
    <row r="684" spans="1:8" x14ac:dyDescent="0.35">
      <c r="A684" s="2">
        <v>900</v>
      </c>
      <c r="B684" s="2">
        <v>12143</v>
      </c>
      <c r="C684" s="2">
        <f t="shared" si="60"/>
        <v>1.2142999999999999</v>
      </c>
      <c r="D684" s="2">
        <f t="shared" si="61"/>
        <v>810000</v>
      </c>
      <c r="E684" s="2">
        <f t="shared" si="62"/>
        <v>729000000</v>
      </c>
      <c r="F684" s="2">
        <f t="shared" si="63"/>
        <v>656100000000</v>
      </c>
      <c r="G684" s="2">
        <f t="shared" si="64"/>
        <v>1092.8699999999999</v>
      </c>
      <c r="H684" s="2">
        <f t="shared" si="65"/>
        <v>983583</v>
      </c>
    </row>
    <row r="685" spans="1:8" x14ac:dyDescent="0.35">
      <c r="A685" s="2">
        <v>900</v>
      </c>
      <c r="B685" s="2">
        <v>11765</v>
      </c>
      <c r="C685" s="2">
        <f t="shared" si="60"/>
        <v>1.1765000000000001</v>
      </c>
      <c r="D685" s="2">
        <f t="shared" si="61"/>
        <v>810000</v>
      </c>
      <c r="E685" s="2">
        <f t="shared" si="62"/>
        <v>729000000</v>
      </c>
      <c r="F685" s="2">
        <f t="shared" si="63"/>
        <v>656100000000</v>
      </c>
      <c r="G685" s="2">
        <f t="shared" si="64"/>
        <v>1058.8500000000001</v>
      </c>
      <c r="H685" s="2">
        <f t="shared" si="65"/>
        <v>952965.00000000012</v>
      </c>
    </row>
    <row r="686" spans="1:8" x14ac:dyDescent="0.35">
      <c r="A686" s="2">
        <v>900</v>
      </c>
      <c r="B686" s="2">
        <v>12151</v>
      </c>
      <c r="C686" s="2">
        <f t="shared" si="60"/>
        <v>1.2151000000000001</v>
      </c>
      <c r="D686" s="2">
        <f t="shared" si="61"/>
        <v>810000</v>
      </c>
      <c r="E686" s="2">
        <f t="shared" si="62"/>
        <v>729000000</v>
      </c>
      <c r="F686" s="2">
        <f t="shared" si="63"/>
        <v>656100000000</v>
      </c>
      <c r="G686" s="2">
        <f t="shared" si="64"/>
        <v>1093.5900000000001</v>
      </c>
      <c r="H686" s="2">
        <f t="shared" si="65"/>
        <v>984231</v>
      </c>
    </row>
    <row r="687" spans="1:8" x14ac:dyDescent="0.35">
      <c r="A687" s="2">
        <v>900</v>
      </c>
      <c r="B687" s="2">
        <v>12632</v>
      </c>
      <c r="C687" s="2">
        <f t="shared" si="60"/>
        <v>1.2632000000000001</v>
      </c>
      <c r="D687" s="2">
        <f t="shared" si="61"/>
        <v>810000</v>
      </c>
      <c r="E687" s="2">
        <f t="shared" si="62"/>
        <v>729000000</v>
      </c>
      <c r="F687" s="2">
        <f t="shared" si="63"/>
        <v>656100000000</v>
      </c>
      <c r="G687" s="2">
        <f t="shared" si="64"/>
        <v>1136.8800000000001</v>
      </c>
      <c r="H687" s="2">
        <f t="shared" si="65"/>
        <v>1023192.0000000001</v>
      </c>
    </row>
    <row r="688" spans="1:8" x14ac:dyDescent="0.35">
      <c r="A688" s="2">
        <v>900</v>
      </c>
      <c r="B688" s="2">
        <v>12619</v>
      </c>
      <c r="C688" s="2">
        <f t="shared" si="60"/>
        <v>1.2619</v>
      </c>
      <c r="D688" s="2">
        <f t="shared" si="61"/>
        <v>810000</v>
      </c>
      <c r="E688" s="2">
        <f t="shared" si="62"/>
        <v>729000000</v>
      </c>
      <c r="F688" s="2">
        <f t="shared" si="63"/>
        <v>656100000000</v>
      </c>
      <c r="G688" s="2">
        <f t="shared" si="64"/>
        <v>1135.71</v>
      </c>
      <c r="H688" s="2">
        <f t="shared" si="65"/>
        <v>1022139</v>
      </c>
    </row>
    <row r="689" spans="1:8" x14ac:dyDescent="0.35">
      <c r="A689" s="2">
        <v>900</v>
      </c>
      <c r="B689" s="2">
        <v>12273</v>
      </c>
      <c r="C689" s="2">
        <f t="shared" si="60"/>
        <v>1.2273000000000001</v>
      </c>
      <c r="D689" s="2">
        <f t="shared" si="61"/>
        <v>810000</v>
      </c>
      <c r="E689" s="2">
        <f t="shared" si="62"/>
        <v>729000000</v>
      </c>
      <c r="F689" s="2">
        <f t="shared" si="63"/>
        <v>656100000000</v>
      </c>
      <c r="G689" s="2">
        <f t="shared" si="64"/>
        <v>1104.5700000000002</v>
      </c>
      <c r="H689" s="2">
        <f t="shared" si="65"/>
        <v>994113</v>
      </c>
    </row>
    <row r="690" spans="1:8" x14ac:dyDescent="0.35">
      <c r="A690" s="2">
        <v>900</v>
      </c>
      <c r="B690" s="2">
        <v>12889</v>
      </c>
      <c r="C690" s="2">
        <f t="shared" si="60"/>
        <v>1.2888999999999999</v>
      </c>
      <c r="D690" s="2">
        <f t="shared" si="61"/>
        <v>810000</v>
      </c>
      <c r="E690" s="2">
        <f t="shared" si="62"/>
        <v>729000000</v>
      </c>
      <c r="F690" s="2">
        <f t="shared" si="63"/>
        <v>656100000000</v>
      </c>
      <c r="G690" s="2">
        <f t="shared" si="64"/>
        <v>1160.01</v>
      </c>
      <c r="H690" s="2">
        <f t="shared" si="65"/>
        <v>1044009</v>
      </c>
    </row>
    <row r="691" spans="1:8" x14ac:dyDescent="0.35">
      <c r="A691" s="2">
        <v>900</v>
      </c>
      <c r="B691" s="2">
        <v>12758</v>
      </c>
      <c r="C691" s="2">
        <f t="shared" si="60"/>
        <v>1.2758</v>
      </c>
      <c r="D691" s="2">
        <f t="shared" si="61"/>
        <v>810000</v>
      </c>
      <c r="E691" s="2">
        <f t="shared" si="62"/>
        <v>729000000</v>
      </c>
      <c r="F691" s="2">
        <f t="shared" si="63"/>
        <v>656100000000</v>
      </c>
      <c r="G691" s="2">
        <f t="shared" si="64"/>
        <v>1148.22</v>
      </c>
      <c r="H691" s="2">
        <f t="shared" si="65"/>
        <v>1033398</v>
      </c>
    </row>
    <row r="692" spans="1:8" x14ac:dyDescent="0.35">
      <c r="A692" s="2">
        <v>900</v>
      </c>
      <c r="B692" s="2">
        <v>12689</v>
      </c>
      <c r="C692" s="2">
        <f t="shared" si="60"/>
        <v>1.2688999999999999</v>
      </c>
      <c r="D692" s="2">
        <f t="shared" si="61"/>
        <v>810000</v>
      </c>
      <c r="E692" s="2">
        <f t="shared" si="62"/>
        <v>729000000</v>
      </c>
      <c r="F692" s="2">
        <f t="shared" si="63"/>
        <v>656100000000</v>
      </c>
      <c r="G692" s="2">
        <f t="shared" si="64"/>
        <v>1142.01</v>
      </c>
      <c r="H692" s="2">
        <f t="shared" si="65"/>
        <v>1027808.9999999999</v>
      </c>
    </row>
    <row r="693" spans="1:8" x14ac:dyDescent="0.35">
      <c r="A693" s="2">
        <v>900</v>
      </c>
      <c r="B693" s="2">
        <v>12772</v>
      </c>
      <c r="C693" s="2">
        <f t="shared" si="60"/>
        <v>1.2771999999999999</v>
      </c>
      <c r="D693" s="2">
        <f t="shared" si="61"/>
        <v>810000</v>
      </c>
      <c r="E693" s="2">
        <f t="shared" si="62"/>
        <v>729000000</v>
      </c>
      <c r="F693" s="2">
        <f t="shared" si="63"/>
        <v>656100000000</v>
      </c>
      <c r="G693" s="2">
        <f t="shared" si="64"/>
        <v>1149.4799999999998</v>
      </c>
      <c r="H693" s="2">
        <f t="shared" si="65"/>
        <v>1034531.9999999999</v>
      </c>
    </row>
    <row r="694" spans="1:8" x14ac:dyDescent="0.35">
      <c r="A694" s="2">
        <v>2926</v>
      </c>
      <c r="B694" s="2">
        <v>30352</v>
      </c>
      <c r="C694" s="2">
        <f t="shared" si="60"/>
        <v>3.0352000000000001</v>
      </c>
      <c r="D694" s="2">
        <f t="shared" si="61"/>
        <v>8561476</v>
      </c>
      <c r="E694" s="2">
        <f t="shared" si="62"/>
        <v>25050878776</v>
      </c>
      <c r="F694" s="2">
        <f t="shared" si="63"/>
        <v>73298871298576</v>
      </c>
      <c r="G694" s="2">
        <f t="shared" si="64"/>
        <v>8880.9952000000012</v>
      </c>
      <c r="H694" s="2">
        <f t="shared" si="65"/>
        <v>25985791.955200002</v>
      </c>
    </row>
    <row r="695" spans="1:8" x14ac:dyDescent="0.35">
      <c r="A695" s="2">
        <v>2926</v>
      </c>
      <c r="B695" s="2">
        <v>30638</v>
      </c>
      <c r="C695" s="2">
        <f t="shared" si="60"/>
        <v>3.0638000000000001</v>
      </c>
      <c r="D695" s="2">
        <f t="shared" si="61"/>
        <v>8561476</v>
      </c>
      <c r="E695" s="2">
        <f t="shared" si="62"/>
        <v>25050878776</v>
      </c>
      <c r="F695" s="2">
        <f t="shared" si="63"/>
        <v>73298871298576</v>
      </c>
      <c r="G695" s="2">
        <f t="shared" si="64"/>
        <v>8964.6787999999997</v>
      </c>
      <c r="H695" s="2">
        <f t="shared" si="65"/>
        <v>26230650.1688</v>
      </c>
    </row>
    <row r="696" spans="1:8" x14ac:dyDescent="0.35">
      <c r="A696" s="2">
        <v>2926</v>
      </c>
      <c r="B696" s="2">
        <v>30281</v>
      </c>
      <c r="C696" s="2">
        <f t="shared" si="60"/>
        <v>3.0280999999999998</v>
      </c>
      <c r="D696" s="2">
        <f t="shared" si="61"/>
        <v>8561476</v>
      </c>
      <c r="E696" s="2">
        <f t="shared" si="62"/>
        <v>25050878776</v>
      </c>
      <c r="F696" s="2">
        <f t="shared" si="63"/>
        <v>73298871298576</v>
      </c>
      <c r="G696" s="2">
        <f t="shared" si="64"/>
        <v>8860.2205999999987</v>
      </c>
      <c r="H696" s="2">
        <f t="shared" si="65"/>
        <v>25925005.475599997</v>
      </c>
    </row>
    <row r="697" spans="1:8" x14ac:dyDescent="0.35">
      <c r="A697" s="2">
        <v>2926</v>
      </c>
      <c r="B697" s="2">
        <v>36313</v>
      </c>
      <c r="C697" s="2">
        <f t="shared" si="60"/>
        <v>3.6313</v>
      </c>
      <c r="D697" s="2">
        <f t="shared" si="61"/>
        <v>8561476</v>
      </c>
      <c r="E697" s="2">
        <f t="shared" si="62"/>
        <v>25050878776</v>
      </c>
      <c r="F697" s="2">
        <f t="shared" si="63"/>
        <v>73298871298576</v>
      </c>
      <c r="G697" s="2">
        <f t="shared" si="64"/>
        <v>10625.183800000001</v>
      </c>
      <c r="H697" s="2">
        <f t="shared" si="65"/>
        <v>31089287.798799999</v>
      </c>
    </row>
    <row r="698" spans="1:8" x14ac:dyDescent="0.35">
      <c r="A698" s="2">
        <v>2926</v>
      </c>
      <c r="B698" s="2">
        <v>42823</v>
      </c>
      <c r="C698" s="2">
        <f t="shared" si="60"/>
        <v>4.2823000000000002</v>
      </c>
      <c r="D698" s="2">
        <f t="shared" si="61"/>
        <v>8561476</v>
      </c>
      <c r="E698" s="2">
        <f t="shared" si="62"/>
        <v>25050878776</v>
      </c>
      <c r="F698" s="2">
        <f t="shared" si="63"/>
        <v>73298871298576</v>
      </c>
      <c r="G698" s="2">
        <f t="shared" si="64"/>
        <v>12530.0098</v>
      </c>
      <c r="H698" s="2">
        <f t="shared" si="65"/>
        <v>36662808.674800001</v>
      </c>
    </row>
    <row r="699" spans="1:8" x14ac:dyDescent="0.35">
      <c r="A699" s="2">
        <v>2926</v>
      </c>
      <c r="B699" s="2">
        <v>44019</v>
      </c>
      <c r="C699" s="2">
        <f t="shared" si="60"/>
        <v>4.4019000000000004</v>
      </c>
      <c r="D699" s="2">
        <f t="shared" si="61"/>
        <v>8561476</v>
      </c>
      <c r="E699" s="2">
        <f t="shared" si="62"/>
        <v>25050878776</v>
      </c>
      <c r="F699" s="2">
        <f t="shared" si="63"/>
        <v>73298871298576</v>
      </c>
      <c r="G699" s="2">
        <f t="shared" si="64"/>
        <v>12879.959400000002</v>
      </c>
      <c r="H699" s="2">
        <f t="shared" si="65"/>
        <v>37686761.204400003</v>
      </c>
    </row>
    <row r="700" spans="1:8" x14ac:dyDescent="0.35">
      <c r="A700" s="2">
        <v>2926</v>
      </c>
      <c r="B700" s="2">
        <v>38418</v>
      </c>
      <c r="C700" s="2">
        <f t="shared" si="60"/>
        <v>3.8418000000000001</v>
      </c>
      <c r="D700" s="2">
        <f t="shared" si="61"/>
        <v>8561476</v>
      </c>
      <c r="E700" s="2">
        <f t="shared" si="62"/>
        <v>25050878776</v>
      </c>
      <c r="F700" s="2">
        <f t="shared" si="63"/>
        <v>73298871298576</v>
      </c>
      <c r="G700" s="2">
        <f t="shared" si="64"/>
        <v>11241.1068</v>
      </c>
      <c r="H700" s="2">
        <f t="shared" si="65"/>
        <v>32891478.496800002</v>
      </c>
    </row>
    <row r="701" spans="1:8" x14ac:dyDescent="0.35">
      <c r="A701" s="2">
        <v>2926</v>
      </c>
      <c r="B701" s="2">
        <v>41264</v>
      </c>
      <c r="C701" s="2">
        <f t="shared" si="60"/>
        <v>4.1264000000000003</v>
      </c>
      <c r="D701" s="2">
        <f t="shared" si="61"/>
        <v>8561476</v>
      </c>
      <c r="E701" s="2">
        <f t="shared" si="62"/>
        <v>25050878776</v>
      </c>
      <c r="F701" s="2">
        <f t="shared" si="63"/>
        <v>73298871298576</v>
      </c>
      <c r="G701" s="2">
        <f t="shared" si="64"/>
        <v>12073.8464</v>
      </c>
      <c r="H701" s="2">
        <f t="shared" si="65"/>
        <v>35328074.566399999</v>
      </c>
    </row>
    <row r="702" spans="1:8" x14ac:dyDescent="0.35">
      <c r="A702" s="2">
        <v>2926</v>
      </c>
      <c r="B702" s="2">
        <v>45875</v>
      </c>
      <c r="C702" s="2">
        <f t="shared" si="60"/>
        <v>4.5875000000000004</v>
      </c>
      <c r="D702" s="2">
        <f t="shared" si="61"/>
        <v>8561476</v>
      </c>
      <c r="E702" s="2">
        <f t="shared" si="62"/>
        <v>25050878776</v>
      </c>
      <c r="F702" s="2">
        <f t="shared" si="63"/>
        <v>73298871298576</v>
      </c>
      <c r="G702" s="2">
        <f t="shared" si="64"/>
        <v>13423.025000000001</v>
      </c>
      <c r="H702" s="2">
        <f t="shared" si="65"/>
        <v>39275771.150000006</v>
      </c>
    </row>
    <row r="703" spans="1:8" x14ac:dyDescent="0.35">
      <c r="A703" s="2">
        <v>2926</v>
      </c>
      <c r="B703" s="2">
        <v>44518</v>
      </c>
      <c r="C703" s="2">
        <f t="shared" si="60"/>
        <v>4.4518000000000004</v>
      </c>
      <c r="D703" s="2">
        <f t="shared" si="61"/>
        <v>8561476</v>
      </c>
      <c r="E703" s="2">
        <f t="shared" si="62"/>
        <v>25050878776</v>
      </c>
      <c r="F703" s="2">
        <f t="shared" si="63"/>
        <v>73298871298576</v>
      </c>
      <c r="G703" s="2">
        <f t="shared" si="64"/>
        <v>13025.966800000002</v>
      </c>
      <c r="H703" s="2">
        <f t="shared" si="65"/>
        <v>38113978.856800005</v>
      </c>
    </row>
    <row r="704" spans="1:8" x14ac:dyDescent="0.35">
      <c r="A704" s="2">
        <v>2926</v>
      </c>
      <c r="B704" s="2">
        <v>41102</v>
      </c>
      <c r="C704" s="2">
        <f t="shared" si="60"/>
        <v>4.1101999999999999</v>
      </c>
      <c r="D704" s="2">
        <f t="shared" si="61"/>
        <v>8561476</v>
      </c>
      <c r="E704" s="2">
        <f t="shared" si="62"/>
        <v>25050878776</v>
      </c>
      <c r="F704" s="2">
        <f t="shared" si="63"/>
        <v>73298871298576</v>
      </c>
      <c r="G704" s="2">
        <f t="shared" si="64"/>
        <v>12026.4452</v>
      </c>
      <c r="H704" s="2">
        <f t="shared" si="65"/>
        <v>35189378.655199997</v>
      </c>
    </row>
    <row r="705" spans="1:8" x14ac:dyDescent="0.35">
      <c r="A705" s="2">
        <v>2926</v>
      </c>
      <c r="B705" s="2">
        <v>43652</v>
      </c>
      <c r="C705" s="2">
        <f t="shared" si="60"/>
        <v>4.3651999999999997</v>
      </c>
      <c r="D705" s="2">
        <f t="shared" si="61"/>
        <v>8561476</v>
      </c>
      <c r="E705" s="2">
        <f t="shared" si="62"/>
        <v>25050878776</v>
      </c>
      <c r="F705" s="2">
        <f t="shared" si="63"/>
        <v>73298871298576</v>
      </c>
      <c r="G705" s="2">
        <f t="shared" si="64"/>
        <v>12772.575199999999</v>
      </c>
      <c r="H705" s="2">
        <f t="shared" si="65"/>
        <v>37372555.0352</v>
      </c>
    </row>
    <row r="706" spans="1:8" x14ac:dyDescent="0.35">
      <c r="A706" s="2">
        <v>2926</v>
      </c>
      <c r="B706" s="2">
        <v>42668</v>
      </c>
      <c r="C706" s="2">
        <f t="shared" si="60"/>
        <v>4.2667999999999999</v>
      </c>
      <c r="D706" s="2">
        <f t="shared" si="61"/>
        <v>8561476</v>
      </c>
      <c r="E706" s="2">
        <f t="shared" si="62"/>
        <v>25050878776</v>
      </c>
      <c r="F706" s="2">
        <f t="shared" si="63"/>
        <v>73298871298576</v>
      </c>
      <c r="G706" s="2">
        <f t="shared" si="64"/>
        <v>12484.656800000001</v>
      </c>
      <c r="H706" s="2">
        <f t="shared" si="65"/>
        <v>36530105.796800002</v>
      </c>
    </row>
    <row r="707" spans="1:8" x14ac:dyDescent="0.35">
      <c r="A707" s="2">
        <v>2926</v>
      </c>
      <c r="B707" s="2">
        <v>40875</v>
      </c>
      <c r="C707" s="2">
        <f t="shared" ref="C707:C770" si="66">B707/10000</f>
        <v>4.0875000000000004</v>
      </c>
      <c r="D707" s="2">
        <f t="shared" ref="D707:D770" si="67">A707^2</f>
        <v>8561476</v>
      </c>
      <c r="E707" s="2">
        <f t="shared" ref="E707:E770" si="68">A707^3</f>
        <v>25050878776</v>
      </c>
      <c r="F707" s="2">
        <f t="shared" ref="F707:F770" si="69">A707^4</f>
        <v>73298871298576</v>
      </c>
      <c r="G707" s="2">
        <f t="shared" ref="G707:G770" si="70">A707*C707</f>
        <v>11960.025000000001</v>
      </c>
      <c r="H707" s="2">
        <f t="shared" ref="H707:H770" si="71">D707*C707</f>
        <v>34995033.150000006</v>
      </c>
    </row>
    <row r="708" spans="1:8" x14ac:dyDescent="0.35">
      <c r="A708" s="2">
        <v>2926</v>
      </c>
      <c r="B708" s="2">
        <v>38975</v>
      </c>
      <c r="C708" s="2">
        <f t="shared" si="66"/>
        <v>3.8975</v>
      </c>
      <c r="D708" s="2">
        <f t="shared" si="67"/>
        <v>8561476</v>
      </c>
      <c r="E708" s="2">
        <f t="shared" si="68"/>
        <v>25050878776</v>
      </c>
      <c r="F708" s="2">
        <f t="shared" si="69"/>
        <v>73298871298576</v>
      </c>
      <c r="G708" s="2">
        <f t="shared" si="70"/>
        <v>11404.084999999999</v>
      </c>
      <c r="H708" s="2">
        <f t="shared" si="71"/>
        <v>33368352.710000001</v>
      </c>
    </row>
    <row r="709" spans="1:8" x14ac:dyDescent="0.35">
      <c r="A709" s="2">
        <v>2926</v>
      </c>
      <c r="B709" s="2">
        <v>38039</v>
      </c>
      <c r="C709" s="2">
        <f t="shared" si="66"/>
        <v>3.8039000000000001</v>
      </c>
      <c r="D709" s="2">
        <f t="shared" si="67"/>
        <v>8561476</v>
      </c>
      <c r="E709" s="2">
        <f t="shared" si="68"/>
        <v>25050878776</v>
      </c>
      <c r="F709" s="2">
        <f t="shared" si="69"/>
        <v>73298871298576</v>
      </c>
      <c r="G709" s="2">
        <f t="shared" si="70"/>
        <v>11130.2114</v>
      </c>
      <c r="H709" s="2">
        <f t="shared" si="71"/>
        <v>32566998.556400001</v>
      </c>
    </row>
    <row r="710" spans="1:8" x14ac:dyDescent="0.35">
      <c r="A710" s="2">
        <v>2926</v>
      </c>
      <c r="B710" s="2">
        <v>39623</v>
      </c>
      <c r="C710" s="2">
        <f t="shared" si="66"/>
        <v>3.9622999999999999</v>
      </c>
      <c r="D710" s="2">
        <f t="shared" si="67"/>
        <v>8561476</v>
      </c>
      <c r="E710" s="2">
        <f t="shared" si="68"/>
        <v>25050878776</v>
      </c>
      <c r="F710" s="2">
        <f t="shared" si="69"/>
        <v>73298871298576</v>
      </c>
      <c r="G710" s="2">
        <f t="shared" si="70"/>
        <v>11593.6898</v>
      </c>
      <c r="H710" s="2">
        <f t="shared" si="71"/>
        <v>33923136.354800001</v>
      </c>
    </row>
    <row r="711" spans="1:8" x14ac:dyDescent="0.35">
      <c r="A711" s="2">
        <v>2926</v>
      </c>
      <c r="B711" s="2">
        <v>31749</v>
      </c>
      <c r="C711" s="2">
        <f t="shared" si="66"/>
        <v>3.1749000000000001</v>
      </c>
      <c r="D711" s="2">
        <f t="shared" si="67"/>
        <v>8561476</v>
      </c>
      <c r="E711" s="2">
        <f t="shared" si="68"/>
        <v>25050878776</v>
      </c>
      <c r="F711" s="2">
        <f t="shared" si="69"/>
        <v>73298871298576</v>
      </c>
      <c r="G711" s="2">
        <f t="shared" si="70"/>
        <v>9289.7574000000004</v>
      </c>
      <c r="H711" s="2">
        <f t="shared" si="71"/>
        <v>27181830.152400002</v>
      </c>
    </row>
    <row r="712" spans="1:8" x14ac:dyDescent="0.35">
      <c r="A712" s="2">
        <v>2926</v>
      </c>
      <c r="B712" s="2">
        <v>33169</v>
      </c>
      <c r="C712" s="2">
        <f t="shared" si="66"/>
        <v>3.3169</v>
      </c>
      <c r="D712" s="2">
        <f t="shared" si="67"/>
        <v>8561476</v>
      </c>
      <c r="E712" s="2">
        <f t="shared" si="68"/>
        <v>25050878776</v>
      </c>
      <c r="F712" s="2">
        <f t="shared" si="69"/>
        <v>73298871298576</v>
      </c>
      <c r="G712" s="2">
        <f t="shared" si="70"/>
        <v>9705.2494000000006</v>
      </c>
      <c r="H712" s="2">
        <f t="shared" si="71"/>
        <v>28397559.744399998</v>
      </c>
    </row>
    <row r="713" spans="1:8" x14ac:dyDescent="0.35">
      <c r="A713" s="2">
        <v>2926</v>
      </c>
      <c r="B713" s="2">
        <v>39744</v>
      </c>
      <c r="C713" s="2">
        <f t="shared" si="66"/>
        <v>3.9744000000000002</v>
      </c>
      <c r="D713" s="2">
        <f t="shared" si="67"/>
        <v>8561476</v>
      </c>
      <c r="E713" s="2">
        <f t="shared" si="68"/>
        <v>25050878776</v>
      </c>
      <c r="F713" s="2">
        <f t="shared" si="69"/>
        <v>73298871298576</v>
      </c>
      <c r="G713" s="2">
        <f t="shared" si="70"/>
        <v>11629.0944</v>
      </c>
      <c r="H713" s="2">
        <f t="shared" si="71"/>
        <v>34026730.214400001</v>
      </c>
    </row>
    <row r="714" spans="1:8" x14ac:dyDescent="0.35">
      <c r="A714" s="2">
        <v>2926</v>
      </c>
      <c r="B714" s="2">
        <v>38036</v>
      </c>
      <c r="C714" s="2">
        <f t="shared" si="66"/>
        <v>3.8035999999999999</v>
      </c>
      <c r="D714" s="2">
        <f t="shared" si="67"/>
        <v>8561476</v>
      </c>
      <c r="E714" s="2">
        <f t="shared" si="68"/>
        <v>25050878776</v>
      </c>
      <c r="F714" s="2">
        <f t="shared" si="69"/>
        <v>73298871298576</v>
      </c>
      <c r="G714" s="2">
        <f t="shared" si="70"/>
        <v>11129.3336</v>
      </c>
      <c r="H714" s="2">
        <f t="shared" si="71"/>
        <v>32564430.113600001</v>
      </c>
    </row>
    <row r="715" spans="1:8" x14ac:dyDescent="0.35">
      <c r="A715" s="2">
        <v>2926</v>
      </c>
      <c r="B715" s="2">
        <v>40974</v>
      </c>
      <c r="C715" s="2">
        <f t="shared" si="66"/>
        <v>4.0974000000000004</v>
      </c>
      <c r="D715" s="2">
        <f t="shared" si="67"/>
        <v>8561476</v>
      </c>
      <c r="E715" s="2">
        <f t="shared" si="68"/>
        <v>25050878776</v>
      </c>
      <c r="F715" s="2">
        <f t="shared" si="69"/>
        <v>73298871298576</v>
      </c>
      <c r="G715" s="2">
        <f t="shared" si="70"/>
        <v>11988.992400000001</v>
      </c>
      <c r="H715" s="2">
        <f t="shared" si="71"/>
        <v>35079791.762400001</v>
      </c>
    </row>
    <row r="716" spans="1:8" x14ac:dyDescent="0.35">
      <c r="A716" s="2">
        <v>2926</v>
      </c>
      <c r="B716" s="2">
        <v>41001</v>
      </c>
      <c r="C716" s="2">
        <f t="shared" si="66"/>
        <v>4.1001000000000003</v>
      </c>
      <c r="D716" s="2">
        <f t="shared" si="67"/>
        <v>8561476</v>
      </c>
      <c r="E716" s="2">
        <f t="shared" si="68"/>
        <v>25050878776</v>
      </c>
      <c r="F716" s="2">
        <f t="shared" si="69"/>
        <v>73298871298576</v>
      </c>
      <c r="G716" s="2">
        <f t="shared" si="70"/>
        <v>11996.892600000001</v>
      </c>
      <c r="H716" s="2">
        <f t="shared" si="71"/>
        <v>35102907.747600004</v>
      </c>
    </row>
    <row r="717" spans="1:8" x14ac:dyDescent="0.35">
      <c r="A717" s="2">
        <v>2926</v>
      </c>
      <c r="B717" s="2">
        <v>33485</v>
      </c>
      <c r="C717" s="2">
        <f t="shared" si="66"/>
        <v>3.3485</v>
      </c>
      <c r="D717" s="2">
        <f t="shared" si="67"/>
        <v>8561476</v>
      </c>
      <c r="E717" s="2">
        <f t="shared" si="68"/>
        <v>25050878776</v>
      </c>
      <c r="F717" s="2">
        <f t="shared" si="69"/>
        <v>73298871298576</v>
      </c>
      <c r="G717" s="2">
        <f t="shared" si="70"/>
        <v>9797.7109999999993</v>
      </c>
      <c r="H717" s="2">
        <f t="shared" si="71"/>
        <v>28668102.386</v>
      </c>
    </row>
    <row r="718" spans="1:8" x14ac:dyDescent="0.35">
      <c r="A718" s="2">
        <v>2926</v>
      </c>
      <c r="B718" s="2">
        <v>35402</v>
      </c>
      <c r="C718" s="2">
        <f t="shared" si="66"/>
        <v>3.5402</v>
      </c>
      <c r="D718" s="2">
        <f t="shared" si="67"/>
        <v>8561476</v>
      </c>
      <c r="E718" s="2">
        <f t="shared" si="68"/>
        <v>25050878776</v>
      </c>
      <c r="F718" s="2">
        <f t="shared" si="69"/>
        <v>73298871298576</v>
      </c>
      <c r="G718" s="2">
        <f t="shared" si="70"/>
        <v>10358.6252</v>
      </c>
      <c r="H718" s="2">
        <f t="shared" si="71"/>
        <v>30309337.335200001</v>
      </c>
    </row>
    <row r="719" spans="1:8" x14ac:dyDescent="0.35">
      <c r="A719" s="2">
        <v>2926</v>
      </c>
      <c r="B719" s="2">
        <v>37933</v>
      </c>
      <c r="C719" s="2">
        <f t="shared" si="66"/>
        <v>3.7932999999999999</v>
      </c>
      <c r="D719" s="2">
        <f t="shared" si="67"/>
        <v>8561476</v>
      </c>
      <c r="E719" s="2">
        <f t="shared" si="68"/>
        <v>25050878776</v>
      </c>
      <c r="F719" s="2">
        <f t="shared" si="69"/>
        <v>73298871298576</v>
      </c>
      <c r="G719" s="2">
        <f t="shared" si="70"/>
        <v>11099.1958</v>
      </c>
      <c r="H719" s="2">
        <f t="shared" si="71"/>
        <v>32476246.910799999</v>
      </c>
    </row>
    <row r="720" spans="1:8" x14ac:dyDescent="0.35">
      <c r="A720" s="2">
        <v>2926</v>
      </c>
      <c r="B720" s="2">
        <v>33822</v>
      </c>
      <c r="C720" s="2">
        <f t="shared" si="66"/>
        <v>3.3822000000000001</v>
      </c>
      <c r="D720" s="2">
        <f t="shared" si="67"/>
        <v>8561476</v>
      </c>
      <c r="E720" s="2">
        <f t="shared" si="68"/>
        <v>25050878776</v>
      </c>
      <c r="F720" s="2">
        <f t="shared" si="69"/>
        <v>73298871298576</v>
      </c>
      <c r="G720" s="2">
        <f t="shared" si="70"/>
        <v>9896.3171999999995</v>
      </c>
      <c r="H720" s="2">
        <f t="shared" si="71"/>
        <v>28956624.1272</v>
      </c>
    </row>
    <row r="721" spans="1:8" x14ac:dyDescent="0.35">
      <c r="A721" s="2">
        <v>2926</v>
      </c>
      <c r="B721" s="2">
        <v>48799</v>
      </c>
      <c r="C721" s="2">
        <f t="shared" si="66"/>
        <v>4.8799000000000001</v>
      </c>
      <c r="D721" s="2">
        <f t="shared" si="67"/>
        <v>8561476</v>
      </c>
      <c r="E721" s="2">
        <f t="shared" si="68"/>
        <v>25050878776</v>
      </c>
      <c r="F721" s="2">
        <f t="shared" si="69"/>
        <v>73298871298576</v>
      </c>
      <c r="G721" s="2">
        <f t="shared" si="70"/>
        <v>14278.5874</v>
      </c>
      <c r="H721" s="2">
        <f t="shared" si="71"/>
        <v>41779146.7324</v>
      </c>
    </row>
    <row r="722" spans="1:8" x14ac:dyDescent="0.35">
      <c r="A722" s="2">
        <v>2926</v>
      </c>
      <c r="B722" s="2">
        <v>40029</v>
      </c>
      <c r="C722" s="2">
        <f t="shared" si="66"/>
        <v>4.0029000000000003</v>
      </c>
      <c r="D722" s="2">
        <f t="shared" si="67"/>
        <v>8561476</v>
      </c>
      <c r="E722" s="2">
        <f t="shared" si="68"/>
        <v>25050878776</v>
      </c>
      <c r="F722" s="2">
        <f t="shared" si="69"/>
        <v>73298871298576</v>
      </c>
      <c r="G722" s="2">
        <f t="shared" si="70"/>
        <v>11712.485400000001</v>
      </c>
      <c r="H722" s="2">
        <f t="shared" si="71"/>
        <v>34270732.280400001</v>
      </c>
    </row>
    <row r="723" spans="1:8" x14ac:dyDescent="0.35">
      <c r="A723" s="2">
        <v>2926</v>
      </c>
      <c r="B723" s="2">
        <v>42396</v>
      </c>
      <c r="C723" s="2">
        <f t="shared" si="66"/>
        <v>4.2396000000000003</v>
      </c>
      <c r="D723" s="2">
        <f t="shared" si="67"/>
        <v>8561476</v>
      </c>
      <c r="E723" s="2">
        <f t="shared" si="68"/>
        <v>25050878776</v>
      </c>
      <c r="F723" s="2">
        <f t="shared" si="69"/>
        <v>73298871298576</v>
      </c>
      <c r="G723" s="2">
        <f t="shared" si="70"/>
        <v>12405.069600000001</v>
      </c>
      <c r="H723" s="2">
        <f t="shared" si="71"/>
        <v>36297233.649599999</v>
      </c>
    </row>
    <row r="724" spans="1:8" x14ac:dyDescent="0.35">
      <c r="A724" s="2">
        <v>1335</v>
      </c>
      <c r="B724" s="2">
        <v>32935</v>
      </c>
      <c r="C724" s="2">
        <f t="shared" si="66"/>
        <v>3.2934999999999999</v>
      </c>
      <c r="D724" s="2">
        <f t="shared" si="67"/>
        <v>1782225</v>
      </c>
      <c r="E724" s="2">
        <f t="shared" si="68"/>
        <v>2379270375</v>
      </c>
      <c r="F724" s="2">
        <f t="shared" si="69"/>
        <v>3176325950625</v>
      </c>
      <c r="G724" s="2">
        <f t="shared" si="70"/>
        <v>4396.8225000000002</v>
      </c>
      <c r="H724" s="2">
        <f t="shared" si="71"/>
        <v>5869758.0374999996</v>
      </c>
    </row>
    <row r="725" spans="1:8" x14ac:dyDescent="0.35">
      <c r="A725" s="2">
        <v>1335</v>
      </c>
      <c r="B725" s="2">
        <v>33442</v>
      </c>
      <c r="C725" s="2">
        <f t="shared" si="66"/>
        <v>3.3441999999999998</v>
      </c>
      <c r="D725" s="2">
        <f t="shared" si="67"/>
        <v>1782225</v>
      </c>
      <c r="E725" s="2">
        <f t="shared" si="68"/>
        <v>2379270375</v>
      </c>
      <c r="F725" s="2">
        <f t="shared" si="69"/>
        <v>3176325950625</v>
      </c>
      <c r="G725" s="2">
        <f t="shared" si="70"/>
        <v>4464.5069999999996</v>
      </c>
      <c r="H725" s="2">
        <f t="shared" si="71"/>
        <v>5960116.8449999997</v>
      </c>
    </row>
    <row r="726" spans="1:8" x14ac:dyDescent="0.35">
      <c r="A726" s="2">
        <v>1335</v>
      </c>
      <c r="B726" s="2">
        <v>30401</v>
      </c>
      <c r="C726" s="2">
        <f t="shared" si="66"/>
        <v>3.0400999999999998</v>
      </c>
      <c r="D726" s="2">
        <f t="shared" si="67"/>
        <v>1782225</v>
      </c>
      <c r="E726" s="2">
        <f t="shared" si="68"/>
        <v>2379270375</v>
      </c>
      <c r="F726" s="2">
        <f t="shared" si="69"/>
        <v>3176325950625</v>
      </c>
      <c r="G726" s="2">
        <f t="shared" si="70"/>
        <v>4058.5334999999995</v>
      </c>
      <c r="H726" s="2">
        <f t="shared" si="71"/>
        <v>5418142.2224999992</v>
      </c>
    </row>
    <row r="727" spans="1:8" x14ac:dyDescent="0.35">
      <c r="A727" s="2">
        <v>1335</v>
      </c>
      <c r="B727" s="2">
        <v>32038</v>
      </c>
      <c r="C727" s="2">
        <f t="shared" si="66"/>
        <v>3.2038000000000002</v>
      </c>
      <c r="D727" s="2">
        <f t="shared" si="67"/>
        <v>1782225</v>
      </c>
      <c r="E727" s="2">
        <f t="shared" si="68"/>
        <v>2379270375</v>
      </c>
      <c r="F727" s="2">
        <f t="shared" si="69"/>
        <v>3176325950625</v>
      </c>
      <c r="G727" s="2">
        <f t="shared" si="70"/>
        <v>4277.0730000000003</v>
      </c>
      <c r="H727" s="2">
        <f t="shared" si="71"/>
        <v>5709892.4550000001</v>
      </c>
    </row>
    <row r="728" spans="1:8" x14ac:dyDescent="0.35">
      <c r="A728" s="2">
        <v>1335</v>
      </c>
      <c r="B728" s="2">
        <v>30580</v>
      </c>
      <c r="C728" s="2">
        <f t="shared" si="66"/>
        <v>3.0579999999999998</v>
      </c>
      <c r="D728" s="2">
        <f t="shared" si="67"/>
        <v>1782225</v>
      </c>
      <c r="E728" s="2">
        <f t="shared" si="68"/>
        <v>2379270375</v>
      </c>
      <c r="F728" s="2">
        <f t="shared" si="69"/>
        <v>3176325950625</v>
      </c>
      <c r="G728" s="2">
        <f t="shared" si="70"/>
        <v>4082.43</v>
      </c>
      <c r="H728" s="2">
        <f t="shared" si="71"/>
        <v>5450044.0499999998</v>
      </c>
    </row>
    <row r="729" spans="1:8" x14ac:dyDescent="0.35">
      <c r="A729" s="2">
        <v>1335</v>
      </c>
      <c r="B729" s="2">
        <v>28105</v>
      </c>
      <c r="C729" s="2">
        <f t="shared" si="66"/>
        <v>2.8105000000000002</v>
      </c>
      <c r="D729" s="2">
        <f t="shared" si="67"/>
        <v>1782225</v>
      </c>
      <c r="E729" s="2">
        <f t="shared" si="68"/>
        <v>2379270375</v>
      </c>
      <c r="F729" s="2">
        <f t="shared" si="69"/>
        <v>3176325950625</v>
      </c>
      <c r="G729" s="2">
        <f t="shared" si="70"/>
        <v>3752.0175000000004</v>
      </c>
      <c r="H729" s="2">
        <f t="shared" si="71"/>
        <v>5008943.3625000007</v>
      </c>
    </row>
    <row r="730" spans="1:8" x14ac:dyDescent="0.35">
      <c r="A730" s="2">
        <v>1335</v>
      </c>
      <c r="B730" s="2">
        <v>21902</v>
      </c>
      <c r="C730" s="2">
        <f t="shared" si="66"/>
        <v>2.1901999999999999</v>
      </c>
      <c r="D730" s="2">
        <f t="shared" si="67"/>
        <v>1782225</v>
      </c>
      <c r="E730" s="2">
        <f t="shared" si="68"/>
        <v>2379270375</v>
      </c>
      <c r="F730" s="2">
        <f t="shared" si="69"/>
        <v>3176325950625</v>
      </c>
      <c r="G730" s="2">
        <f t="shared" si="70"/>
        <v>2923.9169999999999</v>
      </c>
      <c r="H730" s="2">
        <f t="shared" si="71"/>
        <v>3903429.1949999998</v>
      </c>
    </row>
    <row r="731" spans="1:8" x14ac:dyDescent="0.35">
      <c r="A731" s="2">
        <v>1335</v>
      </c>
      <c r="B731" s="2">
        <v>19113</v>
      </c>
      <c r="C731" s="2">
        <f t="shared" si="66"/>
        <v>1.9113</v>
      </c>
      <c r="D731" s="2">
        <f t="shared" si="67"/>
        <v>1782225</v>
      </c>
      <c r="E731" s="2">
        <f t="shared" si="68"/>
        <v>2379270375</v>
      </c>
      <c r="F731" s="2">
        <f t="shared" si="69"/>
        <v>3176325950625</v>
      </c>
      <c r="G731" s="2">
        <f t="shared" si="70"/>
        <v>2551.5855000000001</v>
      </c>
      <c r="H731" s="2">
        <f t="shared" si="71"/>
        <v>3406366.6425000001</v>
      </c>
    </row>
    <row r="732" spans="1:8" x14ac:dyDescent="0.35">
      <c r="A732" s="2">
        <v>1335</v>
      </c>
      <c r="B732" s="2">
        <v>23247</v>
      </c>
      <c r="C732" s="2">
        <f t="shared" si="66"/>
        <v>2.3247</v>
      </c>
      <c r="D732" s="2">
        <f t="shared" si="67"/>
        <v>1782225</v>
      </c>
      <c r="E732" s="2">
        <f t="shared" si="68"/>
        <v>2379270375</v>
      </c>
      <c r="F732" s="2">
        <f t="shared" si="69"/>
        <v>3176325950625</v>
      </c>
      <c r="G732" s="2">
        <f t="shared" si="70"/>
        <v>3103.4744999999998</v>
      </c>
      <c r="H732" s="2">
        <f t="shared" si="71"/>
        <v>4143138.4575</v>
      </c>
    </row>
    <row r="733" spans="1:8" x14ac:dyDescent="0.35">
      <c r="A733" s="2">
        <v>1335</v>
      </c>
      <c r="B733" s="2">
        <v>25604</v>
      </c>
      <c r="C733" s="2">
        <f t="shared" si="66"/>
        <v>2.5604</v>
      </c>
      <c r="D733" s="2">
        <f t="shared" si="67"/>
        <v>1782225</v>
      </c>
      <c r="E733" s="2">
        <f t="shared" si="68"/>
        <v>2379270375</v>
      </c>
      <c r="F733" s="2">
        <f t="shared" si="69"/>
        <v>3176325950625</v>
      </c>
      <c r="G733" s="2">
        <f t="shared" si="70"/>
        <v>3418.134</v>
      </c>
      <c r="H733" s="2">
        <f t="shared" si="71"/>
        <v>4563208.8899999997</v>
      </c>
    </row>
    <row r="734" spans="1:8" x14ac:dyDescent="0.35">
      <c r="A734" s="2">
        <v>1335</v>
      </c>
      <c r="B734" s="2">
        <v>24574</v>
      </c>
      <c r="C734" s="2">
        <f t="shared" si="66"/>
        <v>2.4573999999999998</v>
      </c>
      <c r="D734" s="2">
        <f t="shared" si="67"/>
        <v>1782225</v>
      </c>
      <c r="E734" s="2">
        <f t="shared" si="68"/>
        <v>2379270375</v>
      </c>
      <c r="F734" s="2">
        <f t="shared" si="69"/>
        <v>3176325950625</v>
      </c>
      <c r="G734" s="2">
        <f t="shared" si="70"/>
        <v>3280.6289999999999</v>
      </c>
      <c r="H734" s="2">
        <f t="shared" si="71"/>
        <v>4379639.7149999999</v>
      </c>
    </row>
    <row r="735" spans="1:8" x14ac:dyDescent="0.35">
      <c r="A735" s="2">
        <v>1335</v>
      </c>
      <c r="B735" s="2">
        <v>28781</v>
      </c>
      <c r="C735" s="2">
        <f t="shared" si="66"/>
        <v>2.8780999999999999</v>
      </c>
      <c r="D735" s="2">
        <f t="shared" si="67"/>
        <v>1782225</v>
      </c>
      <c r="E735" s="2">
        <f t="shared" si="68"/>
        <v>2379270375</v>
      </c>
      <c r="F735" s="2">
        <f t="shared" si="69"/>
        <v>3176325950625</v>
      </c>
      <c r="G735" s="2">
        <f t="shared" si="70"/>
        <v>3842.2635</v>
      </c>
      <c r="H735" s="2">
        <f t="shared" si="71"/>
        <v>5129421.7725</v>
      </c>
    </row>
    <row r="736" spans="1:8" x14ac:dyDescent="0.35">
      <c r="A736" s="2">
        <v>1335</v>
      </c>
      <c r="B736" s="2">
        <v>22772</v>
      </c>
      <c r="C736" s="2">
        <f t="shared" si="66"/>
        <v>2.2772000000000001</v>
      </c>
      <c r="D736" s="2">
        <f t="shared" si="67"/>
        <v>1782225</v>
      </c>
      <c r="E736" s="2">
        <f t="shared" si="68"/>
        <v>2379270375</v>
      </c>
      <c r="F736" s="2">
        <f t="shared" si="69"/>
        <v>3176325950625</v>
      </c>
      <c r="G736" s="2">
        <f t="shared" si="70"/>
        <v>3040.0620000000004</v>
      </c>
      <c r="H736" s="2">
        <f t="shared" si="71"/>
        <v>4058482.77</v>
      </c>
    </row>
    <row r="737" spans="1:8" x14ac:dyDescent="0.35">
      <c r="A737" s="2">
        <v>1335</v>
      </c>
      <c r="B737" s="2">
        <v>32673</v>
      </c>
      <c r="C737" s="2">
        <f t="shared" si="66"/>
        <v>3.2673000000000001</v>
      </c>
      <c r="D737" s="2">
        <f t="shared" si="67"/>
        <v>1782225</v>
      </c>
      <c r="E737" s="2">
        <f t="shared" si="68"/>
        <v>2379270375</v>
      </c>
      <c r="F737" s="2">
        <f t="shared" si="69"/>
        <v>3176325950625</v>
      </c>
      <c r="G737" s="2">
        <f t="shared" si="70"/>
        <v>4361.8455000000004</v>
      </c>
      <c r="H737" s="2">
        <f t="shared" si="71"/>
        <v>5823063.7424999997</v>
      </c>
    </row>
    <row r="738" spans="1:8" x14ac:dyDescent="0.35">
      <c r="A738" s="2">
        <v>1335</v>
      </c>
      <c r="B738" s="2">
        <v>27625</v>
      </c>
      <c r="C738" s="2">
        <f t="shared" si="66"/>
        <v>2.7625000000000002</v>
      </c>
      <c r="D738" s="2">
        <f t="shared" si="67"/>
        <v>1782225</v>
      </c>
      <c r="E738" s="2">
        <f t="shared" si="68"/>
        <v>2379270375</v>
      </c>
      <c r="F738" s="2">
        <f t="shared" si="69"/>
        <v>3176325950625</v>
      </c>
      <c r="G738" s="2">
        <f t="shared" si="70"/>
        <v>3687.9375000000005</v>
      </c>
      <c r="H738" s="2">
        <f t="shared" si="71"/>
        <v>4923396.5625</v>
      </c>
    </row>
    <row r="739" spans="1:8" x14ac:dyDescent="0.35">
      <c r="A739" s="2">
        <v>1335</v>
      </c>
      <c r="B739" s="2">
        <v>32689</v>
      </c>
      <c r="C739" s="2">
        <f t="shared" si="66"/>
        <v>3.2688999999999999</v>
      </c>
      <c r="D739" s="2">
        <f t="shared" si="67"/>
        <v>1782225</v>
      </c>
      <c r="E739" s="2">
        <f t="shared" si="68"/>
        <v>2379270375</v>
      </c>
      <c r="F739" s="2">
        <f t="shared" si="69"/>
        <v>3176325950625</v>
      </c>
      <c r="G739" s="2">
        <f t="shared" si="70"/>
        <v>4363.9814999999999</v>
      </c>
      <c r="H739" s="2">
        <f t="shared" si="71"/>
        <v>5825915.3025000002</v>
      </c>
    </row>
    <row r="740" spans="1:8" x14ac:dyDescent="0.35">
      <c r="A740" s="2">
        <v>1335</v>
      </c>
      <c r="B740" s="2">
        <v>34959</v>
      </c>
      <c r="C740" s="2">
        <f t="shared" si="66"/>
        <v>3.4958999999999998</v>
      </c>
      <c r="D740" s="2">
        <f t="shared" si="67"/>
        <v>1782225</v>
      </c>
      <c r="E740" s="2">
        <f t="shared" si="68"/>
        <v>2379270375</v>
      </c>
      <c r="F740" s="2">
        <f t="shared" si="69"/>
        <v>3176325950625</v>
      </c>
      <c r="G740" s="2">
        <f t="shared" si="70"/>
        <v>4667.0264999999999</v>
      </c>
      <c r="H740" s="2">
        <f t="shared" si="71"/>
        <v>6230480.3774999995</v>
      </c>
    </row>
    <row r="741" spans="1:8" x14ac:dyDescent="0.35">
      <c r="A741" s="2">
        <v>1335</v>
      </c>
      <c r="B741" s="2">
        <v>30977</v>
      </c>
      <c r="C741" s="2">
        <f t="shared" si="66"/>
        <v>3.0977000000000001</v>
      </c>
      <c r="D741" s="2">
        <f t="shared" si="67"/>
        <v>1782225</v>
      </c>
      <c r="E741" s="2">
        <f t="shared" si="68"/>
        <v>2379270375</v>
      </c>
      <c r="F741" s="2">
        <f t="shared" si="69"/>
        <v>3176325950625</v>
      </c>
      <c r="G741" s="2">
        <f t="shared" si="70"/>
        <v>4135.4295000000002</v>
      </c>
      <c r="H741" s="2">
        <f t="shared" si="71"/>
        <v>5520798.3825000003</v>
      </c>
    </row>
    <row r="742" spans="1:8" x14ac:dyDescent="0.35">
      <c r="A742" s="2">
        <v>1335</v>
      </c>
      <c r="B742" s="2">
        <v>28900</v>
      </c>
      <c r="C742" s="2">
        <f t="shared" si="66"/>
        <v>2.89</v>
      </c>
      <c r="D742" s="2">
        <f t="shared" si="67"/>
        <v>1782225</v>
      </c>
      <c r="E742" s="2">
        <f t="shared" si="68"/>
        <v>2379270375</v>
      </c>
      <c r="F742" s="2">
        <f t="shared" si="69"/>
        <v>3176325950625</v>
      </c>
      <c r="G742" s="2">
        <f t="shared" si="70"/>
        <v>3858.15</v>
      </c>
      <c r="H742" s="2">
        <f t="shared" si="71"/>
        <v>5150630.25</v>
      </c>
    </row>
    <row r="743" spans="1:8" x14ac:dyDescent="0.35">
      <c r="A743" s="2">
        <v>1335</v>
      </c>
      <c r="B743" s="2">
        <v>30400</v>
      </c>
      <c r="C743" s="2">
        <f t="shared" si="66"/>
        <v>3.04</v>
      </c>
      <c r="D743" s="2">
        <f t="shared" si="67"/>
        <v>1782225</v>
      </c>
      <c r="E743" s="2">
        <f t="shared" si="68"/>
        <v>2379270375</v>
      </c>
      <c r="F743" s="2">
        <f t="shared" si="69"/>
        <v>3176325950625</v>
      </c>
      <c r="G743" s="2">
        <f t="shared" si="70"/>
        <v>4058.4</v>
      </c>
      <c r="H743" s="2">
        <f t="shared" si="71"/>
        <v>5417964</v>
      </c>
    </row>
    <row r="744" spans="1:8" x14ac:dyDescent="0.35">
      <c r="A744" s="2">
        <v>1335</v>
      </c>
      <c r="B744" s="2">
        <v>32300</v>
      </c>
      <c r="C744" s="2">
        <f t="shared" si="66"/>
        <v>3.23</v>
      </c>
      <c r="D744" s="2">
        <f t="shared" si="67"/>
        <v>1782225</v>
      </c>
      <c r="E744" s="2">
        <f t="shared" si="68"/>
        <v>2379270375</v>
      </c>
      <c r="F744" s="2">
        <f t="shared" si="69"/>
        <v>3176325950625</v>
      </c>
      <c r="G744" s="2">
        <f t="shared" si="70"/>
        <v>4312.05</v>
      </c>
      <c r="H744" s="2">
        <f t="shared" si="71"/>
        <v>5756586.75</v>
      </c>
    </row>
    <row r="745" spans="1:8" x14ac:dyDescent="0.35">
      <c r="A745" s="2">
        <v>1335</v>
      </c>
      <c r="B745" s="2">
        <v>28036</v>
      </c>
      <c r="C745" s="2">
        <f t="shared" si="66"/>
        <v>2.8035999999999999</v>
      </c>
      <c r="D745" s="2">
        <f t="shared" si="67"/>
        <v>1782225</v>
      </c>
      <c r="E745" s="2">
        <f t="shared" si="68"/>
        <v>2379270375</v>
      </c>
      <c r="F745" s="2">
        <f t="shared" si="69"/>
        <v>3176325950625</v>
      </c>
      <c r="G745" s="2">
        <f t="shared" si="70"/>
        <v>3742.806</v>
      </c>
      <c r="H745" s="2">
        <f t="shared" si="71"/>
        <v>4996646.01</v>
      </c>
    </row>
    <row r="746" spans="1:8" x14ac:dyDescent="0.35">
      <c r="A746" s="2">
        <v>1335</v>
      </c>
      <c r="B746" s="2">
        <v>26123</v>
      </c>
      <c r="C746" s="2">
        <f t="shared" si="66"/>
        <v>2.6122999999999998</v>
      </c>
      <c r="D746" s="2">
        <f t="shared" si="67"/>
        <v>1782225</v>
      </c>
      <c r="E746" s="2">
        <f t="shared" si="68"/>
        <v>2379270375</v>
      </c>
      <c r="F746" s="2">
        <f t="shared" si="69"/>
        <v>3176325950625</v>
      </c>
      <c r="G746" s="2">
        <f t="shared" si="70"/>
        <v>3487.4204999999997</v>
      </c>
      <c r="H746" s="2">
        <f t="shared" si="71"/>
        <v>4655706.3674999997</v>
      </c>
    </row>
    <row r="747" spans="1:8" x14ac:dyDescent="0.35">
      <c r="A747" s="2">
        <v>1335</v>
      </c>
      <c r="B747" s="2">
        <v>25755</v>
      </c>
      <c r="C747" s="2">
        <f t="shared" si="66"/>
        <v>2.5754999999999999</v>
      </c>
      <c r="D747" s="2">
        <f t="shared" si="67"/>
        <v>1782225</v>
      </c>
      <c r="E747" s="2">
        <f t="shared" si="68"/>
        <v>2379270375</v>
      </c>
      <c r="F747" s="2">
        <f t="shared" si="69"/>
        <v>3176325950625</v>
      </c>
      <c r="G747" s="2">
        <f t="shared" si="70"/>
        <v>3438.2925</v>
      </c>
      <c r="H747" s="2">
        <f t="shared" si="71"/>
        <v>4590120.4874999998</v>
      </c>
    </row>
    <row r="748" spans="1:8" x14ac:dyDescent="0.35">
      <c r="A748" s="2">
        <v>1335</v>
      </c>
      <c r="B748" s="2">
        <v>27225</v>
      </c>
      <c r="C748" s="2">
        <f t="shared" si="66"/>
        <v>2.7225000000000001</v>
      </c>
      <c r="D748" s="2">
        <f t="shared" si="67"/>
        <v>1782225</v>
      </c>
      <c r="E748" s="2">
        <f t="shared" si="68"/>
        <v>2379270375</v>
      </c>
      <c r="F748" s="2">
        <f t="shared" si="69"/>
        <v>3176325950625</v>
      </c>
      <c r="G748" s="2">
        <f t="shared" si="70"/>
        <v>3634.5375000000004</v>
      </c>
      <c r="H748" s="2">
        <f t="shared" si="71"/>
        <v>4852107.5625</v>
      </c>
    </row>
    <row r="749" spans="1:8" x14ac:dyDescent="0.35">
      <c r="A749" s="2">
        <v>1335</v>
      </c>
      <c r="B749" s="2">
        <v>31651</v>
      </c>
      <c r="C749" s="2">
        <f t="shared" si="66"/>
        <v>3.1650999999999998</v>
      </c>
      <c r="D749" s="2">
        <f t="shared" si="67"/>
        <v>1782225</v>
      </c>
      <c r="E749" s="2">
        <f t="shared" si="68"/>
        <v>2379270375</v>
      </c>
      <c r="F749" s="2">
        <f t="shared" si="69"/>
        <v>3176325950625</v>
      </c>
      <c r="G749" s="2">
        <f t="shared" si="70"/>
        <v>4225.4084999999995</v>
      </c>
      <c r="H749" s="2">
        <f t="shared" si="71"/>
        <v>5640920.3474999992</v>
      </c>
    </row>
    <row r="750" spans="1:8" x14ac:dyDescent="0.35">
      <c r="A750" s="2">
        <v>1335</v>
      </c>
      <c r="B750" s="2">
        <v>34000</v>
      </c>
      <c r="C750" s="2">
        <f t="shared" si="66"/>
        <v>3.4</v>
      </c>
      <c r="D750" s="2">
        <f t="shared" si="67"/>
        <v>1782225</v>
      </c>
      <c r="E750" s="2">
        <f t="shared" si="68"/>
        <v>2379270375</v>
      </c>
      <c r="F750" s="2">
        <f t="shared" si="69"/>
        <v>3176325950625</v>
      </c>
      <c r="G750" s="2">
        <f t="shared" si="70"/>
        <v>4539</v>
      </c>
      <c r="H750" s="2">
        <f t="shared" si="71"/>
        <v>6059565</v>
      </c>
    </row>
    <row r="751" spans="1:8" x14ac:dyDescent="0.35">
      <c r="A751" s="2">
        <v>1335</v>
      </c>
      <c r="B751" s="2">
        <v>34085</v>
      </c>
      <c r="C751" s="2">
        <f t="shared" si="66"/>
        <v>3.4085000000000001</v>
      </c>
      <c r="D751" s="2">
        <f t="shared" si="67"/>
        <v>1782225</v>
      </c>
      <c r="E751" s="2">
        <f t="shared" si="68"/>
        <v>2379270375</v>
      </c>
      <c r="F751" s="2">
        <f t="shared" si="69"/>
        <v>3176325950625</v>
      </c>
      <c r="G751" s="2">
        <f t="shared" si="70"/>
        <v>4550.3474999999999</v>
      </c>
      <c r="H751" s="2">
        <f t="shared" si="71"/>
        <v>6074713.9125000006</v>
      </c>
    </row>
    <row r="752" spans="1:8" x14ac:dyDescent="0.35">
      <c r="A752" s="2">
        <v>1335</v>
      </c>
      <c r="B752" s="2">
        <v>37269</v>
      </c>
      <c r="C752" s="2">
        <f t="shared" si="66"/>
        <v>3.7269000000000001</v>
      </c>
      <c r="D752" s="2">
        <f t="shared" si="67"/>
        <v>1782225</v>
      </c>
      <c r="E752" s="2">
        <f t="shared" si="68"/>
        <v>2379270375</v>
      </c>
      <c r="F752" s="2">
        <f t="shared" si="69"/>
        <v>3176325950625</v>
      </c>
      <c r="G752" s="2">
        <f t="shared" si="70"/>
        <v>4975.4115000000002</v>
      </c>
      <c r="H752" s="2">
        <f t="shared" si="71"/>
        <v>6642174.3525</v>
      </c>
    </row>
    <row r="753" spans="1:8" x14ac:dyDescent="0.35">
      <c r="A753" s="2">
        <v>1335</v>
      </c>
      <c r="B753" s="2">
        <v>36713</v>
      </c>
      <c r="C753" s="2">
        <f t="shared" si="66"/>
        <v>3.6713</v>
      </c>
      <c r="D753" s="2">
        <f t="shared" si="67"/>
        <v>1782225</v>
      </c>
      <c r="E753" s="2">
        <f t="shared" si="68"/>
        <v>2379270375</v>
      </c>
      <c r="F753" s="2">
        <f t="shared" si="69"/>
        <v>3176325950625</v>
      </c>
      <c r="G753" s="2">
        <f t="shared" si="70"/>
        <v>4901.1854999999996</v>
      </c>
      <c r="H753" s="2">
        <f t="shared" si="71"/>
        <v>6543082.6425000001</v>
      </c>
    </row>
    <row r="754" spans="1:8" x14ac:dyDescent="0.35">
      <c r="A754" s="2">
        <v>1410</v>
      </c>
      <c r="B754" s="2">
        <v>44764</v>
      </c>
      <c r="C754" s="2">
        <f t="shared" si="66"/>
        <v>4.4763999999999999</v>
      </c>
      <c r="D754" s="2">
        <f t="shared" si="67"/>
        <v>1988100</v>
      </c>
      <c r="E754" s="2">
        <f t="shared" si="68"/>
        <v>2803221000</v>
      </c>
      <c r="F754" s="2">
        <f t="shared" si="69"/>
        <v>3952541610000</v>
      </c>
      <c r="G754" s="2">
        <f t="shared" si="70"/>
        <v>6311.7240000000002</v>
      </c>
      <c r="H754" s="2">
        <f t="shared" si="71"/>
        <v>8899530.8399999999</v>
      </c>
    </row>
    <row r="755" spans="1:8" x14ac:dyDescent="0.35">
      <c r="A755" s="2">
        <v>1410</v>
      </c>
      <c r="B755" s="2">
        <v>46592</v>
      </c>
      <c r="C755" s="2">
        <f t="shared" si="66"/>
        <v>4.6592000000000002</v>
      </c>
      <c r="D755" s="2">
        <f t="shared" si="67"/>
        <v>1988100</v>
      </c>
      <c r="E755" s="2">
        <f t="shared" si="68"/>
        <v>2803221000</v>
      </c>
      <c r="F755" s="2">
        <f t="shared" si="69"/>
        <v>3952541610000</v>
      </c>
      <c r="G755" s="2">
        <f t="shared" si="70"/>
        <v>6569.4720000000007</v>
      </c>
      <c r="H755" s="2">
        <f t="shared" si="71"/>
        <v>9262955.5199999996</v>
      </c>
    </row>
    <row r="756" spans="1:8" x14ac:dyDescent="0.35">
      <c r="A756" s="2">
        <v>1410</v>
      </c>
      <c r="B756" s="2">
        <v>44775</v>
      </c>
      <c r="C756" s="2">
        <f t="shared" si="66"/>
        <v>4.4775</v>
      </c>
      <c r="D756" s="2">
        <f t="shared" si="67"/>
        <v>1988100</v>
      </c>
      <c r="E756" s="2">
        <f t="shared" si="68"/>
        <v>2803221000</v>
      </c>
      <c r="F756" s="2">
        <f t="shared" si="69"/>
        <v>3952541610000</v>
      </c>
      <c r="G756" s="2">
        <f t="shared" si="70"/>
        <v>6313.2749999999996</v>
      </c>
      <c r="H756" s="2">
        <f t="shared" si="71"/>
        <v>8901717.75</v>
      </c>
    </row>
    <row r="757" spans="1:8" x14ac:dyDescent="0.35">
      <c r="A757" s="2">
        <v>1410</v>
      </c>
      <c r="B757" s="2">
        <v>45350</v>
      </c>
      <c r="C757" s="2">
        <f t="shared" si="66"/>
        <v>4.5350000000000001</v>
      </c>
      <c r="D757" s="2">
        <f t="shared" si="67"/>
        <v>1988100</v>
      </c>
      <c r="E757" s="2">
        <f t="shared" si="68"/>
        <v>2803221000</v>
      </c>
      <c r="F757" s="2">
        <f t="shared" si="69"/>
        <v>3952541610000</v>
      </c>
      <c r="G757" s="2">
        <f t="shared" si="70"/>
        <v>6394.35</v>
      </c>
      <c r="H757" s="2">
        <f t="shared" si="71"/>
        <v>9016033.5</v>
      </c>
    </row>
    <row r="758" spans="1:8" x14ac:dyDescent="0.35">
      <c r="A758" s="2">
        <v>1410</v>
      </c>
      <c r="B758" s="2">
        <v>47851</v>
      </c>
      <c r="C758" s="2">
        <f t="shared" si="66"/>
        <v>4.7850999999999999</v>
      </c>
      <c r="D758" s="2">
        <f t="shared" si="67"/>
        <v>1988100</v>
      </c>
      <c r="E758" s="2">
        <f t="shared" si="68"/>
        <v>2803221000</v>
      </c>
      <c r="F758" s="2">
        <f t="shared" si="69"/>
        <v>3952541610000</v>
      </c>
      <c r="G758" s="2">
        <f t="shared" si="70"/>
        <v>6746.991</v>
      </c>
      <c r="H758" s="2">
        <f t="shared" si="71"/>
        <v>9513257.3100000005</v>
      </c>
    </row>
    <row r="759" spans="1:8" x14ac:dyDescent="0.35">
      <c r="A759" s="2">
        <v>1410</v>
      </c>
      <c r="B759" s="2">
        <v>48092</v>
      </c>
      <c r="C759" s="2">
        <f t="shared" si="66"/>
        <v>4.8091999999999997</v>
      </c>
      <c r="D759" s="2">
        <f t="shared" si="67"/>
        <v>1988100</v>
      </c>
      <c r="E759" s="2">
        <f t="shared" si="68"/>
        <v>2803221000</v>
      </c>
      <c r="F759" s="2">
        <f t="shared" si="69"/>
        <v>3952541610000</v>
      </c>
      <c r="G759" s="2">
        <f t="shared" si="70"/>
        <v>6780.9719999999998</v>
      </c>
      <c r="H759" s="2">
        <f t="shared" si="71"/>
        <v>9561170.5199999996</v>
      </c>
    </row>
    <row r="760" spans="1:8" x14ac:dyDescent="0.35">
      <c r="A760" s="2">
        <v>1410</v>
      </c>
      <c r="B760" s="2">
        <v>89767</v>
      </c>
      <c r="C760" s="2">
        <f t="shared" si="66"/>
        <v>8.9766999999999992</v>
      </c>
      <c r="D760" s="2">
        <f t="shared" si="67"/>
        <v>1988100</v>
      </c>
      <c r="E760" s="2">
        <f t="shared" si="68"/>
        <v>2803221000</v>
      </c>
      <c r="F760" s="2">
        <f t="shared" si="69"/>
        <v>3952541610000</v>
      </c>
      <c r="G760" s="2">
        <f t="shared" si="70"/>
        <v>12657.146999999999</v>
      </c>
      <c r="H760" s="2">
        <f t="shared" si="71"/>
        <v>17846577.27</v>
      </c>
    </row>
    <row r="761" spans="1:8" x14ac:dyDescent="0.35">
      <c r="A761" s="2">
        <v>1410</v>
      </c>
      <c r="B761" s="2">
        <v>50096</v>
      </c>
      <c r="C761" s="2">
        <f t="shared" si="66"/>
        <v>5.0095999999999998</v>
      </c>
      <c r="D761" s="2">
        <f t="shared" si="67"/>
        <v>1988100</v>
      </c>
      <c r="E761" s="2">
        <f t="shared" si="68"/>
        <v>2803221000</v>
      </c>
      <c r="F761" s="2">
        <f t="shared" si="69"/>
        <v>3952541610000</v>
      </c>
      <c r="G761" s="2">
        <f t="shared" si="70"/>
        <v>7063.5360000000001</v>
      </c>
      <c r="H761" s="2">
        <f t="shared" si="71"/>
        <v>9959585.7599999998</v>
      </c>
    </row>
    <row r="762" spans="1:8" x14ac:dyDescent="0.35">
      <c r="A762" s="2">
        <v>1410</v>
      </c>
      <c r="B762" s="2">
        <v>46589</v>
      </c>
      <c r="C762" s="2">
        <f t="shared" si="66"/>
        <v>4.6589</v>
      </c>
      <c r="D762" s="2">
        <f t="shared" si="67"/>
        <v>1988100</v>
      </c>
      <c r="E762" s="2">
        <f t="shared" si="68"/>
        <v>2803221000</v>
      </c>
      <c r="F762" s="2">
        <f t="shared" si="69"/>
        <v>3952541610000</v>
      </c>
      <c r="G762" s="2">
        <f t="shared" si="70"/>
        <v>6569.049</v>
      </c>
      <c r="H762" s="2">
        <f t="shared" si="71"/>
        <v>9262359.0899999999</v>
      </c>
    </row>
    <row r="763" spans="1:8" x14ac:dyDescent="0.35">
      <c r="A763" s="2">
        <v>1410</v>
      </c>
      <c r="B763" s="2">
        <v>47722</v>
      </c>
      <c r="C763" s="2">
        <f t="shared" si="66"/>
        <v>4.7721999999999998</v>
      </c>
      <c r="D763" s="2">
        <f t="shared" si="67"/>
        <v>1988100</v>
      </c>
      <c r="E763" s="2">
        <f t="shared" si="68"/>
        <v>2803221000</v>
      </c>
      <c r="F763" s="2">
        <f t="shared" si="69"/>
        <v>3952541610000</v>
      </c>
      <c r="G763" s="2">
        <f t="shared" si="70"/>
        <v>6728.8019999999997</v>
      </c>
      <c r="H763" s="2">
        <f t="shared" si="71"/>
        <v>9487610.8200000003</v>
      </c>
    </row>
    <row r="764" spans="1:8" x14ac:dyDescent="0.35">
      <c r="A764" s="2">
        <v>1410</v>
      </c>
      <c r="B764" s="2">
        <v>46016</v>
      </c>
      <c r="C764" s="2">
        <f t="shared" si="66"/>
        <v>4.6016000000000004</v>
      </c>
      <c r="D764" s="2">
        <f t="shared" si="67"/>
        <v>1988100</v>
      </c>
      <c r="E764" s="2">
        <f t="shared" si="68"/>
        <v>2803221000</v>
      </c>
      <c r="F764" s="2">
        <f t="shared" si="69"/>
        <v>3952541610000</v>
      </c>
      <c r="G764" s="2">
        <f t="shared" si="70"/>
        <v>6488.2560000000003</v>
      </c>
      <c r="H764" s="2">
        <f t="shared" si="71"/>
        <v>9148440.9600000009</v>
      </c>
    </row>
    <row r="765" spans="1:8" x14ac:dyDescent="0.35">
      <c r="A765" s="2">
        <v>1410</v>
      </c>
      <c r="B765" s="2">
        <v>48213</v>
      </c>
      <c r="C765" s="2">
        <f t="shared" si="66"/>
        <v>4.8212999999999999</v>
      </c>
      <c r="D765" s="2">
        <f t="shared" si="67"/>
        <v>1988100</v>
      </c>
      <c r="E765" s="2">
        <f t="shared" si="68"/>
        <v>2803221000</v>
      </c>
      <c r="F765" s="2">
        <f t="shared" si="69"/>
        <v>3952541610000</v>
      </c>
      <c r="G765" s="2">
        <f t="shared" si="70"/>
        <v>6798.0329999999994</v>
      </c>
      <c r="H765" s="2">
        <f t="shared" si="71"/>
        <v>9585226.5299999993</v>
      </c>
    </row>
    <row r="766" spans="1:8" x14ac:dyDescent="0.35">
      <c r="A766" s="2">
        <v>1410</v>
      </c>
      <c r="B766" s="2">
        <v>42709</v>
      </c>
      <c r="C766" s="2">
        <f t="shared" si="66"/>
        <v>4.2709000000000001</v>
      </c>
      <c r="D766" s="2">
        <f t="shared" si="67"/>
        <v>1988100</v>
      </c>
      <c r="E766" s="2">
        <f t="shared" si="68"/>
        <v>2803221000</v>
      </c>
      <c r="F766" s="2">
        <f t="shared" si="69"/>
        <v>3952541610000</v>
      </c>
      <c r="G766" s="2">
        <f t="shared" si="70"/>
        <v>6021.9690000000001</v>
      </c>
      <c r="H766" s="2">
        <f t="shared" si="71"/>
        <v>8490976.290000001</v>
      </c>
    </row>
    <row r="767" spans="1:8" x14ac:dyDescent="0.35">
      <c r="A767" s="2">
        <v>1410</v>
      </c>
      <c r="B767" s="2">
        <v>45422</v>
      </c>
      <c r="C767" s="2">
        <f t="shared" si="66"/>
        <v>4.5422000000000002</v>
      </c>
      <c r="D767" s="2">
        <f t="shared" si="67"/>
        <v>1988100</v>
      </c>
      <c r="E767" s="2">
        <f t="shared" si="68"/>
        <v>2803221000</v>
      </c>
      <c r="F767" s="2">
        <f t="shared" si="69"/>
        <v>3952541610000</v>
      </c>
      <c r="G767" s="2">
        <f t="shared" si="70"/>
        <v>6404.5020000000004</v>
      </c>
      <c r="H767" s="2">
        <f t="shared" si="71"/>
        <v>9030347.8200000003</v>
      </c>
    </row>
    <row r="768" spans="1:8" x14ac:dyDescent="0.35">
      <c r="A768" s="2">
        <v>1410</v>
      </c>
      <c r="B768" s="2">
        <v>46372</v>
      </c>
      <c r="C768" s="2">
        <f t="shared" si="66"/>
        <v>4.6372</v>
      </c>
      <c r="D768" s="2">
        <f t="shared" si="67"/>
        <v>1988100</v>
      </c>
      <c r="E768" s="2">
        <f t="shared" si="68"/>
        <v>2803221000</v>
      </c>
      <c r="F768" s="2">
        <f t="shared" si="69"/>
        <v>3952541610000</v>
      </c>
      <c r="G768" s="2">
        <f t="shared" si="70"/>
        <v>6538.4520000000002</v>
      </c>
      <c r="H768" s="2">
        <f t="shared" si="71"/>
        <v>9219217.3200000003</v>
      </c>
    </row>
    <row r="769" spans="1:8" x14ac:dyDescent="0.35">
      <c r="A769" s="2">
        <v>1410</v>
      </c>
      <c r="B769" s="2">
        <v>48950</v>
      </c>
      <c r="C769" s="2">
        <f t="shared" si="66"/>
        <v>4.8949999999999996</v>
      </c>
      <c r="D769" s="2">
        <f t="shared" si="67"/>
        <v>1988100</v>
      </c>
      <c r="E769" s="2">
        <f t="shared" si="68"/>
        <v>2803221000</v>
      </c>
      <c r="F769" s="2">
        <f t="shared" si="69"/>
        <v>3952541610000</v>
      </c>
      <c r="G769" s="2">
        <f t="shared" si="70"/>
        <v>6901.95</v>
      </c>
      <c r="H769" s="2">
        <f t="shared" si="71"/>
        <v>9731749.5</v>
      </c>
    </row>
    <row r="770" spans="1:8" x14ac:dyDescent="0.35">
      <c r="A770" s="2">
        <v>1410</v>
      </c>
      <c r="B770" s="2">
        <v>48593</v>
      </c>
      <c r="C770" s="2">
        <f t="shared" si="66"/>
        <v>4.8593000000000002</v>
      </c>
      <c r="D770" s="2">
        <f t="shared" si="67"/>
        <v>1988100</v>
      </c>
      <c r="E770" s="2">
        <f t="shared" si="68"/>
        <v>2803221000</v>
      </c>
      <c r="F770" s="2">
        <f t="shared" si="69"/>
        <v>3952541610000</v>
      </c>
      <c r="G770" s="2">
        <f t="shared" si="70"/>
        <v>6851.6130000000003</v>
      </c>
      <c r="H770" s="2">
        <f t="shared" si="71"/>
        <v>9660774.3300000001</v>
      </c>
    </row>
    <row r="771" spans="1:8" x14ac:dyDescent="0.35">
      <c r="A771" s="2">
        <v>1410</v>
      </c>
      <c r="B771" s="2">
        <v>43044</v>
      </c>
      <c r="C771" s="2">
        <f t="shared" ref="C771:C834" si="72">B771/10000</f>
        <v>4.3044000000000002</v>
      </c>
      <c r="D771" s="2">
        <f t="shared" ref="D771:D834" si="73">A771^2</f>
        <v>1988100</v>
      </c>
      <c r="E771" s="2">
        <f t="shared" ref="E771:E834" si="74">A771^3</f>
        <v>2803221000</v>
      </c>
      <c r="F771" s="2">
        <f t="shared" ref="F771:F834" si="75">A771^4</f>
        <v>3952541610000</v>
      </c>
      <c r="G771" s="2">
        <f t="shared" ref="G771:G834" si="76">A771*C771</f>
        <v>6069.2040000000006</v>
      </c>
      <c r="H771" s="2">
        <f t="shared" ref="H771:H834" si="77">D771*C771</f>
        <v>8557577.6400000006</v>
      </c>
    </row>
    <row r="772" spans="1:8" x14ac:dyDescent="0.35">
      <c r="A772" s="2">
        <v>1410</v>
      </c>
      <c r="B772" s="2">
        <v>42047</v>
      </c>
      <c r="C772" s="2">
        <f t="shared" si="72"/>
        <v>4.2046999999999999</v>
      </c>
      <c r="D772" s="2">
        <f t="shared" si="73"/>
        <v>1988100</v>
      </c>
      <c r="E772" s="2">
        <f t="shared" si="74"/>
        <v>2803221000</v>
      </c>
      <c r="F772" s="2">
        <f t="shared" si="75"/>
        <v>3952541610000</v>
      </c>
      <c r="G772" s="2">
        <f t="shared" si="76"/>
        <v>5928.6269999999995</v>
      </c>
      <c r="H772" s="2">
        <f t="shared" si="77"/>
        <v>8359364.0699999994</v>
      </c>
    </row>
    <row r="773" spans="1:8" x14ac:dyDescent="0.35">
      <c r="A773" s="2">
        <v>1410</v>
      </c>
      <c r="B773" s="2">
        <v>46865</v>
      </c>
      <c r="C773" s="2">
        <f t="shared" si="72"/>
        <v>4.6864999999999997</v>
      </c>
      <c r="D773" s="2">
        <f t="shared" si="73"/>
        <v>1988100</v>
      </c>
      <c r="E773" s="2">
        <f t="shared" si="74"/>
        <v>2803221000</v>
      </c>
      <c r="F773" s="2">
        <f t="shared" si="75"/>
        <v>3952541610000</v>
      </c>
      <c r="G773" s="2">
        <f t="shared" si="76"/>
        <v>6607.9649999999992</v>
      </c>
      <c r="H773" s="2">
        <f t="shared" si="77"/>
        <v>9317230.6499999985</v>
      </c>
    </row>
    <row r="774" spans="1:8" x14ac:dyDescent="0.35">
      <c r="A774" s="2">
        <v>1410</v>
      </c>
      <c r="B774" s="2">
        <v>48112</v>
      </c>
      <c r="C774" s="2">
        <f t="shared" si="72"/>
        <v>4.8112000000000004</v>
      </c>
      <c r="D774" s="2">
        <f t="shared" si="73"/>
        <v>1988100</v>
      </c>
      <c r="E774" s="2">
        <f t="shared" si="74"/>
        <v>2803221000</v>
      </c>
      <c r="F774" s="2">
        <f t="shared" si="75"/>
        <v>3952541610000</v>
      </c>
      <c r="G774" s="2">
        <f t="shared" si="76"/>
        <v>6783.7920000000004</v>
      </c>
      <c r="H774" s="2">
        <f t="shared" si="77"/>
        <v>9565146.7200000007</v>
      </c>
    </row>
    <row r="775" spans="1:8" x14ac:dyDescent="0.35">
      <c r="A775" s="2">
        <v>1410</v>
      </c>
      <c r="B775" s="2">
        <v>48268</v>
      </c>
      <c r="C775" s="2">
        <f t="shared" si="72"/>
        <v>4.8268000000000004</v>
      </c>
      <c r="D775" s="2">
        <f t="shared" si="73"/>
        <v>1988100</v>
      </c>
      <c r="E775" s="2">
        <f t="shared" si="74"/>
        <v>2803221000</v>
      </c>
      <c r="F775" s="2">
        <f t="shared" si="75"/>
        <v>3952541610000</v>
      </c>
      <c r="G775" s="2">
        <f t="shared" si="76"/>
        <v>6805.7880000000005</v>
      </c>
      <c r="H775" s="2">
        <f t="shared" si="77"/>
        <v>9596161.0800000001</v>
      </c>
    </row>
    <row r="776" spans="1:8" x14ac:dyDescent="0.35">
      <c r="A776" s="2">
        <v>1410</v>
      </c>
      <c r="B776" s="2">
        <v>42862</v>
      </c>
      <c r="C776" s="2">
        <f t="shared" si="72"/>
        <v>4.2862</v>
      </c>
      <c r="D776" s="2">
        <f t="shared" si="73"/>
        <v>1988100</v>
      </c>
      <c r="E776" s="2">
        <f t="shared" si="74"/>
        <v>2803221000</v>
      </c>
      <c r="F776" s="2">
        <f t="shared" si="75"/>
        <v>3952541610000</v>
      </c>
      <c r="G776" s="2">
        <f t="shared" si="76"/>
        <v>6043.5420000000004</v>
      </c>
      <c r="H776" s="2">
        <f t="shared" si="77"/>
        <v>8521394.2200000007</v>
      </c>
    </row>
    <row r="777" spans="1:8" x14ac:dyDescent="0.35">
      <c r="A777" s="2">
        <v>1410</v>
      </c>
      <c r="B777" s="2">
        <v>47651</v>
      </c>
      <c r="C777" s="2">
        <f t="shared" si="72"/>
        <v>4.7651000000000003</v>
      </c>
      <c r="D777" s="2">
        <f t="shared" si="73"/>
        <v>1988100</v>
      </c>
      <c r="E777" s="2">
        <f t="shared" si="74"/>
        <v>2803221000</v>
      </c>
      <c r="F777" s="2">
        <f t="shared" si="75"/>
        <v>3952541610000</v>
      </c>
      <c r="G777" s="2">
        <f t="shared" si="76"/>
        <v>6718.7910000000002</v>
      </c>
      <c r="H777" s="2">
        <f t="shared" si="77"/>
        <v>9473495.3100000005</v>
      </c>
    </row>
    <row r="778" spans="1:8" x14ac:dyDescent="0.35">
      <c r="A778" s="2">
        <v>1410</v>
      </c>
      <c r="B778" s="2">
        <v>50057</v>
      </c>
      <c r="C778" s="2">
        <f t="shared" si="72"/>
        <v>5.0057</v>
      </c>
      <c r="D778" s="2">
        <f t="shared" si="73"/>
        <v>1988100</v>
      </c>
      <c r="E778" s="2">
        <f t="shared" si="74"/>
        <v>2803221000</v>
      </c>
      <c r="F778" s="2">
        <f t="shared" si="75"/>
        <v>3952541610000</v>
      </c>
      <c r="G778" s="2">
        <f t="shared" si="76"/>
        <v>7058.0370000000003</v>
      </c>
      <c r="H778" s="2">
        <f t="shared" si="77"/>
        <v>9951832.1699999999</v>
      </c>
    </row>
    <row r="779" spans="1:8" x14ac:dyDescent="0.35">
      <c r="A779" s="2">
        <v>1410</v>
      </c>
      <c r="B779" s="2">
        <v>41266</v>
      </c>
      <c r="C779" s="2">
        <f t="shared" si="72"/>
        <v>4.1265999999999998</v>
      </c>
      <c r="D779" s="2">
        <f t="shared" si="73"/>
        <v>1988100</v>
      </c>
      <c r="E779" s="2">
        <f t="shared" si="74"/>
        <v>2803221000</v>
      </c>
      <c r="F779" s="2">
        <f t="shared" si="75"/>
        <v>3952541610000</v>
      </c>
      <c r="G779" s="2">
        <f t="shared" si="76"/>
        <v>5818.5059999999994</v>
      </c>
      <c r="H779" s="2">
        <f t="shared" si="77"/>
        <v>8204093.46</v>
      </c>
    </row>
    <row r="780" spans="1:8" x14ac:dyDescent="0.35">
      <c r="A780" s="2">
        <v>1410</v>
      </c>
      <c r="B780" s="2">
        <v>45123</v>
      </c>
      <c r="C780" s="2">
        <f t="shared" si="72"/>
        <v>4.5122999999999998</v>
      </c>
      <c r="D780" s="2">
        <f t="shared" si="73"/>
        <v>1988100</v>
      </c>
      <c r="E780" s="2">
        <f t="shared" si="74"/>
        <v>2803221000</v>
      </c>
      <c r="F780" s="2">
        <f t="shared" si="75"/>
        <v>3952541610000</v>
      </c>
      <c r="G780" s="2">
        <f t="shared" si="76"/>
        <v>6362.3429999999998</v>
      </c>
      <c r="H780" s="2">
        <f t="shared" si="77"/>
        <v>8970903.629999999</v>
      </c>
    </row>
    <row r="781" spans="1:8" x14ac:dyDescent="0.35">
      <c r="A781" s="2">
        <v>1410</v>
      </c>
      <c r="B781" s="2">
        <v>44021</v>
      </c>
      <c r="C781" s="2">
        <f t="shared" si="72"/>
        <v>4.4020999999999999</v>
      </c>
      <c r="D781" s="2">
        <f t="shared" si="73"/>
        <v>1988100</v>
      </c>
      <c r="E781" s="2">
        <f t="shared" si="74"/>
        <v>2803221000</v>
      </c>
      <c r="F781" s="2">
        <f t="shared" si="75"/>
        <v>3952541610000</v>
      </c>
      <c r="G781" s="2">
        <f t="shared" si="76"/>
        <v>6206.9610000000002</v>
      </c>
      <c r="H781" s="2">
        <f t="shared" si="77"/>
        <v>8751815.0099999998</v>
      </c>
    </row>
    <row r="782" spans="1:8" x14ac:dyDescent="0.35">
      <c r="A782" s="2">
        <v>1410</v>
      </c>
      <c r="B782" s="2">
        <v>51680</v>
      </c>
      <c r="C782" s="2">
        <f t="shared" si="72"/>
        <v>5.1680000000000001</v>
      </c>
      <c r="D782" s="2">
        <f t="shared" si="73"/>
        <v>1988100</v>
      </c>
      <c r="E782" s="2">
        <f t="shared" si="74"/>
        <v>2803221000</v>
      </c>
      <c r="F782" s="2">
        <f t="shared" si="75"/>
        <v>3952541610000</v>
      </c>
      <c r="G782" s="2">
        <f t="shared" si="76"/>
        <v>7286.88</v>
      </c>
      <c r="H782" s="2">
        <f t="shared" si="77"/>
        <v>10274500.800000001</v>
      </c>
    </row>
    <row r="783" spans="1:8" x14ac:dyDescent="0.35">
      <c r="A783" s="2">
        <v>1410</v>
      </c>
      <c r="B783" s="2">
        <v>52563</v>
      </c>
      <c r="C783" s="2">
        <f t="shared" si="72"/>
        <v>5.2563000000000004</v>
      </c>
      <c r="D783" s="2">
        <f t="shared" si="73"/>
        <v>1988100</v>
      </c>
      <c r="E783" s="2">
        <f t="shared" si="74"/>
        <v>2803221000</v>
      </c>
      <c r="F783" s="2">
        <f t="shared" si="75"/>
        <v>3952541610000</v>
      </c>
      <c r="G783" s="2">
        <f t="shared" si="76"/>
        <v>7411.3830000000007</v>
      </c>
      <c r="H783" s="2">
        <f t="shared" si="77"/>
        <v>10450050.030000001</v>
      </c>
    </row>
    <row r="784" spans="1:8" x14ac:dyDescent="0.35">
      <c r="A784" s="2">
        <v>2274</v>
      </c>
      <c r="B784" s="2">
        <v>26508</v>
      </c>
      <c r="C784" s="2">
        <f t="shared" si="72"/>
        <v>2.6507999999999998</v>
      </c>
      <c r="D784" s="2">
        <f t="shared" si="73"/>
        <v>5171076</v>
      </c>
      <c r="E784" s="2">
        <f t="shared" si="74"/>
        <v>11759026824</v>
      </c>
      <c r="F784" s="2">
        <f t="shared" si="75"/>
        <v>26740026997776</v>
      </c>
      <c r="G784" s="2">
        <f t="shared" si="76"/>
        <v>6027.9191999999994</v>
      </c>
      <c r="H784" s="2">
        <f t="shared" si="77"/>
        <v>13707488.260799998</v>
      </c>
    </row>
    <row r="785" spans="1:8" x14ac:dyDescent="0.35">
      <c r="A785" s="2">
        <v>2274</v>
      </c>
      <c r="B785" s="2">
        <v>25275</v>
      </c>
      <c r="C785" s="2">
        <f t="shared" si="72"/>
        <v>2.5274999999999999</v>
      </c>
      <c r="D785" s="2">
        <f t="shared" si="73"/>
        <v>5171076</v>
      </c>
      <c r="E785" s="2">
        <f t="shared" si="74"/>
        <v>11759026824</v>
      </c>
      <c r="F785" s="2">
        <f t="shared" si="75"/>
        <v>26740026997776</v>
      </c>
      <c r="G785" s="2">
        <f t="shared" si="76"/>
        <v>5747.5349999999999</v>
      </c>
      <c r="H785" s="2">
        <f t="shared" si="77"/>
        <v>13069894.59</v>
      </c>
    </row>
    <row r="786" spans="1:8" x14ac:dyDescent="0.35">
      <c r="A786" s="2">
        <v>2274</v>
      </c>
      <c r="B786" s="2">
        <v>28299</v>
      </c>
      <c r="C786" s="2">
        <f t="shared" si="72"/>
        <v>2.8298999999999999</v>
      </c>
      <c r="D786" s="2">
        <f t="shared" si="73"/>
        <v>5171076</v>
      </c>
      <c r="E786" s="2">
        <f t="shared" si="74"/>
        <v>11759026824</v>
      </c>
      <c r="F786" s="2">
        <f t="shared" si="75"/>
        <v>26740026997776</v>
      </c>
      <c r="G786" s="2">
        <f t="shared" si="76"/>
        <v>6435.1925999999994</v>
      </c>
      <c r="H786" s="2">
        <f t="shared" si="77"/>
        <v>14633627.972399998</v>
      </c>
    </row>
    <row r="787" spans="1:8" x14ac:dyDescent="0.35">
      <c r="A787" s="2">
        <v>2274</v>
      </c>
      <c r="B787" s="2">
        <v>31247</v>
      </c>
      <c r="C787" s="2">
        <f t="shared" si="72"/>
        <v>3.1246999999999998</v>
      </c>
      <c r="D787" s="2">
        <f t="shared" si="73"/>
        <v>5171076</v>
      </c>
      <c r="E787" s="2">
        <f t="shared" si="74"/>
        <v>11759026824</v>
      </c>
      <c r="F787" s="2">
        <f t="shared" si="75"/>
        <v>26740026997776</v>
      </c>
      <c r="G787" s="2">
        <f t="shared" si="76"/>
        <v>7105.5677999999998</v>
      </c>
      <c r="H787" s="2">
        <f t="shared" si="77"/>
        <v>16158061.177199999</v>
      </c>
    </row>
    <row r="788" spans="1:8" x14ac:dyDescent="0.35">
      <c r="A788" s="2">
        <v>2274</v>
      </c>
      <c r="B788" s="2">
        <v>31218</v>
      </c>
      <c r="C788" s="2">
        <f t="shared" si="72"/>
        <v>3.1217999999999999</v>
      </c>
      <c r="D788" s="2">
        <f t="shared" si="73"/>
        <v>5171076</v>
      </c>
      <c r="E788" s="2">
        <f t="shared" si="74"/>
        <v>11759026824</v>
      </c>
      <c r="F788" s="2">
        <f t="shared" si="75"/>
        <v>26740026997776</v>
      </c>
      <c r="G788" s="2">
        <f t="shared" si="76"/>
        <v>7098.9731999999995</v>
      </c>
      <c r="H788" s="2">
        <f t="shared" si="77"/>
        <v>16143065.0568</v>
      </c>
    </row>
    <row r="789" spans="1:8" x14ac:dyDescent="0.35">
      <c r="A789" s="2">
        <v>2274</v>
      </c>
      <c r="B789" s="2">
        <v>26921</v>
      </c>
      <c r="C789" s="2">
        <f t="shared" si="72"/>
        <v>2.6920999999999999</v>
      </c>
      <c r="D789" s="2">
        <f t="shared" si="73"/>
        <v>5171076</v>
      </c>
      <c r="E789" s="2">
        <f t="shared" si="74"/>
        <v>11759026824</v>
      </c>
      <c r="F789" s="2">
        <f t="shared" si="75"/>
        <v>26740026997776</v>
      </c>
      <c r="G789" s="2">
        <f t="shared" si="76"/>
        <v>6121.8353999999999</v>
      </c>
      <c r="H789" s="2">
        <f t="shared" si="77"/>
        <v>13921053.6996</v>
      </c>
    </row>
    <row r="790" spans="1:8" x14ac:dyDescent="0.35">
      <c r="A790" s="2">
        <v>2274</v>
      </c>
      <c r="B790" s="2">
        <v>33254</v>
      </c>
      <c r="C790" s="2">
        <f t="shared" si="72"/>
        <v>3.3254000000000001</v>
      </c>
      <c r="D790" s="2">
        <f t="shared" si="73"/>
        <v>5171076</v>
      </c>
      <c r="E790" s="2">
        <f t="shared" si="74"/>
        <v>11759026824</v>
      </c>
      <c r="F790" s="2">
        <f t="shared" si="75"/>
        <v>26740026997776</v>
      </c>
      <c r="G790" s="2">
        <f t="shared" si="76"/>
        <v>7561.9596000000001</v>
      </c>
      <c r="H790" s="2">
        <f t="shared" si="77"/>
        <v>17195896.130400002</v>
      </c>
    </row>
    <row r="791" spans="1:8" x14ac:dyDescent="0.35">
      <c r="A791" s="2">
        <v>2274</v>
      </c>
      <c r="B791" s="2">
        <v>34804</v>
      </c>
      <c r="C791" s="2">
        <f t="shared" si="72"/>
        <v>3.4803999999999999</v>
      </c>
      <c r="D791" s="2">
        <f t="shared" si="73"/>
        <v>5171076</v>
      </c>
      <c r="E791" s="2">
        <f t="shared" si="74"/>
        <v>11759026824</v>
      </c>
      <c r="F791" s="2">
        <f t="shared" si="75"/>
        <v>26740026997776</v>
      </c>
      <c r="G791" s="2">
        <f t="shared" si="76"/>
        <v>7914.4295999999995</v>
      </c>
      <c r="H791" s="2">
        <f t="shared" si="77"/>
        <v>17997412.910399999</v>
      </c>
    </row>
    <row r="792" spans="1:8" x14ac:dyDescent="0.35">
      <c r="A792" s="2">
        <v>2274</v>
      </c>
      <c r="B792" s="2">
        <v>37385</v>
      </c>
      <c r="C792" s="2">
        <f t="shared" si="72"/>
        <v>3.7385000000000002</v>
      </c>
      <c r="D792" s="2">
        <f t="shared" si="73"/>
        <v>5171076</v>
      </c>
      <c r="E792" s="2">
        <f t="shared" si="74"/>
        <v>11759026824</v>
      </c>
      <c r="F792" s="2">
        <f t="shared" si="75"/>
        <v>26740026997776</v>
      </c>
      <c r="G792" s="2">
        <f t="shared" si="76"/>
        <v>8501.3490000000002</v>
      </c>
      <c r="H792" s="2">
        <f t="shared" si="77"/>
        <v>19332067.626000002</v>
      </c>
    </row>
    <row r="793" spans="1:8" x14ac:dyDescent="0.35">
      <c r="A793" s="2">
        <v>2274</v>
      </c>
      <c r="B793" s="2">
        <v>32622</v>
      </c>
      <c r="C793" s="2">
        <f t="shared" si="72"/>
        <v>3.2622</v>
      </c>
      <c r="D793" s="2">
        <f t="shared" si="73"/>
        <v>5171076</v>
      </c>
      <c r="E793" s="2">
        <f t="shared" si="74"/>
        <v>11759026824</v>
      </c>
      <c r="F793" s="2">
        <f t="shared" si="75"/>
        <v>26740026997776</v>
      </c>
      <c r="G793" s="2">
        <f t="shared" si="76"/>
        <v>7418.2428</v>
      </c>
      <c r="H793" s="2">
        <f t="shared" si="77"/>
        <v>16869084.1272</v>
      </c>
    </row>
    <row r="794" spans="1:8" x14ac:dyDescent="0.35">
      <c r="A794" s="2">
        <v>2274</v>
      </c>
      <c r="B794" s="2">
        <v>35620</v>
      </c>
      <c r="C794" s="2">
        <f t="shared" si="72"/>
        <v>3.5619999999999998</v>
      </c>
      <c r="D794" s="2">
        <f t="shared" si="73"/>
        <v>5171076</v>
      </c>
      <c r="E794" s="2">
        <f t="shared" si="74"/>
        <v>11759026824</v>
      </c>
      <c r="F794" s="2">
        <f t="shared" si="75"/>
        <v>26740026997776</v>
      </c>
      <c r="G794" s="2">
        <f t="shared" si="76"/>
        <v>8099.9879999999994</v>
      </c>
      <c r="H794" s="2">
        <f t="shared" si="77"/>
        <v>18419372.711999997</v>
      </c>
    </row>
    <row r="795" spans="1:8" x14ac:dyDescent="0.35">
      <c r="A795" s="2">
        <v>2274</v>
      </c>
      <c r="B795" s="2">
        <v>35876</v>
      </c>
      <c r="C795" s="2">
        <f t="shared" si="72"/>
        <v>3.5876000000000001</v>
      </c>
      <c r="D795" s="2">
        <f t="shared" si="73"/>
        <v>5171076</v>
      </c>
      <c r="E795" s="2">
        <f t="shared" si="74"/>
        <v>11759026824</v>
      </c>
      <c r="F795" s="2">
        <f t="shared" si="75"/>
        <v>26740026997776</v>
      </c>
      <c r="G795" s="2">
        <f t="shared" si="76"/>
        <v>8158.2024000000001</v>
      </c>
      <c r="H795" s="2">
        <f t="shared" si="77"/>
        <v>18551752.257600002</v>
      </c>
    </row>
    <row r="796" spans="1:8" x14ac:dyDescent="0.35">
      <c r="A796" s="2">
        <v>2274</v>
      </c>
      <c r="B796" s="2">
        <v>32060</v>
      </c>
      <c r="C796" s="2">
        <f t="shared" si="72"/>
        <v>3.206</v>
      </c>
      <c r="D796" s="2">
        <f t="shared" si="73"/>
        <v>5171076</v>
      </c>
      <c r="E796" s="2">
        <f t="shared" si="74"/>
        <v>11759026824</v>
      </c>
      <c r="F796" s="2">
        <f t="shared" si="75"/>
        <v>26740026997776</v>
      </c>
      <c r="G796" s="2">
        <f t="shared" si="76"/>
        <v>7290.4439999999995</v>
      </c>
      <c r="H796" s="2">
        <f t="shared" si="77"/>
        <v>16578469.655999999</v>
      </c>
    </row>
    <row r="797" spans="1:8" x14ac:dyDescent="0.35">
      <c r="A797" s="2">
        <v>2274</v>
      </c>
      <c r="B797" s="2">
        <v>35225</v>
      </c>
      <c r="C797" s="2">
        <f t="shared" si="72"/>
        <v>3.5225</v>
      </c>
      <c r="D797" s="2">
        <f t="shared" si="73"/>
        <v>5171076</v>
      </c>
      <c r="E797" s="2">
        <f t="shared" si="74"/>
        <v>11759026824</v>
      </c>
      <c r="F797" s="2">
        <f t="shared" si="75"/>
        <v>26740026997776</v>
      </c>
      <c r="G797" s="2">
        <f t="shared" si="76"/>
        <v>8010.165</v>
      </c>
      <c r="H797" s="2">
        <f t="shared" si="77"/>
        <v>18215115.210000001</v>
      </c>
    </row>
    <row r="798" spans="1:8" x14ac:dyDescent="0.35">
      <c r="A798" s="2">
        <v>2274</v>
      </c>
      <c r="B798" s="2">
        <v>36812</v>
      </c>
      <c r="C798" s="2">
        <f t="shared" si="72"/>
        <v>3.6812</v>
      </c>
      <c r="D798" s="2">
        <f t="shared" si="73"/>
        <v>5171076</v>
      </c>
      <c r="E798" s="2">
        <f t="shared" si="74"/>
        <v>11759026824</v>
      </c>
      <c r="F798" s="2">
        <f t="shared" si="75"/>
        <v>26740026997776</v>
      </c>
      <c r="G798" s="2">
        <f t="shared" si="76"/>
        <v>8371.0488000000005</v>
      </c>
      <c r="H798" s="2">
        <f t="shared" si="77"/>
        <v>19035764.9712</v>
      </c>
    </row>
    <row r="799" spans="1:8" x14ac:dyDescent="0.35">
      <c r="A799" s="2">
        <v>2274</v>
      </c>
      <c r="B799" s="2">
        <v>36000</v>
      </c>
      <c r="C799" s="2">
        <f t="shared" si="72"/>
        <v>3.6</v>
      </c>
      <c r="D799" s="2">
        <f t="shared" si="73"/>
        <v>5171076</v>
      </c>
      <c r="E799" s="2">
        <f t="shared" si="74"/>
        <v>11759026824</v>
      </c>
      <c r="F799" s="2">
        <f t="shared" si="75"/>
        <v>26740026997776</v>
      </c>
      <c r="G799" s="2">
        <f t="shared" si="76"/>
        <v>8186.4000000000005</v>
      </c>
      <c r="H799" s="2">
        <f t="shared" si="77"/>
        <v>18615873.600000001</v>
      </c>
    </row>
    <row r="800" spans="1:8" x14ac:dyDescent="0.35">
      <c r="A800" s="2">
        <v>2274</v>
      </c>
      <c r="B800" s="2">
        <v>38746</v>
      </c>
      <c r="C800" s="2">
        <f t="shared" si="72"/>
        <v>3.8746</v>
      </c>
      <c r="D800" s="2">
        <f t="shared" si="73"/>
        <v>5171076</v>
      </c>
      <c r="E800" s="2">
        <f t="shared" si="74"/>
        <v>11759026824</v>
      </c>
      <c r="F800" s="2">
        <f t="shared" si="75"/>
        <v>26740026997776</v>
      </c>
      <c r="G800" s="2">
        <f t="shared" si="76"/>
        <v>8810.840400000001</v>
      </c>
      <c r="H800" s="2">
        <f t="shared" si="77"/>
        <v>20035851.069600001</v>
      </c>
    </row>
    <row r="801" spans="1:8" x14ac:dyDescent="0.35">
      <c r="A801" s="2">
        <v>2274</v>
      </c>
      <c r="B801" s="2">
        <v>42187</v>
      </c>
      <c r="C801" s="2">
        <f t="shared" si="72"/>
        <v>4.2187000000000001</v>
      </c>
      <c r="D801" s="2">
        <f t="shared" si="73"/>
        <v>5171076</v>
      </c>
      <c r="E801" s="2">
        <f t="shared" si="74"/>
        <v>11759026824</v>
      </c>
      <c r="F801" s="2">
        <f t="shared" si="75"/>
        <v>26740026997776</v>
      </c>
      <c r="G801" s="2">
        <f t="shared" si="76"/>
        <v>9593.3238000000001</v>
      </c>
      <c r="H801" s="2">
        <f t="shared" si="77"/>
        <v>21815218.321200002</v>
      </c>
    </row>
    <row r="802" spans="1:8" x14ac:dyDescent="0.35">
      <c r="A802" s="2">
        <v>2274</v>
      </c>
      <c r="B802" s="2">
        <v>38989</v>
      </c>
      <c r="C802" s="2">
        <f t="shared" si="72"/>
        <v>3.8988999999999998</v>
      </c>
      <c r="D802" s="2">
        <f t="shared" si="73"/>
        <v>5171076</v>
      </c>
      <c r="E802" s="2">
        <f t="shared" si="74"/>
        <v>11759026824</v>
      </c>
      <c r="F802" s="2">
        <f t="shared" si="75"/>
        <v>26740026997776</v>
      </c>
      <c r="G802" s="2">
        <f t="shared" si="76"/>
        <v>8866.0985999999994</v>
      </c>
      <c r="H802" s="2">
        <f t="shared" si="77"/>
        <v>20161508.216399997</v>
      </c>
    </row>
    <row r="803" spans="1:8" x14ac:dyDescent="0.35">
      <c r="A803" s="2">
        <v>2274</v>
      </c>
      <c r="B803" s="2">
        <v>41986</v>
      </c>
      <c r="C803" s="2">
        <f t="shared" si="72"/>
        <v>4.1985999999999999</v>
      </c>
      <c r="D803" s="2">
        <f t="shared" si="73"/>
        <v>5171076</v>
      </c>
      <c r="E803" s="2">
        <f t="shared" si="74"/>
        <v>11759026824</v>
      </c>
      <c r="F803" s="2">
        <f t="shared" si="75"/>
        <v>26740026997776</v>
      </c>
      <c r="G803" s="2">
        <f t="shared" si="76"/>
        <v>9547.616399999999</v>
      </c>
      <c r="H803" s="2">
        <f t="shared" si="77"/>
        <v>21711279.693599999</v>
      </c>
    </row>
    <row r="804" spans="1:8" x14ac:dyDescent="0.35">
      <c r="A804" s="2">
        <v>2274</v>
      </c>
      <c r="B804" s="2">
        <v>43555</v>
      </c>
      <c r="C804" s="2">
        <f t="shared" si="72"/>
        <v>4.3555000000000001</v>
      </c>
      <c r="D804" s="2">
        <f t="shared" si="73"/>
        <v>5171076</v>
      </c>
      <c r="E804" s="2">
        <f t="shared" si="74"/>
        <v>11759026824</v>
      </c>
      <c r="F804" s="2">
        <f t="shared" si="75"/>
        <v>26740026997776</v>
      </c>
      <c r="G804" s="2">
        <f t="shared" si="76"/>
        <v>9904.4070000000011</v>
      </c>
      <c r="H804" s="2">
        <f t="shared" si="77"/>
        <v>22522621.517999999</v>
      </c>
    </row>
    <row r="805" spans="1:8" x14ac:dyDescent="0.35">
      <c r="A805" s="2">
        <v>2274</v>
      </c>
      <c r="B805" s="2">
        <v>40639</v>
      </c>
      <c r="C805" s="2">
        <f t="shared" si="72"/>
        <v>4.0639000000000003</v>
      </c>
      <c r="D805" s="2">
        <f t="shared" si="73"/>
        <v>5171076</v>
      </c>
      <c r="E805" s="2">
        <f t="shared" si="74"/>
        <v>11759026824</v>
      </c>
      <c r="F805" s="2">
        <f t="shared" si="75"/>
        <v>26740026997776</v>
      </c>
      <c r="G805" s="2">
        <f t="shared" si="76"/>
        <v>9241.3086000000003</v>
      </c>
      <c r="H805" s="2">
        <f t="shared" si="77"/>
        <v>21014735.7564</v>
      </c>
    </row>
    <row r="806" spans="1:8" x14ac:dyDescent="0.35">
      <c r="A806" s="2">
        <v>2274</v>
      </c>
      <c r="B806" s="2">
        <v>40004</v>
      </c>
      <c r="C806" s="2">
        <f t="shared" si="72"/>
        <v>4.0004</v>
      </c>
      <c r="D806" s="2">
        <f t="shared" si="73"/>
        <v>5171076</v>
      </c>
      <c r="E806" s="2">
        <f t="shared" si="74"/>
        <v>11759026824</v>
      </c>
      <c r="F806" s="2">
        <f t="shared" si="75"/>
        <v>26740026997776</v>
      </c>
      <c r="G806" s="2">
        <f t="shared" si="76"/>
        <v>9096.909599999999</v>
      </c>
      <c r="H806" s="2">
        <f t="shared" si="77"/>
        <v>20686372.430399999</v>
      </c>
    </row>
    <row r="807" spans="1:8" x14ac:dyDescent="0.35">
      <c r="A807" s="2">
        <v>2274</v>
      </c>
      <c r="B807" s="2">
        <v>43399</v>
      </c>
      <c r="C807" s="2">
        <f t="shared" si="72"/>
        <v>4.3399000000000001</v>
      </c>
      <c r="D807" s="2">
        <f t="shared" si="73"/>
        <v>5171076</v>
      </c>
      <c r="E807" s="2">
        <f t="shared" si="74"/>
        <v>11759026824</v>
      </c>
      <c r="F807" s="2">
        <f t="shared" si="75"/>
        <v>26740026997776</v>
      </c>
      <c r="G807" s="2">
        <f t="shared" si="76"/>
        <v>9868.9326000000001</v>
      </c>
      <c r="H807" s="2">
        <f t="shared" si="77"/>
        <v>22441952.7324</v>
      </c>
    </row>
    <row r="808" spans="1:8" x14ac:dyDescent="0.35">
      <c r="A808" s="2">
        <v>2274</v>
      </c>
      <c r="B808" s="2">
        <v>44792</v>
      </c>
      <c r="C808" s="2">
        <f t="shared" si="72"/>
        <v>4.4791999999999996</v>
      </c>
      <c r="D808" s="2">
        <f t="shared" si="73"/>
        <v>5171076</v>
      </c>
      <c r="E808" s="2">
        <f t="shared" si="74"/>
        <v>11759026824</v>
      </c>
      <c r="F808" s="2">
        <f t="shared" si="75"/>
        <v>26740026997776</v>
      </c>
      <c r="G808" s="2">
        <f t="shared" si="76"/>
        <v>10185.700799999999</v>
      </c>
      <c r="H808" s="2">
        <f t="shared" si="77"/>
        <v>23162283.619199999</v>
      </c>
    </row>
    <row r="809" spans="1:8" x14ac:dyDescent="0.35">
      <c r="A809" s="2">
        <v>2274</v>
      </c>
      <c r="B809" s="2">
        <v>42178</v>
      </c>
      <c r="C809" s="2">
        <f t="shared" si="72"/>
        <v>4.2178000000000004</v>
      </c>
      <c r="D809" s="2">
        <f t="shared" si="73"/>
        <v>5171076</v>
      </c>
      <c r="E809" s="2">
        <f t="shared" si="74"/>
        <v>11759026824</v>
      </c>
      <c r="F809" s="2">
        <f t="shared" si="75"/>
        <v>26740026997776</v>
      </c>
      <c r="G809" s="2">
        <f t="shared" si="76"/>
        <v>9591.2772000000004</v>
      </c>
      <c r="H809" s="2">
        <f t="shared" si="77"/>
        <v>21810564.3528</v>
      </c>
    </row>
    <row r="810" spans="1:8" x14ac:dyDescent="0.35">
      <c r="A810" s="2">
        <v>2274</v>
      </c>
      <c r="B810" s="2">
        <v>38210</v>
      </c>
      <c r="C810" s="2">
        <f t="shared" si="72"/>
        <v>3.8210000000000002</v>
      </c>
      <c r="D810" s="2">
        <f t="shared" si="73"/>
        <v>5171076</v>
      </c>
      <c r="E810" s="2">
        <f t="shared" si="74"/>
        <v>11759026824</v>
      </c>
      <c r="F810" s="2">
        <f t="shared" si="75"/>
        <v>26740026997776</v>
      </c>
      <c r="G810" s="2">
        <f t="shared" si="76"/>
        <v>8688.9539999999997</v>
      </c>
      <c r="H810" s="2">
        <f t="shared" si="77"/>
        <v>19758681.396000002</v>
      </c>
    </row>
    <row r="811" spans="1:8" x14ac:dyDescent="0.35">
      <c r="A811" s="2">
        <v>2274</v>
      </c>
      <c r="B811" s="2">
        <v>38967</v>
      </c>
      <c r="C811" s="2">
        <f t="shared" si="72"/>
        <v>3.8967000000000001</v>
      </c>
      <c r="D811" s="2">
        <f t="shared" si="73"/>
        <v>5171076</v>
      </c>
      <c r="E811" s="2">
        <f t="shared" si="74"/>
        <v>11759026824</v>
      </c>
      <c r="F811" s="2">
        <f t="shared" si="75"/>
        <v>26740026997776</v>
      </c>
      <c r="G811" s="2">
        <f t="shared" si="76"/>
        <v>8861.095800000001</v>
      </c>
      <c r="H811" s="2">
        <f t="shared" si="77"/>
        <v>20150131.849199999</v>
      </c>
    </row>
    <row r="812" spans="1:8" x14ac:dyDescent="0.35">
      <c r="A812" s="2">
        <v>2274</v>
      </c>
      <c r="B812" s="2">
        <v>44061</v>
      </c>
      <c r="C812" s="2">
        <f t="shared" si="72"/>
        <v>4.4061000000000003</v>
      </c>
      <c r="D812" s="2">
        <f t="shared" si="73"/>
        <v>5171076</v>
      </c>
      <c r="E812" s="2">
        <f t="shared" si="74"/>
        <v>11759026824</v>
      </c>
      <c r="F812" s="2">
        <f t="shared" si="75"/>
        <v>26740026997776</v>
      </c>
      <c r="G812" s="2">
        <f t="shared" si="76"/>
        <v>10019.4714</v>
      </c>
      <c r="H812" s="2">
        <f t="shared" si="77"/>
        <v>22784277.963600002</v>
      </c>
    </row>
    <row r="813" spans="1:8" x14ac:dyDescent="0.35">
      <c r="A813" s="2">
        <v>2274</v>
      </c>
      <c r="B813" s="2">
        <v>41905</v>
      </c>
      <c r="C813" s="2">
        <f t="shared" si="72"/>
        <v>4.1905000000000001</v>
      </c>
      <c r="D813" s="2">
        <f t="shared" si="73"/>
        <v>5171076</v>
      </c>
      <c r="E813" s="2">
        <f t="shared" si="74"/>
        <v>11759026824</v>
      </c>
      <c r="F813" s="2">
        <f t="shared" si="75"/>
        <v>26740026997776</v>
      </c>
      <c r="G813" s="2">
        <f t="shared" si="76"/>
        <v>9529.1970000000001</v>
      </c>
      <c r="H813" s="2">
        <f t="shared" si="77"/>
        <v>21669393.978</v>
      </c>
    </row>
    <row r="814" spans="1:8" x14ac:dyDescent="0.35">
      <c r="A814" s="2">
        <v>51</v>
      </c>
      <c r="B814" s="2">
        <v>59478</v>
      </c>
      <c r="C814" s="2">
        <f t="shared" si="72"/>
        <v>5.9478</v>
      </c>
      <c r="D814" s="2">
        <f t="shared" si="73"/>
        <v>2601</v>
      </c>
      <c r="E814" s="2">
        <f t="shared" si="74"/>
        <v>132651</v>
      </c>
      <c r="F814" s="2">
        <f t="shared" si="75"/>
        <v>6765201</v>
      </c>
      <c r="G814" s="2">
        <f t="shared" si="76"/>
        <v>303.33780000000002</v>
      </c>
      <c r="H814" s="2">
        <f t="shared" si="77"/>
        <v>15470.227800000001</v>
      </c>
    </row>
    <row r="815" spans="1:8" x14ac:dyDescent="0.35">
      <c r="A815" s="2">
        <v>51</v>
      </c>
      <c r="B815" s="2">
        <v>57747</v>
      </c>
      <c r="C815" s="2">
        <f t="shared" si="72"/>
        <v>5.7747000000000002</v>
      </c>
      <c r="D815" s="2">
        <f t="shared" si="73"/>
        <v>2601</v>
      </c>
      <c r="E815" s="2">
        <f t="shared" si="74"/>
        <v>132651</v>
      </c>
      <c r="F815" s="2">
        <f t="shared" si="75"/>
        <v>6765201</v>
      </c>
      <c r="G815" s="2">
        <f t="shared" si="76"/>
        <v>294.50970000000001</v>
      </c>
      <c r="H815" s="2">
        <f t="shared" si="77"/>
        <v>15019.994700000001</v>
      </c>
    </row>
    <row r="816" spans="1:8" x14ac:dyDescent="0.35">
      <c r="A816" s="2">
        <v>51</v>
      </c>
      <c r="B816" s="2">
        <v>58265</v>
      </c>
      <c r="C816" s="2">
        <f t="shared" si="72"/>
        <v>5.8265000000000002</v>
      </c>
      <c r="D816" s="2">
        <f t="shared" si="73"/>
        <v>2601</v>
      </c>
      <c r="E816" s="2">
        <f t="shared" si="74"/>
        <v>132651</v>
      </c>
      <c r="F816" s="2">
        <f t="shared" si="75"/>
        <v>6765201</v>
      </c>
      <c r="G816" s="2">
        <f t="shared" si="76"/>
        <v>297.1515</v>
      </c>
      <c r="H816" s="2">
        <f t="shared" si="77"/>
        <v>15154.726500000001</v>
      </c>
    </row>
    <row r="817" spans="1:8" x14ac:dyDescent="0.35">
      <c r="A817" s="2">
        <v>51</v>
      </c>
      <c r="B817" s="2">
        <v>64825</v>
      </c>
      <c r="C817" s="2">
        <f t="shared" si="72"/>
        <v>6.4824999999999999</v>
      </c>
      <c r="D817" s="2">
        <f t="shared" si="73"/>
        <v>2601</v>
      </c>
      <c r="E817" s="2">
        <f t="shared" si="74"/>
        <v>132651</v>
      </c>
      <c r="F817" s="2">
        <f t="shared" si="75"/>
        <v>6765201</v>
      </c>
      <c r="G817" s="2">
        <f t="shared" si="76"/>
        <v>330.60750000000002</v>
      </c>
      <c r="H817" s="2">
        <f t="shared" si="77"/>
        <v>16860.982499999998</v>
      </c>
    </row>
    <row r="818" spans="1:8" x14ac:dyDescent="0.35">
      <c r="A818" s="2">
        <v>51</v>
      </c>
      <c r="B818" s="2">
        <v>72663</v>
      </c>
      <c r="C818" s="2">
        <f t="shared" si="72"/>
        <v>7.2663000000000002</v>
      </c>
      <c r="D818" s="2">
        <f t="shared" si="73"/>
        <v>2601</v>
      </c>
      <c r="E818" s="2">
        <f t="shared" si="74"/>
        <v>132651</v>
      </c>
      <c r="F818" s="2">
        <f t="shared" si="75"/>
        <v>6765201</v>
      </c>
      <c r="G818" s="2">
        <f t="shared" si="76"/>
        <v>370.5813</v>
      </c>
      <c r="H818" s="2">
        <f t="shared" si="77"/>
        <v>18899.6463</v>
      </c>
    </row>
    <row r="819" spans="1:8" x14ac:dyDescent="0.35">
      <c r="A819" s="2">
        <v>51</v>
      </c>
      <c r="B819" s="2">
        <v>74554</v>
      </c>
      <c r="C819" s="2">
        <f t="shared" si="72"/>
        <v>7.4554</v>
      </c>
      <c r="D819" s="2">
        <f t="shared" si="73"/>
        <v>2601</v>
      </c>
      <c r="E819" s="2">
        <f t="shared" si="74"/>
        <v>132651</v>
      </c>
      <c r="F819" s="2">
        <f t="shared" si="75"/>
        <v>6765201</v>
      </c>
      <c r="G819" s="2">
        <f t="shared" si="76"/>
        <v>380.22539999999998</v>
      </c>
      <c r="H819" s="2">
        <f t="shared" si="77"/>
        <v>19391.4954</v>
      </c>
    </row>
    <row r="820" spans="1:8" x14ac:dyDescent="0.35">
      <c r="A820" s="2">
        <v>51</v>
      </c>
      <c r="B820" s="2">
        <v>76511</v>
      </c>
      <c r="C820" s="2">
        <f t="shared" si="72"/>
        <v>7.6510999999999996</v>
      </c>
      <c r="D820" s="2">
        <f t="shared" si="73"/>
        <v>2601</v>
      </c>
      <c r="E820" s="2">
        <f t="shared" si="74"/>
        <v>132651</v>
      </c>
      <c r="F820" s="2">
        <f t="shared" si="75"/>
        <v>6765201</v>
      </c>
      <c r="G820" s="2">
        <f t="shared" si="76"/>
        <v>390.20609999999999</v>
      </c>
      <c r="H820" s="2">
        <f t="shared" si="77"/>
        <v>19900.5111</v>
      </c>
    </row>
    <row r="821" spans="1:8" x14ac:dyDescent="0.35">
      <c r="A821" s="2">
        <v>51</v>
      </c>
      <c r="B821" s="2">
        <v>77184</v>
      </c>
      <c r="C821" s="2">
        <f t="shared" si="72"/>
        <v>7.7183999999999999</v>
      </c>
      <c r="D821" s="2">
        <f t="shared" si="73"/>
        <v>2601</v>
      </c>
      <c r="E821" s="2">
        <f t="shared" si="74"/>
        <v>132651</v>
      </c>
      <c r="F821" s="2">
        <f t="shared" si="75"/>
        <v>6765201</v>
      </c>
      <c r="G821" s="2">
        <f t="shared" si="76"/>
        <v>393.63839999999999</v>
      </c>
      <c r="H821" s="2">
        <f t="shared" si="77"/>
        <v>20075.558399999998</v>
      </c>
    </row>
    <row r="822" spans="1:8" x14ac:dyDescent="0.35">
      <c r="A822" s="2">
        <v>51</v>
      </c>
      <c r="B822" s="2">
        <v>79130</v>
      </c>
      <c r="C822" s="2">
        <f t="shared" si="72"/>
        <v>7.9130000000000003</v>
      </c>
      <c r="D822" s="2">
        <f t="shared" si="73"/>
        <v>2601</v>
      </c>
      <c r="E822" s="2">
        <f t="shared" si="74"/>
        <v>132651</v>
      </c>
      <c r="F822" s="2">
        <f t="shared" si="75"/>
        <v>6765201</v>
      </c>
      <c r="G822" s="2">
        <f t="shared" si="76"/>
        <v>403.56299999999999</v>
      </c>
      <c r="H822" s="2">
        <f t="shared" si="77"/>
        <v>20581.713</v>
      </c>
    </row>
    <row r="823" spans="1:8" x14ac:dyDescent="0.35">
      <c r="A823" s="2">
        <v>51</v>
      </c>
      <c r="B823" s="2">
        <v>81356</v>
      </c>
      <c r="C823" s="2">
        <f t="shared" si="72"/>
        <v>8.1356000000000002</v>
      </c>
      <c r="D823" s="2">
        <f t="shared" si="73"/>
        <v>2601</v>
      </c>
      <c r="E823" s="2">
        <f t="shared" si="74"/>
        <v>132651</v>
      </c>
      <c r="F823" s="2">
        <f t="shared" si="75"/>
        <v>6765201</v>
      </c>
      <c r="G823" s="2">
        <f t="shared" si="76"/>
        <v>414.91559999999998</v>
      </c>
      <c r="H823" s="2">
        <f t="shared" si="77"/>
        <v>21160.695599999999</v>
      </c>
    </row>
    <row r="824" spans="1:8" x14ac:dyDescent="0.35">
      <c r="A824" s="2">
        <v>51</v>
      </c>
      <c r="B824" s="2">
        <v>82910</v>
      </c>
      <c r="C824" s="2">
        <f t="shared" si="72"/>
        <v>8.2910000000000004</v>
      </c>
      <c r="D824" s="2">
        <f t="shared" si="73"/>
        <v>2601</v>
      </c>
      <c r="E824" s="2">
        <f t="shared" si="74"/>
        <v>132651</v>
      </c>
      <c r="F824" s="2">
        <f t="shared" si="75"/>
        <v>6765201</v>
      </c>
      <c r="G824" s="2">
        <f t="shared" si="76"/>
        <v>422.84100000000001</v>
      </c>
      <c r="H824" s="2">
        <f t="shared" si="77"/>
        <v>21564.891</v>
      </c>
    </row>
    <row r="825" spans="1:8" x14ac:dyDescent="0.35">
      <c r="A825" s="2">
        <v>51</v>
      </c>
      <c r="B825" s="2">
        <v>84152</v>
      </c>
      <c r="C825" s="2">
        <f t="shared" si="72"/>
        <v>8.4152000000000005</v>
      </c>
      <c r="D825" s="2">
        <f t="shared" si="73"/>
        <v>2601</v>
      </c>
      <c r="E825" s="2">
        <f t="shared" si="74"/>
        <v>132651</v>
      </c>
      <c r="F825" s="2">
        <f t="shared" si="75"/>
        <v>6765201</v>
      </c>
      <c r="G825" s="2">
        <f t="shared" si="76"/>
        <v>429.17520000000002</v>
      </c>
      <c r="H825" s="2">
        <f t="shared" si="77"/>
        <v>21887.9352</v>
      </c>
    </row>
    <row r="826" spans="1:8" x14ac:dyDescent="0.35">
      <c r="A826" s="2">
        <v>51</v>
      </c>
      <c r="B826" s="2">
        <v>86401</v>
      </c>
      <c r="C826" s="2">
        <f t="shared" si="72"/>
        <v>8.6401000000000003</v>
      </c>
      <c r="D826" s="2">
        <f t="shared" si="73"/>
        <v>2601</v>
      </c>
      <c r="E826" s="2">
        <f t="shared" si="74"/>
        <v>132651</v>
      </c>
      <c r="F826" s="2">
        <f t="shared" si="75"/>
        <v>6765201</v>
      </c>
      <c r="G826" s="2">
        <f t="shared" si="76"/>
        <v>440.64510000000001</v>
      </c>
      <c r="H826" s="2">
        <f t="shared" si="77"/>
        <v>22472.900100000003</v>
      </c>
    </row>
    <row r="827" spans="1:8" x14ac:dyDescent="0.35">
      <c r="A827" s="2">
        <v>51</v>
      </c>
      <c r="B827" s="2">
        <v>88780</v>
      </c>
      <c r="C827" s="2">
        <f t="shared" si="72"/>
        <v>8.8780000000000001</v>
      </c>
      <c r="D827" s="2">
        <f t="shared" si="73"/>
        <v>2601</v>
      </c>
      <c r="E827" s="2">
        <f t="shared" si="74"/>
        <v>132651</v>
      </c>
      <c r="F827" s="2">
        <f t="shared" si="75"/>
        <v>6765201</v>
      </c>
      <c r="G827" s="2">
        <f t="shared" si="76"/>
        <v>452.77800000000002</v>
      </c>
      <c r="H827" s="2">
        <f t="shared" si="77"/>
        <v>23091.678</v>
      </c>
    </row>
    <row r="828" spans="1:8" x14ac:dyDescent="0.35">
      <c r="A828" s="2">
        <v>51</v>
      </c>
      <c r="B828" s="2">
        <v>91025</v>
      </c>
      <c r="C828" s="2">
        <f t="shared" si="72"/>
        <v>9.1024999999999991</v>
      </c>
      <c r="D828" s="2">
        <f t="shared" si="73"/>
        <v>2601</v>
      </c>
      <c r="E828" s="2">
        <f t="shared" si="74"/>
        <v>132651</v>
      </c>
      <c r="F828" s="2">
        <f t="shared" si="75"/>
        <v>6765201</v>
      </c>
      <c r="G828" s="2">
        <f t="shared" si="76"/>
        <v>464.22749999999996</v>
      </c>
      <c r="H828" s="2">
        <f t="shared" si="77"/>
        <v>23675.602499999997</v>
      </c>
    </row>
    <row r="829" spans="1:8" x14ac:dyDescent="0.35">
      <c r="A829" s="2">
        <v>51</v>
      </c>
      <c r="B829" s="2">
        <v>92833</v>
      </c>
      <c r="C829" s="2">
        <f t="shared" si="72"/>
        <v>9.2833000000000006</v>
      </c>
      <c r="D829" s="2">
        <f t="shared" si="73"/>
        <v>2601</v>
      </c>
      <c r="E829" s="2">
        <f t="shared" si="74"/>
        <v>132651</v>
      </c>
      <c r="F829" s="2">
        <f t="shared" si="75"/>
        <v>6765201</v>
      </c>
      <c r="G829" s="2">
        <f t="shared" si="76"/>
        <v>473.44830000000002</v>
      </c>
      <c r="H829" s="2">
        <f t="shared" si="77"/>
        <v>24145.863300000001</v>
      </c>
    </row>
    <row r="830" spans="1:8" x14ac:dyDescent="0.35">
      <c r="A830" s="2">
        <v>51</v>
      </c>
      <c r="B830" s="2">
        <v>93889</v>
      </c>
      <c r="C830" s="2">
        <f t="shared" si="72"/>
        <v>9.3888999999999996</v>
      </c>
      <c r="D830" s="2">
        <f t="shared" si="73"/>
        <v>2601</v>
      </c>
      <c r="E830" s="2">
        <f t="shared" si="74"/>
        <v>132651</v>
      </c>
      <c r="F830" s="2">
        <f t="shared" si="75"/>
        <v>6765201</v>
      </c>
      <c r="G830" s="2">
        <f t="shared" si="76"/>
        <v>478.83389999999997</v>
      </c>
      <c r="H830" s="2">
        <f t="shared" si="77"/>
        <v>24420.528899999998</v>
      </c>
    </row>
    <row r="831" spans="1:8" x14ac:dyDescent="0.35">
      <c r="A831" s="2">
        <v>51</v>
      </c>
      <c r="B831" s="2">
        <v>98384</v>
      </c>
      <c r="C831" s="2">
        <f t="shared" si="72"/>
        <v>9.8384</v>
      </c>
      <c r="D831" s="2">
        <f t="shared" si="73"/>
        <v>2601</v>
      </c>
      <c r="E831" s="2">
        <f t="shared" si="74"/>
        <v>132651</v>
      </c>
      <c r="F831" s="2">
        <f t="shared" si="75"/>
        <v>6765201</v>
      </c>
      <c r="G831" s="2">
        <f t="shared" si="76"/>
        <v>501.75839999999999</v>
      </c>
      <c r="H831" s="2">
        <f t="shared" si="77"/>
        <v>25589.678400000001</v>
      </c>
    </row>
    <row r="832" spans="1:8" x14ac:dyDescent="0.35">
      <c r="A832" s="2">
        <v>51</v>
      </c>
      <c r="B832" s="2">
        <v>99874</v>
      </c>
      <c r="C832" s="2">
        <f t="shared" si="72"/>
        <v>9.9873999999999992</v>
      </c>
      <c r="D832" s="2">
        <f t="shared" si="73"/>
        <v>2601</v>
      </c>
      <c r="E832" s="2">
        <f t="shared" si="74"/>
        <v>132651</v>
      </c>
      <c r="F832" s="2">
        <f t="shared" si="75"/>
        <v>6765201</v>
      </c>
      <c r="G832" s="2">
        <f t="shared" si="76"/>
        <v>509.35739999999998</v>
      </c>
      <c r="H832" s="2">
        <f t="shared" si="77"/>
        <v>25977.227399999996</v>
      </c>
    </row>
    <row r="833" spans="1:8" x14ac:dyDescent="0.35">
      <c r="A833" s="2">
        <v>51</v>
      </c>
      <c r="B833" s="2">
        <v>100750</v>
      </c>
      <c r="C833" s="2">
        <f t="shared" si="72"/>
        <v>10.074999999999999</v>
      </c>
      <c r="D833" s="2">
        <f t="shared" si="73"/>
        <v>2601</v>
      </c>
      <c r="E833" s="2">
        <f t="shared" si="74"/>
        <v>132651</v>
      </c>
      <c r="F833" s="2">
        <f t="shared" si="75"/>
        <v>6765201</v>
      </c>
      <c r="G833" s="2">
        <f t="shared" si="76"/>
        <v>513.82499999999993</v>
      </c>
      <c r="H833" s="2">
        <f t="shared" si="77"/>
        <v>26205.074999999997</v>
      </c>
    </row>
    <row r="834" spans="1:8" x14ac:dyDescent="0.35">
      <c r="A834" s="2">
        <v>51</v>
      </c>
      <c r="B834" s="2">
        <v>97675</v>
      </c>
      <c r="C834" s="2">
        <f t="shared" si="72"/>
        <v>9.7675000000000001</v>
      </c>
      <c r="D834" s="2">
        <f t="shared" si="73"/>
        <v>2601</v>
      </c>
      <c r="E834" s="2">
        <f t="shared" si="74"/>
        <v>132651</v>
      </c>
      <c r="F834" s="2">
        <f t="shared" si="75"/>
        <v>6765201</v>
      </c>
      <c r="G834" s="2">
        <f t="shared" si="76"/>
        <v>498.14249999999998</v>
      </c>
      <c r="H834" s="2">
        <f t="shared" si="77"/>
        <v>25405.267500000002</v>
      </c>
    </row>
    <row r="835" spans="1:8" x14ac:dyDescent="0.35">
      <c r="A835" s="2">
        <v>51</v>
      </c>
      <c r="B835" s="2">
        <v>97349</v>
      </c>
      <c r="C835" s="2">
        <f t="shared" ref="C835:C898" si="78">B835/10000</f>
        <v>9.7348999999999997</v>
      </c>
      <c r="D835" s="2">
        <f t="shared" ref="D835:D898" si="79">A835^2</f>
        <v>2601</v>
      </c>
      <c r="E835" s="2">
        <f t="shared" ref="E835:E898" si="80">A835^3</f>
        <v>132651</v>
      </c>
      <c r="F835" s="2">
        <f t="shared" ref="F835:F898" si="81">A835^4</f>
        <v>6765201</v>
      </c>
      <c r="G835" s="2">
        <f t="shared" ref="G835:G898" si="82">A835*C835</f>
        <v>496.47989999999999</v>
      </c>
      <c r="H835" s="2">
        <f t="shared" ref="H835:H898" si="83">D835*C835</f>
        <v>25320.474899999997</v>
      </c>
    </row>
    <row r="836" spans="1:8" x14ac:dyDescent="0.35">
      <c r="A836" s="2">
        <v>51</v>
      </c>
      <c r="B836" s="2">
        <v>95930</v>
      </c>
      <c r="C836" s="2">
        <f t="shared" si="78"/>
        <v>9.593</v>
      </c>
      <c r="D836" s="2">
        <f t="shared" si="79"/>
        <v>2601</v>
      </c>
      <c r="E836" s="2">
        <f t="shared" si="80"/>
        <v>132651</v>
      </c>
      <c r="F836" s="2">
        <f t="shared" si="81"/>
        <v>6765201</v>
      </c>
      <c r="G836" s="2">
        <f t="shared" si="82"/>
        <v>489.24299999999999</v>
      </c>
      <c r="H836" s="2">
        <f t="shared" si="83"/>
        <v>24951.393</v>
      </c>
    </row>
    <row r="837" spans="1:8" x14ac:dyDescent="0.35">
      <c r="A837" s="2">
        <v>51</v>
      </c>
      <c r="B837" s="2">
        <v>94217</v>
      </c>
      <c r="C837" s="2">
        <f t="shared" si="78"/>
        <v>9.4216999999999995</v>
      </c>
      <c r="D837" s="2">
        <f t="shared" si="79"/>
        <v>2601</v>
      </c>
      <c r="E837" s="2">
        <f t="shared" si="80"/>
        <v>132651</v>
      </c>
      <c r="F837" s="2">
        <f t="shared" si="81"/>
        <v>6765201</v>
      </c>
      <c r="G837" s="2">
        <f t="shared" si="82"/>
        <v>480.50669999999997</v>
      </c>
      <c r="H837" s="2">
        <f t="shared" si="83"/>
        <v>24505.841699999997</v>
      </c>
    </row>
    <row r="838" spans="1:8" x14ac:dyDescent="0.35">
      <c r="A838" s="2">
        <v>51</v>
      </c>
      <c r="B838" s="2">
        <v>95670</v>
      </c>
      <c r="C838" s="2">
        <f t="shared" si="78"/>
        <v>9.5670000000000002</v>
      </c>
      <c r="D838" s="2">
        <f t="shared" si="79"/>
        <v>2601</v>
      </c>
      <c r="E838" s="2">
        <f t="shared" si="80"/>
        <v>132651</v>
      </c>
      <c r="F838" s="2">
        <f t="shared" si="81"/>
        <v>6765201</v>
      </c>
      <c r="G838" s="2">
        <f t="shared" si="82"/>
        <v>487.91700000000003</v>
      </c>
      <c r="H838" s="2">
        <f t="shared" si="83"/>
        <v>24883.767</v>
      </c>
    </row>
    <row r="839" spans="1:8" x14ac:dyDescent="0.35">
      <c r="A839" s="2">
        <v>51</v>
      </c>
      <c r="B839" s="2">
        <v>95296</v>
      </c>
      <c r="C839" s="2">
        <f t="shared" si="78"/>
        <v>9.5296000000000003</v>
      </c>
      <c r="D839" s="2">
        <f t="shared" si="79"/>
        <v>2601</v>
      </c>
      <c r="E839" s="2">
        <f t="shared" si="80"/>
        <v>132651</v>
      </c>
      <c r="F839" s="2">
        <f t="shared" si="81"/>
        <v>6765201</v>
      </c>
      <c r="G839" s="2">
        <f t="shared" si="82"/>
        <v>486.00960000000003</v>
      </c>
      <c r="H839" s="2">
        <f t="shared" si="83"/>
        <v>24786.489600000001</v>
      </c>
    </row>
    <row r="840" spans="1:8" x14ac:dyDescent="0.35">
      <c r="A840" s="2">
        <v>51</v>
      </c>
      <c r="B840" s="2">
        <v>95865</v>
      </c>
      <c r="C840" s="2">
        <f t="shared" si="78"/>
        <v>9.5864999999999991</v>
      </c>
      <c r="D840" s="2">
        <f t="shared" si="79"/>
        <v>2601</v>
      </c>
      <c r="E840" s="2">
        <f t="shared" si="80"/>
        <v>132651</v>
      </c>
      <c r="F840" s="2">
        <f t="shared" si="81"/>
        <v>6765201</v>
      </c>
      <c r="G840" s="2">
        <f t="shared" si="82"/>
        <v>488.91149999999993</v>
      </c>
      <c r="H840" s="2">
        <f t="shared" si="83"/>
        <v>24934.486499999999</v>
      </c>
    </row>
    <row r="841" spans="1:8" x14ac:dyDescent="0.35">
      <c r="A841" s="2">
        <v>51</v>
      </c>
      <c r="B841" s="2">
        <v>95300</v>
      </c>
      <c r="C841" s="2">
        <f t="shared" si="78"/>
        <v>9.5299999999999994</v>
      </c>
      <c r="D841" s="2">
        <f t="shared" si="79"/>
        <v>2601</v>
      </c>
      <c r="E841" s="2">
        <f t="shared" si="80"/>
        <v>132651</v>
      </c>
      <c r="F841" s="2">
        <f t="shared" si="81"/>
        <v>6765201</v>
      </c>
      <c r="G841" s="2">
        <f t="shared" si="82"/>
        <v>486.03</v>
      </c>
      <c r="H841" s="2">
        <f t="shared" si="83"/>
        <v>24787.53</v>
      </c>
    </row>
    <row r="842" spans="1:8" x14ac:dyDescent="0.35">
      <c r="A842" s="2">
        <v>51</v>
      </c>
      <c r="B842" s="2">
        <v>94312</v>
      </c>
      <c r="C842" s="2">
        <f t="shared" si="78"/>
        <v>9.4312000000000005</v>
      </c>
      <c r="D842" s="2">
        <f t="shared" si="79"/>
        <v>2601</v>
      </c>
      <c r="E842" s="2">
        <f t="shared" si="80"/>
        <v>132651</v>
      </c>
      <c r="F842" s="2">
        <f t="shared" si="81"/>
        <v>6765201</v>
      </c>
      <c r="G842" s="2">
        <f t="shared" si="82"/>
        <v>480.99120000000005</v>
      </c>
      <c r="H842" s="2">
        <f t="shared" si="83"/>
        <v>24530.551200000002</v>
      </c>
    </row>
    <row r="843" spans="1:8" x14ac:dyDescent="0.35">
      <c r="A843" s="2">
        <v>51</v>
      </c>
      <c r="B843" s="2">
        <v>93669</v>
      </c>
      <c r="C843" s="2">
        <f t="shared" si="78"/>
        <v>9.3668999999999993</v>
      </c>
      <c r="D843" s="2">
        <f t="shared" si="79"/>
        <v>2601</v>
      </c>
      <c r="E843" s="2">
        <f t="shared" si="80"/>
        <v>132651</v>
      </c>
      <c r="F843" s="2">
        <f t="shared" si="81"/>
        <v>6765201</v>
      </c>
      <c r="G843" s="2">
        <f t="shared" si="82"/>
        <v>477.71189999999996</v>
      </c>
      <c r="H843" s="2">
        <f t="shared" si="83"/>
        <v>24363.3069</v>
      </c>
    </row>
    <row r="844" spans="1:8" x14ac:dyDescent="0.35">
      <c r="A844" s="2">
        <v>1784</v>
      </c>
      <c r="B844" s="2">
        <v>39844</v>
      </c>
      <c r="C844" s="2">
        <f t="shared" si="78"/>
        <v>3.9843999999999999</v>
      </c>
      <c r="D844" s="2">
        <f t="shared" si="79"/>
        <v>3182656</v>
      </c>
      <c r="E844" s="2">
        <f t="shared" si="80"/>
        <v>5677858304</v>
      </c>
      <c r="F844" s="2">
        <f t="shared" si="81"/>
        <v>10129299214336</v>
      </c>
      <c r="G844" s="2">
        <f t="shared" si="82"/>
        <v>7108.1696000000002</v>
      </c>
      <c r="H844" s="2">
        <f t="shared" si="83"/>
        <v>12680974.566399999</v>
      </c>
    </row>
    <row r="845" spans="1:8" x14ac:dyDescent="0.35">
      <c r="A845" s="2">
        <v>1784</v>
      </c>
      <c r="B845" s="2">
        <v>38985</v>
      </c>
      <c r="C845" s="2">
        <f t="shared" si="78"/>
        <v>3.8984999999999999</v>
      </c>
      <c r="D845" s="2">
        <f t="shared" si="79"/>
        <v>3182656</v>
      </c>
      <c r="E845" s="2">
        <f t="shared" si="80"/>
        <v>5677858304</v>
      </c>
      <c r="F845" s="2">
        <f t="shared" si="81"/>
        <v>10129299214336</v>
      </c>
      <c r="G845" s="2">
        <f t="shared" si="82"/>
        <v>6954.924</v>
      </c>
      <c r="H845" s="2">
        <f t="shared" si="83"/>
        <v>12407584.415999999</v>
      </c>
    </row>
    <row r="846" spans="1:8" x14ac:dyDescent="0.35">
      <c r="A846" s="2">
        <v>1784</v>
      </c>
      <c r="B846" s="2">
        <v>35987</v>
      </c>
      <c r="C846" s="2">
        <f t="shared" si="78"/>
        <v>3.5987</v>
      </c>
      <c r="D846" s="2">
        <f t="shared" si="79"/>
        <v>3182656</v>
      </c>
      <c r="E846" s="2">
        <f t="shared" si="80"/>
        <v>5677858304</v>
      </c>
      <c r="F846" s="2">
        <f t="shared" si="81"/>
        <v>10129299214336</v>
      </c>
      <c r="G846" s="2">
        <f t="shared" si="82"/>
        <v>6420.0807999999997</v>
      </c>
      <c r="H846" s="2">
        <f t="shared" si="83"/>
        <v>11453424.1472</v>
      </c>
    </row>
    <row r="847" spans="1:8" x14ac:dyDescent="0.35">
      <c r="A847" s="2">
        <v>1784</v>
      </c>
      <c r="B847" s="2">
        <v>41069</v>
      </c>
      <c r="C847" s="2">
        <f t="shared" si="78"/>
        <v>4.1069000000000004</v>
      </c>
      <c r="D847" s="2">
        <f t="shared" si="79"/>
        <v>3182656</v>
      </c>
      <c r="E847" s="2">
        <f t="shared" si="80"/>
        <v>5677858304</v>
      </c>
      <c r="F847" s="2">
        <f t="shared" si="81"/>
        <v>10129299214336</v>
      </c>
      <c r="G847" s="2">
        <f t="shared" si="82"/>
        <v>7326.709600000001</v>
      </c>
      <c r="H847" s="2">
        <f t="shared" si="83"/>
        <v>13070849.926400002</v>
      </c>
    </row>
    <row r="848" spans="1:8" x14ac:dyDescent="0.35">
      <c r="A848" s="2">
        <v>1784</v>
      </c>
      <c r="B848" s="2">
        <v>43271</v>
      </c>
      <c r="C848" s="2">
        <f t="shared" si="78"/>
        <v>4.3270999999999997</v>
      </c>
      <c r="D848" s="2">
        <f t="shared" si="79"/>
        <v>3182656</v>
      </c>
      <c r="E848" s="2">
        <f t="shared" si="80"/>
        <v>5677858304</v>
      </c>
      <c r="F848" s="2">
        <f t="shared" si="81"/>
        <v>10129299214336</v>
      </c>
      <c r="G848" s="2">
        <f t="shared" si="82"/>
        <v>7719.5463999999993</v>
      </c>
      <c r="H848" s="2">
        <f t="shared" si="83"/>
        <v>13771670.7776</v>
      </c>
    </row>
    <row r="849" spans="1:8" x14ac:dyDescent="0.35">
      <c r="A849" s="2">
        <v>1784</v>
      </c>
      <c r="B849" s="2">
        <v>37669</v>
      </c>
      <c r="C849" s="2">
        <f t="shared" si="78"/>
        <v>3.7669000000000001</v>
      </c>
      <c r="D849" s="2">
        <f t="shared" si="79"/>
        <v>3182656</v>
      </c>
      <c r="E849" s="2">
        <f t="shared" si="80"/>
        <v>5677858304</v>
      </c>
      <c r="F849" s="2">
        <f t="shared" si="81"/>
        <v>10129299214336</v>
      </c>
      <c r="G849" s="2">
        <f t="shared" si="82"/>
        <v>6720.1496000000006</v>
      </c>
      <c r="H849" s="2">
        <f t="shared" si="83"/>
        <v>11988746.886400001</v>
      </c>
    </row>
    <row r="850" spans="1:8" x14ac:dyDescent="0.35">
      <c r="A850" s="2">
        <v>1784</v>
      </c>
      <c r="B850" s="2">
        <v>43561</v>
      </c>
      <c r="C850" s="2">
        <f t="shared" si="78"/>
        <v>4.3560999999999996</v>
      </c>
      <c r="D850" s="2">
        <f t="shared" si="79"/>
        <v>3182656</v>
      </c>
      <c r="E850" s="2">
        <f t="shared" si="80"/>
        <v>5677858304</v>
      </c>
      <c r="F850" s="2">
        <f t="shared" si="81"/>
        <v>10129299214336</v>
      </c>
      <c r="G850" s="2">
        <f t="shared" si="82"/>
        <v>7771.2823999999991</v>
      </c>
      <c r="H850" s="2">
        <f t="shared" si="83"/>
        <v>13863967.801599998</v>
      </c>
    </row>
    <row r="851" spans="1:8" x14ac:dyDescent="0.35">
      <c r="A851" s="2">
        <v>1784</v>
      </c>
      <c r="B851" s="2">
        <v>47076</v>
      </c>
      <c r="C851" s="2">
        <f t="shared" si="78"/>
        <v>4.7076000000000002</v>
      </c>
      <c r="D851" s="2">
        <f t="shared" si="79"/>
        <v>3182656</v>
      </c>
      <c r="E851" s="2">
        <f t="shared" si="80"/>
        <v>5677858304</v>
      </c>
      <c r="F851" s="2">
        <f t="shared" si="81"/>
        <v>10129299214336</v>
      </c>
      <c r="G851" s="2">
        <f t="shared" si="82"/>
        <v>8398.358400000001</v>
      </c>
      <c r="H851" s="2">
        <f t="shared" si="83"/>
        <v>14982671.385600001</v>
      </c>
    </row>
    <row r="852" spans="1:8" x14ac:dyDescent="0.35">
      <c r="A852" s="2">
        <v>1784</v>
      </c>
      <c r="B852" s="2">
        <v>43353</v>
      </c>
      <c r="C852" s="2">
        <f t="shared" si="78"/>
        <v>4.3353000000000002</v>
      </c>
      <c r="D852" s="2">
        <f t="shared" si="79"/>
        <v>3182656</v>
      </c>
      <c r="E852" s="2">
        <f t="shared" si="80"/>
        <v>5677858304</v>
      </c>
      <c r="F852" s="2">
        <f t="shared" si="81"/>
        <v>10129299214336</v>
      </c>
      <c r="G852" s="2">
        <f t="shared" si="82"/>
        <v>7734.1752000000006</v>
      </c>
      <c r="H852" s="2">
        <f t="shared" si="83"/>
        <v>13797768.5568</v>
      </c>
    </row>
    <row r="853" spans="1:8" x14ac:dyDescent="0.35">
      <c r="A853" s="2">
        <v>1784</v>
      </c>
      <c r="B853" s="2">
        <v>53291</v>
      </c>
      <c r="C853" s="2">
        <f t="shared" si="78"/>
        <v>5.3291000000000004</v>
      </c>
      <c r="D853" s="2">
        <f t="shared" si="79"/>
        <v>3182656</v>
      </c>
      <c r="E853" s="2">
        <f t="shared" si="80"/>
        <v>5677858304</v>
      </c>
      <c r="F853" s="2">
        <f t="shared" si="81"/>
        <v>10129299214336</v>
      </c>
      <c r="G853" s="2">
        <f t="shared" si="82"/>
        <v>9507.1144000000004</v>
      </c>
      <c r="H853" s="2">
        <f t="shared" si="83"/>
        <v>16960692.089600001</v>
      </c>
    </row>
    <row r="854" spans="1:8" x14ac:dyDescent="0.35">
      <c r="A854" s="2">
        <v>1784</v>
      </c>
      <c r="B854" s="2">
        <v>51627</v>
      </c>
      <c r="C854" s="2">
        <f t="shared" si="78"/>
        <v>5.1627000000000001</v>
      </c>
      <c r="D854" s="2">
        <f t="shared" si="79"/>
        <v>3182656</v>
      </c>
      <c r="E854" s="2">
        <f t="shared" si="80"/>
        <v>5677858304</v>
      </c>
      <c r="F854" s="2">
        <f t="shared" si="81"/>
        <v>10129299214336</v>
      </c>
      <c r="G854" s="2">
        <f t="shared" si="82"/>
        <v>9210.256800000001</v>
      </c>
      <c r="H854" s="2">
        <f t="shared" si="83"/>
        <v>16431098.131200001</v>
      </c>
    </row>
    <row r="855" spans="1:8" x14ac:dyDescent="0.35">
      <c r="A855" s="2">
        <v>1784</v>
      </c>
      <c r="B855" s="2">
        <v>44419</v>
      </c>
      <c r="C855" s="2">
        <f t="shared" si="78"/>
        <v>4.4419000000000004</v>
      </c>
      <c r="D855" s="2">
        <f t="shared" si="79"/>
        <v>3182656</v>
      </c>
      <c r="E855" s="2">
        <f t="shared" si="80"/>
        <v>5677858304</v>
      </c>
      <c r="F855" s="2">
        <f t="shared" si="81"/>
        <v>10129299214336</v>
      </c>
      <c r="G855" s="2">
        <f t="shared" si="82"/>
        <v>7924.3496000000005</v>
      </c>
      <c r="H855" s="2">
        <f t="shared" si="83"/>
        <v>14137039.686400002</v>
      </c>
    </row>
    <row r="856" spans="1:8" x14ac:dyDescent="0.35">
      <c r="A856" s="2">
        <v>1784</v>
      </c>
      <c r="B856" s="2">
        <v>49760</v>
      </c>
      <c r="C856" s="2">
        <f t="shared" si="78"/>
        <v>4.976</v>
      </c>
      <c r="D856" s="2">
        <f t="shared" si="79"/>
        <v>3182656</v>
      </c>
      <c r="E856" s="2">
        <f t="shared" si="80"/>
        <v>5677858304</v>
      </c>
      <c r="F856" s="2">
        <f t="shared" si="81"/>
        <v>10129299214336</v>
      </c>
      <c r="G856" s="2">
        <f t="shared" si="82"/>
        <v>8877.1839999999993</v>
      </c>
      <c r="H856" s="2">
        <f t="shared" si="83"/>
        <v>15836896.255999999</v>
      </c>
    </row>
    <row r="857" spans="1:8" x14ac:dyDescent="0.35">
      <c r="A857" s="2">
        <v>1784</v>
      </c>
      <c r="B857" s="2">
        <v>52531</v>
      </c>
      <c r="C857" s="2">
        <f t="shared" si="78"/>
        <v>5.2530999999999999</v>
      </c>
      <c r="D857" s="2">
        <f t="shared" si="79"/>
        <v>3182656</v>
      </c>
      <c r="E857" s="2">
        <f t="shared" si="80"/>
        <v>5677858304</v>
      </c>
      <c r="F857" s="2">
        <f t="shared" si="81"/>
        <v>10129299214336</v>
      </c>
      <c r="G857" s="2">
        <f t="shared" si="82"/>
        <v>9371.5303999999996</v>
      </c>
      <c r="H857" s="2">
        <f t="shared" si="83"/>
        <v>16718810.2336</v>
      </c>
    </row>
    <row r="858" spans="1:8" x14ac:dyDescent="0.35">
      <c r="A858" s="2">
        <v>1784</v>
      </c>
      <c r="B858" s="2">
        <v>57884</v>
      </c>
      <c r="C858" s="2">
        <f t="shared" si="78"/>
        <v>5.7884000000000002</v>
      </c>
      <c r="D858" s="2">
        <f t="shared" si="79"/>
        <v>3182656</v>
      </c>
      <c r="E858" s="2">
        <f t="shared" si="80"/>
        <v>5677858304</v>
      </c>
      <c r="F858" s="2">
        <f t="shared" si="81"/>
        <v>10129299214336</v>
      </c>
      <c r="G858" s="2">
        <f t="shared" si="82"/>
        <v>10326.5056</v>
      </c>
      <c r="H858" s="2">
        <f t="shared" si="83"/>
        <v>18422485.990400001</v>
      </c>
    </row>
    <row r="859" spans="1:8" x14ac:dyDescent="0.35">
      <c r="A859" s="2">
        <v>1784</v>
      </c>
      <c r="B859" s="2">
        <v>60284</v>
      </c>
      <c r="C859" s="2">
        <f t="shared" si="78"/>
        <v>6.0284000000000004</v>
      </c>
      <c r="D859" s="2">
        <f t="shared" si="79"/>
        <v>3182656</v>
      </c>
      <c r="E859" s="2">
        <f t="shared" si="80"/>
        <v>5677858304</v>
      </c>
      <c r="F859" s="2">
        <f t="shared" si="81"/>
        <v>10129299214336</v>
      </c>
      <c r="G859" s="2">
        <f t="shared" si="82"/>
        <v>10754.6656</v>
      </c>
      <c r="H859" s="2">
        <f t="shared" si="83"/>
        <v>19186323.430400003</v>
      </c>
    </row>
    <row r="860" spans="1:8" x14ac:dyDescent="0.35">
      <c r="A860" s="2">
        <v>1784</v>
      </c>
      <c r="B860" s="2">
        <v>59384</v>
      </c>
      <c r="C860" s="2">
        <f t="shared" si="78"/>
        <v>5.9383999999999997</v>
      </c>
      <c r="D860" s="2">
        <f t="shared" si="79"/>
        <v>3182656</v>
      </c>
      <c r="E860" s="2">
        <f t="shared" si="80"/>
        <v>5677858304</v>
      </c>
      <c r="F860" s="2">
        <f t="shared" si="81"/>
        <v>10129299214336</v>
      </c>
      <c r="G860" s="2">
        <f t="shared" si="82"/>
        <v>10594.105599999999</v>
      </c>
      <c r="H860" s="2">
        <f t="shared" si="83"/>
        <v>18899884.3904</v>
      </c>
    </row>
    <row r="861" spans="1:8" x14ac:dyDescent="0.35">
      <c r="A861" s="2">
        <v>1784</v>
      </c>
      <c r="B861" s="2">
        <v>66430</v>
      </c>
      <c r="C861" s="2">
        <f t="shared" si="78"/>
        <v>6.6429999999999998</v>
      </c>
      <c r="D861" s="2">
        <f t="shared" si="79"/>
        <v>3182656</v>
      </c>
      <c r="E861" s="2">
        <f t="shared" si="80"/>
        <v>5677858304</v>
      </c>
      <c r="F861" s="2">
        <f t="shared" si="81"/>
        <v>10129299214336</v>
      </c>
      <c r="G861" s="2">
        <f t="shared" si="82"/>
        <v>11851.111999999999</v>
      </c>
      <c r="H861" s="2">
        <f t="shared" si="83"/>
        <v>21142383.807999998</v>
      </c>
    </row>
    <row r="862" spans="1:8" x14ac:dyDescent="0.35">
      <c r="A862" s="2">
        <v>1784</v>
      </c>
      <c r="B862" s="2">
        <v>72118</v>
      </c>
      <c r="C862" s="2">
        <f t="shared" si="78"/>
        <v>7.2118000000000002</v>
      </c>
      <c r="D862" s="2">
        <f t="shared" si="79"/>
        <v>3182656</v>
      </c>
      <c r="E862" s="2">
        <f t="shared" si="80"/>
        <v>5677858304</v>
      </c>
      <c r="F862" s="2">
        <f t="shared" si="81"/>
        <v>10129299214336</v>
      </c>
      <c r="G862" s="2">
        <f t="shared" si="82"/>
        <v>12865.851200000001</v>
      </c>
      <c r="H862" s="2">
        <f t="shared" si="83"/>
        <v>22952678.540800001</v>
      </c>
    </row>
    <row r="863" spans="1:8" x14ac:dyDescent="0.35">
      <c r="A863" s="2">
        <v>1784</v>
      </c>
      <c r="B863" s="2">
        <v>73941</v>
      </c>
      <c r="C863" s="2">
        <f t="shared" si="78"/>
        <v>7.3940999999999999</v>
      </c>
      <c r="D863" s="2">
        <f t="shared" si="79"/>
        <v>3182656</v>
      </c>
      <c r="E863" s="2">
        <f t="shared" si="80"/>
        <v>5677858304</v>
      </c>
      <c r="F863" s="2">
        <f t="shared" si="81"/>
        <v>10129299214336</v>
      </c>
      <c r="G863" s="2">
        <f t="shared" si="82"/>
        <v>13191.0744</v>
      </c>
      <c r="H863" s="2">
        <f t="shared" si="83"/>
        <v>23532876.729600001</v>
      </c>
    </row>
    <row r="864" spans="1:8" x14ac:dyDescent="0.35">
      <c r="A864" s="2">
        <v>1784</v>
      </c>
      <c r="B864" s="2">
        <v>74651</v>
      </c>
      <c r="C864" s="2">
        <f t="shared" si="78"/>
        <v>7.4650999999999996</v>
      </c>
      <c r="D864" s="2">
        <f t="shared" si="79"/>
        <v>3182656</v>
      </c>
      <c r="E864" s="2">
        <f t="shared" si="80"/>
        <v>5677858304</v>
      </c>
      <c r="F864" s="2">
        <f t="shared" si="81"/>
        <v>10129299214336</v>
      </c>
      <c r="G864" s="2">
        <f t="shared" si="82"/>
        <v>13317.7384</v>
      </c>
      <c r="H864" s="2">
        <f t="shared" si="83"/>
        <v>23758845.305599999</v>
      </c>
    </row>
    <row r="865" spans="1:8" x14ac:dyDescent="0.35">
      <c r="A865" s="2">
        <v>1784</v>
      </c>
      <c r="B865" s="2">
        <v>79373</v>
      </c>
      <c r="C865" s="2">
        <f t="shared" si="78"/>
        <v>7.9372999999999996</v>
      </c>
      <c r="D865" s="2">
        <f t="shared" si="79"/>
        <v>3182656</v>
      </c>
      <c r="E865" s="2">
        <f t="shared" si="80"/>
        <v>5677858304</v>
      </c>
      <c r="F865" s="2">
        <f t="shared" si="81"/>
        <v>10129299214336</v>
      </c>
      <c r="G865" s="2">
        <f t="shared" si="82"/>
        <v>14160.143199999999</v>
      </c>
      <c r="H865" s="2">
        <f t="shared" si="83"/>
        <v>25261695.468799997</v>
      </c>
    </row>
    <row r="866" spans="1:8" x14ac:dyDescent="0.35">
      <c r="A866" s="2">
        <v>1784</v>
      </c>
      <c r="B866" s="2">
        <v>69016</v>
      </c>
      <c r="C866" s="2">
        <f t="shared" si="78"/>
        <v>6.9016000000000002</v>
      </c>
      <c r="D866" s="2">
        <f t="shared" si="79"/>
        <v>3182656</v>
      </c>
      <c r="E866" s="2">
        <f t="shared" si="80"/>
        <v>5677858304</v>
      </c>
      <c r="F866" s="2">
        <f t="shared" si="81"/>
        <v>10129299214336</v>
      </c>
      <c r="G866" s="2">
        <f t="shared" si="82"/>
        <v>12312.454400000001</v>
      </c>
      <c r="H866" s="2">
        <f t="shared" si="83"/>
        <v>21965418.649599999</v>
      </c>
    </row>
    <row r="867" spans="1:8" x14ac:dyDescent="0.35">
      <c r="A867" s="2">
        <v>1784</v>
      </c>
      <c r="B867" s="2">
        <v>70136</v>
      </c>
      <c r="C867" s="2">
        <f t="shared" si="78"/>
        <v>7.0136000000000003</v>
      </c>
      <c r="D867" s="2">
        <f t="shared" si="79"/>
        <v>3182656</v>
      </c>
      <c r="E867" s="2">
        <f t="shared" si="80"/>
        <v>5677858304</v>
      </c>
      <c r="F867" s="2">
        <f t="shared" si="81"/>
        <v>10129299214336</v>
      </c>
      <c r="G867" s="2">
        <f t="shared" si="82"/>
        <v>12512.2624</v>
      </c>
      <c r="H867" s="2">
        <f t="shared" si="83"/>
        <v>22321876.121600002</v>
      </c>
    </row>
    <row r="868" spans="1:8" x14ac:dyDescent="0.35">
      <c r="A868" s="2">
        <v>1784</v>
      </c>
      <c r="B868" s="2">
        <v>54783</v>
      </c>
      <c r="C868" s="2">
        <f t="shared" si="78"/>
        <v>5.4782999999999999</v>
      </c>
      <c r="D868" s="2">
        <f t="shared" si="79"/>
        <v>3182656</v>
      </c>
      <c r="E868" s="2">
        <f t="shared" si="80"/>
        <v>5677858304</v>
      </c>
      <c r="F868" s="2">
        <f t="shared" si="81"/>
        <v>10129299214336</v>
      </c>
      <c r="G868" s="2">
        <f t="shared" si="82"/>
        <v>9773.2872000000007</v>
      </c>
      <c r="H868" s="2">
        <f t="shared" si="83"/>
        <v>17435544.364799999</v>
      </c>
    </row>
    <row r="869" spans="1:8" x14ac:dyDescent="0.35">
      <c r="A869" s="2">
        <v>1784</v>
      </c>
      <c r="B869" s="2">
        <v>63968</v>
      </c>
      <c r="C869" s="2">
        <f t="shared" si="78"/>
        <v>6.3967999999999998</v>
      </c>
      <c r="D869" s="2">
        <f t="shared" si="79"/>
        <v>3182656</v>
      </c>
      <c r="E869" s="2">
        <f t="shared" si="80"/>
        <v>5677858304</v>
      </c>
      <c r="F869" s="2">
        <f t="shared" si="81"/>
        <v>10129299214336</v>
      </c>
      <c r="G869" s="2">
        <f t="shared" si="82"/>
        <v>11411.8912</v>
      </c>
      <c r="H869" s="2">
        <f t="shared" si="83"/>
        <v>20358813.900800001</v>
      </c>
    </row>
    <row r="870" spans="1:8" x14ac:dyDescent="0.35">
      <c r="A870" s="2">
        <v>1784</v>
      </c>
      <c r="B870" s="2">
        <v>61615</v>
      </c>
      <c r="C870" s="2">
        <f t="shared" si="78"/>
        <v>6.1615000000000002</v>
      </c>
      <c r="D870" s="2">
        <f t="shared" si="79"/>
        <v>3182656</v>
      </c>
      <c r="E870" s="2">
        <f t="shared" si="80"/>
        <v>5677858304</v>
      </c>
      <c r="F870" s="2">
        <f t="shared" si="81"/>
        <v>10129299214336</v>
      </c>
      <c r="G870" s="2">
        <f t="shared" si="82"/>
        <v>10992.116</v>
      </c>
      <c r="H870" s="2">
        <f t="shared" si="83"/>
        <v>19609934.944000002</v>
      </c>
    </row>
    <row r="871" spans="1:8" x14ac:dyDescent="0.35">
      <c r="A871" s="2">
        <v>1784</v>
      </c>
      <c r="B871" s="2">
        <v>58935</v>
      </c>
      <c r="C871" s="2">
        <f t="shared" si="78"/>
        <v>5.8935000000000004</v>
      </c>
      <c r="D871" s="2">
        <f t="shared" si="79"/>
        <v>3182656</v>
      </c>
      <c r="E871" s="2">
        <f t="shared" si="80"/>
        <v>5677858304</v>
      </c>
      <c r="F871" s="2">
        <f t="shared" si="81"/>
        <v>10129299214336</v>
      </c>
      <c r="G871" s="2">
        <f t="shared" si="82"/>
        <v>10514.004000000001</v>
      </c>
      <c r="H871" s="2">
        <f t="shared" si="83"/>
        <v>18756983.136</v>
      </c>
    </row>
    <row r="872" spans="1:8" x14ac:dyDescent="0.35">
      <c r="A872" s="2">
        <v>1784</v>
      </c>
      <c r="B872" s="2">
        <v>63986</v>
      </c>
      <c r="C872" s="2">
        <f t="shared" si="78"/>
        <v>6.3986000000000001</v>
      </c>
      <c r="D872" s="2">
        <f t="shared" si="79"/>
        <v>3182656</v>
      </c>
      <c r="E872" s="2">
        <f t="shared" si="80"/>
        <v>5677858304</v>
      </c>
      <c r="F872" s="2">
        <f t="shared" si="81"/>
        <v>10129299214336</v>
      </c>
      <c r="G872" s="2">
        <f t="shared" si="82"/>
        <v>11415.1024</v>
      </c>
      <c r="H872" s="2">
        <f t="shared" si="83"/>
        <v>20364542.681600001</v>
      </c>
    </row>
    <row r="873" spans="1:8" x14ac:dyDescent="0.35">
      <c r="A873" s="2">
        <v>1784</v>
      </c>
      <c r="B873" s="2">
        <v>69302</v>
      </c>
      <c r="C873" s="2">
        <f t="shared" si="78"/>
        <v>6.9302000000000001</v>
      </c>
      <c r="D873" s="2">
        <f t="shared" si="79"/>
        <v>3182656</v>
      </c>
      <c r="E873" s="2">
        <f t="shared" si="80"/>
        <v>5677858304</v>
      </c>
      <c r="F873" s="2">
        <f t="shared" si="81"/>
        <v>10129299214336</v>
      </c>
      <c r="G873" s="2">
        <f t="shared" si="82"/>
        <v>12363.4768</v>
      </c>
      <c r="H873" s="2">
        <f t="shared" si="83"/>
        <v>22056442.611200001</v>
      </c>
    </row>
    <row r="874" spans="1:8" x14ac:dyDescent="0.35">
      <c r="A874" s="2">
        <v>848</v>
      </c>
      <c r="B874" s="2">
        <v>18519</v>
      </c>
      <c r="C874" s="2">
        <f t="shared" si="78"/>
        <v>1.8519000000000001</v>
      </c>
      <c r="D874" s="2">
        <f t="shared" si="79"/>
        <v>719104</v>
      </c>
      <c r="E874" s="2">
        <f t="shared" si="80"/>
        <v>609800192</v>
      </c>
      <c r="F874" s="2">
        <f t="shared" si="81"/>
        <v>517110562816</v>
      </c>
      <c r="G874" s="2">
        <f t="shared" si="82"/>
        <v>1570.4112</v>
      </c>
      <c r="H874" s="2">
        <f t="shared" si="83"/>
        <v>1331708.6976000001</v>
      </c>
    </row>
    <row r="875" spans="1:8" x14ac:dyDescent="0.35">
      <c r="A875" s="2">
        <v>848</v>
      </c>
      <c r="B875" s="2">
        <v>18275</v>
      </c>
      <c r="C875" s="2">
        <f t="shared" si="78"/>
        <v>1.8274999999999999</v>
      </c>
      <c r="D875" s="2">
        <f t="shared" si="79"/>
        <v>719104</v>
      </c>
      <c r="E875" s="2">
        <f t="shared" si="80"/>
        <v>609800192</v>
      </c>
      <c r="F875" s="2">
        <f t="shared" si="81"/>
        <v>517110562816</v>
      </c>
      <c r="G875" s="2">
        <f t="shared" si="82"/>
        <v>1549.72</v>
      </c>
      <c r="H875" s="2">
        <f t="shared" si="83"/>
        <v>1314162.5599999998</v>
      </c>
    </row>
    <row r="876" spans="1:8" x14ac:dyDescent="0.35">
      <c r="A876" s="2">
        <v>848</v>
      </c>
      <c r="B876" s="2">
        <v>18644</v>
      </c>
      <c r="C876" s="2">
        <f t="shared" si="78"/>
        <v>1.8644000000000001</v>
      </c>
      <c r="D876" s="2">
        <f t="shared" si="79"/>
        <v>719104</v>
      </c>
      <c r="E876" s="2">
        <f t="shared" si="80"/>
        <v>609800192</v>
      </c>
      <c r="F876" s="2">
        <f t="shared" si="81"/>
        <v>517110562816</v>
      </c>
      <c r="G876" s="2">
        <f t="shared" si="82"/>
        <v>1581.0112000000001</v>
      </c>
      <c r="H876" s="2">
        <f t="shared" si="83"/>
        <v>1340697.4976000001</v>
      </c>
    </row>
    <row r="877" spans="1:8" x14ac:dyDescent="0.35">
      <c r="A877" s="2">
        <v>848</v>
      </c>
      <c r="B877" s="2">
        <v>18372</v>
      </c>
      <c r="C877" s="2">
        <f t="shared" si="78"/>
        <v>1.8371999999999999</v>
      </c>
      <c r="D877" s="2">
        <f t="shared" si="79"/>
        <v>719104</v>
      </c>
      <c r="E877" s="2">
        <f t="shared" si="80"/>
        <v>609800192</v>
      </c>
      <c r="F877" s="2">
        <f t="shared" si="81"/>
        <v>517110562816</v>
      </c>
      <c r="G877" s="2">
        <f t="shared" si="82"/>
        <v>1557.9456</v>
      </c>
      <c r="H877" s="2">
        <f t="shared" si="83"/>
        <v>1321137.8688000001</v>
      </c>
    </row>
    <row r="878" spans="1:8" x14ac:dyDescent="0.35">
      <c r="A878" s="2">
        <v>848</v>
      </c>
      <c r="B878" s="2">
        <v>18462</v>
      </c>
      <c r="C878" s="2">
        <f t="shared" si="78"/>
        <v>1.8462000000000001</v>
      </c>
      <c r="D878" s="2">
        <f t="shared" si="79"/>
        <v>719104</v>
      </c>
      <c r="E878" s="2">
        <f t="shared" si="80"/>
        <v>609800192</v>
      </c>
      <c r="F878" s="2">
        <f t="shared" si="81"/>
        <v>517110562816</v>
      </c>
      <c r="G878" s="2">
        <f t="shared" si="82"/>
        <v>1565.5776000000001</v>
      </c>
      <c r="H878" s="2">
        <f t="shared" si="83"/>
        <v>1327609.8048</v>
      </c>
    </row>
    <row r="879" spans="1:8" x14ac:dyDescent="0.35">
      <c r="A879" s="2">
        <v>848</v>
      </c>
      <c r="B879" s="2">
        <v>18571</v>
      </c>
      <c r="C879" s="2">
        <f t="shared" si="78"/>
        <v>1.8571</v>
      </c>
      <c r="D879" s="2">
        <f t="shared" si="79"/>
        <v>719104</v>
      </c>
      <c r="E879" s="2">
        <f t="shared" si="80"/>
        <v>609800192</v>
      </c>
      <c r="F879" s="2">
        <f t="shared" si="81"/>
        <v>517110562816</v>
      </c>
      <c r="G879" s="2">
        <f t="shared" si="82"/>
        <v>1574.8208</v>
      </c>
      <c r="H879" s="2">
        <f t="shared" si="83"/>
        <v>1335448.0384</v>
      </c>
    </row>
    <row r="880" spans="1:8" x14ac:dyDescent="0.35">
      <c r="A880" s="2">
        <v>848</v>
      </c>
      <c r="B880" s="2">
        <v>18667</v>
      </c>
      <c r="C880" s="2">
        <f t="shared" si="78"/>
        <v>1.8667</v>
      </c>
      <c r="D880" s="2">
        <f t="shared" si="79"/>
        <v>719104</v>
      </c>
      <c r="E880" s="2">
        <f t="shared" si="80"/>
        <v>609800192</v>
      </c>
      <c r="F880" s="2">
        <f t="shared" si="81"/>
        <v>517110562816</v>
      </c>
      <c r="G880" s="2">
        <f t="shared" si="82"/>
        <v>1582.9616000000001</v>
      </c>
      <c r="H880" s="2">
        <f t="shared" si="83"/>
        <v>1342351.4368</v>
      </c>
    </row>
    <row r="881" spans="1:8" x14ac:dyDescent="0.35">
      <c r="A881" s="2">
        <v>848</v>
      </c>
      <c r="B881" s="2">
        <v>18293</v>
      </c>
      <c r="C881" s="2">
        <f t="shared" si="78"/>
        <v>1.8292999999999999</v>
      </c>
      <c r="D881" s="2">
        <f t="shared" si="79"/>
        <v>719104</v>
      </c>
      <c r="E881" s="2">
        <f t="shared" si="80"/>
        <v>609800192</v>
      </c>
      <c r="F881" s="2">
        <f t="shared" si="81"/>
        <v>517110562816</v>
      </c>
      <c r="G881" s="2">
        <f t="shared" si="82"/>
        <v>1551.2464</v>
      </c>
      <c r="H881" s="2">
        <f t="shared" si="83"/>
        <v>1315456.9472000001</v>
      </c>
    </row>
    <row r="882" spans="1:8" x14ac:dyDescent="0.35">
      <c r="A882" s="2">
        <v>848</v>
      </c>
      <c r="B882" s="2">
        <v>18427</v>
      </c>
      <c r="C882" s="2">
        <f t="shared" si="78"/>
        <v>1.8427</v>
      </c>
      <c r="D882" s="2">
        <f t="shared" si="79"/>
        <v>719104</v>
      </c>
      <c r="E882" s="2">
        <f t="shared" si="80"/>
        <v>609800192</v>
      </c>
      <c r="F882" s="2">
        <f t="shared" si="81"/>
        <v>517110562816</v>
      </c>
      <c r="G882" s="2">
        <f t="shared" si="82"/>
        <v>1562.6096</v>
      </c>
      <c r="H882" s="2">
        <f t="shared" si="83"/>
        <v>1325092.9408</v>
      </c>
    </row>
    <row r="883" spans="1:8" x14ac:dyDescent="0.35">
      <c r="A883" s="2">
        <v>848</v>
      </c>
      <c r="B883" s="2">
        <v>20016</v>
      </c>
      <c r="C883" s="2">
        <f t="shared" si="78"/>
        <v>2.0015999999999998</v>
      </c>
      <c r="D883" s="2">
        <f t="shared" si="79"/>
        <v>719104</v>
      </c>
      <c r="E883" s="2">
        <f t="shared" si="80"/>
        <v>609800192</v>
      </c>
      <c r="F883" s="2">
        <f t="shared" si="81"/>
        <v>517110562816</v>
      </c>
      <c r="G883" s="2">
        <f t="shared" si="82"/>
        <v>1697.3567999999998</v>
      </c>
      <c r="H883" s="2">
        <f t="shared" si="83"/>
        <v>1439358.5663999999</v>
      </c>
    </row>
    <row r="884" spans="1:8" x14ac:dyDescent="0.35">
      <c r="A884" s="2">
        <v>848</v>
      </c>
      <c r="B884" s="2">
        <v>18462</v>
      </c>
      <c r="C884" s="2">
        <f t="shared" si="78"/>
        <v>1.8462000000000001</v>
      </c>
      <c r="D884" s="2">
        <f t="shared" si="79"/>
        <v>719104</v>
      </c>
      <c r="E884" s="2">
        <f t="shared" si="80"/>
        <v>609800192</v>
      </c>
      <c r="F884" s="2">
        <f t="shared" si="81"/>
        <v>517110562816</v>
      </c>
      <c r="G884" s="2">
        <f t="shared" si="82"/>
        <v>1565.5776000000001</v>
      </c>
      <c r="H884" s="2">
        <f t="shared" si="83"/>
        <v>1327609.8048</v>
      </c>
    </row>
    <row r="885" spans="1:8" x14ac:dyDescent="0.35">
      <c r="A885" s="2">
        <v>848</v>
      </c>
      <c r="B885" s="2">
        <v>18016</v>
      </c>
      <c r="C885" s="2">
        <f t="shared" si="78"/>
        <v>1.8016000000000001</v>
      </c>
      <c r="D885" s="2">
        <f t="shared" si="79"/>
        <v>719104</v>
      </c>
      <c r="E885" s="2">
        <f t="shared" si="80"/>
        <v>609800192</v>
      </c>
      <c r="F885" s="2">
        <f t="shared" si="81"/>
        <v>517110562816</v>
      </c>
      <c r="G885" s="2">
        <f t="shared" si="82"/>
        <v>1527.7568000000001</v>
      </c>
      <c r="H885" s="2">
        <f t="shared" si="83"/>
        <v>1295537.7664000001</v>
      </c>
    </row>
    <row r="886" spans="1:8" x14ac:dyDescent="0.35">
      <c r="A886" s="2">
        <v>848</v>
      </c>
      <c r="B886" s="2">
        <v>17511</v>
      </c>
      <c r="C886" s="2">
        <f t="shared" si="78"/>
        <v>1.7511000000000001</v>
      </c>
      <c r="D886" s="2">
        <f t="shared" si="79"/>
        <v>719104</v>
      </c>
      <c r="E886" s="2">
        <f t="shared" si="80"/>
        <v>609800192</v>
      </c>
      <c r="F886" s="2">
        <f t="shared" si="81"/>
        <v>517110562816</v>
      </c>
      <c r="G886" s="2">
        <f t="shared" si="82"/>
        <v>1484.9328</v>
      </c>
      <c r="H886" s="2">
        <f t="shared" si="83"/>
        <v>1259223.0144</v>
      </c>
    </row>
    <row r="887" spans="1:8" x14ac:dyDescent="0.35">
      <c r="A887" s="2">
        <v>848</v>
      </c>
      <c r="B887" s="2">
        <v>18433</v>
      </c>
      <c r="C887" s="2">
        <f t="shared" si="78"/>
        <v>1.8432999999999999</v>
      </c>
      <c r="D887" s="2">
        <f t="shared" si="79"/>
        <v>719104</v>
      </c>
      <c r="E887" s="2">
        <f t="shared" si="80"/>
        <v>609800192</v>
      </c>
      <c r="F887" s="2">
        <f t="shared" si="81"/>
        <v>517110562816</v>
      </c>
      <c r="G887" s="2">
        <f t="shared" si="82"/>
        <v>1563.1183999999998</v>
      </c>
      <c r="H887" s="2">
        <f t="shared" si="83"/>
        <v>1325524.4032000001</v>
      </c>
    </row>
    <row r="888" spans="1:8" x14ac:dyDescent="0.35">
      <c r="A888" s="2">
        <v>848</v>
      </c>
      <c r="B888" s="2">
        <v>20629</v>
      </c>
      <c r="C888" s="2">
        <f t="shared" si="78"/>
        <v>2.0629</v>
      </c>
      <c r="D888" s="2">
        <f t="shared" si="79"/>
        <v>719104</v>
      </c>
      <c r="E888" s="2">
        <f t="shared" si="80"/>
        <v>609800192</v>
      </c>
      <c r="F888" s="2">
        <f t="shared" si="81"/>
        <v>517110562816</v>
      </c>
      <c r="G888" s="2">
        <f t="shared" si="82"/>
        <v>1749.3391999999999</v>
      </c>
      <c r="H888" s="2">
        <f t="shared" si="83"/>
        <v>1483439.6416</v>
      </c>
    </row>
    <row r="889" spans="1:8" x14ac:dyDescent="0.35">
      <c r="A889" s="2">
        <v>848</v>
      </c>
      <c r="B889" s="2">
        <v>21602</v>
      </c>
      <c r="C889" s="2">
        <f t="shared" si="78"/>
        <v>2.1602000000000001</v>
      </c>
      <c r="D889" s="2">
        <f t="shared" si="79"/>
        <v>719104</v>
      </c>
      <c r="E889" s="2">
        <f t="shared" si="80"/>
        <v>609800192</v>
      </c>
      <c r="F889" s="2">
        <f t="shared" si="81"/>
        <v>517110562816</v>
      </c>
      <c r="G889" s="2">
        <f t="shared" si="82"/>
        <v>1831.8496</v>
      </c>
      <c r="H889" s="2">
        <f t="shared" si="83"/>
        <v>1553408.4608</v>
      </c>
    </row>
    <row r="890" spans="1:8" x14ac:dyDescent="0.35">
      <c r="A890" s="2">
        <v>848</v>
      </c>
      <c r="B890" s="2">
        <v>30273</v>
      </c>
      <c r="C890" s="2">
        <f t="shared" si="78"/>
        <v>3.0272999999999999</v>
      </c>
      <c r="D890" s="2">
        <f t="shared" si="79"/>
        <v>719104</v>
      </c>
      <c r="E890" s="2">
        <f t="shared" si="80"/>
        <v>609800192</v>
      </c>
      <c r="F890" s="2">
        <f t="shared" si="81"/>
        <v>517110562816</v>
      </c>
      <c r="G890" s="2">
        <f t="shared" si="82"/>
        <v>2567.1504</v>
      </c>
      <c r="H890" s="2">
        <f t="shared" si="83"/>
        <v>2176943.5392</v>
      </c>
    </row>
    <row r="891" spans="1:8" x14ac:dyDescent="0.35">
      <c r="A891" s="2">
        <v>848</v>
      </c>
      <c r="B891" s="2">
        <v>28914</v>
      </c>
      <c r="C891" s="2">
        <f t="shared" si="78"/>
        <v>2.8914</v>
      </c>
      <c r="D891" s="2">
        <f t="shared" si="79"/>
        <v>719104</v>
      </c>
      <c r="E891" s="2">
        <f t="shared" si="80"/>
        <v>609800192</v>
      </c>
      <c r="F891" s="2">
        <f t="shared" si="81"/>
        <v>517110562816</v>
      </c>
      <c r="G891" s="2">
        <f t="shared" si="82"/>
        <v>2451.9072000000001</v>
      </c>
      <c r="H891" s="2">
        <f t="shared" si="83"/>
        <v>2079217.3056000001</v>
      </c>
    </row>
    <row r="892" spans="1:8" x14ac:dyDescent="0.35">
      <c r="A892" s="2">
        <v>848</v>
      </c>
      <c r="B892" s="2">
        <v>28950</v>
      </c>
      <c r="C892" s="2">
        <f t="shared" si="78"/>
        <v>2.895</v>
      </c>
      <c r="D892" s="2">
        <f t="shared" si="79"/>
        <v>719104</v>
      </c>
      <c r="E892" s="2">
        <f t="shared" si="80"/>
        <v>609800192</v>
      </c>
      <c r="F892" s="2">
        <f t="shared" si="81"/>
        <v>517110562816</v>
      </c>
      <c r="G892" s="2">
        <f t="shared" si="82"/>
        <v>2454.96</v>
      </c>
      <c r="H892" s="2">
        <f t="shared" si="83"/>
        <v>2081806.08</v>
      </c>
    </row>
    <row r="893" spans="1:8" x14ac:dyDescent="0.35">
      <c r="A893" s="2">
        <v>848</v>
      </c>
      <c r="B893" s="2">
        <v>27310</v>
      </c>
      <c r="C893" s="2">
        <f t="shared" si="78"/>
        <v>2.7309999999999999</v>
      </c>
      <c r="D893" s="2">
        <f t="shared" si="79"/>
        <v>719104</v>
      </c>
      <c r="E893" s="2">
        <f t="shared" si="80"/>
        <v>609800192</v>
      </c>
      <c r="F893" s="2">
        <f t="shared" si="81"/>
        <v>517110562816</v>
      </c>
      <c r="G893" s="2">
        <f t="shared" si="82"/>
        <v>2315.8879999999999</v>
      </c>
      <c r="H893" s="2">
        <f t="shared" si="83"/>
        <v>1963873.024</v>
      </c>
    </row>
    <row r="894" spans="1:8" x14ac:dyDescent="0.35">
      <c r="A894" s="2">
        <v>848</v>
      </c>
      <c r="B894" s="2">
        <v>28148</v>
      </c>
      <c r="C894" s="2">
        <f t="shared" si="78"/>
        <v>2.8148</v>
      </c>
      <c r="D894" s="2">
        <f t="shared" si="79"/>
        <v>719104</v>
      </c>
      <c r="E894" s="2">
        <f t="shared" si="80"/>
        <v>609800192</v>
      </c>
      <c r="F894" s="2">
        <f t="shared" si="81"/>
        <v>517110562816</v>
      </c>
      <c r="G894" s="2">
        <f t="shared" si="82"/>
        <v>2386.9504000000002</v>
      </c>
      <c r="H894" s="2">
        <f t="shared" si="83"/>
        <v>2024133.9391999999</v>
      </c>
    </row>
    <row r="895" spans="1:8" x14ac:dyDescent="0.35">
      <c r="A895" s="2">
        <v>848</v>
      </c>
      <c r="B895" s="2">
        <v>30752</v>
      </c>
      <c r="C895" s="2">
        <f t="shared" si="78"/>
        <v>3.0752000000000002</v>
      </c>
      <c r="D895" s="2">
        <f t="shared" si="79"/>
        <v>719104</v>
      </c>
      <c r="E895" s="2">
        <f t="shared" si="80"/>
        <v>609800192</v>
      </c>
      <c r="F895" s="2">
        <f t="shared" si="81"/>
        <v>517110562816</v>
      </c>
      <c r="G895" s="2">
        <f t="shared" si="82"/>
        <v>2607.7696000000001</v>
      </c>
      <c r="H895" s="2">
        <f t="shared" si="83"/>
        <v>2211388.6208000001</v>
      </c>
    </row>
    <row r="896" spans="1:8" x14ac:dyDescent="0.35">
      <c r="A896" s="2">
        <v>848</v>
      </c>
      <c r="B896" s="2">
        <v>28089</v>
      </c>
      <c r="C896" s="2">
        <f t="shared" si="78"/>
        <v>2.8089</v>
      </c>
      <c r="D896" s="2">
        <f t="shared" si="79"/>
        <v>719104</v>
      </c>
      <c r="E896" s="2">
        <f t="shared" si="80"/>
        <v>609800192</v>
      </c>
      <c r="F896" s="2">
        <f t="shared" si="81"/>
        <v>517110562816</v>
      </c>
      <c r="G896" s="2">
        <f t="shared" si="82"/>
        <v>2381.9472000000001</v>
      </c>
      <c r="H896" s="2">
        <f t="shared" si="83"/>
        <v>2019891.2256</v>
      </c>
    </row>
    <row r="897" spans="1:8" x14ac:dyDescent="0.35">
      <c r="A897" s="2">
        <v>2592</v>
      </c>
      <c r="B897" s="2">
        <v>23663</v>
      </c>
      <c r="C897" s="2">
        <f t="shared" si="78"/>
        <v>2.3662999999999998</v>
      </c>
      <c r="D897" s="2">
        <f t="shared" si="79"/>
        <v>6718464</v>
      </c>
      <c r="E897" s="2">
        <f t="shared" si="80"/>
        <v>17414258688</v>
      </c>
      <c r="F897" s="2">
        <f t="shared" si="81"/>
        <v>45137758519296</v>
      </c>
      <c r="G897" s="2">
        <f t="shared" si="82"/>
        <v>6133.4495999999999</v>
      </c>
      <c r="H897" s="2">
        <f t="shared" si="83"/>
        <v>15897901.3632</v>
      </c>
    </row>
    <row r="898" spans="1:8" x14ac:dyDescent="0.35">
      <c r="A898" s="2">
        <v>2592</v>
      </c>
      <c r="B898" s="2">
        <v>21215</v>
      </c>
      <c r="C898" s="2">
        <f t="shared" si="78"/>
        <v>2.1215000000000002</v>
      </c>
      <c r="D898" s="2">
        <f t="shared" si="79"/>
        <v>6718464</v>
      </c>
      <c r="E898" s="2">
        <f t="shared" si="80"/>
        <v>17414258688</v>
      </c>
      <c r="F898" s="2">
        <f t="shared" si="81"/>
        <v>45137758519296</v>
      </c>
      <c r="G898" s="2">
        <f t="shared" si="82"/>
        <v>5498.9280000000008</v>
      </c>
      <c r="H898" s="2">
        <f t="shared" si="83"/>
        <v>14253221.376000002</v>
      </c>
    </row>
    <row r="899" spans="1:8" x14ac:dyDescent="0.35">
      <c r="A899" s="2">
        <v>2592</v>
      </c>
      <c r="B899" s="2">
        <v>19201</v>
      </c>
      <c r="C899" s="2">
        <f t="shared" ref="C899:C962" si="84">B899/10000</f>
        <v>1.9200999999999999</v>
      </c>
      <c r="D899" s="2">
        <f t="shared" ref="D899:D962" si="85">A899^2</f>
        <v>6718464</v>
      </c>
      <c r="E899" s="2">
        <f t="shared" ref="E899:E962" si="86">A899^3</f>
        <v>17414258688</v>
      </c>
      <c r="F899" s="2">
        <f t="shared" ref="F899:F962" si="87">A899^4</f>
        <v>45137758519296</v>
      </c>
      <c r="G899" s="2">
        <f t="shared" ref="G899:G962" si="88">A899*C899</f>
        <v>4976.8991999999998</v>
      </c>
      <c r="H899" s="2">
        <f t="shared" ref="H899:H962" si="89">D899*C899</f>
        <v>12900122.726399999</v>
      </c>
    </row>
    <row r="900" spans="1:8" x14ac:dyDescent="0.35">
      <c r="A900" s="2">
        <v>2592</v>
      </c>
      <c r="B900" s="2">
        <v>24209</v>
      </c>
      <c r="C900" s="2">
        <f t="shared" si="84"/>
        <v>2.4209000000000001</v>
      </c>
      <c r="D900" s="2">
        <f t="shared" si="85"/>
        <v>6718464</v>
      </c>
      <c r="E900" s="2">
        <f t="shared" si="86"/>
        <v>17414258688</v>
      </c>
      <c r="F900" s="2">
        <f t="shared" si="87"/>
        <v>45137758519296</v>
      </c>
      <c r="G900" s="2">
        <f t="shared" si="88"/>
        <v>6274.9728000000005</v>
      </c>
      <c r="H900" s="2">
        <f t="shared" si="89"/>
        <v>16264729.4976</v>
      </c>
    </row>
    <row r="901" spans="1:8" x14ac:dyDescent="0.35">
      <c r="A901" s="2">
        <v>2592</v>
      </c>
      <c r="B901" s="2">
        <v>21860</v>
      </c>
      <c r="C901" s="2">
        <f t="shared" si="84"/>
        <v>2.1859999999999999</v>
      </c>
      <c r="D901" s="2">
        <f t="shared" si="85"/>
        <v>6718464</v>
      </c>
      <c r="E901" s="2">
        <f t="shared" si="86"/>
        <v>17414258688</v>
      </c>
      <c r="F901" s="2">
        <f t="shared" si="87"/>
        <v>45137758519296</v>
      </c>
      <c r="G901" s="2">
        <f t="shared" si="88"/>
        <v>5666.1120000000001</v>
      </c>
      <c r="H901" s="2">
        <f t="shared" si="89"/>
        <v>14686562.304</v>
      </c>
    </row>
    <row r="902" spans="1:8" x14ac:dyDescent="0.35">
      <c r="A902" s="2">
        <v>2592</v>
      </c>
      <c r="B902" s="2">
        <v>23537</v>
      </c>
      <c r="C902" s="2">
        <f t="shared" si="84"/>
        <v>2.3536999999999999</v>
      </c>
      <c r="D902" s="2">
        <f t="shared" si="85"/>
        <v>6718464</v>
      </c>
      <c r="E902" s="2">
        <f t="shared" si="86"/>
        <v>17414258688</v>
      </c>
      <c r="F902" s="2">
        <f t="shared" si="87"/>
        <v>45137758519296</v>
      </c>
      <c r="G902" s="2">
        <f t="shared" si="88"/>
        <v>6100.7903999999999</v>
      </c>
      <c r="H902" s="2">
        <f t="shared" si="89"/>
        <v>15813248.716799999</v>
      </c>
    </row>
    <row r="903" spans="1:8" x14ac:dyDescent="0.35">
      <c r="A903" s="2">
        <v>2592</v>
      </c>
      <c r="B903" s="2">
        <v>21530</v>
      </c>
      <c r="C903" s="2">
        <f t="shared" si="84"/>
        <v>2.153</v>
      </c>
      <c r="D903" s="2">
        <f t="shared" si="85"/>
        <v>6718464</v>
      </c>
      <c r="E903" s="2">
        <f t="shared" si="86"/>
        <v>17414258688</v>
      </c>
      <c r="F903" s="2">
        <f t="shared" si="87"/>
        <v>45137758519296</v>
      </c>
      <c r="G903" s="2">
        <f t="shared" si="88"/>
        <v>5580.576</v>
      </c>
      <c r="H903" s="2">
        <f t="shared" si="89"/>
        <v>14464852.992000001</v>
      </c>
    </row>
    <row r="904" spans="1:8" x14ac:dyDescent="0.35">
      <c r="A904" s="2">
        <v>2592</v>
      </c>
      <c r="B904" s="2">
        <v>23559</v>
      </c>
      <c r="C904" s="2">
        <f t="shared" si="84"/>
        <v>2.3559000000000001</v>
      </c>
      <c r="D904" s="2">
        <f t="shared" si="85"/>
        <v>6718464</v>
      </c>
      <c r="E904" s="2">
        <f t="shared" si="86"/>
        <v>17414258688</v>
      </c>
      <c r="F904" s="2">
        <f t="shared" si="87"/>
        <v>45137758519296</v>
      </c>
      <c r="G904" s="2">
        <f t="shared" si="88"/>
        <v>6106.4928</v>
      </c>
      <c r="H904" s="2">
        <f t="shared" si="89"/>
        <v>15828029.3376</v>
      </c>
    </row>
    <row r="905" spans="1:8" x14ac:dyDescent="0.35">
      <c r="A905" s="2">
        <v>2592</v>
      </c>
      <c r="B905" s="2">
        <v>22910</v>
      </c>
      <c r="C905" s="2">
        <f t="shared" si="84"/>
        <v>2.2909999999999999</v>
      </c>
      <c r="D905" s="2">
        <f t="shared" si="85"/>
        <v>6718464</v>
      </c>
      <c r="E905" s="2">
        <f t="shared" si="86"/>
        <v>17414258688</v>
      </c>
      <c r="F905" s="2">
        <f t="shared" si="87"/>
        <v>45137758519296</v>
      </c>
      <c r="G905" s="2">
        <f t="shared" si="88"/>
        <v>5938.2719999999999</v>
      </c>
      <c r="H905" s="2">
        <f t="shared" si="89"/>
        <v>15392001.024</v>
      </c>
    </row>
    <row r="906" spans="1:8" x14ac:dyDescent="0.35">
      <c r="A906" s="2">
        <v>2592</v>
      </c>
      <c r="B906" s="2">
        <v>26559</v>
      </c>
      <c r="C906" s="2">
        <f t="shared" si="84"/>
        <v>2.6558999999999999</v>
      </c>
      <c r="D906" s="2">
        <f t="shared" si="85"/>
        <v>6718464</v>
      </c>
      <c r="E906" s="2">
        <f t="shared" si="86"/>
        <v>17414258688</v>
      </c>
      <c r="F906" s="2">
        <f t="shared" si="87"/>
        <v>45137758519296</v>
      </c>
      <c r="G906" s="2">
        <f t="shared" si="88"/>
        <v>6884.0927999999994</v>
      </c>
      <c r="H906" s="2">
        <f t="shared" si="89"/>
        <v>17843568.537599999</v>
      </c>
    </row>
    <row r="907" spans="1:8" x14ac:dyDescent="0.35">
      <c r="A907" s="2">
        <v>2592</v>
      </c>
      <c r="B907" s="2">
        <v>20652</v>
      </c>
      <c r="C907" s="2">
        <f t="shared" si="84"/>
        <v>2.0651999999999999</v>
      </c>
      <c r="D907" s="2">
        <f t="shared" si="85"/>
        <v>6718464</v>
      </c>
      <c r="E907" s="2">
        <f t="shared" si="86"/>
        <v>17414258688</v>
      </c>
      <c r="F907" s="2">
        <f t="shared" si="87"/>
        <v>45137758519296</v>
      </c>
      <c r="G907" s="2">
        <f t="shared" si="88"/>
        <v>5352.9983999999995</v>
      </c>
      <c r="H907" s="2">
        <f t="shared" si="89"/>
        <v>13874971.852799999</v>
      </c>
    </row>
    <row r="908" spans="1:8" x14ac:dyDescent="0.35">
      <c r="A908" s="2">
        <v>2592</v>
      </c>
      <c r="B908" s="2">
        <v>21731</v>
      </c>
      <c r="C908" s="2">
        <f t="shared" si="84"/>
        <v>2.1730999999999998</v>
      </c>
      <c r="D908" s="2">
        <f t="shared" si="85"/>
        <v>6718464</v>
      </c>
      <c r="E908" s="2">
        <f t="shared" si="86"/>
        <v>17414258688</v>
      </c>
      <c r="F908" s="2">
        <f t="shared" si="87"/>
        <v>45137758519296</v>
      </c>
      <c r="G908" s="2">
        <f t="shared" si="88"/>
        <v>5632.6751999999997</v>
      </c>
      <c r="H908" s="2">
        <f t="shared" si="89"/>
        <v>14599894.118399998</v>
      </c>
    </row>
    <row r="909" spans="1:8" x14ac:dyDescent="0.35">
      <c r="A909" s="2">
        <v>2592</v>
      </c>
      <c r="B909" s="2">
        <v>6365</v>
      </c>
      <c r="C909" s="2">
        <f t="shared" si="84"/>
        <v>0.63649999999999995</v>
      </c>
      <c r="D909" s="2">
        <f t="shared" si="85"/>
        <v>6718464</v>
      </c>
      <c r="E909" s="2">
        <f t="shared" si="86"/>
        <v>17414258688</v>
      </c>
      <c r="F909" s="2">
        <f t="shared" si="87"/>
        <v>45137758519296</v>
      </c>
      <c r="G909" s="2">
        <f t="shared" si="88"/>
        <v>1649.808</v>
      </c>
      <c r="H909" s="2">
        <f t="shared" si="89"/>
        <v>4276302.3360000001</v>
      </c>
    </row>
    <row r="910" spans="1:8" x14ac:dyDescent="0.35">
      <c r="A910" s="2">
        <v>2592</v>
      </c>
      <c r="B910" s="2">
        <v>27633</v>
      </c>
      <c r="C910" s="2">
        <f t="shared" si="84"/>
        <v>2.7633000000000001</v>
      </c>
      <c r="D910" s="2">
        <f t="shared" si="85"/>
        <v>6718464</v>
      </c>
      <c r="E910" s="2">
        <f t="shared" si="86"/>
        <v>17414258688</v>
      </c>
      <c r="F910" s="2">
        <f t="shared" si="87"/>
        <v>45137758519296</v>
      </c>
      <c r="G910" s="2">
        <f t="shared" si="88"/>
        <v>7162.4736000000003</v>
      </c>
      <c r="H910" s="2">
        <f t="shared" si="89"/>
        <v>18565131.571200002</v>
      </c>
    </row>
    <row r="911" spans="1:8" x14ac:dyDescent="0.35">
      <c r="A911" s="2">
        <v>2592</v>
      </c>
      <c r="B911" s="2">
        <v>24976</v>
      </c>
      <c r="C911" s="2">
        <f t="shared" si="84"/>
        <v>2.4975999999999998</v>
      </c>
      <c r="D911" s="2">
        <f t="shared" si="85"/>
        <v>6718464</v>
      </c>
      <c r="E911" s="2">
        <f t="shared" si="86"/>
        <v>17414258688</v>
      </c>
      <c r="F911" s="2">
        <f t="shared" si="87"/>
        <v>45137758519296</v>
      </c>
      <c r="G911" s="2">
        <f t="shared" si="88"/>
        <v>6473.7791999999999</v>
      </c>
      <c r="H911" s="2">
        <f t="shared" si="89"/>
        <v>16780035.6864</v>
      </c>
    </row>
    <row r="912" spans="1:8" x14ac:dyDescent="0.35">
      <c r="A912" s="2">
        <v>2592</v>
      </c>
      <c r="B912" s="2">
        <v>24353</v>
      </c>
      <c r="C912" s="2">
        <f t="shared" si="84"/>
        <v>2.4352999999999998</v>
      </c>
      <c r="D912" s="2">
        <f t="shared" si="85"/>
        <v>6718464</v>
      </c>
      <c r="E912" s="2">
        <f t="shared" si="86"/>
        <v>17414258688</v>
      </c>
      <c r="F912" s="2">
        <f t="shared" si="87"/>
        <v>45137758519296</v>
      </c>
      <c r="G912" s="2">
        <f t="shared" si="88"/>
        <v>6312.2975999999999</v>
      </c>
      <c r="H912" s="2">
        <f t="shared" si="89"/>
        <v>16361475.379199998</v>
      </c>
    </row>
    <row r="913" spans="1:8" x14ac:dyDescent="0.35">
      <c r="A913" s="2">
        <v>2592</v>
      </c>
      <c r="B913" s="2">
        <v>24249</v>
      </c>
      <c r="C913" s="2">
        <f t="shared" si="84"/>
        <v>2.4249000000000001</v>
      </c>
      <c r="D913" s="2">
        <f t="shared" si="85"/>
        <v>6718464</v>
      </c>
      <c r="E913" s="2">
        <f t="shared" si="86"/>
        <v>17414258688</v>
      </c>
      <c r="F913" s="2">
        <f t="shared" si="87"/>
        <v>45137758519296</v>
      </c>
      <c r="G913" s="2">
        <f t="shared" si="88"/>
        <v>6285.3407999999999</v>
      </c>
      <c r="H913" s="2">
        <f t="shared" si="89"/>
        <v>16291603.353600001</v>
      </c>
    </row>
    <row r="914" spans="1:8" x14ac:dyDescent="0.35">
      <c r="A914" s="2">
        <v>2592</v>
      </c>
      <c r="B914" s="2">
        <v>23538</v>
      </c>
      <c r="C914" s="2">
        <f t="shared" si="84"/>
        <v>2.3538000000000001</v>
      </c>
      <c r="D914" s="2">
        <f t="shared" si="85"/>
        <v>6718464</v>
      </c>
      <c r="E914" s="2">
        <f t="shared" si="86"/>
        <v>17414258688</v>
      </c>
      <c r="F914" s="2">
        <f t="shared" si="87"/>
        <v>45137758519296</v>
      </c>
      <c r="G914" s="2">
        <f t="shared" si="88"/>
        <v>6101.0496000000003</v>
      </c>
      <c r="H914" s="2">
        <f t="shared" si="89"/>
        <v>15813920.563200001</v>
      </c>
    </row>
    <row r="915" spans="1:8" x14ac:dyDescent="0.35">
      <c r="A915" s="2">
        <v>2592</v>
      </c>
      <c r="B915" s="2">
        <v>23733</v>
      </c>
      <c r="C915" s="2">
        <f t="shared" si="84"/>
        <v>2.3733</v>
      </c>
      <c r="D915" s="2">
        <f t="shared" si="85"/>
        <v>6718464</v>
      </c>
      <c r="E915" s="2">
        <f t="shared" si="86"/>
        <v>17414258688</v>
      </c>
      <c r="F915" s="2">
        <f t="shared" si="87"/>
        <v>45137758519296</v>
      </c>
      <c r="G915" s="2">
        <f t="shared" si="88"/>
        <v>6151.5936000000002</v>
      </c>
      <c r="H915" s="2">
        <f t="shared" si="89"/>
        <v>15944930.611199999</v>
      </c>
    </row>
    <row r="916" spans="1:8" x14ac:dyDescent="0.35">
      <c r="A916" s="2">
        <v>2592</v>
      </c>
      <c r="B916" s="2">
        <v>23149</v>
      </c>
      <c r="C916" s="2">
        <f t="shared" si="84"/>
        <v>2.3149000000000002</v>
      </c>
      <c r="D916" s="2">
        <f t="shared" si="85"/>
        <v>6718464</v>
      </c>
      <c r="E916" s="2">
        <f t="shared" si="86"/>
        <v>17414258688</v>
      </c>
      <c r="F916" s="2">
        <f t="shared" si="87"/>
        <v>45137758519296</v>
      </c>
      <c r="G916" s="2">
        <f t="shared" si="88"/>
        <v>6000.2208000000001</v>
      </c>
      <c r="H916" s="2">
        <f t="shared" si="89"/>
        <v>15552572.313600002</v>
      </c>
    </row>
    <row r="917" spans="1:8" x14ac:dyDescent="0.35">
      <c r="A917" s="2">
        <v>2592</v>
      </c>
      <c r="B917" s="2">
        <v>26735</v>
      </c>
      <c r="C917" s="2">
        <f t="shared" si="84"/>
        <v>2.6735000000000002</v>
      </c>
      <c r="D917" s="2">
        <f t="shared" si="85"/>
        <v>6718464</v>
      </c>
      <c r="E917" s="2">
        <f t="shared" si="86"/>
        <v>17414258688</v>
      </c>
      <c r="F917" s="2">
        <f t="shared" si="87"/>
        <v>45137758519296</v>
      </c>
      <c r="G917" s="2">
        <f t="shared" si="88"/>
        <v>6929.7120000000004</v>
      </c>
      <c r="H917" s="2">
        <f t="shared" si="89"/>
        <v>17961813.504000001</v>
      </c>
    </row>
    <row r="918" spans="1:8" x14ac:dyDescent="0.35">
      <c r="A918" s="2">
        <v>2592</v>
      </c>
      <c r="B918" s="2">
        <v>22838</v>
      </c>
      <c r="C918" s="2">
        <f t="shared" si="84"/>
        <v>2.2837999999999998</v>
      </c>
      <c r="D918" s="2">
        <f t="shared" si="85"/>
        <v>6718464</v>
      </c>
      <c r="E918" s="2">
        <f t="shared" si="86"/>
        <v>17414258688</v>
      </c>
      <c r="F918" s="2">
        <f t="shared" si="87"/>
        <v>45137758519296</v>
      </c>
      <c r="G918" s="2">
        <f t="shared" si="88"/>
        <v>5919.6095999999998</v>
      </c>
      <c r="H918" s="2">
        <f t="shared" si="89"/>
        <v>15343628.083199998</v>
      </c>
    </row>
    <row r="919" spans="1:8" x14ac:dyDescent="0.35">
      <c r="A919" s="2">
        <v>2592</v>
      </c>
      <c r="B919" s="2">
        <v>28705</v>
      </c>
      <c r="C919" s="2">
        <f t="shared" si="84"/>
        <v>2.8704999999999998</v>
      </c>
      <c r="D919" s="2">
        <f t="shared" si="85"/>
        <v>6718464</v>
      </c>
      <c r="E919" s="2">
        <f t="shared" si="86"/>
        <v>17414258688</v>
      </c>
      <c r="F919" s="2">
        <f t="shared" si="87"/>
        <v>45137758519296</v>
      </c>
      <c r="G919" s="2">
        <f t="shared" si="88"/>
        <v>7440.3359999999993</v>
      </c>
      <c r="H919" s="2">
        <f t="shared" si="89"/>
        <v>19285350.912</v>
      </c>
    </row>
    <row r="920" spans="1:8" x14ac:dyDescent="0.35">
      <c r="A920" s="2">
        <v>2592</v>
      </c>
      <c r="B920" s="2">
        <v>30173</v>
      </c>
      <c r="C920" s="2">
        <f t="shared" si="84"/>
        <v>3.0173000000000001</v>
      </c>
      <c r="D920" s="2">
        <f t="shared" si="85"/>
        <v>6718464</v>
      </c>
      <c r="E920" s="2">
        <f t="shared" si="86"/>
        <v>17414258688</v>
      </c>
      <c r="F920" s="2">
        <f t="shared" si="87"/>
        <v>45137758519296</v>
      </c>
      <c r="G920" s="2">
        <f t="shared" si="88"/>
        <v>7820.8416000000007</v>
      </c>
      <c r="H920" s="2">
        <f t="shared" si="89"/>
        <v>20271621.427200001</v>
      </c>
    </row>
    <row r="921" spans="1:8" x14ac:dyDescent="0.35">
      <c r="A921" s="2">
        <v>2592</v>
      </c>
      <c r="B921" s="2">
        <v>28519</v>
      </c>
      <c r="C921" s="2">
        <f t="shared" si="84"/>
        <v>2.8519000000000001</v>
      </c>
      <c r="D921" s="2">
        <f t="shared" si="85"/>
        <v>6718464</v>
      </c>
      <c r="E921" s="2">
        <f t="shared" si="86"/>
        <v>17414258688</v>
      </c>
      <c r="F921" s="2">
        <f t="shared" si="87"/>
        <v>45137758519296</v>
      </c>
      <c r="G921" s="2">
        <f t="shared" si="88"/>
        <v>7392.1248000000005</v>
      </c>
      <c r="H921" s="2">
        <f t="shared" si="89"/>
        <v>19160387.481600001</v>
      </c>
    </row>
    <row r="922" spans="1:8" x14ac:dyDescent="0.35">
      <c r="A922" s="2">
        <v>2592</v>
      </c>
      <c r="B922" s="2">
        <v>24412</v>
      </c>
      <c r="C922" s="2">
        <f t="shared" si="84"/>
        <v>2.4411999999999998</v>
      </c>
      <c r="D922" s="2">
        <f t="shared" si="85"/>
        <v>6718464</v>
      </c>
      <c r="E922" s="2">
        <f t="shared" si="86"/>
        <v>17414258688</v>
      </c>
      <c r="F922" s="2">
        <f t="shared" si="87"/>
        <v>45137758519296</v>
      </c>
      <c r="G922" s="2">
        <f t="shared" si="88"/>
        <v>6327.5903999999991</v>
      </c>
      <c r="H922" s="2">
        <f t="shared" si="89"/>
        <v>16401114.316799998</v>
      </c>
    </row>
    <row r="923" spans="1:8" x14ac:dyDescent="0.35">
      <c r="A923" s="2">
        <v>2592</v>
      </c>
      <c r="B923" s="2">
        <v>31967</v>
      </c>
      <c r="C923" s="2">
        <f t="shared" si="84"/>
        <v>3.1966999999999999</v>
      </c>
      <c r="D923" s="2">
        <f t="shared" si="85"/>
        <v>6718464</v>
      </c>
      <c r="E923" s="2">
        <f t="shared" si="86"/>
        <v>17414258688</v>
      </c>
      <c r="F923" s="2">
        <f t="shared" si="87"/>
        <v>45137758519296</v>
      </c>
      <c r="G923" s="2">
        <f t="shared" si="88"/>
        <v>8285.8464000000004</v>
      </c>
      <c r="H923" s="2">
        <f t="shared" si="89"/>
        <v>21476913.868799999</v>
      </c>
    </row>
    <row r="924" spans="1:8" x14ac:dyDescent="0.35">
      <c r="A924" s="2">
        <v>2592</v>
      </c>
      <c r="B924" s="2">
        <v>54802</v>
      </c>
      <c r="C924" s="2">
        <f t="shared" si="84"/>
        <v>5.4802</v>
      </c>
      <c r="D924" s="2">
        <f t="shared" si="85"/>
        <v>6718464</v>
      </c>
      <c r="E924" s="2">
        <f t="shared" si="86"/>
        <v>17414258688</v>
      </c>
      <c r="F924" s="2">
        <f t="shared" si="87"/>
        <v>45137758519296</v>
      </c>
      <c r="G924" s="2">
        <f t="shared" si="88"/>
        <v>14204.678400000001</v>
      </c>
      <c r="H924" s="2">
        <f t="shared" si="89"/>
        <v>36818526.412799999</v>
      </c>
    </row>
    <row r="925" spans="1:8" x14ac:dyDescent="0.35">
      <c r="A925" s="2">
        <v>2592</v>
      </c>
      <c r="B925" s="2">
        <v>47345</v>
      </c>
      <c r="C925" s="2">
        <f t="shared" si="84"/>
        <v>4.7344999999999997</v>
      </c>
      <c r="D925" s="2">
        <f t="shared" si="85"/>
        <v>6718464</v>
      </c>
      <c r="E925" s="2">
        <f t="shared" si="86"/>
        <v>17414258688</v>
      </c>
      <c r="F925" s="2">
        <f t="shared" si="87"/>
        <v>45137758519296</v>
      </c>
      <c r="G925" s="2">
        <f t="shared" si="88"/>
        <v>12271.823999999999</v>
      </c>
      <c r="H925" s="2">
        <f t="shared" si="89"/>
        <v>31808567.807999998</v>
      </c>
    </row>
    <row r="926" spans="1:8" x14ac:dyDescent="0.35">
      <c r="A926" s="2">
        <v>2592</v>
      </c>
      <c r="B926" s="2">
        <v>35450</v>
      </c>
      <c r="C926" s="2">
        <f t="shared" si="84"/>
        <v>3.5449999999999999</v>
      </c>
      <c r="D926" s="2">
        <f t="shared" si="85"/>
        <v>6718464</v>
      </c>
      <c r="E926" s="2">
        <f t="shared" si="86"/>
        <v>17414258688</v>
      </c>
      <c r="F926" s="2">
        <f t="shared" si="87"/>
        <v>45137758519296</v>
      </c>
      <c r="G926" s="2">
        <f t="shared" si="88"/>
        <v>9188.64</v>
      </c>
      <c r="H926" s="2">
        <f t="shared" si="89"/>
        <v>23816954.879999999</v>
      </c>
    </row>
    <row r="927" spans="1:8" x14ac:dyDescent="0.35">
      <c r="A927" s="2">
        <v>867</v>
      </c>
      <c r="B927" s="2">
        <v>54964</v>
      </c>
      <c r="C927" s="2">
        <f t="shared" si="84"/>
        <v>5.4964000000000004</v>
      </c>
      <c r="D927" s="2">
        <f t="shared" si="85"/>
        <v>751689</v>
      </c>
      <c r="E927" s="2">
        <f t="shared" si="86"/>
        <v>651714363</v>
      </c>
      <c r="F927" s="2">
        <f t="shared" si="87"/>
        <v>565036352721</v>
      </c>
      <c r="G927" s="2">
        <f t="shared" si="88"/>
        <v>4765.3788000000004</v>
      </c>
      <c r="H927" s="2">
        <f t="shared" si="89"/>
        <v>4131583.4196000001</v>
      </c>
    </row>
    <row r="928" spans="1:8" x14ac:dyDescent="0.35">
      <c r="A928" s="2">
        <v>867</v>
      </c>
      <c r="B928" s="2">
        <v>51299</v>
      </c>
      <c r="C928" s="2">
        <f t="shared" si="84"/>
        <v>5.1299000000000001</v>
      </c>
      <c r="D928" s="2">
        <f t="shared" si="85"/>
        <v>751689</v>
      </c>
      <c r="E928" s="2">
        <f t="shared" si="86"/>
        <v>651714363</v>
      </c>
      <c r="F928" s="2">
        <f t="shared" si="87"/>
        <v>565036352721</v>
      </c>
      <c r="G928" s="2">
        <f t="shared" si="88"/>
        <v>4447.6233000000002</v>
      </c>
      <c r="H928" s="2">
        <f t="shared" si="89"/>
        <v>3856089.4010999999</v>
      </c>
    </row>
    <row r="929" spans="1:8" x14ac:dyDescent="0.35">
      <c r="A929" s="2">
        <v>867</v>
      </c>
      <c r="B929" s="2">
        <v>49782</v>
      </c>
      <c r="C929" s="2">
        <f t="shared" si="84"/>
        <v>4.9782000000000002</v>
      </c>
      <c r="D929" s="2">
        <f t="shared" si="85"/>
        <v>751689</v>
      </c>
      <c r="E929" s="2">
        <f t="shared" si="86"/>
        <v>651714363</v>
      </c>
      <c r="F929" s="2">
        <f t="shared" si="87"/>
        <v>565036352721</v>
      </c>
      <c r="G929" s="2">
        <f t="shared" si="88"/>
        <v>4316.0994000000001</v>
      </c>
      <c r="H929" s="2">
        <f t="shared" si="89"/>
        <v>3742058.1798</v>
      </c>
    </row>
    <row r="930" spans="1:8" x14ac:dyDescent="0.35">
      <c r="A930" s="2">
        <v>867</v>
      </c>
      <c r="B930" s="2">
        <v>60368</v>
      </c>
      <c r="C930" s="2">
        <f t="shared" si="84"/>
        <v>6.0368000000000004</v>
      </c>
      <c r="D930" s="2">
        <f t="shared" si="85"/>
        <v>751689</v>
      </c>
      <c r="E930" s="2">
        <f t="shared" si="86"/>
        <v>651714363</v>
      </c>
      <c r="F930" s="2">
        <f t="shared" si="87"/>
        <v>565036352721</v>
      </c>
      <c r="G930" s="2">
        <f t="shared" si="88"/>
        <v>5233.9056</v>
      </c>
      <c r="H930" s="2">
        <f t="shared" si="89"/>
        <v>4537796.1551999999</v>
      </c>
    </row>
    <row r="931" spans="1:8" x14ac:dyDescent="0.35">
      <c r="A931" s="2">
        <v>867</v>
      </c>
      <c r="B931" s="2">
        <v>59461</v>
      </c>
      <c r="C931" s="2">
        <f t="shared" si="84"/>
        <v>5.9461000000000004</v>
      </c>
      <c r="D931" s="2">
        <f t="shared" si="85"/>
        <v>751689</v>
      </c>
      <c r="E931" s="2">
        <f t="shared" si="86"/>
        <v>651714363</v>
      </c>
      <c r="F931" s="2">
        <f t="shared" si="87"/>
        <v>565036352721</v>
      </c>
      <c r="G931" s="2">
        <f t="shared" si="88"/>
        <v>5155.2687000000005</v>
      </c>
      <c r="H931" s="2">
        <f t="shared" si="89"/>
        <v>4469617.9629000006</v>
      </c>
    </row>
    <row r="932" spans="1:8" x14ac:dyDescent="0.35">
      <c r="A932" s="2">
        <v>867</v>
      </c>
      <c r="B932" s="2">
        <v>53273</v>
      </c>
      <c r="C932" s="2">
        <f t="shared" si="84"/>
        <v>5.3273000000000001</v>
      </c>
      <c r="D932" s="2">
        <f t="shared" si="85"/>
        <v>751689</v>
      </c>
      <c r="E932" s="2">
        <f t="shared" si="86"/>
        <v>651714363</v>
      </c>
      <c r="F932" s="2">
        <f t="shared" si="87"/>
        <v>565036352721</v>
      </c>
      <c r="G932" s="2">
        <f t="shared" si="88"/>
        <v>4618.7691000000004</v>
      </c>
      <c r="H932" s="2">
        <f t="shared" si="89"/>
        <v>4004472.8097000001</v>
      </c>
    </row>
    <row r="933" spans="1:8" x14ac:dyDescent="0.35">
      <c r="A933" s="2">
        <v>867</v>
      </c>
      <c r="B933" s="2">
        <v>52448</v>
      </c>
      <c r="C933" s="2">
        <f t="shared" si="84"/>
        <v>5.2447999999999997</v>
      </c>
      <c r="D933" s="2">
        <f t="shared" si="85"/>
        <v>751689</v>
      </c>
      <c r="E933" s="2">
        <f t="shared" si="86"/>
        <v>651714363</v>
      </c>
      <c r="F933" s="2">
        <f t="shared" si="87"/>
        <v>565036352721</v>
      </c>
      <c r="G933" s="2">
        <f t="shared" si="88"/>
        <v>4547.2415999999994</v>
      </c>
      <c r="H933" s="2">
        <f t="shared" si="89"/>
        <v>3942458.4671999998</v>
      </c>
    </row>
    <row r="934" spans="1:8" x14ac:dyDescent="0.35">
      <c r="A934" s="2">
        <v>867</v>
      </c>
      <c r="B934" s="2">
        <v>49628</v>
      </c>
      <c r="C934" s="2">
        <f t="shared" si="84"/>
        <v>4.9627999999999997</v>
      </c>
      <c r="D934" s="2">
        <f t="shared" si="85"/>
        <v>751689</v>
      </c>
      <c r="E934" s="2">
        <f t="shared" si="86"/>
        <v>651714363</v>
      </c>
      <c r="F934" s="2">
        <f t="shared" si="87"/>
        <v>565036352721</v>
      </c>
      <c r="G934" s="2">
        <f t="shared" si="88"/>
        <v>4302.7475999999997</v>
      </c>
      <c r="H934" s="2">
        <f t="shared" si="89"/>
        <v>3730482.1691999999</v>
      </c>
    </row>
    <row r="935" spans="1:8" x14ac:dyDescent="0.35">
      <c r="A935" s="2">
        <v>867</v>
      </c>
      <c r="B935" s="2">
        <v>45700</v>
      </c>
      <c r="C935" s="2">
        <f t="shared" si="84"/>
        <v>4.57</v>
      </c>
      <c r="D935" s="2">
        <f t="shared" si="85"/>
        <v>751689</v>
      </c>
      <c r="E935" s="2">
        <f t="shared" si="86"/>
        <v>651714363</v>
      </c>
      <c r="F935" s="2">
        <f t="shared" si="87"/>
        <v>565036352721</v>
      </c>
      <c r="G935" s="2">
        <f t="shared" si="88"/>
        <v>3962.19</v>
      </c>
      <c r="H935" s="2">
        <f t="shared" si="89"/>
        <v>3435218.73</v>
      </c>
    </row>
    <row r="936" spans="1:8" x14ac:dyDescent="0.35">
      <c r="A936" s="2">
        <v>867</v>
      </c>
      <c r="B936" s="2">
        <v>48627</v>
      </c>
      <c r="C936" s="2">
        <f t="shared" si="84"/>
        <v>4.8627000000000002</v>
      </c>
      <c r="D936" s="2">
        <f t="shared" si="85"/>
        <v>751689</v>
      </c>
      <c r="E936" s="2">
        <f t="shared" si="86"/>
        <v>651714363</v>
      </c>
      <c r="F936" s="2">
        <f t="shared" si="87"/>
        <v>565036352721</v>
      </c>
      <c r="G936" s="2">
        <f t="shared" si="88"/>
        <v>4215.9609</v>
      </c>
      <c r="H936" s="2">
        <f t="shared" si="89"/>
        <v>3655238.1003</v>
      </c>
    </row>
    <row r="937" spans="1:8" x14ac:dyDescent="0.35">
      <c r="A937" s="2">
        <v>867</v>
      </c>
      <c r="B937" s="2">
        <v>52455</v>
      </c>
      <c r="C937" s="2">
        <f t="shared" si="84"/>
        <v>5.2454999999999998</v>
      </c>
      <c r="D937" s="2">
        <f t="shared" si="85"/>
        <v>751689</v>
      </c>
      <c r="E937" s="2">
        <f t="shared" si="86"/>
        <v>651714363</v>
      </c>
      <c r="F937" s="2">
        <f t="shared" si="87"/>
        <v>565036352721</v>
      </c>
      <c r="G937" s="2">
        <f t="shared" si="88"/>
        <v>4547.8485000000001</v>
      </c>
      <c r="H937" s="2">
        <f t="shared" si="89"/>
        <v>3942984.6494999998</v>
      </c>
    </row>
    <row r="938" spans="1:8" x14ac:dyDescent="0.35">
      <c r="A938" s="2">
        <v>867</v>
      </c>
      <c r="B938" s="2">
        <v>58919</v>
      </c>
      <c r="C938" s="2">
        <f t="shared" si="84"/>
        <v>5.8918999999999997</v>
      </c>
      <c r="D938" s="2">
        <f t="shared" si="85"/>
        <v>751689</v>
      </c>
      <c r="E938" s="2">
        <f t="shared" si="86"/>
        <v>651714363</v>
      </c>
      <c r="F938" s="2">
        <f t="shared" si="87"/>
        <v>565036352721</v>
      </c>
      <c r="G938" s="2">
        <f t="shared" si="88"/>
        <v>5108.2772999999997</v>
      </c>
      <c r="H938" s="2">
        <f t="shared" si="89"/>
        <v>4428876.4190999996</v>
      </c>
    </row>
    <row r="939" spans="1:8" x14ac:dyDescent="0.35">
      <c r="A939" s="2">
        <v>867</v>
      </c>
      <c r="B939" s="2">
        <v>58281</v>
      </c>
      <c r="C939" s="2">
        <f t="shared" si="84"/>
        <v>5.8281000000000001</v>
      </c>
      <c r="D939" s="2">
        <f t="shared" si="85"/>
        <v>751689</v>
      </c>
      <c r="E939" s="2">
        <f t="shared" si="86"/>
        <v>651714363</v>
      </c>
      <c r="F939" s="2">
        <f t="shared" si="87"/>
        <v>565036352721</v>
      </c>
      <c r="G939" s="2">
        <f t="shared" si="88"/>
        <v>5052.9627</v>
      </c>
      <c r="H939" s="2">
        <f t="shared" si="89"/>
        <v>4380918.6609000005</v>
      </c>
    </row>
    <row r="940" spans="1:8" x14ac:dyDescent="0.35">
      <c r="A940" s="2">
        <v>867</v>
      </c>
      <c r="B940" s="2">
        <v>60915</v>
      </c>
      <c r="C940" s="2">
        <f t="shared" si="84"/>
        <v>6.0914999999999999</v>
      </c>
      <c r="D940" s="2">
        <f t="shared" si="85"/>
        <v>751689</v>
      </c>
      <c r="E940" s="2">
        <f t="shared" si="86"/>
        <v>651714363</v>
      </c>
      <c r="F940" s="2">
        <f t="shared" si="87"/>
        <v>565036352721</v>
      </c>
      <c r="G940" s="2">
        <f t="shared" si="88"/>
        <v>5281.3305</v>
      </c>
      <c r="H940" s="2">
        <f t="shared" si="89"/>
        <v>4578913.5434999997</v>
      </c>
    </row>
    <row r="941" spans="1:8" x14ac:dyDescent="0.35">
      <c r="A941" s="2">
        <v>867</v>
      </c>
      <c r="B941" s="2">
        <v>58358</v>
      </c>
      <c r="C941" s="2">
        <f t="shared" si="84"/>
        <v>5.8357999999999999</v>
      </c>
      <c r="D941" s="2">
        <f t="shared" si="85"/>
        <v>751689</v>
      </c>
      <c r="E941" s="2">
        <f t="shared" si="86"/>
        <v>651714363</v>
      </c>
      <c r="F941" s="2">
        <f t="shared" si="87"/>
        <v>565036352721</v>
      </c>
      <c r="G941" s="2">
        <f t="shared" si="88"/>
        <v>5059.6386000000002</v>
      </c>
      <c r="H941" s="2">
        <f t="shared" si="89"/>
        <v>4386706.6661999999</v>
      </c>
    </row>
    <row r="942" spans="1:8" x14ac:dyDescent="0.35">
      <c r="A942" s="2">
        <v>867</v>
      </c>
      <c r="B942" s="2">
        <v>53603</v>
      </c>
      <c r="C942" s="2">
        <f t="shared" si="84"/>
        <v>5.3602999999999996</v>
      </c>
      <c r="D942" s="2">
        <f t="shared" si="85"/>
        <v>751689</v>
      </c>
      <c r="E942" s="2">
        <f t="shared" si="86"/>
        <v>651714363</v>
      </c>
      <c r="F942" s="2">
        <f t="shared" si="87"/>
        <v>565036352721</v>
      </c>
      <c r="G942" s="2">
        <f t="shared" si="88"/>
        <v>4647.3800999999994</v>
      </c>
      <c r="H942" s="2">
        <f t="shared" si="89"/>
        <v>4029278.5466999998</v>
      </c>
    </row>
    <row r="943" spans="1:8" x14ac:dyDescent="0.35">
      <c r="A943" s="2">
        <v>867</v>
      </c>
      <c r="B943" s="2">
        <v>56910</v>
      </c>
      <c r="C943" s="2">
        <f t="shared" si="84"/>
        <v>5.6909999999999998</v>
      </c>
      <c r="D943" s="2">
        <f t="shared" si="85"/>
        <v>751689</v>
      </c>
      <c r="E943" s="2">
        <f t="shared" si="86"/>
        <v>651714363</v>
      </c>
      <c r="F943" s="2">
        <f t="shared" si="87"/>
        <v>565036352721</v>
      </c>
      <c r="G943" s="2">
        <f t="shared" si="88"/>
        <v>4934.0969999999998</v>
      </c>
      <c r="H943" s="2">
        <f t="shared" si="89"/>
        <v>4277862.0989999995</v>
      </c>
    </row>
    <row r="944" spans="1:8" x14ac:dyDescent="0.35">
      <c r="A944" s="2">
        <v>867</v>
      </c>
      <c r="B944" s="2">
        <v>57098</v>
      </c>
      <c r="C944" s="2">
        <f t="shared" si="84"/>
        <v>5.7098000000000004</v>
      </c>
      <c r="D944" s="2">
        <f t="shared" si="85"/>
        <v>751689</v>
      </c>
      <c r="E944" s="2">
        <f t="shared" si="86"/>
        <v>651714363</v>
      </c>
      <c r="F944" s="2">
        <f t="shared" si="87"/>
        <v>565036352721</v>
      </c>
      <c r="G944" s="2">
        <f t="shared" si="88"/>
        <v>4950.3966</v>
      </c>
      <c r="H944" s="2">
        <f t="shared" si="89"/>
        <v>4291993.8522000005</v>
      </c>
    </row>
    <row r="945" spans="1:8" x14ac:dyDescent="0.35">
      <c r="A945" s="2">
        <v>867</v>
      </c>
      <c r="B945" s="2">
        <v>57314</v>
      </c>
      <c r="C945" s="2">
        <f t="shared" si="84"/>
        <v>5.7313999999999998</v>
      </c>
      <c r="D945" s="2">
        <f t="shared" si="85"/>
        <v>751689</v>
      </c>
      <c r="E945" s="2">
        <f t="shared" si="86"/>
        <v>651714363</v>
      </c>
      <c r="F945" s="2">
        <f t="shared" si="87"/>
        <v>565036352721</v>
      </c>
      <c r="G945" s="2">
        <f t="shared" si="88"/>
        <v>4969.1238000000003</v>
      </c>
      <c r="H945" s="2">
        <f t="shared" si="89"/>
        <v>4308230.3345999997</v>
      </c>
    </row>
    <row r="946" spans="1:8" x14ac:dyDescent="0.35">
      <c r="A946" s="2">
        <v>867</v>
      </c>
      <c r="B946" s="2">
        <v>54756</v>
      </c>
      <c r="C946" s="2">
        <f t="shared" si="84"/>
        <v>5.4756</v>
      </c>
      <c r="D946" s="2">
        <f t="shared" si="85"/>
        <v>751689</v>
      </c>
      <c r="E946" s="2">
        <f t="shared" si="86"/>
        <v>651714363</v>
      </c>
      <c r="F946" s="2">
        <f t="shared" si="87"/>
        <v>565036352721</v>
      </c>
      <c r="G946" s="2">
        <f t="shared" si="88"/>
        <v>4747.3451999999997</v>
      </c>
      <c r="H946" s="2">
        <f t="shared" si="89"/>
        <v>4115948.2884</v>
      </c>
    </row>
    <row r="947" spans="1:8" x14ac:dyDescent="0.35">
      <c r="A947" s="2">
        <v>867</v>
      </c>
      <c r="B947" s="2">
        <v>46354</v>
      </c>
      <c r="C947" s="2">
        <f t="shared" si="84"/>
        <v>4.6353999999999997</v>
      </c>
      <c r="D947" s="2">
        <f t="shared" si="85"/>
        <v>751689</v>
      </c>
      <c r="E947" s="2">
        <f t="shared" si="86"/>
        <v>651714363</v>
      </c>
      <c r="F947" s="2">
        <f t="shared" si="87"/>
        <v>565036352721</v>
      </c>
      <c r="G947" s="2">
        <f t="shared" si="88"/>
        <v>4018.8917999999999</v>
      </c>
      <c r="H947" s="2">
        <f t="shared" si="89"/>
        <v>3484379.1905999999</v>
      </c>
    </row>
    <row r="948" spans="1:8" x14ac:dyDescent="0.35">
      <c r="A948" s="2">
        <v>867</v>
      </c>
      <c r="B948" s="2">
        <v>57599</v>
      </c>
      <c r="C948" s="2">
        <f t="shared" si="84"/>
        <v>5.7599</v>
      </c>
      <c r="D948" s="2">
        <f t="shared" si="85"/>
        <v>751689</v>
      </c>
      <c r="E948" s="2">
        <f t="shared" si="86"/>
        <v>651714363</v>
      </c>
      <c r="F948" s="2">
        <f t="shared" si="87"/>
        <v>565036352721</v>
      </c>
      <c r="G948" s="2">
        <f t="shared" si="88"/>
        <v>4993.8333000000002</v>
      </c>
      <c r="H948" s="2">
        <f t="shared" si="89"/>
        <v>4329653.4710999997</v>
      </c>
    </row>
    <row r="949" spans="1:8" x14ac:dyDescent="0.35">
      <c r="A949" s="2">
        <v>867</v>
      </c>
      <c r="B949" s="2">
        <v>57406</v>
      </c>
      <c r="C949" s="2">
        <f t="shared" si="84"/>
        <v>5.7405999999999997</v>
      </c>
      <c r="D949" s="2">
        <f t="shared" si="85"/>
        <v>751689</v>
      </c>
      <c r="E949" s="2">
        <f t="shared" si="86"/>
        <v>651714363</v>
      </c>
      <c r="F949" s="2">
        <f t="shared" si="87"/>
        <v>565036352721</v>
      </c>
      <c r="G949" s="2">
        <f t="shared" si="88"/>
        <v>4977.1001999999999</v>
      </c>
      <c r="H949" s="2">
        <f t="shared" si="89"/>
        <v>4315145.8733999999</v>
      </c>
    </row>
    <row r="950" spans="1:8" x14ac:dyDescent="0.35">
      <c r="A950" s="2">
        <v>867</v>
      </c>
      <c r="B950" s="2">
        <v>50432</v>
      </c>
      <c r="C950" s="2">
        <f t="shared" si="84"/>
        <v>5.0431999999999997</v>
      </c>
      <c r="D950" s="2">
        <f t="shared" si="85"/>
        <v>751689</v>
      </c>
      <c r="E950" s="2">
        <f t="shared" si="86"/>
        <v>651714363</v>
      </c>
      <c r="F950" s="2">
        <f t="shared" si="87"/>
        <v>565036352721</v>
      </c>
      <c r="G950" s="2">
        <f t="shared" si="88"/>
        <v>4372.4543999999996</v>
      </c>
      <c r="H950" s="2">
        <f t="shared" si="89"/>
        <v>3790917.9647999997</v>
      </c>
    </row>
    <row r="951" spans="1:8" x14ac:dyDescent="0.35">
      <c r="A951" s="2">
        <v>867</v>
      </c>
      <c r="B951" s="2">
        <v>56263</v>
      </c>
      <c r="C951" s="2">
        <f t="shared" si="84"/>
        <v>5.6262999999999996</v>
      </c>
      <c r="D951" s="2">
        <f t="shared" si="85"/>
        <v>751689</v>
      </c>
      <c r="E951" s="2">
        <f t="shared" si="86"/>
        <v>651714363</v>
      </c>
      <c r="F951" s="2">
        <f t="shared" si="87"/>
        <v>565036352721</v>
      </c>
      <c r="G951" s="2">
        <f t="shared" si="88"/>
        <v>4878.0020999999997</v>
      </c>
      <c r="H951" s="2">
        <f t="shared" si="89"/>
        <v>4229227.8207</v>
      </c>
    </row>
    <row r="952" spans="1:8" x14ac:dyDescent="0.35">
      <c r="A952" s="2">
        <v>867</v>
      </c>
      <c r="B952" s="2">
        <v>55947</v>
      </c>
      <c r="C952" s="2">
        <f t="shared" si="84"/>
        <v>5.5946999999999996</v>
      </c>
      <c r="D952" s="2">
        <f t="shared" si="85"/>
        <v>751689</v>
      </c>
      <c r="E952" s="2">
        <f t="shared" si="86"/>
        <v>651714363</v>
      </c>
      <c r="F952" s="2">
        <f t="shared" si="87"/>
        <v>565036352721</v>
      </c>
      <c r="G952" s="2">
        <f t="shared" si="88"/>
        <v>4850.6048999999994</v>
      </c>
      <c r="H952" s="2">
        <f t="shared" si="89"/>
        <v>4205474.4482999993</v>
      </c>
    </row>
    <row r="953" spans="1:8" x14ac:dyDescent="0.35">
      <c r="A953" s="2">
        <v>867</v>
      </c>
      <c r="B953" s="2">
        <v>39400</v>
      </c>
      <c r="C953" s="2">
        <f t="shared" si="84"/>
        <v>3.94</v>
      </c>
      <c r="D953" s="2">
        <f t="shared" si="85"/>
        <v>751689</v>
      </c>
      <c r="E953" s="2">
        <f t="shared" si="86"/>
        <v>651714363</v>
      </c>
      <c r="F953" s="2">
        <f t="shared" si="87"/>
        <v>565036352721</v>
      </c>
      <c r="G953" s="2">
        <f t="shared" si="88"/>
        <v>3415.98</v>
      </c>
      <c r="H953" s="2">
        <f t="shared" si="89"/>
        <v>2961654.66</v>
      </c>
    </row>
    <row r="954" spans="1:8" x14ac:dyDescent="0.35">
      <c r="A954" s="2">
        <v>867</v>
      </c>
      <c r="B954" s="2">
        <v>49784</v>
      </c>
      <c r="C954" s="2">
        <f t="shared" si="84"/>
        <v>4.9783999999999997</v>
      </c>
      <c r="D954" s="2">
        <f t="shared" si="85"/>
        <v>751689</v>
      </c>
      <c r="E954" s="2">
        <f t="shared" si="86"/>
        <v>651714363</v>
      </c>
      <c r="F954" s="2">
        <f t="shared" si="87"/>
        <v>565036352721</v>
      </c>
      <c r="G954" s="2">
        <f t="shared" si="88"/>
        <v>4316.2727999999997</v>
      </c>
      <c r="H954" s="2">
        <f t="shared" si="89"/>
        <v>3742208.5175999999</v>
      </c>
    </row>
    <row r="955" spans="1:8" x14ac:dyDescent="0.35">
      <c r="A955" s="2">
        <v>867</v>
      </c>
      <c r="B955" s="2">
        <v>50014</v>
      </c>
      <c r="C955" s="2">
        <f t="shared" si="84"/>
        <v>5.0014000000000003</v>
      </c>
      <c r="D955" s="2">
        <f t="shared" si="85"/>
        <v>751689</v>
      </c>
      <c r="E955" s="2">
        <f t="shared" si="86"/>
        <v>651714363</v>
      </c>
      <c r="F955" s="2">
        <f t="shared" si="87"/>
        <v>565036352721</v>
      </c>
      <c r="G955" s="2">
        <f t="shared" si="88"/>
        <v>4336.2138000000004</v>
      </c>
      <c r="H955" s="2">
        <f t="shared" si="89"/>
        <v>3759497.3646000004</v>
      </c>
    </row>
    <row r="956" spans="1:8" x14ac:dyDescent="0.35">
      <c r="A956" s="2">
        <v>867</v>
      </c>
      <c r="B956" s="2">
        <v>47499</v>
      </c>
      <c r="C956" s="2">
        <f t="shared" si="84"/>
        <v>4.7499000000000002</v>
      </c>
      <c r="D956" s="2">
        <f t="shared" si="85"/>
        <v>751689</v>
      </c>
      <c r="E956" s="2">
        <f t="shared" si="86"/>
        <v>651714363</v>
      </c>
      <c r="F956" s="2">
        <f t="shared" si="87"/>
        <v>565036352721</v>
      </c>
      <c r="G956" s="2">
        <f t="shared" si="88"/>
        <v>4118.1633000000002</v>
      </c>
      <c r="H956" s="2">
        <f t="shared" si="89"/>
        <v>3570447.5811000001</v>
      </c>
    </row>
    <row r="957" spans="1:8" x14ac:dyDescent="0.35">
      <c r="A957" s="2">
        <v>1831</v>
      </c>
      <c r="B957" s="2">
        <v>17241</v>
      </c>
      <c r="C957" s="2">
        <f t="shared" si="84"/>
        <v>1.7241</v>
      </c>
      <c r="D957" s="2">
        <f t="shared" si="85"/>
        <v>3352561</v>
      </c>
      <c r="E957" s="2">
        <f t="shared" si="86"/>
        <v>6138539191</v>
      </c>
      <c r="F957" s="2">
        <f t="shared" si="87"/>
        <v>11239665258721</v>
      </c>
      <c r="G957" s="2">
        <f t="shared" si="88"/>
        <v>3156.8271</v>
      </c>
      <c r="H957" s="2">
        <f t="shared" si="89"/>
        <v>5780150.4200999998</v>
      </c>
    </row>
    <row r="958" spans="1:8" x14ac:dyDescent="0.35">
      <c r="A958" s="2">
        <v>1831</v>
      </c>
      <c r="B958" s="2">
        <v>25724</v>
      </c>
      <c r="C958" s="2">
        <f t="shared" si="84"/>
        <v>2.5724</v>
      </c>
      <c r="D958" s="2">
        <f t="shared" si="85"/>
        <v>3352561</v>
      </c>
      <c r="E958" s="2">
        <f t="shared" si="86"/>
        <v>6138539191</v>
      </c>
      <c r="F958" s="2">
        <f t="shared" si="87"/>
        <v>11239665258721</v>
      </c>
      <c r="G958" s="2">
        <f t="shared" si="88"/>
        <v>4710.0644000000002</v>
      </c>
      <c r="H958" s="2">
        <f t="shared" si="89"/>
        <v>8624127.9164000005</v>
      </c>
    </row>
    <row r="959" spans="1:8" x14ac:dyDescent="0.35">
      <c r="A959" s="2">
        <v>1831</v>
      </c>
      <c r="B959" s="2">
        <v>20900</v>
      </c>
      <c r="C959" s="2">
        <f t="shared" si="84"/>
        <v>2.09</v>
      </c>
      <c r="D959" s="2">
        <f t="shared" si="85"/>
        <v>3352561</v>
      </c>
      <c r="E959" s="2">
        <f t="shared" si="86"/>
        <v>6138539191</v>
      </c>
      <c r="F959" s="2">
        <f t="shared" si="87"/>
        <v>11239665258721</v>
      </c>
      <c r="G959" s="2">
        <f t="shared" si="88"/>
        <v>3826.79</v>
      </c>
      <c r="H959" s="2">
        <f t="shared" si="89"/>
        <v>7006852.4899999993</v>
      </c>
    </row>
    <row r="960" spans="1:8" x14ac:dyDescent="0.35">
      <c r="A960" s="2">
        <v>1831</v>
      </c>
      <c r="B960" s="2">
        <v>20000</v>
      </c>
      <c r="C960" s="2">
        <f t="shared" si="84"/>
        <v>2</v>
      </c>
      <c r="D960" s="2">
        <f t="shared" si="85"/>
        <v>3352561</v>
      </c>
      <c r="E960" s="2">
        <f t="shared" si="86"/>
        <v>6138539191</v>
      </c>
      <c r="F960" s="2">
        <f t="shared" si="87"/>
        <v>11239665258721</v>
      </c>
      <c r="G960" s="2">
        <f t="shared" si="88"/>
        <v>3662</v>
      </c>
      <c r="H960" s="2">
        <f t="shared" si="89"/>
        <v>6705122</v>
      </c>
    </row>
    <row r="961" spans="1:8" x14ac:dyDescent="0.35">
      <c r="A961" s="2">
        <v>1831</v>
      </c>
      <c r="B961" s="2">
        <v>20000</v>
      </c>
      <c r="C961" s="2">
        <f t="shared" si="84"/>
        <v>2</v>
      </c>
      <c r="D961" s="2">
        <f t="shared" si="85"/>
        <v>3352561</v>
      </c>
      <c r="E961" s="2">
        <f t="shared" si="86"/>
        <v>6138539191</v>
      </c>
      <c r="F961" s="2">
        <f t="shared" si="87"/>
        <v>11239665258721</v>
      </c>
      <c r="G961" s="2">
        <f t="shared" si="88"/>
        <v>3662</v>
      </c>
      <c r="H961" s="2">
        <f t="shared" si="89"/>
        <v>6705122</v>
      </c>
    </row>
    <row r="962" spans="1:8" x14ac:dyDescent="0.35">
      <c r="A962" s="2">
        <v>1831</v>
      </c>
      <c r="B962" s="2">
        <v>19886</v>
      </c>
      <c r="C962" s="2">
        <f t="shared" si="84"/>
        <v>1.9885999999999999</v>
      </c>
      <c r="D962" s="2">
        <f t="shared" si="85"/>
        <v>3352561</v>
      </c>
      <c r="E962" s="2">
        <f t="shared" si="86"/>
        <v>6138539191</v>
      </c>
      <c r="F962" s="2">
        <f t="shared" si="87"/>
        <v>11239665258721</v>
      </c>
      <c r="G962" s="2">
        <f t="shared" si="88"/>
        <v>3641.1266000000001</v>
      </c>
      <c r="H962" s="2">
        <f t="shared" si="89"/>
        <v>6666902.8045999995</v>
      </c>
    </row>
    <row r="963" spans="1:8" x14ac:dyDescent="0.35">
      <c r="A963" s="2">
        <v>1831</v>
      </c>
      <c r="B963" s="2">
        <v>19995</v>
      </c>
      <c r="C963" s="2">
        <f t="shared" ref="C963:C1026" si="90">B963/10000</f>
        <v>1.9995000000000001</v>
      </c>
      <c r="D963" s="2">
        <f t="shared" ref="D963:D1026" si="91">A963^2</f>
        <v>3352561</v>
      </c>
      <c r="E963" s="2">
        <f t="shared" ref="E963:E1026" si="92">A963^3</f>
        <v>6138539191</v>
      </c>
      <c r="F963" s="2">
        <f t="shared" ref="F963:F1026" si="93">A963^4</f>
        <v>11239665258721</v>
      </c>
      <c r="G963" s="2">
        <f t="shared" ref="G963:G1026" si="94">A963*C963</f>
        <v>3661.0844999999999</v>
      </c>
      <c r="H963" s="2">
        <f t="shared" ref="H963:H1026" si="95">D963*C963</f>
        <v>6703445.7195000006</v>
      </c>
    </row>
    <row r="964" spans="1:8" x14ac:dyDescent="0.35">
      <c r="A964" s="2">
        <v>1831</v>
      </c>
      <c r="B964" s="2">
        <v>20106</v>
      </c>
      <c r="C964" s="2">
        <f t="shared" si="90"/>
        <v>2.0106000000000002</v>
      </c>
      <c r="D964" s="2">
        <f t="shared" si="91"/>
        <v>3352561</v>
      </c>
      <c r="E964" s="2">
        <f t="shared" si="92"/>
        <v>6138539191</v>
      </c>
      <c r="F964" s="2">
        <f t="shared" si="93"/>
        <v>11239665258721</v>
      </c>
      <c r="G964" s="2">
        <f t="shared" si="94"/>
        <v>3681.4086000000002</v>
      </c>
      <c r="H964" s="2">
        <f t="shared" si="95"/>
        <v>6740659.1466000006</v>
      </c>
    </row>
    <row r="965" spans="1:8" x14ac:dyDescent="0.35">
      <c r="A965" s="2">
        <v>1831</v>
      </c>
      <c r="B965" s="2">
        <v>20218</v>
      </c>
      <c r="C965" s="2">
        <f t="shared" si="90"/>
        <v>2.0217999999999998</v>
      </c>
      <c r="D965" s="2">
        <f t="shared" si="91"/>
        <v>3352561</v>
      </c>
      <c r="E965" s="2">
        <f t="shared" si="92"/>
        <v>6138539191</v>
      </c>
      <c r="F965" s="2">
        <f t="shared" si="93"/>
        <v>11239665258721</v>
      </c>
      <c r="G965" s="2">
        <f t="shared" si="94"/>
        <v>3701.9157999999998</v>
      </c>
      <c r="H965" s="2">
        <f t="shared" si="95"/>
        <v>6778207.8297999995</v>
      </c>
    </row>
    <row r="966" spans="1:8" x14ac:dyDescent="0.35">
      <c r="A966" s="2">
        <v>1831</v>
      </c>
      <c r="B966" s="2">
        <v>20332</v>
      </c>
      <c r="C966" s="2">
        <f t="shared" si="90"/>
        <v>2.0331999999999999</v>
      </c>
      <c r="D966" s="2">
        <f t="shared" si="91"/>
        <v>3352561</v>
      </c>
      <c r="E966" s="2">
        <f t="shared" si="92"/>
        <v>6138539191</v>
      </c>
      <c r="F966" s="2">
        <f t="shared" si="93"/>
        <v>11239665258721</v>
      </c>
      <c r="G966" s="2">
        <f t="shared" si="94"/>
        <v>3722.7891999999997</v>
      </c>
      <c r="H966" s="2">
        <f t="shared" si="95"/>
        <v>6816427.0252</v>
      </c>
    </row>
    <row r="967" spans="1:8" x14ac:dyDescent="0.35">
      <c r="A967" s="2">
        <v>1831</v>
      </c>
      <c r="B967" s="2">
        <v>20447</v>
      </c>
      <c r="C967" s="2">
        <f t="shared" si="90"/>
        <v>2.0447000000000002</v>
      </c>
      <c r="D967" s="2">
        <f t="shared" si="91"/>
        <v>3352561</v>
      </c>
      <c r="E967" s="2">
        <f t="shared" si="92"/>
        <v>6138539191</v>
      </c>
      <c r="F967" s="2">
        <f t="shared" si="93"/>
        <v>11239665258721</v>
      </c>
      <c r="G967" s="2">
        <f t="shared" si="94"/>
        <v>3743.8457000000003</v>
      </c>
      <c r="H967" s="2">
        <f t="shared" si="95"/>
        <v>6854981.4767000005</v>
      </c>
    </row>
    <row r="968" spans="1:8" x14ac:dyDescent="0.35">
      <c r="A968" s="2">
        <v>1831</v>
      </c>
      <c r="B968" s="2">
        <v>20565</v>
      </c>
      <c r="C968" s="2">
        <f t="shared" si="90"/>
        <v>2.0565000000000002</v>
      </c>
      <c r="D968" s="2">
        <f t="shared" si="91"/>
        <v>3352561</v>
      </c>
      <c r="E968" s="2">
        <f t="shared" si="92"/>
        <v>6138539191</v>
      </c>
      <c r="F968" s="2">
        <f t="shared" si="93"/>
        <v>11239665258721</v>
      </c>
      <c r="G968" s="2">
        <f t="shared" si="94"/>
        <v>3765.4515000000006</v>
      </c>
      <c r="H968" s="2">
        <f t="shared" si="95"/>
        <v>6894541.6965000005</v>
      </c>
    </row>
    <row r="969" spans="1:8" x14ac:dyDescent="0.35">
      <c r="A969" s="2">
        <v>1831</v>
      </c>
      <c r="B969" s="2">
        <v>20686</v>
      </c>
      <c r="C969" s="2">
        <f t="shared" si="90"/>
        <v>2.0686</v>
      </c>
      <c r="D969" s="2">
        <f t="shared" si="91"/>
        <v>3352561</v>
      </c>
      <c r="E969" s="2">
        <f t="shared" si="92"/>
        <v>6138539191</v>
      </c>
      <c r="F969" s="2">
        <f t="shared" si="93"/>
        <v>11239665258721</v>
      </c>
      <c r="G969" s="2">
        <f t="shared" si="94"/>
        <v>3787.6066000000001</v>
      </c>
      <c r="H969" s="2">
        <f t="shared" si="95"/>
        <v>6935107.6846000003</v>
      </c>
    </row>
    <row r="970" spans="1:8" x14ac:dyDescent="0.35">
      <c r="A970" s="2">
        <v>1831</v>
      </c>
      <c r="B970" s="2">
        <v>20810</v>
      </c>
      <c r="C970" s="2">
        <f t="shared" si="90"/>
        <v>2.081</v>
      </c>
      <c r="D970" s="2">
        <f t="shared" si="91"/>
        <v>3352561</v>
      </c>
      <c r="E970" s="2">
        <f t="shared" si="92"/>
        <v>6138539191</v>
      </c>
      <c r="F970" s="2">
        <f t="shared" si="93"/>
        <v>11239665258721</v>
      </c>
      <c r="G970" s="2">
        <f t="shared" si="94"/>
        <v>3810.3110000000001</v>
      </c>
      <c r="H970" s="2">
        <f t="shared" si="95"/>
        <v>6976679.4409999996</v>
      </c>
    </row>
    <row r="971" spans="1:8" x14ac:dyDescent="0.35">
      <c r="A971" s="2">
        <v>1831</v>
      </c>
      <c r="B971" s="2">
        <v>20000</v>
      </c>
      <c r="C971" s="2">
        <f t="shared" si="90"/>
        <v>2</v>
      </c>
      <c r="D971" s="2">
        <f t="shared" si="91"/>
        <v>3352561</v>
      </c>
      <c r="E971" s="2">
        <f t="shared" si="92"/>
        <v>6138539191</v>
      </c>
      <c r="F971" s="2">
        <f t="shared" si="93"/>
        <v>11239665258721</v>
      </c>
      <c r="G971" s="2">
        <f t="shared" si="94"/>
        <v>3662</v>
      </c>
      <c r="H971" s="2">
        <f t="shared" si="95"/>
        <v>6705122</v>
      </c>
    </row>
    <row r="972" spans="1:8" x14ac:dyDescent="0.35">
      <c r="A972" s="2">
        <v>1831</v>
      </c>
      <c r="B972" s="2">
        <v>21295</v>
      </c>
      <c r="C972" s="2">
        <f t="shared" si="90"/>
        <v>2.1295000000000002</v>
      </c>
      <c r="D972" s="2">
        <f t="shared" si="91"/>
        <v>3352561</v>
      </c>
      <c r="E972" s="2">
        <f t="shared" si="92"/>
        <v>6138539191</v>
      </c>
      <c r="F972" s="2">
        <f t="shared" si="93"/>
        <v>11239665258721</v>
      </c>
      <c r="G972" s="2">
        <f t="shared" si="94"/>
        <v>3899.1145000000001</v>
      </c>
      <c r="H972" s="2">
        <f t="shared" si="95"/>
        <v>7139278.6495000003</v>
      </c>
    </row>
    <row r="973" spans="1:8" x14ac:dyDescent="0.35">
      <c r="A973" s="2">
        <v>1831</v>
      </c>
      <c r="B973" s="2">
        <v>21657</v>
      </c>
      <c r="C973" s="2">
        <f t="shared" si="90"/>
        <v>2.1657000000000002</v>
      </c>
      <c r="D973" s="2">
        <f t="shared" si="91"/>
        <v>3352561</v>
      </c>
      <c r="E973" s="2">
        <f t="shared" si="92"/>
        <v>6138539191</v>
      </c>
      <c r="F973" s="2">
        <f t="shared" si="93"/>
        <v>11239665258721</v>
      </c>
      <c r="G973" s="2">
        <f t="shared" si="94"/>
        <v>3965.3967000000002</v>
      </c>
      <c r="H973" s="2">
        <f t="shared" si="95"/>
        <v>7260641.3577000005</v>
      </c>
    </row>
    <row r="974" spans="1:8" x14ac:dyDescent="0.35">
      <c r="A974" s="2">
        <v>1831</v>
      </c>
      <c r="B974" s="2">
        <v>22554</v>
      </c>
      <c r="C974" s="2">
        <f t="shared" si="90"/>
        <v>2.2553999999999998</v>
      </c>
      <c r="D974" s="2">
        <f t="shared" si="91"/>
        <v>3352561</v>
      </c>
      <c r="E974" s="2">
        <f t="shared" si="92"/>
        <v>6138539191</v>
      </c>
      <c r="F974" s="2">
        <f t="shared" si="93"/>
        <v>11239665258721</v>
      </c>
      <c r="G974" s="2">
        <f t="shared" si="94"/>
        <v>4129.6373999999996</v>
      </c>
      <c r="H974" s="2">
        <f t="shared" si="95"/>
        <v>7561366.0793999992</v>
      </c>
    </row>
    <row r="975" spans="1:8" x14ac:dyDescent="0.35">
      <c r="A975" s="2">
        <v>1831</v>
      </c>
      <c r="B975" s="2">
        <v>23088</v>
      </c>
      <c r="C975" s="2">
        <f t="shared" si="90"/>
        <v>2.3088000000000002</v>
      </c>
      <c r="D975" s="2">
        <f t="shared" si="91"/>
        <v>3352561</v>
      </c>
      <c r="E975" s="2">
        <f t="shared" si="92"/>
        <v>6138539191</v>
      </c>
      <c r="F975" s="2">
        <f t="shared" si="93"/>
        <v>11239665258721</v>
      </c>
      <c r="G975" s="2">
        <f t="shared" si="94"/>
        <v>4227.4128000000001</v>
      </c>
      <c r="H975" s="2">
        <f t="shared" si="95"/>
        <v>7740392.8368000006</v>
      </c>
    </row>
    <row r="976" spans="1:8" x14ac:dyDescent="0.35">
      <c r="A976" s="2">
        <v>1831</v>
      </c>
      <c r="B976" s="2">
        <v>23622</v>
      </c>
      <c r="C976" s="2">
        <f t="shared" si="90"/>
        <v>2.3622000000000001</v>
      </c>
      <c r="D976" s="2">
        <f t="shared" si="91"/>
        <v>3352561</v>
      </c>
      <c r="E976" s="2">
        <f t="shared" si="92"/>
        <v>6138539191</v>
      </c>
      <c r="F976" s="2">
        <f t="shared" si="93"/>
        <v>11239665258721</v>
      </c>
      <c r="G976" s="2">
        <f t="shared" si="94"/>
        <v>4325.1882000000005</v>
      </c>
      <c r="H976" s="2">
        <f t="shared" si="95"/>
        <v>7919419.5942000002</v>
      </c>
    </row>
    <row r="977" spans="1:8" x14ac:dyDescent="0.35">
      <c r="A977" s="2">
        <v>1831</v>
      </c>
      <c r="B977" s="2">
        <v>24155</v>
      </c>
      <c r="C977" s="2">
        <f t="shared" si="90"/>
        <v>2.4155000000000002</v>
      </c>
      <c r="D977" s="2">
        <f t="shared" si="91"/>
        <v>3352561</v>
      </c>
      <c r="E977" s="2">
        <f t="shared" si="92"/>
        <v>6138539191</v>
      </c>
      <c r="F977" s="2">
        <f t="shared" si="93"/>
        <v>11239665258721</v>
      </c>
      <c r="G977" s="2">
        <f t="shared" si="94"/>
        <v>4422.7805000000008</v>
      </c>
      <c r="H977" s="2">
        <f t="shared" si="95"/>
        <v>8098111.0955000008</v>
      </c>
    </row>
    <row r="978" spans="1:8" x14ac:dyDescent="0.35">
      <c r="A978" s="2">
        <v>1831</v>
      </c>
      <c r="B978" s="2">
        <v>24688</v>
      </c>
      <c r="C978" s="2">
        <f t="shared" si="90"/>
        <v>2.4687999999999999</v>
      </c>
      <c r="D978" s="2">
        <f t="shared" si="91"/>
        <v>3352561</v>
      </c>
      <c r="E978" s="2">
        <f t="shared" si="92"/>
        <v>6138539191</v>
      </c>
      <c r="F978" s="2">
        <f t="shared" si="93"/>
        <v>11239665258721</v>
      </c>
      <c r="G978" s="2">
        <f t="shared" si="94"/>
        <v>4520.3728000000001</v>
      </c>
      <c r="H978" s="2">
        <f t="shared" si="95"/>
        <v>8276802.5967999995</v>
      </c>
    </row>
    <row r="979" spans="1:8" x14ac:dyDescent="0.35">
      <c r="A979" s="2">
        <v>1831</v>
      </c>
      <c r="B979" s="2">
        <v>25219</v>
      </c>
      <c r="C979" s="2">
        <f t="shared" si="90"/>
        <v>2.5219</v>
      </c>
      <c r="D979" s="2">
        <f t="shared" si="91"/>
        <v>3352561</v>
      </c>
      <c r="E979" s="2">
        <f t="shared" si="92"/>
        <v>6138539191</v>
      </c>
      <c r="F979" s="2">
        <f t="shared" si="93"/>
        <v>11239665258721</v>
      </c>
      <c r="G979" s="2">
        <f t="shared" si="94"/>
        <v>4617.5989</v>
      </c>
      <c r="H979" s="2">
        <f t="shared" si="95"/>
        <v>8454823.5858999994</v>
      </c>
    </row>
    <row r="980" spans="1:8" x14ac:dyDescent="0.35">
      <c r="A980" s="2">
        <v>1831</v>
      </c>
      <c r="B980" s="2">
        <v>25748</v>
      </c>
      <c r="C980" s="2">
        <f t="shared" si="90"/>
        <v>2.5748000000000002</v>
      </c>
      <c r="D980" s="2">
        <f t="shared" si="91"/>
        <v>3352561</v>
      </c>
      <c r="E980" s="2">
        <f t="shared" si="92"/>
        <v>6138539191</v>
      </c>
      <c r="F980" s="2">
        <f t="shared" si="93"/>
        <v>11239665258721</v>
      </c>
      <c r="G980" s="2">
        <f t="shared" si="94"/>
        <v>4714.4588000000003</v>
      </c>
      <c r="H980" s="2">
        <f t="shared" si="95"/>
        <v>8632174.0628000014</v>
      </c>
    </row>
    <row r="981" spans="1:8" x14ac:dyDescent="0.35">
      <c r="A981" s="2">
        <v>1831</v>
      </c>
      <c r="B981" s="2">
        <v>26273</v>
      </c>
      <c r="C981" s="2">
        <f t="shared" si="90"/>
        <v>2.6273</v>
      </c>
      <c r="D981" s="2">
        <f t="shared" si="91"/>
        <v>3352561</v>
      </c>
      <c r="E981" s="2">
        <f t="shared" si="92"/>
        <v>6138539191</v>
      </c>
      <c r="F981" s="2">
        <f t="shared" si="93"/>
        <v>11239665258721</v>
      </c>
      <c r="G981" s="2">
        <f t="shared" si="94"/>
        <v>4810.5862999999999</v>
      </c>
      <c r="H981" s="2">
        <f t="shared" si="95"/>
        <v>8808183.5153000001</v>
      </c>
    </row>
    <row r="982" spans="1:8" x14ac:dyDescent="0.35">
      <c r="A982" s="2">
        <v>1831</v>
      </c>
      <c r="B982" s="2">
        <v>27419</v>
      </c>
      <c r="C982" s="2">
        <f t="shared" si="90"/>
        <v>2.7418999999999998</v>
      </c>
      <c r="D982" s="2">
        <f t="shared" si="91"/>
        <v>3352561</v>
      </c>
      <c r="E982" s="2">
        <f t="shared" si="92"/>
        <v>6138539191</v>
      </c>
      <c r="F982" s="2">
        <f t="shared" si="93"/>
        <v>11239665258721</v>
      </c>
      <c r="G982" s="2">
        <f t="shared" si="94"/>
        <v>5020.4188999999997</v>
      </c>
      <c r="H982" s="2">
        <f t="shared" si="95"/>
        <v>9192387.0058999993</v>
      </c>
    </row>
    <row r="983" spans="1:8" x14ac:dyDescent="0.35">
      <c r="A983" s="2">
        <v>1831</v>
      </c>
      <c r="B983" s="2">
        <v>27419</v>
      </c>
      <c r="C983" s="2">
        <f t="shared" si="90"/>
        <v>2.7418999999999998</v>
      </c>
      <c r="D983" s="2">
        <f t="shared" si="91"/>
        <v>3352561</v>
      </c>
      <c r="E983" s="2">
        <f t="shared" si="92"/>
        <v>6138539191</v>
      </c>
      <c r="F983" s="2">
        <f t="shared" si="93"/>
        <v>11239665258721</v>
      </c>
      <c r="G983" s="2">
        <f t="shared" si="94"/>
        <v>5020.4188999999997</v>
      </c>
      <c r="H983" s="2">
        <f t="shared" si="95"/>
        <v>9192387.0058999993</v>
      </c>
    </row>
    <row r="984" spans="1:8" x14ac:dyDescent="0.35">
      <c r="A984" s="2">
        <v>1831</v>
      </c>
      <c r="B984" s="2">
        <v>27450</v>
      </c>
      <c r="C984" s="2">
        <f t="shared" si="90"/>
        <v>2.7450000000000001</v>
      </c>
      <c r="D984" s="2">
        <f t="shared" si="91"/>
        <v>3352561</v>
      </c>
      <c r="E984" s="2">
        <f t="shared" si="92"/>
        <v>6138539191</v>
      </c>
      <c r="F984" s="2">
        <f t="shared" si="93"/>
        <v>11239665258721</v>
      </c>
      <c r="G984" s="2">
        <f t="shared" si="94"/>
        <v>5026.0950000000003</v>
      </c>
      <c r="H984" s="2">
        <f t="shared" si="95"/>
        <v>9202779.9450000003</v>
      </c>
    </row>
    <row r="985" spans="1:8" x14ac:dyDescent="0.35">
      <c r="A985" s="2">
        <v>1831</v>
      </c>
      <c r="B985" s="2">
        <v>27935</v>
      </c>
      <c r="C985" s="2">
        <f t="shared" si="90"/>
        <v>2.7934999999999999</v>
      </c>
      <c r="D985" s="2">
        <f t="shared" si="91"/>
        <v>3352561</v>
      </c>
      <c r="E985" s="2">
        <f t="shared" si="92"/>
        <v>6138539191</v>
      </c>
      <c r="F985" s="2">
        <f t="shared" si="93"/>
        <v>11239665258721</v>
      </c>
      <c r="G985" s="2">
        <f t="shared" si="94"/>
        <v>5114.8984999999993</v>
      </c>
      <c r="H985" s="2">
        <f t="shared" si="95"/>
        <v>9365379.1535</v>
      </c>
    </row>
    <row r="986" spans="1:8" x14ac:dyDescent="0.35">
      <c r="A986" s="2">
        <v>1831</v>
      </c>
      <c r="B986" s="2">
        <v>28453</v>
      </c>
      <c r="C986" s="2">
        <f t="shared" si="90"/>
        <v>2.8452999999999999</v>
      </c>
      <c r="D986" s="2">
        <f t="shared" si="91"/>
        <v>3352561</v>
      </c>
      <c r="E986" s="2">
        <f t="shared" si="92"/>
        <v>6138539191</v>
      </c>
      <c r="F986" s="2">
        <f t="shared" si="93"/>
        <v>11239665258721</v>
      </c>
      <c r="G986" s="2">
        <f t="shared" si="94"/>
        <v>5209.7443000000003</v>
      </c>
      <c r="H986" s="2">
        <f t="shared" si="95"/>
        <v>9539041.8133000005</v>
      </c>
    </row>
    <row r="987" spans="1:8" x14ac:dyDescent="0.35">
      <c r="A987" s="2">
        <v>836</v>
      </c>
      <c r="B987" s="2">
        <v>19091</v>
      </c>
      <c r="C987" s="2">
        <f t="shared" si="90"/>
        <v>1.9091</v>
      </c>
      <c r="D987" s="2">
        <f t="shared" si="91"/>
        <v>698896</v>
      </c>
      <c r="E987" s="2">
        <f t="shared" si="92"/>
        <v>584277056</v>
      </c>
      <c r="F987" s="2">
        <f t="shared" si="93"/>
        <v>488455618816</v>
      </c>
      <c r="G987" s="2">
        <f t="shared" si="94"/>
        <v>1596.0075999999999</v>
      </c>
      <c r="H987" s="2">
        <f t="shared" si="95"/>
        <v>1334262.3536</v>
      </c>
    </row>
    <row r="988" spans="1:8" x14ac:dyDescent="0.35">
      <c r="A988" s="2">
        <v>836</v>
      </c>
      <c r="B988" s="2">
        <v>16071</v>
      </c>
      <c r="C988" s="2">
        <f t="shared" si="90"/>
        <v>1.6071</v>
      </c>
      <c r="D988" s="2">
        <f t="shared" si="91"/>
        <v>698896</v>
      </c>
      <c r="E988" s="2">
        <f t="shared" si="92"/>
        <v>584277056</v>
      </c>
      <c r="F988" s="2">
        <f t="shared" si="93"/>
        <v>488455618816</v>
      </c>
      <c r="G988" s="2">
        <f t="shared" si="94"/>
        <v>1343.5355999999999</v>
      </c>
      <c r="H988" s="2">
        <f t="shared" si="95"/>
        <v>1123195.7616000001</v>
      </c>
    </row>
    <row r="989" spans="1:8" x14ac:dyDescent="0.35">
      <c r="A989" s="2">
        <v>836</v>
      </c>
      <c r="B989" s="2">
        <v>12825</v>
      </c>
      <c r="C989" s="2">
        <f t="shared" si="90"/>
        <v>1.2825</v>
      </c>
      <c r="D989" s="2">
        <f t="shared" si="91"/>
        <v>698896</v>
      </c>
      <c r="E989" s="2">
        <f t="shared" si="92"/>
        <v>584277056</v>
      </c>
      <c r="F989" s="2">
        <f t="shared" si="93"/>
        <v>488455618816</v>
      </c>
      <c r="G989" s="2">
        <f t="shared" si="94"/>
        <v>1072.17</v>
      </c>
      <c r="H989" s="2">
        <f t="shared" si="95"/>
        <v>896334.12</v>
      </c>
    </row>
    <row r="990" spans="1:8" x14ac:dyDescent="0.35">
      <c r="A990" s="2">
        <v>836</v>
      </c>
      <c r="B990" s="2">
        <v>15111</v>
      </c>
      <c r="C990" s="2">
        <f t="shared" si="90"/>
        <v>1.5111000000000001</v>
      </c>
      <c r="D990" s="2">
        <f t="shared" si="91"/>
        <v>698896</v>
      </c>
      <c r="E990" s="2">
        <f t="shared" si="92"/>
        <v>584277056</v>
      </c>
      <c r="F990" s="2">
        <f t="shared" si="93"/>
        <v>488455618816</v>
      </c>
      <c r="G990" s="2">
        <f t="shared" si="94"/>
        <v>1263.2796000000001</v>
      </c>
      <c r="H990" s="2">
        <f t="shared" si="95"/>
        <v>1056101.7456</v>
      </c>
    </row>
    <row r="991" spans="1:8" x14ac:dyDescent="0.35">
      <c r="A991" s="2">
        <v>836</v>
      </c>
      <c r="B991" s="2">
        <v>14671</v>
      </c>
      <c r="C991" s="2">
        <f t="shared" si="90"/>
        <v>1.4671000000000001</v>
      </c>
      <c r="D991" s="2">
        <f t="shared" si="91"/>
        <v>698896</v>
      </c>
      <c r="E991" s="2">
        <f t="shared" si="92"/>
        <v>584277056</v>
      </c>
      <c r="F991" s="2">
        <f t="shared" si="93"/>
        <v>488455618816</v>
      </c>
      <c r="G991" s="2">
        <f t="shared" si="94"/>
        <v>1226.4956</v>
      </c>
      <c r="H991" s="2">
        <f t="shared" si="95"/>
        <v>1025350.3216</v>
      </c>
    </row>
    <row r="992" spans="1:8" x14ac:dyDescent="0.35">
      <c r="A992" s="2">
        <v>836</v>
      </c>
      <c r="B992" s="2">
        <v>15265</v>
      </c>
      <c r="C992" s="2">
        <f t="shared" si="90"/>
        <v>1.5265</v>
      </c>
      <c r="D992" s="2">
        <f t="shared" si="91"/>
        <v>698896</v>
      </c>
      <c r="E992" s="2">
        <f t="shared" si="92"/>
        <v>584277056</v>
      </c>
      <c r="F992" s="2">
        <f t="shared" si="93"/>
        <v>488455618816</v>
      </c>
      <c r="G992" s="2">
        <f t="shared" si="94"/>
        <v>1276.154</v>
      </c>
      <c r="H992" s="2">
        <f t="shared" si="95"/>
        <v>1066864.7439999999</v>
      </c>
    </row>
    <row r="993" spans="1:8" x14ac:dyDescent="0.35">
      <c r="A993" s="2">
        <v>836</v>
      </c>
      <c r="B993" s="2">
        <v>17298</v>
      </c>
      <c r="C993" s="2">
        <f t="shared" si="90"/>
        <v>1.7298</v>
      </c>
      <c r="D993" s="2">
        <f t="shared" si="91"/>
        <v>698896</v>
      </c>
      <c r="E993" s="2">
        <f t="shared" si="92"/>
        <v>584277056</v>
      </c>
      <c r="F993" s="2">
        <f t="shared" si="93"/>
        <v>488455618816</v>
      </c>
      <c r="G993" s="2">
        <f t="shared" si="94"/>
        <v>1446.1128000000001</v>
      </c>
      <c r="H993" s="2">
        <f t="shared" si="95"/>
        <v>1208950.3008000001</v>
      </c>
    </row>
    <row r="994" spans="1:8" x14ac:dyDescent="0.35">
      <c r="A994" s="2">
        <v>836</v>
      </c>
      <c r="B994" s="2">
        <v>14601</v>
      </c>
      <c r="C994" s="2">
        <f t="shared" si="90"/>
        <v>1.4601</v>
      </c>
      <c r="D994" s="2">
        <f t="shared" si="91"/>
        <v>698896</v>
      </c>
      <c r="E994" s="2">
        <f t="shared" si="92"/>
        <v>584277056</v>
      </c>
      <c r="F994" s="2">
        <f t="shared" si="93"/>
        <v>488455618816</v>
      </c>
      <c r="G994" s="2">
        <f t="shared" si="94"/>
        <v>1220.6435999999999</v>
      </c>
      <c r="H994" s="2">
        <f t="shared" si="95"/>
        <v>1020458.0495999999</v>
      </c>
    </row>
    <row r="995" spans="1:8" x14ac:dyDescent="0.35">
      <c r="A995" s="2">
        <v>836</v>
      </c>
      <c r="B995" s="2">
        <v>15390</v>
      </c>
      <c r="C995" s="2">
        <f t="shared" si="90"/>
        <v>1.5389999999999999</v>
      </c>
      <c r="D995" s="2">
        <f t="shared" si="91"/>
        <v>698896</v>
      </c>
      <c r="E995" s="2">
        <f t="shared" si="92"/>
        <v>584277056</v>
      </c>
      <c r="F995" s="2">
        <f t="shared" si="93"/>
        <v>488455618816</v>
      </c>
      <c r="G995" s="2">
        <f t="shared" si="94"/>
        <v>1286.604</v>
      </c>
      <c r="H995" s="2">
        <f t="shared" si="95"/>
        <v>1075600.9439999999</v>
      </c>
    </row>
    <row r="996" spans="1:8" x14ac:dyDescent="0.35">
      <c r="A996" s="2">
        <v>836</v>
      </c>
      <c r="B996" s="2">
        <v>12304</v>
      </c>
      <c r="C996" s="2">
        <f t="shared" si="90"/>
        <v>1.2303999999999999</v>
      </c>
      <c r="D996" s="2">
        <f t="shared" si="91"/>
        <v>698896</v>
      </c>
      <c r="E996" s="2">
        <f t="shared" si="92"/>
        <v>584277056</v>
      </c>
      <c r="F996" s="2">
        <f t="shared" si="93"/>
        <v>488455618816</v>
      </c>
      <c r="G996" s="2">
        <f t="shared" si="94"/>
        <v>1028.6143999999999</v>
      </c>
      <c r="H996" s="2">
        <f t="shared" si="95"/>
        <v>859921.63839999994</v>
      </c>
    </row>
    <row r="997" spans="1:8" x14ac:dyDescent="0.35">
      <c r="A997" s="2">
        <v>836</v>
      </c>
      <c r="B997" s="2">
        <v>10676</v>
      </c>
      <c r="C997" s="2">
        <f t="shared" si="90"/>
        <v>1.0676000000000001</v>
      </c>
      <c r="D997" s="2">
        <f t="shared" si="91"/>
        <v>698896</v>
      </c>
      <c r="E997" s="2">
        <f t="shared" si="92"/>
        <v>584277056</v>
      </c>
      <c r="F997" s="2">
        <f t="shared" si="93"/>
        <v>488455618816</v>
      </c>
      <c r="G997" s="2">
        <f t="shared" si="94"/>
        <v>892.51360000000011</v>
      </c>
      <c r="H997" s="2">
        <f t="shared" si="95"/>
        <v>746141.36960000009</v>
      </c>
    </row>
    <row r="998" spans="1:8" x14ac:dyDescent="0.35">
      <c r="A998" s="2">
        <v>836</v>
      </c>
      <c r="B998" s="2">
        <v>10236</v>
      </c>
      <c r="C998" s="2">
        <f t="shared" si="90"/>
        <v>1.0236000000000001</v>
      </c>
      <c r="D998" s="2">
        <f t="shared" si="91"/>
        <v>698896</v>
      </c>
      <c r="E998" s="2">
        <f t="shared" si="92"/>
        <v>584277056</v>
      </c>
      <c r="F998" s="2">
        <f t="shared" si="93"/>
        <v>488455618816</v>
      </c>
      <c r="G998" s="2">
        <f t="shared" si="94"/>
        <v>855.7296</v>
      </c>
      <c r="H998" s="2">
        <f t="shared" si="95"/>
        <v>715389.94560000009</v>
      </c>
    </row>
    <row r="999" spans="1:8" x14ac:dyDescent="0.35">
      <c r="A999" s="2">
        <v>836</v>
      </c>
      <c r="B999" s="2">
        <v>13429</v>
      </c>
      <c r="C999" s="2">
        <f t="shared" si="90"/>
        <v>1.3429</v>
      </c>
      <c r="D999" s="2">
        <f t="shared" si="91"/>
        <v>698896</v>
      </c>
      <c r="E999" s="2">
        <f t="shared" si="92"/>
        <v>584277056</v>
      </c>
      <c r="F999" s="2">
        <f t="shared" si="93"/>
        <v>488455618816</v>
      </c>
      <c r="G999" s="2">
        <f t="shared" si="94"/>
        <v>1122.6643999999999</v>
      </c>
      <c r="H999" s="2">
        <f t="shared" si="95"/>
        <v>938547.43839999998</v>
      </c>
    </row>
    <row r="1000" spans="1:8" x14ac:dyDescent="0.35">
      <c r="A1000" s="2">
        <v>836</v>
      </c>
      <c r="B1000" s="2">
        <v>21712</v>
      </c>
      <c r="C1000" s="2">
        <f t="shared" si="90"/>
        <v>2.1711999999999998</v>
      </c>
      <c r="D1000" s="2">
        <f t="shared" si="91"/>
        <v>698896</v>
      </c>
      <c r="E1000" s="2">
        <f t="shared" si="92"/>
        <v>584277056</v>
      </c>
      <c r="F1000" s="2">
        <f t="shared" si="93"/>
        <v>488455618816</v>
      </c>
      <c r="G1000" s="2">
        <f t="shared" si="94"/>
        <v>1815.1231999999998</v>
      </c>
      <c r="H1000" s="2">
        <f t="shared" si="95"/>
        <v>1517442.9951999998</v>
      </c>
    </row>
    <row r="1001" spans="1:8" x14ac:dyDescent="0.35">
      <c r="A1001" s="2">
        <v>836</v>
      </c>
      <c r="B1001" s="2">
        <v>22143</v>
      </c>
      <c r="C1001" s="2">
        <f t="shared" si="90"/>
        <v>2.2143000000000002</v>
      </c>
      <c r="D1001" s="2">
        <f t="shared" si="91"/>
        <v>698896</v>
      </c>
      <c r="E1001" s="2">
        <f t="shared" si="92"/>
        <v>584277056</v>
      </c>
      <c r="F1001" s="2">
        <f t="shared" si="93"/>
        <v>488455618816</v>
      </c>
      <c r="G1001" s="2">
        <f t="shared" si="94"/>
        <v>1851.1548</v>
      </c>
      <c r="H1001" s="2">
        <f t="shared" si="95"/>
        <v>1547565.4128</v>
      </c>
    </row>
    <row r="1002" spans="1:8" x14ac:dyDescent="0.35">
      <c r="A1002" s="2">
        <v>836</v>
      </c>
      <c r="B1002" s="2">
        <v>23286</v>
      </c>
      <c r="C1002" s="2">
        <f t="shared" si="90"/>
        <v>2.3285999999999998</v>
      </c>
      <c r="D1002" s="2">
        <f t="shared" si="91"/>
        <v>698896</v>
      </c>
      <c r="E1002" s="2">
        <f t="shared" si="92"/>
        <v>584277056</v>
      </c>
      <c r="F1002" s="2">
        <f t="shared" si="93"/>
        <v>488455618816</v>
      </c>
      <c r="G1002" s="2">
        <f t="shared" si="94"/>
        <v>1946.7095999999999</v>
      </c>
      <c r="H1002" s="2">
        <f t="shared" si="95"/>
        <v>1627449.2255999998</v>
      </c>
    </row>
    <row r="1003" spans="1:8" x14ac:dyDescent="0.35">
      <c r="A1003" s="2">
        <v>836</v>
      </c>
      <c r="B1003" s="2">
        <v>20452</v>
      </c>
      <c r="C1003" s="2">
        <f t="shared" si="90"/>
        <v>2.0451999999999999</v>
      </c>
      <c r="D1003" s="2">
        <f t="shared" si="91"/>
        <v>698896</v>
      </c>
      <c r="E1003" s="2">
        <f t="shared" si="92"/>
        <v>584277056</v>
      </c>
      <c r="F1003" s="2">
        <f t="shared" si="93"/>
        <v>488455618816</v>
      </c>
      <c r="G1003" s="2">
        <f t="shared" si="94"/>
        <v>1709.7872</v>
      </c>
      <c r="H1003" s="2">
        <f t="shared" si="95"/>
        <v>1429382.0991999998</v>
      </c>
    </row>
    <row r="1004" spans="1:8" x14ac:dyDescent="0.35">
      <c r="A1004" s="2">
        <v>836</v>
      </c>
      <c r="B1004" s="2">
        <v>20375</v>
      </c>
      <c r="C1004" s="2">
        <f t="shared" si="90"/>
        <v>2.0375000000000001</v>
      </c>
      <c r="D1004" s="2">
        <f t="shared" si="91"/>
        <v>698896</v>
      </c>
      <c r="E1004" s="2">
        <f t="shared" si="92"/>
        <v>584277056</v>
      </c>
      <c r="F1004" s="2">
        <f t="shared" si="93"/>
        <v>488455618816</v>
      </c>
      <c r="G1004" s="2">
        <f t="shared" si="94"/>
        <v>1703.3500000000001</v>
      </c>
      <c r="H1004" s="2">
        <f t="shared" si="95"/>
        <v>1424000.6</v>
      </c>
    </row>
    <row r="1005" spans="1:8" x14ac:dyDescent="0.35">
      <c r="A1005" s="2">
        <v>836</v>
      </c>
      <c r="B1005" s="2">
        <v>10034</v>
      </c>
      <c r="C1005" s="2">
        <f t="shared" si="90"/>
        <v>1.0034000000000001</v>
      </c>
      <c r="D1005" s="2">
        <f t="shared" si="91"/>
        <v>698896</v>
      </c>
      <c r="E1005" s="2">
        <f t="shared" si="92"/>
        <v>584277056</v>
      </c>
      <c r="F1005" s="2">
        <f t="shared" si="93"/>
        <v>488455618816</v>
      </c>
      <c r="G1005" s="2">
        <f t="shared" si="94"/>
        <v>838.84240000000011</v>
      </c>
      <c r="H1005" s="2">
        <f t="shared" si="95"/>
        <v>701272.24640000006</v>
      </c>
    </row>
    <row r="1006" spans="1:8" x14ac:dyDescent="0.35">
      <c r="A1006" s="2">
        <v>836</v>
      </c>
      <c r="B1006" s="2">
        <v>16910</v>
      </c>
      <c r="C1006" s="2">
        <f t="shared" si="90"/>
        <v>1.6910000000000001</v>
      </c>
      <c r="D1006" s="2">
        <f t="shared" si="91"/>
        <v>698896</v>
      </c>
      <c r="E1006" s="2">
        <f t="shared" si="92"/>
        <v>584277056</v>
      </c>
      <c r="F1006" s="2">
        <f t="shared" si="93"/>
        <v>488455618816</v>
      </c>
      <c r="G1006" s="2">
        <f t="shared" si="94"/>
        <v>1413.6760000000002</v>
      </c>
      <c r="H1006" s="2">
        <f t="shared" si="95"/>
        <v>1181833.1359999999</v>
      </c>
    </row>
    <row r="1007" spans="1:8" x14ac:dyDescent="0.35">
      <c r="A1007" s="2">
        <v>836</v>
      </c>
      <c r="B1007" s="2">
        <v>6861</v>
      </c>
      <c r="C1007" s="2">
        <f t="shared" si="90"/>
        <v>0.68610000000000004</v>
      </c>
      <c r="D1007" s="2">
        <f t="shared" si="91"/>
        <v>698896</v>
      </c>
      <c r="E1007" s="2">
        <f t="shared" si="92"/>
        <v>584277056</v>
      </c>
      <c r="F1007" s="2">
        <f t="shared" si="93"/>
        <v>488455618816</v>
      </c>
      <c r="G1007" s="2">
        <f t="shared" si="94"/>
        <v>573.57960000000003</v>
      </c>
      <c r="H1007" s="2">
        <f t="shared" si="95"/>
        <v>479512.54560000001</v>
      </c>
    </row>
    <row r="1008" spans="1:8" x14ac:dyDescent="0.35">
      <c r="A1008" s="2">
        <v>836</v>
      </c>
      <c r="B1008" s="2">
        <v>11265</v>
      </c>
      <c r="C1008" s="2">
        <f t="shared" si="90"/>
        <v>1.1265000000000001</v>
      </c>
      <c r="D1008" s="2">
        <f t="shared" si="91"/>
        <v>698896</v>
      </c>
      <c r="E1008" s="2">
        <f t="shared" si="92"/>
        <v>584277056</v>
      </c>
      <c r="F1008" s="2">
        <f t="shared" si="93"/>
        <v>488455618816</v>
      </c>
      <c r="G1008" s="2">
        <f t="shared" si="94"/>
        <v>941.75400000000002</v>
      </c>
      <c r="H1008" s="2">
        <f t="shared" si="95"/>
        <v>787306.34400000004</v>
      </c>
    </row>
    <row r="1009" spans="1:8" x14ac:dyDescent="0.35">
      <c r="A1009" s="2">
        <v>836</v>
      </c>
      <c r="B1009" s="2">
        <v>10822</v>
      </c>
      <c r="C1009" s="2">
        <f t="shared" si="90"/>
        <v>1.0822000000000001</v>
      </c>
      <c r="D1009" s="2">
        <f t="shared" si="91"/>
        <v>698896</v>
      </c>
      <c r="E1009" s="2">
        <f t="shared" si="92"/>
        <v>584277056</v>
      </c>
      <c r="F1009" s="2">
        <f t="shared" si="93"/>
        <v>488455618816</v>
      </c>
      <c r="G1009" s="2">
        <f t="shared" si="94"/>
        <v>904.7192</v>
      </c>
      <c r="H1009" s="2">
        <f t="shared" si="95"/>
        <v>756345.25120000006</v>
      </c>
    </row>
    <row r="1010" spans="1:8" x14ac:dyDescent="0.35">
      <c r="A1010" s="2">
        <v>836</v>
      </c>
      <c r="B1010" s="2">
        <v>11595</v>
      </c>
      <c r="C1010" s="2">
        <f t="shared" si="90"/>
        <v>1.1595</v>
      </c>
      <c r="D1010" s="2">
        <f t="shared" si="91"/>
        <v>698896</v>
      </c>
      <c r="E1010" s="2">
        <f t="shared" si="92"/>
        <v>584277056</v>
      </c>
      <c r="F1010" s="2">
        <f t="shared" si="93"/>
        <v>488455618816</v>
      </c>
      <c r="G1010" s="2">
        <f t="shared" si="94"/>
        <v>969.34199999999998</v>
      </c>
      <c r="H1010" s="2">
        <f t="shared" si="95"/>
        <v>810369.91200000001</v>
      </c>
    </row>
    <row r="1011" spans="1:8" x14ac:dyDescent="0.35">
      <c r="A1011" s="2">
        <v>836</v>
      </c>
      <c r="B1011" s="2">
        <v>12168</v>
      </c>
      <c r="C1011" s="2">
        <f t="shared" si="90"/>
        <v>1.2168000000000001</v>
      </c>
      <c r="D1011" s="2">
        <f t="shared" si="91"/>
        <v>698896</v>
      </c>
      <c r="E1011" s="2">
        <f t="shared" si="92"/>
        <v>584277056</v>
      </c>
      <c r="F1011" s="2">
        <f t="shared" si="93"/>
        <v>488455618816</v>
      </c>
      <c r="G1011" s="2">
        <f t="shared" si="94"/>
        <v>1017.2448000000001</v>
      </c>
      <c r="H1011" s="2">
        <f t="shared" si="95"/>
        <v>850416.65280000004</v>
      </c>
    </row>
    <row r="1012" spans="1:8" x14ac:dyDescent="0.35">
      <c r="A1012" s="2">
        <v>836</v>
      </c>
      <c r="B1012" s="2">
        <v>8526</v>
      </c>
      <c r="C1012" s="2">
        <f t="shared" si="90"/>
        <v>0.85260000000000002</v>
      </c>
      <c r="D1012" s="2">
        <f t="shared" si="91"/>
        <v>698896</v>
      </c>
      <c r="E1012" s="2">
        <f t="shared" si="92"/>
        <v>584277056</v>
      </c>
      <c r="F1012" s="2">
        <f t="shared" si="93"/>
        <v>488455618816</v>
      </c>
      <c r="G1012" s="2">
        <f t="shared" si="94"/>
        <v>712.77359999999999</v>
      </c>
      <c r="H1012" s="2">
        <f t="shared" si="95"/>
        <v>595878.72959999996</v>
      </c>
    </row>
    <row r="1013" spans="1:8" x14ac:dyDescent="0.35">
      <c r="A1013" s="2">
        <v>836</v>
      </c>
      <c r="B1013" s="2">
        <v>10501</v>
      </c>
      <c r="C1013" s="2">
        <f t="shared" si="90"/>
        <v>1.0501</v>
      </c>
      <c r="D1013" s="2">
        <f t="shared" si="91"/>
        <v>698896</v>
      </c>
      <c r="E1013" s="2">
        <f t="shared" si="92"/>
        <v>584277056</v>
      </c>
      <c r="F1013" s="2">
        <f t="shared" si="93"/>
        <v>488455618816</v>
      </c>
      <c r="G1013" s="2">
        <f t="shared" si="94"/>
        <v>877.8836</v>
      </c>
      <c r="H1013" s="2">
        <f t="shared" si="95"/>
        <v>733910.68960000004</v>
      </c>
    </row>
    <row r="1014" spans="1:8" x14ac:dyDescent="0.35">
      <c r="A1014" s="2">
        <v>836</v>
      </c>
      <c r="B1014" s="2">
        <v>7041</v>
      </c>
      <c r="C1014" s="2">
        <f t="shared" si="90"/>
        <v>0.70409999999999995</v>
      </c>
      <c r="D1014" s="2">
        <f t="shared" si="91"/>
        <v>698896</v>
      </c>
      <c r="E1014" s="2">
        <f t="shared" si="92"/>
        <v>584277056</v>
      </c>
      <c r="F1014" s="2">
        <f t="shared" si="93"/>
        <v>488455618816</v>
      </c>
      <c r="G1014" s="2">
        <f t="shared" si="94"/>
        <v>588.62759999999992</v>
      </c>
      <c r="H1014" s="2">
        <f t="shared" si="95"/>
        <v>492092.67359999998</v>
      </c>
    </row>
    <row r="1015" spans="1:8" x14ac:dyDescent="0.35">
      <c r="A1015" s="2">
        <v>836</v>
      </c>
      <c r="B1015" s="2">
        <v>7717</v>
      </c>
      <c r="C1015" s="2">
        <f t="shared" si="90"/>
        <v>0.77170000000000005</v>
      </c>
      <c r="D1015" s="2">
        <f t="shared" si="91"/>
        <v>698896</v>
      </c>
      <c r="E1015" s="2">
        <f t="shared" si="92"/>
        <v>584277056</v>
      </c>
      <c r="F1015" s="2">
        <f t="shared" si="93"/>
        <v>488455618816</v>
      </c>
      <c r="G1015" s="2">
        <f t="shared" si="94"/>
        <v>645.14120000000003</v>
      </c>
      <c r="H1015" s="2">
        <f t="shared" si="95"/>
        <v>539338.04320000007</v>
      </c>
    </row>
    <row r="1016" spans="1:8" x14ac:dyDescent="0.35">
      <c r="A1016" s="2">
        <v>836</v>
      </c>
      <c r="B1016" s="2">
        <v>7424</v>
      </c>
      <c r="C1016" s="2">
        <f t="shared" si="90"/>
        <v>0.74239999999999995</v>
      </c>
      <c r="D1016" s="2">
        <f t="shared" si="91"/>
        <v>698896</v>
      </c>
      <c r="E1016" s="2">
        <f t="shared" si="92"/>
        <v>584277056</v>
      </c>
      <c r="F1016" s="2">
        <f t="shared" si="93"/>
        <v>488455618816</v>
      </c>
      <c r="G1016" s="2">
        <f t="shared" si="94"/>
        <v>620.64639999999997</v>
      </c>
      <c r="H1016" s="2">
        <f t="shared" si="95"/>
        <v>518860.39039999997</v>
      </c>
    </row>
    <row r="1017" spans="1:8" x14ac:dyDescent="0.35">
      <c r="A1017" s="2">
        <v>1187</v>
      </c>
      <c r="B1017" s="2">
        <v>11765</v>
      </c>
      <c r="C1017" s="2">
        <f t="shared" si="90"/>
        <v>1.1765000000000001</v>
      </c>
      <c r="D1017" s="2">
        <f t="shared" si="91"/>
        <v>1408969</v>
      </c>
      <c r="E1017" s="2">
        <f t="shared" si="92"/>
        <v>1672446203</v>
      </c>
      <c r="F1017" s="2">
        <f t="shared" si="93"/>
        <v>1985193642961</v>
      </c>
      <c r="G1017" s="2">
        <f t="shared" si="94"/>
        <v>1396.5055000000002</v>
      </c>
      <c r="H1017" s="2">
        <f t="shared" si="95"/>
        <v>1657652.0285000002</v>
      </c>
    </row>
    <row r="1018" spans="1:8" x14ac:dyDescent="0.35">
      <c r="A1018" s="2">
        <v>1187</v>
      </c>
      <c r="B1018" s="2">
        <v>9146</v>
      </c>
      <c r="C1018" s="2">
        <f t="shared" si="90"/>
        <v>0.91459999999999997</v>
      </c>
      <c r="D1018" s="2">
        <f t="shared" si="91"/>
        <v>1408969</v>
      </c>
      <c r="E1018" s="2">
        <f t="shared" si="92"/>
        <v>1672446203</v>
      </c>
      <c r="F1018" s="2">
        <f t="shared" si="93"/>
        <v>1985193642961</v>
      </c>
      <c r="G1018" s="2">
        <f t="shared" si="94"/>
        <v>1085.6302000000001</v>
      </c>
      <c r="H1018" s="2">
        <f t="shared" si="95"/>
        <v>1288643.0474</v>
      </c>
    </row>
    <row r="1019" spans="1:8" x14ac:dyDescent="0.35">
      <c r="A1019" s="2">
        <v>1187</v>
      </c>
      <c r="B1019" s="2">
        <v>11208</v>
      </c>
      <c r="C1019" s="2">
        <f t="shared" si="90"/>
        <v>1.1208</v>
      </c>
      <c r="D1019" s="2">
        <f t="shared" si="91"/>
        <v>1408969</v>
      </c>
      <c r="E1019" s="2">
        <f t="shared" si="92"/>
        <v>1672446203</v>
      </c>
      <c r="F1019" s="2">
        <f t="shared" si="93"/>
        <v>1985193642961</v>
      </c>
      <c r="G1019" s="2">
        <f t="shared" si="94"/>
        <v>1330.3896</v>
      </c>
      <c r="H1019" s="2">
        <f t="shared" si="95"/>
        <v>1579172.4552</v>
      </c>
    </row>
    <row r="1020" spans="1:8" x14ac:dyDescent="0.35">
      <c r="A1020" s="2">
        <v>1187</v>
      </c>
      <c r="B1020" s="2">
        <v>10293</v>
      </c>
      <c r="C1020" s="2">
        <f t="shared" si="90"/>
        <v>1.0293000000000001</v>
      </c>
      <c r="D1020" s="2">
        <f t="shared" si="91"/>
        <v>1408969</v>
      </c>
      <c r="E1020" s="2">
        <f t="shared" si="92"/>
        <v>1672446203</v>
      </c>
      <c r="F1020" s="2">
        <f t="shared" si="93"/>
        <v>1985193642961</v>
      </c>
      <c r="G1020" s="2">
        <f t="shared" si="94"/>
        <v>1221.7791000000002</v>
      </c>
      <c r="H1020" s="2">
        <f t="shared" si="95"/>
        <v>1450251.7917000002</v>
      </c>
    </row>
    <row r="1021" spans="1:8" x14ac:dyDescent="0.35">
      <c r="A1021" s="2">
        <v>1187</v>
      </c>
      <c r="B1021" s="2">
        <v>16510</v>
      </c>
      <c r="C1021" s="2">
        <f t="shared" si="90"/>
        <v>1.651</v>
      </c>
      <c r="D1021" s="2">
        <f t="shared" si="91"/>
        <v>1408969</v>
      </c>
      <c r="E1021" s="2">
        <f t="shared" si="92"/>
        <v>1672446203</v>
      </c>
      <c r="F1021" s="2">
        <f t="shared" si="93"/>
        <v>1985193642961</v>
      </c>
      <c r="G1021" s="2">
        <f t="shared" si="94"/>
        <v>1959.7370000000001</v>
      </c>
      <c r="H1021" s="2">
        <f t="shared" si="95"/>
        <v>2326207.8190000001</v>
      </c>
    </row>
    <row r="1022" spans="1:8" x14ac:dyDescent="0.35">
      <c r="A1022" s="2">
        <v>1187</v>
      </c>
      <c r="B1022" s="2">
        <v>15901</v>
      </c>
      <c r="C1022" s="2">
        <f t="shared" si="90"/>
        <v>1.5901000000000001</v>
      </c>
      <c r="D1022" s="2">
        <f t="shared" si="91"/>
        <v>1408969</v>
      </c>
      <c r="E1022" s="2">
        <f t="shared" si="92"/>
        <v>1672446203</v>
      </c>
      <c r="F1022" s="2">
        <f t="shared" si="93"/>
        <v>1985193642961</v>
      </c>
      <c r="G1022" s="2">
        <f t="shared" si="94"/>
        <v>1887.4487000000001</v>
      </c>
      <c r="H1022" s="2">
        <f t="shared" si="95"/>
        <v>2240401.6069</v>
      </c>
    </row>
    <row r="1023" spans="1:8" x14ac:dyDescent="0.35">
      <c r="A1023" s="2">
        <v>1187</v>
      </c>
      <c r="B1023" s="2">
        <v>16499</v>
      </c>
      <c r="C1023" s="2">
        <f t="shared" si="90"/>
        <v>1.6498999999999999</v>
      </c>
      <c r="D1023" s="2">
        <f t="shared" si="91"/>
        <v>1408969</v>
      </c>
      <c r="E1023" s="2">
        <f t="shared" si="92"/>
        <v>1672446203</v>
      </c>
      <c r="F1023" s="2">
        <f t="shared" si="93"/>
        <v>1985193642961</v>
      </c>
      <c r="G1023" s="2">
        <f t="shared" si="94"/>
        <v>1958.4313</v>
      </c>
      <c r="H1023" s="2">
        <f t="shared" si="95"/>
        <v>2324657.9531</v>
      </c>
    </row>
    <row r="1024" spans="1:8" x14ac:dyDescent="0.35">
      <c r="A1024" s="2">
        <v>1187</v>
      </c>
      <c r="B1024" s="2">
        <v>20389</v>
      </c>
      <c r="C1024" s="2">
        <f t="shared" si="90"/>
        <v>2.0388999999999999</v>
      </c>
      <c r="D1024" s="2">
        <f t="shared" si="91"/>
        <v>1408969</v>
      </c>
      <c r="E1024" s="2">
        <f t="shared" si="92"/>
        <v>1672446203</v>
      </c>
      <c r="F1024" s="2">
        <f t="shared" si="93"/>
        <v>1985193642961</v>
      </c>
      <c r="G1024" s="2">
        <f t="shared" si="94"/>
        <v>2420.1743000000001</v>
      </c>
      <c r="H1024" s="2">
        <f t="shared" si="95"/>
        <v>2872746.8940999997</v>
      </c>
    </row>
    <row r="1025" spans="1:8" x14ac:dyDescent="0.35">
      <c r="A1025" s="2">
        <v>1187</v>
      </c>
      <c r="B1025" s="2">
        <v>20062</v>
      </c>
      <c r="C1025" s="2">
        <f t="shared" si="90"/>
        <v>2.0062000000000002</v>
      </c>
      <c r="D1025" s="2">
        <f t="shared" si="91"/>
        <v>1408969</v>
      </c>
      <c r="E1025" s="2">
        <f t="shared" si="92"/>
        <v>1672446203</v>
      </c>
      <c r="F1025" s="2">
        <f t="shared" si="93"/>
        <v>1985193642961</v>
      </c>
      <c r="G1025" s="2">
        <f t="shared" si="94"/>
        <v>2381.3594000000003</v>
      </c>
      <c r="H1025" s="2">
        <f t="shared" si="95"/>
        <v>2826673.6078000003</v>
      </c>
    </row>
    <row r="1026" spans="1:8" x14ac:dyDescent="0.35">
      <c r="A1026" s="2">
        <v>1187</v>
      </c>
      <c r="B1026" s="2">
        <v>20192</v>
      </c>
      <c r="C1026" s="2">
        <f t="shared" si="90"/>
        <v>2.0192000000000001</v>
      </c>
      <c r="D1026" s="2">
        <f t="shared" si="91"/>
        <v>1408969</v>
      </c>
      <c r="E1026" s="2">
        <f t="shared" si="92"/>
        <v>1672446203</v>
      </c>
      <c r="F1026" s="2">
        <f t="shared" si="93"/>
        <v>1985193642961</v>
      </c>
      <c r="G1026" s="2">
        <f t="shared" si="94"/>
        <v>2396.7904000000003</v>
      </c>
      <c r="H1026" s="2">
        <f t="shared" si="95"/>
        <v>2844990.2047999999</v>
      </c>
    </row>
    <row r="1027" spans="1:8" x14ac:dyDescent="0.35">
      <c r="A1027" s="2">
        <v>1187</v>
      </c>
      <c r="B1027" s="2">
        <v>20496</v>
      </c>
      <c r="C1027" s="2">
        <f t="shared" ref="C1027:C1090" si="96">B1027/10000</f>
        <v>2.0495999999999999</v>
      </c>
      <c r="D1027" s="2">
        <f t="shared" ref="D1027:D1090" si="97">A1027^2</f>
        <v>1408969</v>
      </c>
      <c r="E1027" s="2">
        <f t="shared" ref="E1027:E1090" si="98">A1027^3</f>
        <v>1672446203</v>
      </c>
      <c r="F1027" s="2">
        <f t="shared" ref="F1027:F1090" si="99">A1027^4</f>
        <v>1985193642961</v>
      </c>
      <c r="G1027" s="2">
        <f t="shared" ref="G1027:G1090" si="100">A1027*C1027</f>
        <v>2432.8751999999999</v>
      </c>
      <c r="H1027" s="2">
        <f t="shared" ref="H1027:H1090" si="101">D1027*C1027</f>
        <v>2887822.8624</v>
      </c>
    </row>
    <row r="1028" spans="1:8" x14ac:dyDescent="0.35">
      <c r="A1028" s="2">
        <v>1187</v>
      </c>
      <c r="B1028" s="2">
        <v>16746</v>
      </c>
      <c r="C1028" s="2">
        <f t="shared" si="96"/>
        <v>1.6746000000000001</v>
      </c>
      <c r="D1028" s="2">
        <f t="shared" si="97"/>
        <v>1408969</v>
      </c>
      <c r="E1028" s="2">
        <f t="shared" si="98"/>
        <v>1672446203</v>
      </c>
      <c r="F1028" s="2">
        <f t="shared" si="99"/>
        <v>1985193642961</v>
      </c>
      <c r="G1028" s="2">
        <f t="shared" si="100"/>
        <v>1987.7502000000002</v>
      </c>
      <c r="H1028" s="2">
        <f t="shared" si="101"/>
        <v>2359459.4874</v>
      </c>
    </row>
    <row r="1029" spans="1:8" x14ac:dyDescent="0.35">
      <c r="A1029" s="2">
        <v>1187</v>
      </c>
      <c r="B1029" s="2">
        <v>14847</v>
      </c>
      <c r="C1029" s="2">
        <f t="shared" si="96"/>
        <v>1.4846999999999999</v>
      </c>
      <c r="D1029" s="2">
        <f t="shared" si="97"/>
        <v>1408969</v>
      </c>
      <c r="E1029" s="2">
        <f t="shared" si="98"/>
        <v>1672446203</v>
      </c>
      <c r="F1029" s="2">
        <f t="shared" si="99"/>
        <v>1985193642961</v>
      </c>
      <c r="G1029" s="2">
        <f t="shared" si="100"/>
        <v>1762.3389</v>
      </c>
      <c r="H1029" s="2">
        <f t="shared" si="101"/>
        <v>2091896.2742999999</v>
      </c>
    </row>
    <row r="1030" spans="1:8" x14ac:dyDescent="0.35">
      <c r="A1030" s="2">
        <v>1187</v>
      </c>
      <c r="B1030" s="2">
        <v>19919</v>
      </c>
      <c r="C1030" s="2">
        <f t="shared" si="96"/>
        <v>1.9919</v>
      </c>
      <c r="D1030" s="2">
        <f t="shared" si="97"/>
        <v>1408969</v>
      </c>
      <c r="E1030" s="2">
        <f t="shared" si="98"/>
        <v>1672446203</v>
      </c>
      <c r="F1030" s="2">
        <f t="shared" si="99"/>
        <v>1985193642961</v>
      </c>
      <c r="G1030" s="2">
        <f t="shared" si="100"/>
        <v>2364.3852999999999</v>
      </c>
      <c r="H1030" s="2">
        <f t="shared" si="101"/>
        <v>2806525.3511000001</v>
      </c>
    </row>
    <row r="1031" spans="1:8" x14ac:dyDescent="0.35">
      <c r="A1031" s="2">
        <v>1187</v>
      </c>
      <c r="B1031" s="2">
        <v>21589</v>
      </c>
      <c r="C1031" s="2">
        <f t="shared" si="96"/>
        <v>2.1589</v>
      </c>
      <c r="D1031" s="2">
        <f t="shared" si="97"/>
        <v>1408969</v>
      </c>
      <c r="E1031" s="2">
        <f t="shared" si="98"/>
        <v>1672446203</v>
      </c>
      <c r="F1031" s="2">
        <f t="shared" si="99"/>
        <v>1985193642961</v>
      </c>
      <c r="G1031" s="2">
        <f t="shared" si="100"/>
        <v>2562.6143000000002</v>
      </c>
      <c r="H1031" s="2">
        <f t="shared" si="101"/>
        <v>3041823.1740999999</v>
      </c>
    </row>
    <row r="1032" spans="1:8" x14ac:dyDescent="0.35">
      <c r="A1032" s="2">
        <v>1187</v>
      </c>
      <c r="B1032" s="2">
        <v>20185</v>
      </c>
      <c r="C1032" s="2">
        <f t="shared" si="96"/>
        <v>2.0185</v>
      </c>
      <c r="D1032" s="2">
        <f t="shared" si="97"/>
        <v>1408969</v>
      </c>
      <c r="E1032" s="2">
        <f t="shared" si="98"/>
        <v>1672446203</v>
      </c>
      <c r="F1032" s="2">
        <f t="shared" si="99"/>
        <v>1985193642961</v>
      </c>
      <c r="G1032" s="2">
        <f t="shared" si="100"/>
        <v>2395.9594999999999</v>
      </c>
      <c r="H1032" s="2">
        <f t="shared" si="101"/>
        <v>2844003.9265000001</v>
      </c>
    </row>
    <row r="1033" spans="1:8" x14ac:dyDescent="0.35">
      <c r="A1033" s="2">
        <v>1187</v>
      </c>
      <c r="B1033" s="2">
        <v>22799</v>
      </c>
      <c r="C1033" s="2">
        <f t="shared" si="96"/>
        <v>2.2799</v>
      </c>
      <c r="D1033" s="2">
        <f t="shared" si="97"/>
        <v>1408969</v>
      </c>
      <c r="E1033" s="2">
        <f t="shared" si="98"/>
        <v>1672446203</v>
      </c>
      <c r="F1033" s="2">
        <f t="shared" si="99"/>
        <v>1985193642961</v>
      </c>
      <c r="G1033" s="2">
        <f t="shared" si="100"/>
        <v>2706.2413000000001</v>
      </c>
      <c r="H1033" s="2">
        <f t="shared" si="101"/>
        <v>3212308.4231000002</v>
      </c>
    </row>
    <row r="1034" spans="1:8" x14ac:dyDescent="0.35">
      <c r="A1034" s="2">
        <v>1187</v>
      </c>
      <c r="B1034" s="2">
        <v>20253</v>
      </c>
      <c r="C1034" s="2">
        <f t="shared" si="96"/>
        <v>2.0253000000000001</v>
      </c>
      <c r="D1034" s="2">
        <f t="shared" si="97"/>
        <v>1408969</v>
      </c>
      <c r="E1034" s="2">
        <f t="shared" si="98"/>
        <v>1672446203</v>
      </c>
      <c r="F1034" s="2">
        <f t="shared" si="99"/>
        <v>1985193642961</v>
      </c>
      <c r="G1034" s="2">
        <f t="shared" si="100"/>
        <v>2404.0311000000002</v>
      </c>
      <c r="H1034" s="2">
        <f t="shared" si="101"/>
        <v>2853584.9157000002</v>
      </c>
    </row>
    <row r="1035" spans="1:8" x14ac:dyDescent="0.35">
      <c r="A1035" s="2">
        <v>1187</v>
      </c>
      <c r="B1035" s="2">
        <v>23917</v>
      </c>
      <c r="C1035" s="2">
        <f t="shared" si="96"/>
        <v>2.3917000000000002</v>
      </c>
      <c r="D1035" s="2">
        <f t="shared" si="97"/>
        <v>1408969</v>
      </c>
      <c r="E1035" s="2">
        <f t="shared" si="98"/>
        <v>1672446203</v>
      </c>
      <c r="F1035" s="2">
        <f t="shared" si="99"/>
        <v>1985193642961</v>
      </c>
      <c r="G1035" s="2">
        <f t="shared" si="100"/>
        <v>2838.9479000000001</v>
      </c>
      <c r="H1035" s="2">
        <f t="shared" si="101"/>
        <v>3369831.1573000001</v>
      </c>
    </row>
    <row r="1036" spans="1:8" x14ac:dyDescent="0.35">
      <c r="A1036" s="2">
        <v>1187</v>
      </c>
      <c r="B1036" s="2">
        <v>20000</v>
      </c>
      <c r="C1036" s="2">
        <f t="shared" si="96"/>
        <v>2</v>
      </c>
      <c r="D1036" s="2">
        <f t="shared" si="97"/>
        <v>1408969</v>
      </c>
      <c r="E1036" s="2">
        <f t="shared" si="98"/>
        <v>1672446203</v>
      </c>
      <c r="F1036" s="2">
        <f t="shared" si="99"/>
        <v>1985193642961</v>
      </c>
      <c r="G1036" s="2">
        <f t="shared" si="100"/>
        <v>2374</v>
      </c>
      <c r="H1036" s="2">
        <f t="shared" si="101"/>
        <v>2817938</v>
      </c>
    </row>
    <row r="1037" spans="1:8" x14ac:dyDescent="0.35">
      <c r="A1037" s="2">
        <v>1187</v>
      </c>
      <c r="B1037" s="2">
        <v>17015</v>
      </c>
      <c r="C1037" s="2">
        <f t="shared" si="96"/>
        <v>1.7015</v>
      </c>
      <c r="D1037" s="2">
        <f t="shared" si="97"/>
        <v>1408969</v>
      </c>
      <c r="E1037" s="2">
        <f t="shared" si="98"/>
        <v>1672446203</v>
      </c>
      <c r="F1037" s="2">
        <f t="shared" si="99"/>
        <v>1985193642961</v>
      </c>
      <c r="G1037" s="2">
        <f t="shared" si="100"/>
        <v>2019.6804999999999</v>
      </c>
      <c r="H1037" s="2">
        <f t="shared" si="101"/>
        <v>2397360.7535000001</v>
      </c>
    </row>
    <row r="1038" spans="1:8" x14ac:dyDescent="0.35">
      <c r="A1038" s="2">
        <v>1187</v>
      </c>
      <c r="B1038" s="2">
        <v>22735</v>
      </c>
      <c r="C1038" s="2">
        <f t="shared" si="96"/>
        <v>2.2734999999999999</v>
      </c>
      <c r="D1038" s="2">
        <f t="shared" si="97"/>
        <v>1408969</v>
      </c>
      <c r="E1038" s="2">
        <f t="shared" si="98"/>
        <v>1672446203</v>
      </c>
      <c r="F1038" s="2">
        <f t="shared" si="99"/>
        <v>1985193642961</v>
      </c>
      <c r="G1038" s="2">
        <f t="shared" si="100"/>
        <v>2698.6444999999999</v>
      </c>
      <c r="H1038" s="2">
        <f t="shared" si="101"/>
        <v>3203291.0214999998</v>
      </c>
    </row>
    <row r="1039" spans="1:8" x14ac:dyDescent="0.35">
      <c r="A1039" s="2">
        <v>1187</v>
      </c>
      <c r="B1039" s="2">
        <v>24109</v>
      </c>
      <c r="C1039" s="2">
        <f t="shared" si="96"/>
        <v>2.4108999999999998</v>
      </c>
      <c r="D1039" s="2">
        <f t="shared" si="97"/>
        <v>1408969</v>
      </c>
      <c r="E1039" s="2">
        <f t="shared" si="98"/>
        <v>1672446203</v>
      </c>
      <c r="F1039" s="2">
        <f t="shared" si="99"/>
        <v>1985193642961</v>
      </c>
      <c r="G1039" s="2">
        <f t="shared" si="100"/>
        <v>2861.7383</v>
      </c>
      <c r="H1039" s="2">
        <f t="shared" si="101"/>
        <v>3396883.3620999996</v>
      </c>
    </row>
    <row r="1040" spans="1:8" x14ac:dyDescent="0.35">
      <c r="A1040" s="2">
        <v>1187</v>
      </c>
      <c r="B1040" s="2">
        <v>27126</v>
      </c>
      <c r="C1040" s="2">
        <f t="shared" si="96"/>
        <v>2.7126000000000001</v>
      </c>
      <c r="D1040" s="2">
        <f t="shared" si="97"/>
        <v>1408969</v>
      </c>
      <c r="E1040" s="2">
        <f t="shared" si="98"/>
        <v>1672446203</v>
      </c>
      <c r="F1040" s="2">
        <f t="shared" si="99"/>
        <v>1985193642961</v>
      </c>
      <c r="G1040" s="2">
        <f t="shared" si="100"/>
        <v>3219.8562000000002</v>
      </c>
      <c r="H1040" s="2">
        <f t="shared" si="101"/>
        <v>3821969.3094000001</v>
      </c>
    </row>
    <row r="1041" spans="1:8" x14ac:dyDescent="0.35">
      <c r="A1041" s="2">
        <v>1187</v>
      </c>
      <c r="B1041" s="2">
        <v>23495</v>
      </c>
      <c r="C1041" s="2">
        <f t="shared" si="96"/>
        <v>2.3494999999999999</v>
      </c>
      <c r="D1041" s="2">
        <f t="shared" si="97"/>
        <v>1408969</v>
      </c>
      <c r="E1041" s="2">
        <f t="shared" si="98"/>
        <v>1672446203</v>
      </c>
      <c r="F1041" s="2">
        <f t="shared" si="99"/>
        <v>1985193642961</v>
      </c>
      <c r="G1041" s="2">
        <f t="shared" si="100"/>
        <v>2788.8564999999999</v>
      </c>
      <c r="H1041" s="2">
        <f t="shared" si="101"/>
        <v>3310372.6655000001</v>
      </c>
    </row>
    <row r="1042" spans="1:8" x14ac:dyDescent="0.35">
      <c r="A1042" s="2">
        <v>1187</v>
      </c>
      <c r="B1042" s="2">
        <v>25386</v>
      </c>
      <c r="C1042" s="2">
        <f t="shared" si="96"/>
        <v>2.5386000000000002</v>
      </c>
      <c r="D1042" s="2">
        <f t="shared" si="97"/>
        <v>1408969</v>
      </c>
      <c r="E1042" s="2">
        <f t="shared" si="98"/>
        <v>1672446203</v>
      </c>
      <c r="F1042" s="2">
        <f t="shared" si="99"/>
        <v>1985193642961</v>
      </c>
      <c r="G1042" s="2">
        <f t="shared" si="100"/>
        <v>3013.3182000000002</v>
      </c>
      <c r="H1042" s="2">
        <f t="shared" si="101"/>
        <v>3576808.7034000005</v>
      </c>
    </row>
    <row r="1043" spans="1:8" x14ac:dyDescent="0.35">
      <c r="A1043" s="2">
        <v>1187</v>
      </c>
      <c r="B1043" s="2">
        <v>26378</v>
      </c>
      <c r="C1043" s="2">
        <f t="shared" si="96"/>
        <v>2.6377999999999999</v>
      </c>
      <c r="D1043" s="2">
        <f t="shared" si="97"/>
        <v>1408969</v>
      </c>
      <c r="E1043" s="2">
        <f t="shared" si="98"/>
        <v>1672446203</v>
      </c>
      <c r="F1043" s="2">
        <f t="shared" si="99"/>
        <v>1985193642961</v>
      </c>
      <c r="G1043" s="2">
        <f t="shared" si="100"/>
        <v>3131.0686000000001</v>
      </c>
      <c r="H1043" s="2">
        <f t="shared" si="101"/>
        <v>3716578.4282</v>
      </c>
    </row>
    <row r="1044" spans="1:8" x14ac:dyDescent="0.35">
      <c r="A1044" s="2">
        <v>1187</v>
      </c>
      <c r="B1044" s="2">
        <v>26964</v>
      </c>
      <c r="C1044" s="2">
        <f t="shared" si="96"/>
        <v>2.6964000000000001</v>
      </c>
      <c r="D1044" s="2">
        <f t="shared" si="97"/>
        <v>1408969</v>
      </c>
      <c r="E1044" s="2">
        <f t="shared" si="98"/>
        <v>1672446203</v>
      </c>
      <c r="F1044" s="2">
        <f t="shared" si="99"/>
        <v>1985193642961</v>
      </c>
      <c r="G1044" s="2">
        <f t="shared" si="100"/>
        <v>3200.6268</v>
      </c>
      <c r="H1044" s="2">
        <f t="shared" si="101"/>
        <v>3799144.0116000003</v>
      </c>
    </row>
    <row r="1045" spans="1:8" x14ac:dyDescent="0.35">
      <c r="A1045" s="2">
        <v>1187</v>
      </c>
      <c r="B1045" s="2">
        <v>27500</v>
      </c>
      <c r="C1045" s="2">
        <f t="shared" si="96"/>
        <v>2.75</v>
      </c>
      <c r="D1045" s="2">
        <f t="shared" si="97"/>
        <v>1408969</v>
      </c>
      <c r="E1045" s="2">
        <f t="shared" si="98"/>
        <v>1672446203</v>
      </c>
      <c r="F1045" s="2">
        <f t="shared" si="99"/>
        <v>1985193642961</v>
      </c>
      <c r="G1045" s="2">
        <f t="shared" si="100"/>
        <v>3264.25</v>
      </c>
      <c r="H1045" s="2">
        <f t="shared" si="101"/>
        <v>3874664.75</v>
      </c>
    </row>
    <row r="1046" spans="1:8" x14ac:dyDescent="0.35">
      <c r="A1046" s="2">
        <v>1187</v>
      </c>
      <c r="B1046" s="2">
        <v>28200</v>
      </c>
      <c r="C1046" s="2">
        <f t="shared" si="96"/>
        <v>2.82</v>
      </c>
      <c r="D1046" s="2">
        <f t="shared" si="97"/>
        <v>1408969</v>
      </c>
      <c r="E1046" s="2">
        <f t="shared" si="98"/>
        <v>1672446203</v>
      </c>
      <c r="F1046" s="2">
        <f t="shared" si="99"/>
        <v>1985193642961</v>
      </c>
      <c r="G1046" s="2">
        <f t="shared" si="100"/>
        <v>3347.3399999999997</v>
      </c>
      <c r="H1046" s="2">
        <f t="shared" si="101"/>
        <v>3973292.5799999996</v>
      </c>
    </row>
    <row r="1047" spans="1:8" x14ac:dyDescent="0.35">
      <c r="A1047" s="2">
        <v>652</v>
      </c>
      <c r="B1047" s="2">
        <v>61549</v>
      </c>
      <c r="C1047" s="2">
        <f t="shared" si="96"/>
        <v>6.1548999999999996</v>
      </c>
      <c r="D1047" s="2">
        <f t="shared" si="97"/>
        <v>425104</v>
      </c>
      <c r="E1047" s="2">
        <f t="shared" si="98"/>
        <v>277167808</v>
      </c>
      <c r="F1047" s="2">
        <f t="shared" si="99"/>
        <v>180713410816</v>
      </c>
      <c r="G1047" s="2">
        <f t="shared" si="100"/>
        <v>4012.9947999999999</v>
      </c>
      <c r="H1047" s="2">
        <f t="shared" si="101"/>
        <v>2616472.6095999996</v>
      </c>
    </row>
    <row r="1048" spans="1:8" x14ac:dyDescent="0.35">
      <c r="A1048" s="2">
        <v>652</v>
      </c>
      <c r="B1048" s="2">
        <v>67222</v>
      </c>
      <c r="C1048" s="2">
        <f t="shared" si="96"/>
        <v>6.7222</v>
      </c>
      <c r="D1048" s="2">
        <f t="shared" si="97"/>
        <v>425104</v>
      </c>
      <c r="E1048" s="2">
        <f t="shared" si="98"/>
        <v>277167808</v>
      </c>
      <c r="F1048" s="2">
        <f t="shared" si="99"/>
        <v>180713410816</v>
      </c>
      <c r="G1048" s="2">
        <f t="shared" si="100"/>
        <v>4382.8743999999997</v>
      </c>
      <c r="H1048" s="2">
        <f t="shared" si="101"/>
        <v>2857634.1088</v>
      </c>
    </row>
    <row r="1049" spans="1:8" x14ac:dyDescent="0.35">
      <c r="A1049" s="2">
        <v>652</v>
      </c>
      <c r="B1049" s="2">
        <v>68500</v>
      </c>
      <c r="C1049" s="2">
        <f t="shared" si="96"/>
        <v>6.85</v>
      </c>
      <c r="D1049" s="2">
        <f t="shared" si="97"/>
        <v>425104</v>
      </c>
      <c r="E1049" s="2">
        <f t="shared" si="98"/>
        <v>277167808</v>
      </c>
      <c r="F1049" s="2">
        <f t="shared" si="99"/>
        <v>180713410816</v>
      </c>
      <c r="G1049" s="2">
        <f t="shared" si="100"/>
        <v>4466.2</v>
      </c>
      <c r="H1049" s="2">
        <f t="shared" si="101"/>
        <v>2911962.4</v>
      </c>
    </row>
    <row r="1050" spans="1:8" x14ac:dyDescent="0.35">
      <c r="A1050" s="2">
        <v>652</v>
      </c>
      <c r="B1050" s="2">
        <v>65964</v>
      </c>
      <c r="C1050" s="2">
        <f t="shared" si="96"/>
        <v>6.5964</v>
      </c>
      <c r="D1050" s="2">
        <f t="shared" si="97"/>
        <v>425104</v>
      </c>
      <c r="E1050" s="2">
        <f t="shared" si="98"/>
        <v>277167808</v>
      </c>
      <c r="F1050" s="2">
        <f t="shared" si="99"/>
        <v>180713410816</v>
      </c>
      <c r="G1050" s="2">
        <f t="shared" si="100"/>
        <v>4300.8527999999997</v>
      </c>
      <c r="H1050" s="2">
        <f t="shared" si="101"/>
        <v>2804156.0255999998</v>
      </c>
    </row>
    <row r="1051" spans="1:8" x14ac:dyDescent="0.35">
      <c r="A1051" s="2">
        <v>652</v>
      </c>
      <c r="B1051" s="2">
        <v>60000</v>
      </c>
      <c r="C1051" s="2">
        <f t="shared" si="96"/>
        <v>6</v>
      </c>
      <c r="D1051" s="2">
        <f t="shared" si="97"/>
        <v>425104</v>
      </c>
      <c r="E1051" s="2">
        <f t="shared" si="98"/>
        <v>277167808</v>
      </c>
      <c r="F1051" s="2">
        <f t="shared" si="99"/>
        <v>180713410816</v>
      </c>
      <c r="G1051" s="2">
        <f t="shared" si="100"/>
        <v>3912</v>
      </c>
      <c r="H1051" s="2">
        <f t="shared" si="101"/>
        <v>2550624</v>
      </c>
    </row>
    <row r="1052" spans="1:8" x14ac:dyDescent="0.35">
      <c r="A1052" s="2">
        <v>652</v>
      </c>
      <c r="B1052" s="2">
        <v>54938</v>
      </c>
      <c r="C1052" s="2">
        <f t="shared" si="96"/>
        <v>5.4938000000000002</v>
      </c>
      <c r="D1052" s="2">
        <f t="shared" si="97"/>
        <v>425104</v>
      </c>
      <c r="E1052" s="2">
        <f t="shared" si="98"/>
        <v>277167808</v>
      </c>
      <c r="F1052" s="2">
        <f t="shared" si="99"/>
        <v>180713410816</v>
      </c>
      <c r="G1052" s="2">
        <f t="shared" si="100"/>
        <v>3581.9576000000002</v>
      </c>
      <c r="H1052" s="2">
        <f t="shared" si="101"/>
        <v>2335436.3552000001</v>
      </c>
    </row>
    <row r="1053" spans="1:8" x14ac:dyDescent="0.35">
      <c r="A1053" s="2">
        <v>652</v>
      </c>
      <c r="B1053" s="2">
        <v>73611</v>
      </c>
      <c r="C1053" s="2">
        <f t="shared" si="96"/>
        <v>7.3611000000000004</v>
      </c>
      <c r="D1053" s="2">
        <f t="shared" si="97"/>
        <v>425104</v>
      </c>
      <c r="E1053" s="2">
        <f t="shared" si="98"/>
        <v>277167808</v>
      </c>
      <c r="F1053" s="2">
        <f t="shared" si="99"/>
        <v>180713410816</v>
      </c>
      <c r="G1053" s="2">
        <f t="shared" si="100"/>
        <v>4799.4372000000003</v>
      </c>
      <c r="H1053" s="2">
        <f t="shared" si="101"/>
        <v>3129233.0544000003</v>
      </c>
    </row>
    <row r="1054" spans="1:8" x14ac:dyDescent="0.35">
      <c r="A1054" s="2">
        <v>652</v>
      </c>
      <c r="B1054" s="2">
        <v>73904</v>
      </c>
      <c r="C1054" s="2">
        <f t="shared" si="96"/>
        <v>7.3903999999999996</v>
      </c>
      <c r="D1054" s="2">
        <f t="shared" si="97"/>
        <v>425104</v>
      </c>
      <c r="E1054" s="2">
        <f t="shared" si="98"/>
        <v>277167808</v>
      </c>
      <c r="F1054" s="2">
        <f t="shared" si="99"/>
        <v>180713410816</v>
      </c>
      <c r="G1054" s="2">
        <f t="shared" si="100"/>
        <v>4818.5407999999998</v>
      </c>
      <c r="H1054" s="2">
        <f t="shared" si="101"/>
        <v>3141688.6015999997</v>
      </c>
    </row>
    <row r="1055" spans="1:8" x14ac:dyDescent="0.35">
      <c r="A1055" s="2">
        <v>652</v>
      </c>
      <c r="B1055" s="2">
        <v>80813</v>
      </c>
      <c r="C1055" s="2">
        <f t="shared" si="96"/>
        <v>8.0813000000000006</v>
      </c>
      <c r="D1055" s="2">
        <f t="shared" si="97"/>
        <v>425104</v>
      </c>
      <c r="E1055" s="2">
        <f t="shared" si="98"/>
        <v>277167808</v>
      </c>
      <c r="F1055" s="2">
        <f t="shared" si="99"/>
        <v>180713410816</v>
      </c>
      <c r="G1055" s="2">
        <f t="shared" si="100"/>
        <v>5269.0076000000008</v>
      </c>
      <c r="H1055" s="2">
        <f t="shared" si="101"/>
        <v>3435392.9552000002</v>
      </c>
    </row>
    <row r="1056" spans="1:8" x14ac:dyDescent="0.35">
      <c r="A1056" s="2">
        <v>652</v>
      </c>
      <c r="B1056" s="2">
        <v>81057</v>
      </c>
      <c r="C1056" s="2">
        <f t="shared" si="96"/>
        <v>8.1057000000000006</v>
      </c>
      <c r="D1056" s="2">
        <f t="shared" si="97"/>
        <v>425104</v>
      </c>
      <c r="E1056" s="2">
        <f t="shared" si="98"/>
        <v>277167808</v>
      </c>
      <c r="F1056" s="2">
        <f t="shared" si="99"/>
        <v>180713410816</v>
      </c>
      <c r="G1056" s="2">
        <f t="shared" si="100"/>
        <v>5284.9164000000001</v>
      </c>
      <c r="H1056" s="2">
        <f t="shared" si="101"/>
        <v>3445765.4928000001</v>
      </c>
    </row>
    <row r="1057" spans="1:8" x14ac:dyDescent="0.35">
      <c r="A1057" s="2">
        <v>652</v>
      </c>
      <c r="B1057" s="2">
        <v>77561</v>
      </c>
      <c r="C1057" s="2">
        <f t="shared" si="96"/>
        <v>7.7561</v>
      </c>
      <c r="D1057" s="2">
        <f t="shared" si="97"/>
        <v>425104</v>
      </c>
      <c r="E1057" s="2">
        <f t="shared" si="98"/>
        <v>277167808</v>
      </c>
      <c r="F1057" s="2">
        <f t="shared" si="99"/>
        <v>180713410816</v>
      </c>
      <c r="G1057" s="2">
        <f t="shared" si="100"/>
        <v>5056.9772000000003</v>
      </c>
      <c r="H1057" s="2">
        <f t="shared" si="101"/>
        <v>3297149.1343999999</v>
      </c>
    </row>
    <row r="1058" spans="1:8" x14ac:dyDescent="0.35">
      <c r="A1058" s="2">
        <v>652</v>
      </c>
      <c r="B1058" s="2">
        <v>74739</v>
      </c>
      <c r="C1058" s="2">
        <f t="shared" si="96"/>
        <v>7.4739000000000004</v>
      </c>
      <c r="D1058" s="2">
        <f t="shared" si="97"/>
        <v>425104</v>
      </c>
      <c r="E1058" s="2">
        <f t="shared" si="98"/>
        <v>277167808</v>
      </c>
      <c r="F1058" s="2">
        <f t="shared" si="99"/>
        <v>180713410816</v>
      </c>
      <c r="G1058" s="2">
        <f t="shared" si="100"/>
        <v>4872.9828000000007</v>
      </c>
      <c r="H1058" s="2">
        <f t="shared" si="101"/>
        <v>3177184.7856000001</v>
      </c>
    </row>
    <row r="1059" spans="1:8" x14ac:dyDescent="0.35">
      <c r="A1059" s="2">
        <v>652</v>
      </c>
      <c r="B1059" s="2">
        <v>72195</v>
      </c>
      <c r="C1059" s="2">
        <f t="shared" si="96"/>
        <v>7.2195</v>
      </c>
      <c r="D1059" s="2">
        <f t="shared" si="97"/>
        <v>425104</v>
      </c>
      <c r="E1059" s="2">
        <f t="shared" si="98"/>
        <v>277167808</v>
      </c>
      <c r="F1059" s="2">
        <f t="shared" si="99"/>
        <v>180713410816</v>
      </c>
      <c r="G1059" s="2">
        <f t="shared" si="100"/>
        <v>4707.1139999999996</v>
      </c>
      <c r="H1059" s="2">
        <f t="shared" si="101"/>
        <v>3069038.3280000002</v>
      </c>
    </row>
    <row r="1060" spans="1:8" x14ac:dyDescent="0.35">
      <c r="A1060" s="2">
        <v>652</v>
      </c>
      <c r="B1060" s="2">
        <v>73028</v>
      </c>
      <c r="C1060" s="2">
        <f t="shared" si="96"/>
        <v>7.3028000000000004</v>
      </c>
      <c r="D1060" s="2">
        <f t="shared" si="97"/>
        <v>425104</v>
      </c>
      <c r="E1060" s="2">
        <f t="shared" si="98"/>
        <v>277167808</v>
      </c>
      <c r="F1060" s="2">
        <f t="shared" si="99"/>
        <v>180713410816</v>
      </c>
      <c r="G1060" s="2">
        <f t="shared" si="100"/>
        <v>4761.4256000000005</v>
      </c>
      <c r="H1060" s="2">
        <f t="shared" si="101"/>
        <v>3104449.4912</v>
      </c>
    </row>
    <row r="1061" spans="1:8" x14ac:dyDescent="0.35">
      <c r="A1061" s="2">
        <v>652</v>
      </c>
      <c r="B1061" s="2">
        <v>70098</v>
      </c>
      <c r="C1061" s="2">
        <f t="shared" si="96"/>
        <v>7.0098000000000003</v>
      </c>
      <c r="D1061" s="2">
        <f t="shared" si="97"/>
        <v>425104</v>
      </c>
      <c r="E1061" s="2">
        <f t="shared" si="98"/>
        <v>277167808</v>
      </c>
      <c r="F1061" s="2">
        <f t="shared" si="99"/>
        <v>180713410816</v>
      </c>
      <c r="G1061" s="2">
        <f t="shared" si="100"/>
        <v>4570.3896000000004</v>
      </c>
      <c r="H1061" s="2">
        <f t="shared" si="101"/>
        <v>2979894.0192</v>
      </c>
    </row>
    <row r="1062" spans="1:8" x14ac:dyDescent="0.35">
      <c r="A1062" s="2">
        <v>652</v>
      </c>
      <c r="B1062" s="2">
        <v>71151</v>
      </c>
      <c r="C1062" s="2">
        <f t="shared" si="96"/>
        <v>7.1151</v>
      </c>
      <c r="D1062" s="2">
        <f t="shared" si="97"/>
        <v>425104</v>
      </c>
      <c r="E1062" s="2">
        <f t="shared" si="98"/>
        <v>277167808</v>
      </c>
      <c r="F1062" s="2">
        <f t="shared" si="99"/>
        <v>180713410816</v>
      </c>
      <c r="G1062" s="2">
        <f t="shared" si="100"/>
        <v>4639.0451999999996</v>
      </c>
      <c r="H1062" s="2">
        <f t="shared" si="101"/>
        <v>3024657.4704</v>
      </c>
    </row>
    <row r="1063" spans="1:8" x14ac:dyDescent="0.35">
      <c r="A1063" s="2">
        <v>652</v>
      </c>
      <c r="B1063" s="2">
        <v>73683</v>
      </c>
      <c r="C1063" s="2">
        <f t="shared" si="96"/>
        <v>7.3682999999999996</v>
      </c>
      <c r="D1063" s="2">
        <f t="shared" si="97"/>
        <v>425104</v>
      </c>
      <c r="E1063" s="2">
        <f t="shared" si="98"/>
        <v>277167808</v>
      </c>
      <c r="F1063" s="2">
        <f t="shared" si="99"/>
        <v>180713410816</v>
      </c>
      <c r="G1063" s="2">
        <f t="shared" si="100"/>
        <v>4804.1315999999997</v>
      </c>
      <c r="H1063" s="2">
        <f t="shared" si="101"/>
        <v>3132293.8032</v>
      </c>
    </row>
    <row r="1064" spans="1:8" x14ac:dyDescent="0.35">
      <c r="A1064" s="2">
        <v>652</v>
      </c>
      <c r="B1064" s="2">
        <v>71038</v>
      </c>
      <c r="C1064" s="2">
        <f t="shared" si="96"/>
        <v>7.1037999999999997</v>
      </c>
      <c r="D1064" s="2">
        <f t="shared" si="97"/>
        <v>425104</v>
      </c>
      <c r="E1064" s="2">
        <f t="shared" si="98"/>
        <v>277167808</v>
      </c>
      <c r="F1064" s="2">
        <f t="shared" si="99"/>
        <v>180713410816</v>
      </c>
      <c r="G1064" s="2">
        <f t="shared" si="100"/>
        <v>4631.6776</v>
      </c>
      <c r="H1064" s="2">
        <f t="shared" si="101"/>
        <v>3019853.7952000001</v>
      </c>
    </row>
    <row r="1065" spans="1:8" x14ac:dyDescent="0.35">
      <c r="A1065" s="2">
        <v>652</v>
      </c>
      <c r="B1065" s="2">
        <v>74059</v>
      </c>
      <c r="C1065" s="2">
        <f t="shared" si="96"/>
        <v>7.4058999999999999</v>
      </c>
      <c r="D1065" s="2">
        <f t="shared" si="97"/>
        <v>425104</v>
      </c>
      <c r="E1065" s="2">
        <f t="shared" si="98"/>
        <v>277167808</v>
      </c>
      <c r="F1065" s="2">
        <f t="shared" si="99"/>
        <v>180713410816</v>
      </c>
      <c r="G1065" s="2">
        <f t="shared" si="100"/>
        <v>4828.6467999999995</v>
      </c>
      <c r="H1065" s="2">
        <f t="shared" si="101"/>
        <v>3148277.7135999999</v>
      </c>
    </row>
    <row r="1066" spans="1:8" x14ac:dyDescent="0.35">
      <c r="A1066" s="2">
        <v>652</v>
      </c>
      <c r="B1066" s="2">
        <v>77137</v>
      </c>
      <c r="C1066" s="2">
        <f t="shared" si="96"/>
        <v>7.7137000000000002</v>
      </c>
      <c r="D1066" s="2">
        <f t="shared" si="97"/>
        <v>425104</v>
      </c>
      <c r="E1066" s="2">
        <f t="shared" si="98"/>
        <v>277167808</v>
      </c>
      <c r="F1066" s="2">
        <f t="shared" si="99"/>
        <v>180713410816</v>
      </c>
      <c r="G1066" s="2">
        <f t="shared" si="100"/>
        <v>5029.3324000000002</v>
      </c>
      <c r="H1066" s="2">
        <f t="shared" si="101"/>
        <v>3279124.7248</v>
      </c>
    </row>
    <row r="1067" spans="1:8" x14ac:dyDescent="0.35">
      <c r="A1067" s="2">
        <v>652</v>
      </c>
      <c r="B1067" s="2">
        <v>76337</v>
      </c>
      <c r="C1067" s="2">
        <f t="shared" si="96"/>
        <v>7.6337000000000002</v>
      </c>
      <c r="D1067" s="2">
        <f t="shared" si="97"/>
        <v>425104</v>
      </c>
      <c r="E1067" s="2">
        <f t="shared" si="98"/>
        <v>277167808</v>
      </c>
      <c r="F1067" s="2">
        <f t="shared" si="99"/>
        <v>180713410816</v>
      </c>
      <c r="G1067" s="2">
        <f t="shared" si="100"/>
        <v>4977.1724000000004</v>
      </c>
      <c r="H1067" s="2">
        <f t="shared" si="101"/>
        <v>3245116.4048000001</v>
      </c>
    </row>
    <row r="1068" spans="1:8" x14ac:dyDescent="0.35">
      <c r="A1068" s="2">
        <v>652</v>
      </c>
      <c r="B1068" s="2">
        <v>73731</v>
      </c>
      <c r="C1068" s="2">
        <f t="shared" si="96"/>
        <v>7.3731</v>
      </c>
      <c r="D1068" s="2">
        <f t="shared" si="97"/>
        <v>425104</v>
      </c>
      <c r="E1068" s="2">
        <f t="shared" si="98"/>
        <v>277167808</v>
      </c>
      <c r="F1068" s="2">
        <f t="shared" si="99"/>
        <v>180713410816</v>
      </c>
      <c r="G1068" s="2">
        <f t="shared" si="100"/>
        <v>4807.2611999999999</v>
      </c>
      <c r="H1068" s="2">
        <f t="shared" si="101"/>
        <v>3134334.3023999999</v>
      </c>
    </row>
    <row r="1069" spans="1:8" x14ac:dyDescent="0.35">
      <c r="A1069" s="2">
        <v>652</v>
      </c>
      <c r="B1069" s="2">
        <v>76682</v>
      </c>
      <c r="C1069" s="2">
        <f t="shared" si="96"/>
        <v>7.6681999999999997</v>
      </c>
      <c r="D1069" s="2">
        <f t="shared" si="97"/>
        <v>425104</v>
      </c>
      <c r="E1069" s="2">
        <f t="shared" si="98"/>
        <v>277167808</v>
      </c>
      <c r="F1069" s="2">
        <f t="shared" si="99"/>
        <v>180713410816</v>
      </c>
      <c r="G1069" s="2">
        <f t="shared" si="100"/>
        <v>4999.6664000000001</v>
      </c>
      <c r="H1069" s="2">
        <f t="shared" si="101"/>
        <v>3259782.4927999997</v>
      </c>
    </row>
    <row r="1070" spans="1:8" x14ac:dyDescent="0.35">
      <c r="A1070" s="2">
        <v>652</v>
      </c>
      <c r="B1070" s="2">
        <v>69283</v>
      </c>
      <c r="C1070" s="2">
        <f t="shared" si="96"/>
        <v>6.9283000000000001</v>
      </c>
      <c r="D1070" s="2">
        <f t="shared" si="97"/>
        <v>425104</v>
      </c>
      <c r="E1070" s="2">
        <f t="shared" si="98"/>
        <v>277167808</v>
      </c>
      <c r="F1070" s="2">
        <f t="shared" si="99"/>
        <v>180713410816</v>
      </c>
      <c r="G1070" s="2">
        <f t="shared" si="100"/>
        <v>4517.2516000000005</v>
      </c>
      <c r="H1070" s="2">
        <f t="shared" si="101"/>
        <v>2945248.0432000002</v>
      </c>
    </row>
    <row r="1071" spans="1:8" x14ac:dyDescent="0.35">
      <c r="A1071" s="2">
        <v>652</v>
      </c>
      <c r="B1071" s="2">
        <v>81086</v>
      </c>
      <c r="C1071" s="2">
        <f t="shared" si="96"/>
        <v>8.1085999999999991</v>
      </c>
      <c r="D1071" s="2">
        <f t="shared" si="97"/>
        <v>425104</v>
      </c>
      <c r="E1071" s="2">
        <f t="shared" si="98"/>
        <v>277167808</v>
      </c>
      <c r="F1071" s="2">
        <f t="shared" si="99"/>
        <v>180713410816</v>
      </c>
      <c r="G1071" s="2">
        <f t="shared" si="100"/>
        <v>5286.8071999999993</v>
      </c>
      <c r="H1071" s="2">
        <f t="shared" si="101"/>
        <v>3446998.2943999995</v>
      </c>
    </row>
    <row r="1072" spans="1:8" x14ac:dyDescent="0.35">
      <c r="A1072" s="2">
        <v>652</v>
      </c>
      <c r="B1072" s="2">
        <v>74926</v>
      </c>
      <c r="C1072" s="2">
        <f t="shared" si="96"/>
        <v>7.4926000000000004</v>
      </c>
      <c r="D1072" s="2">
        <f t="shared" si="97"/>
        <v>425104</v>
      </c>
      <c r="E1072" s="2">
        <f t="shared" si="98"/>
        <v>277167808</v>
      </c>
      <c r="F1072" s="2">
        <f t="shared" si="99"/>
        <v>180713410816</v>
      </c>
      <c r="G1072" s="2">
        <f t="shared" si="100"/>
        <v>4885.1752000000006</v>
      </c>
      <c r="H1072" s="2">
        <f t="shared" si="101"/>
        <v>3185134.2304000002</v>
      </c>
    </row>
    <row r="1073" spans="1:8" x14ac:dyDescent="0.35">
      <c r="A1073" s="2">
        <v>652</v>
      </c>
      <c r="B1073" s="2">
        <v>83964</v>
      </c>
      <c r="C1073" s="2">
        <f t="shared" si="96"/>
        <v>8.3963999999999999</v>
      </c>
      <c r="D1073" s="2">
        <f t="shared" si="97"/>
        <v>425104</v>
      </c>
      <c r="E1073" s="2">
        <f t="shared" si="98"/>
        <v>277167808</v>
      </c>
      <c r="F1073" s="2">
        <f t="shared" si="99"/>
        <v>180713410816</v>
      </c>
      <c r="G1073" s="2">
        <f t="shared" si="100"/>
        <v>5474.4528</v>
      </c>
      <c r="H1073" s="2">
        <f t="shared" si="101"/>
        <v>3569343.2256</v>
      </c>
    </row>
    <row r="1074" spans="1:8" x14ac:dyDescent="0.35">
      <c r="A1074" s="2">
        <v>652</v>
      </c>
      <c r="B1074" s="2">
        <v>84659</v>
      </c>
      <c r="C1074" s="2">
        <f t="shared" si="96"/>
        <v>8.4658999999999995</v>
      </c>
      <c r="D1074" s="2">
        <f t="shared" si="97"/>
        <v>425104</v>
      </c>
      <c r="E1074" s="2">
        <f t="shared" si="98"/>
        <v>277167808</v>
      </c>
      <c r="F1074" s="2">
        <f t="shared" si="99"/>
        <v>180713410816</v>
      </c>
      <c r="G1074" s="2">
        <f t="shared" si="100"/>
        <v>5519.7667999999994</v>
      </c>
      <c r="H1074" s="2">
        <f t="shared" si="101"/>
        <v>3598887.9535999997</v>
      </c>
    </row>
    <row r="1075" spans="1:8" x14ac:dyDescent="0.35">
      <c r="A1075" s="2">
        <v>652</v>
      </c>
      <c r="B1075" s="2">
        <v>77093</v>
      </c>
      <c r="C1075" s="2">
        <f t="shared" si="96"/>
        <v>7.7092999999999998</v>
      </c>
      <c r="D1075" s="2">
        <f t="shared" si="97"/>
        <v>425104</v>
      </c>
      <c r="E1075" s="2">
        <f t="shared" si="98"/>
        <v>277167808</v>
      </c>
      <c r="F1075" s="2">
        <f t="shared" si="99"/>
        <v>180713410816</v>
      </c>
      <c r="G1075" s="2">
        <f t="shared" si="100"/>
        <v>5026.4636</v>
      </c>
      <c r="H1075" s="2">
        <f t="shared" si="101"/>
        <v>3277254.2672000001</v>
      </c>
    </row>
    <row r="1076" spans="1:8" x14ac:dyDescent="0.35">
      <c r="A1076" s="2">
        <v>652</v>
      </c>
      <c r="B1076" s="2">
        <v>77299</v>
      </c>
      <c r="C1076" s="2">
        <f t="shared" si="96"/>
        <v>7.7298999999999998</v>
      </c>
      <c r="D1076" s="2">
        <f t="shared" si="97"/>
        <v>425104</v>
      </c>
      <c r="E1076" s="2">
        <f t="shared" si="98"/>
        <v>277167808</v>
      </c>
      <c r="F1076" s="2">
        <f t="shared" si="99"/>
        <v>180713410816</v>
      </c>
      <c r="G1076" s="2">
        <f t="shared" si="100"/>
        <v>5039.8948</v>
      </c>
      <c r="H1076" s="2">
        <f t="shared" si="101"/>
        <v>3286011.4095999999</v>
      </c>
    </row>
    <row r="1077" spans="1:8" x14ac:dyDescent="0.35">
      <c r="A1077" s="2">
        <v>1996</v>
      </c>
      <c r="B1077" s="2">
        <v>26374</v>
      </c>
      <c r="C1077" s="2">
        <f t="shared" si="96"/>
        <v>2.6374</v>
      </c>
      <c r="D1077" s="2">
        <f t="shared" si="97"/>
        <v>3984016</v>
      </c>
      <c r="E1077" s="2">
        <f t="shared" si="98"/>
        <v>7952095936</v>
      </c>
      <c r="F1077" s="2">
        <f t="shared" si="99"/>
        <v>15872383488256</v>
      </c>
      <c r="G1077" s="2">
        <f t="shared" si="100"/>
        <v>5264.2503999999999</v>
      </c>
      <c r="H1077" s="2">
        <f t="shared" si="101"/>
        <v>10507443.7984</v>
      </c>
    </row>
    <row r="1078" spans="1:8" x14ac:dyDescent="0.35">
      <c r="A1078" s="2">
        <v>1996</v>
      </c>
      <c r="B1078" s="2">
        <v>33402</v>
      </c>
      <c r="C1078" s="2">
        <f t="shared" si="96"/>
        <v>3.3401999999999998</v>
      </c>
      <c r="D1078" s="2">
        <f t="shared" si="97"/>
        <v>3984016</v>
      </c>
      <c r="E1078" s="2">
        <f t="shared" si="98"/>
        <v>7952095936</v>
      </c>
      <c r="F1078" s="2">
        <f t="shared" si="99"/>
        <v>15872383488256</v>
      </c>
      <c r="G1078" s="2">
        <f t="shared" si="100"/>
        <v>6667.0391999999993</v>
      </c>
      <c r="H1078" s="2">
        <f t="shared" si="101"/>
        <v>13307410.243199999</v>
      </c>
    </row>
    <row r="1079" spans="1:8" x14ac:dyDescent="0.35">
      <c r="A1079" s="2">
        <v>1996</v>
      </c>
      <c r="B1079" s="2">
        <v>25283</v>
      </c>
      <c r="C1079" s="2">
        <f t="shared" si="96"/>
        <v>2.5283000000000002</v>
      </c>
      <c r="D1079" s="2">
        <f t="shared" si="97"/>
        <v>3984016</v>
      </c>
      <c r="E1079" s="2">
        <f t="shared" si="98"/>
        <v>7952095936</v>
      </c>
      <c r="F1079" s="2">
        <f t="shared" si="99"/>
        <v>15872383488256</v>
      </c>
      <c r="G1079" s="2">
        <f t="shared" si="100"/>
        <v>5046.4868000000006</v>
      </c>
      <c r="H1079" s="2">
        <f t="shared" si="101"/>
        <v>10072787.652800001</v>
      </c>
    </row>
    <row r="1080" spans="1:8" x14ac:dyDescent="0.35">
      <c r="A1080" s="2">
        <v>1996</v>
      </c>
      <c r="B1080" s="2">
        <v>29693</v>
      </c>
      <c r="C1080" s="2">
        <f t="shared" si="96"/>
        <v>2.9693000000000001</v>
      </c>
      <c r="D1080" s="2">
        <f t="shared" si="97"/>
        <v>3984016</v>
      </c>
      <c r="E1080" s="2">
        <f t="shared" si="98"/>
        <v>7952095936</v>
      </c>
      <c r="F1080" s="2">
        <f t="shared" si="99"/>
        <v>15872383488256</v>
      </c>
      <c r="G1080" s="2">
        <f t="shared" si="100"/>
        <v>5926.7228000000005</v>
      </c>
      <c r="H1080" s="2">
        <f t="shared" si="101"/>
        <v>11829738.708800001</v>
      </c>
    </row>
    <row r="1081" spans="1:8" x14ac:dyDescent="0.35">
      <c r="A1081" s="2">
        <v>1996</v>
      </c>
      <c r="B1081" s="2">
        <v>31111</v>
      </c>
      <c r="C1081" s="2">
        <f t="shared" si="96"/>
        <v>3.1111</v>
      </c>
      <c r="D1081" s="2">
        <f t="shared" si="97"/>
        <v>3984016</v>
      </c>
      <c r="E1081" s="2">
        <f t="shared" si="98"/>
        <v>7952095936</v>
      </c>
      <c r="F1081" s="2">
        <f t="shared" si="99"/>
        <v>15872383488256</v>
      </c>
      <c r="G1081" s="2">
        <f t="shared" si="100"/>
        <v>6209.7555999999995</v>
      </c>
      <c r="H1081" s="2">
        <f t="shared" si="101"/>
        <v>12394672.1776</v>
      </c>
    </row>
    <row r="1082" spans="1:8" x14ac:dyDescent="0.35">
      <c r="A1082" s="2">
        <v>1996</v>
      </c>
      <c r="B1082" s="2">
        <v>28745</v>
      </c>
      <c r="C1082" s="2">
        <f t="shared" si="96"/>
        <v>2.8744999999999998</v>
      </c>
      <c r="D1082" s="2">
        <f t="shared" si="97"/>
        <v>3984016</v>
      </c>
      <c r="E1082" s="2">
        <f t="shared" si="98"/>
        <v>7952095936</v>
      </c>
      <c r="F1082" s="2">
        <f t="shared" si="99"/>
        <v>15872383488256</v>
      </c>
      <c r="G1082" s="2">
        <f t="shared" si="100"/>
        <v>5737.5019999999995</v>
      </c>
      <c r="H1082" s="2">
        <f t="shared" si="101"/>
        <v>11452053.991999999</v>
      </c>
    </row>
    <row r="1083" spans="1:8" x14ac:dyDescent="0.35">
      <c r="A1083" s="2">
        <v>1996</v>
      </c>
      <c r="B1083" s="2">
        <v>26021</v>
      </c>
      <c r="C1083" s="2">
        <f t="shared" si="96"/>
        <v>2.6021000000000001</v>
      </c>
      <c r="D1083" s="2">
        <f t="shared" si="97"/>
        <v>3984016</v>
      </c>
      <c r="E1083" s="2">
        <f t="shared" si="98"/>
        <v>7952095936</v>
      </c>
      <c r="F1083" s="2">
        <f t="shared" si="99"/>
        <v>15872383488256</v>
      </c>
      <c r="G1083" s="2">
        <f t="shared" si="100"/>
        <v>5193.7916000000005</v>
      </c>
      <c r="H1083" s="2">
        <f t="shared" si="101"/>
        <v>10366808.033600001</v>
      </c>
    </row>
    <row r="1084" spans="1:8" x14ac:dyDescent="0.35">
      <c r="A1084" s="2">
        <v>1996</v>
      </c>
      <c r="B1084" s="2">
        <v>27338</v>
      </c>
      <c r="C1084" s="2">
        <f t="shared" si="96"/>
        <v>2.7338</v>
      </c>
      <c r="D1084" s="2">
        <f t="shared" si="97"/>
        <v>3984016</v>
      </c>
      <c r="E1084" s="2">
        <f t="shared" si="98"/>
        <v>7952095936</v>
      </c>
      <c r="F1084" s="2">
        <f t="shared" si="99"/>
        <v>15872383488256</v>
      </c>
      <c r="G1084" s="2">
        <f t="shared" si="100"/>
        <v>5456.6648000000005</v>
      </c>
      <c r="H1084" s="2">
        <f t="shared" si="101"/>
        <v>10891502.9408</v>
      </c>
    </row>
    <row r="1085" spans="1:8" x14ac:dyDescent="0.35">
      <c r="A1085" s="2">
        <v>1996</v>
      </c>
      <c r="B1085" s="2">
        <v>30022</v>
      </c>
      <c r="C1085" s="2">
        <f t="shared" si="96"/>
        <v>3.0022000000000002</v>
      </c>
      <c r="D1085" s="2">
        <f t="shared" si="97"/>
        <v>3984016</v>
      </c>
      <c r="E1085" s="2">
        <f t="shared" si="98"/>
        <v>7952095936</v>
      </c>
      <c r="F1085" s="2">
        <f t="shared" si="99"/>
        <v>15872383488256</v>
      </c>
      <c r="G1085" s="2">
        <f t="shared" si="100"/>
        <v>5992.3912</v>
      </c>
      <c r="H1085" s="2">
        <f t="shared" si="101"/>
        <v>11960812.835200001</v>
      </c>
    </row>
    <row r="1086" spans="1:8" x14ac:dyDescent="0.35">
      <c r="A1086" s="2">
        <v>1996</v>
      </c>
      <c r="B1086" s="2">
        <v>27877</v>
      </c>
      <c r="C1086" s="2">
        <f t="shared" si="96"/>
        <v>2.7877000000000001</v>
      </c>
      <c r="D1086" s="2">
        <f t="shared" si="97"/>
        <v>3984016</v>
      </c>
      <c r="E1086" s="2">
        <f t="shared" si="98"/>
        <v>7952095936</v>
      </c>
      <c r="F1086" s="2">
        <f t="shared" si="99"/>
        <v>15872383488256</v>
      </c>
      <c r="G1086" s="2">
        <f t="shared" si="100"/>
        <v>5564.2492000000002</v>
      </c>
      <c r="H1086" s="2">
        <f t="shared" si="101"/>
        <v>11106241.403200001</v>
      </c>
    </row>
    <row r="1087" spans="1:8" x14ac:dyDescent="0.35">
      <c r="A1087" s="2">
        <v>1996</v>
      </c>
      <c r="B1087" s="2">
        <v>18086</v>
      </c>
      <c r="C1087" s="2">
        <f t="shared" si="96"/>
        <v>1.8086</v>
      </c>
      <c r="D1087" s="2">
        <f t="shared" si="97"/>
        <v>3984016</v>
      </c>
      <c r="E1087" s="2">
        <f t="shared" si="98"/>
        <v>7952095936</v>
      </c>
      <c r="F1087" s="2">
        <f t="shared" si="99"/>
        <v>15872383488256</v>
      </c>
      <c r="G1087" s="2">
        <f t="shared" si="100"/>
        <v>3609.9656</v>
      </c>
      <c r="H1087" s="2">
        <f t="shared" si="101"/>
        <v>7205491.3376000002</v>
      </c>
    </row>
    <row r="1088" spans="1:8" x14ac:dyDescent="0.35">
      <c r="A1088" s="2">
        <v>1996</v>
      </c>
      <c r="B1088" s="2">
        <v>18548</v>
      </c>
      <c r="C1088" s="2">
        <f t="shared" si="96"/>
        <v>1.8548</v>
      </c>
      <c r="D1088" s="2">
        <f t="shared" si="97"/>
        <v>3984016</v>
      </c>
      <c r="E1088" s="2">
        <f t="shared" si="98"/>
        <v>7952095936</v>
      </c>
      <c r="F1088" s="2">
        <f t="shared" si="99"/>
        <v>15872383488256</v>
      </c>
      <c r="G1088" s="2">
        <f t="shared" si="100"/>
        <v>3702.1808000000001</v>
      </c>
      <c r="H1088" s="2">
        <f t="shared" si="101"/>
        <v>7389552.8767999997</v>
      </c>
    </row>
    <row r="1089" spans="1:8" x14ac:dyDescent="0.35">
      <c r="A1089" s="2">
        <v>1996</v>
      </c>
      <c r="B1089" s="2">
        <v>22581</v>
      </c>
      <c r="C1089" s="2">
        <f t="shared" si="96"/>
        <v>2.2581000000000002</v>
      </c>
      <c r="D1089" s="2">
        <f t="shared" si="97"/>
        <v>3984016</v>
      </c>
      <c r="E1089" s="2">
        <f t="shared" si="98"/>
        <v>7952095936</v>
      </c>
      <c r="F1089" s="2">
        <f t="shared" si="99"/>
        <v>15872383488256</v>
      </c>
      <c r="G1089" s="2">
        <f t="shared" si="100"/>
        <v>4507.1676000000007</v>
      </c>
      <c r="H1089" s="2">
        <f t="shared" si="101"/>
        <v>8996306.5296</v>
      </c>
    </row>
    <row r="1090" spans="1:8" x14ac:dyDescent="0.35">
      <c r="A1090" s="2">
        <v>1996</v>
      </c>
      <c r="B1090" s="2">
        <v>32924</v>
      </c>
      <c r="C1090" s="2">
        <f t="shared" si="96"/>
        <v>3.2924000000000002</v>
      </c>
      <c r="D1090" s="2">
        <f t="shared" si="97"/>
        <v>3984016</v>
      </c>
      <c r="E1090" s="2">
        <f t="shared" si="98"/>
        <v>7952095936</v>
      </c>
      <c r="F1090" s="2">
        <f t="shared" si="99"/>
        <v>15872383488256</v>
      </c>
      <c r="G1090" s="2">
        <f t="shared" si="100"/>
        <v>6571.6304</v>
      </c>
      <c r="H1090" s="2">
        <f t="shared" si="101"/>
        <v>13116974.2784</v>
      </c>
    </row>
    <row r="1091" spans="1:8" x14ac:dyDescent="0.35">
      <c r="A1091" s="2">
        <v>1996</v>
      </c>
      <c r="B1091" s="2">
        <v>30764</v>
      </c>
      <c r="C1091" s="2">
        <f t="shared" ref="C1091:C1154" si="102">B1091/10000</f>
        <v>3.0764</v>
      </c>
      <c r="D1091" s="2">
        <f t="shared" ref="D1091:D1154" si="103">A1091^2</f>
        <v>3984016</v>
      </c>
      <c r="E1091" s="2">
        <f t="shared" ref="E1091:E1154" si="104">A1091^3</f>
        <v>7952095936</v>
      </c>
      <c r="F1091" s="2">
        <f t="shared" ref="F1091:F1154" si="105">A1091^4</f>
        <v>15872383488256</v>
      </c>
      <c r="G1091" s="2">
        <f t="shared" ref="G1091:G1154" si="106">A1091*C1091</f>
        <v>6140.4944000000005</v>
      </c>
      <c r="H1091" s="2">
        <f t="shared" ref="H1091:H1154" si="107">D1091*C1091</f>
        <v>12256426.8224</v>
      </c>
    </row>
    <row r="1092" spans="1:8" x14ac:dyDescent="0.35">
      <c r="A1092" s="2">
        <v>1996</v>
      </c>
      <c r="B1092" s="2">
        <v>19229</v>
      </c>
      <c r="C1092" s="2">
        <f t="shared" si="102"/>
        <v>1.9229000000000001</v>
      </c>
      <c r="D1092" s="2">
        <f t="shared" si="103"/>
        <v>3984016</v>
      </c>
      <c r="E1092" s="2">
        <f t="shared" si="104"/>
        <v>7952095936</v>
      </c>
      <c r="F1092" s="2">
        <f t="shared" si="105"/>
        <v>15872383488256</v>
      </c>
      <c r="G1092" s="2">
        <f t="shared" si="106"/>
        <v>3838.1084000000001</v>
      </c>
      <c r="H1092" s="2">
        <f t="shared" si="107"/>
        <v>7660864.3664000006</v>
      </c>
    </row>
    <row r="1093" spans="1:8" x14ac:dyDescent="0.35">
      <c r="A1093" s="2">
        <v>1996</v>
      </c>
      <c r="B1093" s="2">
        <v>11989</v>
      </c>
      <c r="C1093" s="2">
        <f t="shared" si="102"/>
        <v>1.1989000000000001</v>
      </c>
      <c r="D1093" s="2">
        <f t="shared" si="103"/>
        <v>3984016</v>
      </c>
      <c r="E1093" s="2">
        <f t="shared" si="104"/>
        <v>7952095936</v>
      </c>
      <c r="F1093" s="2">
        <f t="shared" si="105"/>
        <v>15872383488256</v>
      </c>
      <c r="G1093" s="2">
        <f t="shared" si="106"/>
        <v>2393.0044000000003</v>
      </c>
      <c r="H1093" s="2">
        <f t="shared" si="107"/>
        <v>4776436.7823999999</v>
      </c>
    </row>
    <row r="1094" spans="1:8" x14ac:dyDescent="0.35">
      <c r="A1094" s="2">
        <v>1996</v>
      </c>
      <c r="B1094" s="2">
        <v>26236</v>
      </c>
      <c r="C1094" s="2">
        <f t="shared" si="102"/>
        <v>2.6236000000000002</v>
      </c>
      <c r="D1094" s="2">
        <f t="shared" si="103"/>
        <v>3984016</v>
      </c>
      <c r="E1094" s="2">
        <f t="shared" si="104"/>
        <v>7952095936</v>
      </c>
      <c r="F1094" s="2">
        <f t="shared" si="105"/>
        <v>15872383488256</v>
      </c>
      <c r="G1094" s="2">
        <f t="shared" si="106"/>
        <v>5236.7056000000002</v>
      </c>
      <c r="H1094" s="2">
        <f t="shared" si="107"/>
        <v>10452464.377600001</v>
      </c>
    </row>
    <row r="1095" spans="1:8" x14ac:dyDescent="0.35">
      <c r="A1095" s="2">
        <v>1996</v>
      </c>
      <c r="B1095" s="2">
        <v>27463</v>
      </c>
      <c r="C1095" s="2">
        <f t="shared" si="102"/>
        <v>2.7463000000000002</v>
      </c>
      <c r="D1095" s="2">
        <f t="shared" si="103"/>
        <v>3984016</v>
      </c>
      <c r="E1095" s="2">
        <f t="shared" si="104"/>
        <v>7952095936</v>
      </c>
      <c r="F1095" s="2">
        <f t="shared" si="105"/>
        <v>15872383488256</v>
      </c>
      <c r="G1095" s="2">
        <f t="shared" si="106"/>
        <v>5481.6148000000003</v>
      </c>
      <c r="H1095" s="2">
        <f t="shared" si="107"/>
        <v>10941303.140800001</v>
      </c>
    </row>
    <row r="1096" spans="1:8" x14ac:dyDescent="0.35">
      <c r="A1096" s="2">
        <v>1996</v>
      </c>
      <c r="B1096" s="2">
        <v>24662</v>
      </c>
      <c r="C1096" s="2">
        <f t="shared" si="102"/>
        <v>2.4662000000000002</v>
      </c>
      <c r="D1096" s="2">
        <f t="shared" si="103"/>
        <v>3984016</v>
      </c>
      <c r="E1096" s="2">
        <f t="shared" si="104"/>
        <v>7952095936</v>
      </c>
      <c r="F1096" s="2">
        <f t="shared" si="105"/>
        <v>15872383488256</v>
      </c>
      <c r="G1096" s="2">
        <f t="shared" si="106"/>
        <v>4922.5352000000003</v>
      </c>
      <c r="H1096" s="2">
        <f t="shared" si="107"/>
        <v>9825380.2592000011</v>
      </c>
    </row>
    <row r="1097" spans="1:8" x14ac:dyDescent="0.35">
      <c r="A1097" s="2">
        <v>1996</v>
      </c>
      <c r="B1097" s="2">
        <v>28203</v>
      </c>
      <c r="C1097" s="2">
        <f t="shared" si="102"/>
        <v>2.8203</v>
      </c>
      <c r="D1097" s="2">
        <f t="shared" si="103"/>
        <v>3984016</v>
      </c>
      <c r="E1097" s="2">
        <f t="shared" si="104"/>
        <v>7952095936</v>
      </c>
      <c r="F1097" s="2">
        <f t="shared" si="105"/>
        <v>15872383488256</v>
      </c>
      <c r="G1097" s="2">
        <f t="shared" si="106"/>
        <v>5629.3188</v>
      </c>
      <c r="H1097" s="2">
        <f t="shared" si="107"/>
        <v>11236120.3248</v>
      </c>
    </row>
    <row r="1098" spans="1:8" x14ac:dyDescent="0.35">
      <c r="A1098" s="2">
        <v>1996</v>
      </c>
      <c r="B1098" s="2">
        <v>30625</v>
      </c>
      <c r="C1098" s="2">
        <f t="shared" si="102"/>
        <v>3.0625</v>
      </c>
      <c r="D1098" s="2">
        <f t="shared" si="103"/>
        <v>3984016</v>
      </c>
      <c r="E1098" s="2">
        <f t="shared" si="104"/>
        <v>7952095936</v>
      </c>
      <c r="F1098" s="2">
        <f t="shared" si="105"/>
        <v>15872383488256</v>
      </c>
      <c r="G1098" s="2">
        <f t="shared" si="106"/>
        <v>6112.75</v>
      </c>
      <c r="H1098" s="2">
        <f t="shared" si="107"/>
        <v>12201049</v>
      </c>
    </row>
    <row r="1099" spans="1:8" x14ac:dyDescent="0.35">
      <c r="A1099" s="2">
        <v>1996</v>
      </c>
      <c r="B1099" s="2">
        <v>28922</v>
      </c>
      <c r="C1099" s="2">
        <f t="shared" si="102"/>
        <v>2.8921999999999999</v>
      </c>
      <c r="D1099" s="2">
        <f t="shared" si="103"/>
        <v>3984016</v>
      </c>
      <c r="E1099" s="2">
        <f t="shared" si="104"/>
        <v>7952095936</v>
      </c>
      <c r="F1099" s="2">
        <f t="shared" si="105"/>
        <v>15872383488256</v>
      </c>
      <c r="G1099" s="2">
        <f t="shared" si="106"/>
        <v>5772.8311999999996</v>
      </c>
      <c r="H1099" s="2">
        <f t="shared" si="107"/>
        <v>11522571.075199999</v>
      </c>
    </row>
    <row r="1100" spans="1:8" x14ac:dyDescent="0.35">
      <c r="A1100" s="2">
        <v>1996</v>
      </c>
      <c r="B1100" s="2">
        <v>28258</v>
      </c>
      <c r="C1100" s="2">
        <f t="shared" si="102"/>
        <v>2.8258000000000001</v>
      </c>
      <c r="D1100" s="2">
        <f t="shared" si="103"/>
        <v>3984016</v>
      </c>
      <c r="E1100" s="2">
        <f t="shared" si="104"/>
        <v>7952095936</v>
      </c>
      <c r="F1100" s="2">
        <f t="shared" si="105"/>
        <v>15872383488256</v>
      </c>
      <c r="G1100" s="2">
        <f t="shared" si="106"/>
        <v>5640.2968000000001</v>
      </c>
      <c r="H1100" s="2">
        <f t="shared" si="107"/>
        <v>11258032.412800001</v>
      </c>
    </row>
    <row r="1101" spans="1:8" x14ac:dyDescent="0.35">
      <c r="A1101" s="2">
        <v>1996</v>
      </c>
      <c r="B1101" s="2">
        <v>28621</v>
      </c>
      <c r="C1101" s="2">
        <f t="shared" si="102"/>
        <v>2.8620999999999999</v>
      </c>
      <c r="D1101" s="2">
        <f t="shared" si="103"/>
        <v>3984016</v>
      </c>
      <c r="E1101" s="2">
        <f t="shared" si="104"/>
        <v>7952095936</v>
      </c>
      <c r="F1101" s="2">
        <f t="shared" si="105"/>
        <v>15872383488256</v>
      </c>
      <c r="G1101" s="2">
        <f t="shared" si="106"/>
        <v>5712.7515999999996</v>
      </c>
      <c r="H1101" s="2">
        <f t="shared" si="107"/>
        <v>11402652.193599999</v>
      </c>
    </row>
    <row r="1102" spans="1:8" x14ac:dyDescent="0.35">
      <c r="A1102" s="2">
        <v>1996</v>
      </c>
      <c r="B1102" s="2">
        <v>28928</v>
      </c>
      <c r="C1102" s="2">
        <f t="shared" si="102"/>
        <v>2.8927999999999998</v>
      </c>
      <c r="D1102" s="2">
        <f t="shared" si="103"/>
        <v>3984016</v>
      </c>
      <c r="E1102" s="2">
        <f t="shared" si="104"/>
        <v>7952095936</v>
      </c>
      <c r="F1102" s="2">
        <f t="shared" si="105"/>
        <v>15872383488256</v>
      </c>
      <c r="G1102" s="2">
        <f t="shared" si="106"/>
        <v>5774.0288</v>
      </c>
      <c r="H1102" s="2">
        <f t="shared" si="107"/>
        <v>11524961.4848</v>
      </c>
    </row>
    <row r="1103" spans="1:8" x14ac:dyDescent="0.35">
      <c r="A1103" s="2">
        <v>1996</v>
      </c>
      <c r="B1103" s="2">
        <v>29387</v>
      </c>
      <c r="C1103" s="2">
        <f t="shared" si="102"/>
        <v>2.9386999999999999</v>
      </c>
      <c r="D1103" s="2">
        <f t="shared" si="103"/>
        <v>3984016</v>
      </c>
      <c r="E1103" s="2">
        <f t="shared" si="104"/>
        <v>7952095936</v>
      </c>
      <c r="F1103" s="2">
        <f t="shared" si="105"/>
        <v>15872383488256</v>
      </c>
      <c r="G1103" s="2">
        <f t="shared" si="106"/>
        <v>5865.6451999999999</v>
      </c>
      <c r="H1103" s="2">
        <f t="shared" si="107"/>
        <v>11707827.8192</v>
      </c>
    </row>
    <row r="1104" spans="1:8" x14ac:dyDescent="0.35">
      <c r="A1104" s="2">
        <v>1996</v>
      </c>
      <c r="B1104" s="2">
        <v>30061</v>
      </c>
      <c r="C1104" s="2">
        <f t="shared" si="102"/>
        <v>3.0061</v>
      </c>
      <c r="D1104" s="2">
        <f t="shared" si="103"/>
        <v>3984016</v>
      </c>
      <c r="E1104" s="2">
        <f t="shared" si="104"/>
        <v>7952095936</v>
      </c>
      <c r="F1104" s="2">
        <f t="shared" si="105"/>
        <v>15872383488256</v>
      </c>
      <c r="G1104" s="2">
        <f t="shared" si="106"/>
        <v>6000.1755999999996</v>
      </c>
      <c r="H1104" s="2">
        <f t="shared" si="107"/>
        <v>11976350.4976</v>
      </c>
    </row>
    <row r="1105" spans="1:8" x14ac:dyDescent="0.35">
      <c r="A1105" s="2">
        <v>1996</v>
      </c>
      <c r="B1105" s="2">
        <v>29356</v>
      </c>
      <c r="C1105" s="2">
        <f t="shared" si="102"/>
        <v>2.9356</v>
      </c>
      <c r="D1105" s="2">
        <f t="shared" si="103"/>
        <v>3984016</v>
      </c>
      <c r="E1105" s="2">
        <f t="shared" si="104"/>
        <v>7952095936</v>
      </c>
      <c r="F1105" s="2">
        <f t="shared" si="105"/>
        <v>15872383488256</v>
      </c>
      <c r="G1105" s="2">
        <f t="shared" si="106"/>
        <v>5859.4575999999997</v>
      </c>
      <c r="H1105" s="2">
        <f t="shared" si="107"/>
        <v>11695477.3696</v>
      </c>
    </row>
    <row r="1106" spans="1:8" x14ac:dyDescent="0.35">
      <c r="A1106" s="2">
        <v>1996</v>
      </c>
      <c r="B1106" s="2">
        <v>29807</v>
      </c>
      <c r="C1106" s="2">
        <f t="shared" si="102"/>
        <v>2.9807000000000001</v>
      </c>
      <c r="D1106" s="2">
        <f t="shared" si="103"/>
        <v>3984016</v>
      </c>
      <c r="E1106" s="2">
        <f t="shared" si="104"/>
        <v>7952095936</v>
      </c>
      <c r="F1106" s="2">
        <f t="shared" si="105"/>
        <v>15872383488256</v>
      </c>
      <c r="G1106" s="2">
        <f t="shared" si="106"/>
        <v>5949.4772000000003</v>
      </c>
      <c r="H1106" s="2">
        <f t="shared" si="107"/>
        <v>11875156.4912</v>
      </c>
    </row>
    <row r="1107" spans="1:8" x14ac:dyDescent="0.35">
      <c r="A1107" s="2">
        <v>1651</v>
      </c>
      <c r="B1107" s="2">
        <v>17090</v>
      </c>
      <c r="C1107" s="2">
        <f t="shared" si="102"/>
        <v>1.7090000000000001</v>
      </c>
      <c r="D1107" s="2">
        <f t="shared" si="103"/>
        <v>2725801</v>
      </c>
      <c r="E1107" s="2">
        <f t="shared" si="104"/>
        <v>4500297451</v>
      </c>
      <c r="F1107" s="2">
        <f t="shared" si="105"/>
        <v>7429991091601</v>
      </c>
      <c r="G1107" s="2">
        <f t="shared" si="106"/>
        <v>2821.5590000000002</v>
      </c>
      <c r="H1107" s="2">
        <f t="shared" si="107"/>
        <v>4658393.909</v>
      </c>
    </row>
    <row r="1108" spans="1:8" x14ac:dyDescent="0.35">
      <c r="A1108" s="2">
        <v>1651</v>
      </c>
      <c r="B1108" s="2">
        <v>17094</v>
      </c>
      <c r="C1108" s="2">
        <f t="shared" si="102"/>
        <v>1.7094</v>
      </c>
      <c r="D1108" s="2">
        <f t="shared" si="103"/>
        <v>2725801</v>
      </c>
      <c r="E1108" s="2">
        <f t="shared" si="104"/>
        <v>4500297451</v>
      </c>
      <c r="F1108" s="2">
        <f t="shared" si="105"/>
        <v>7429991091601</v>
      </c>
      <c r="G1108" s="2">
        <f t="shared" si="106"/>
        <v>2822.2194</v>
      </c>
      <c r="H1108" s="2">
        <f t="shared" si="107"/>
        <v>4659484.2294000005</v>
      </c>
    </row>
    <row r="1109" spans="1:8" x14ac:dyDescent="0.35">
      <c r="A1109" s="2">
        <v>1651</v>
      </c>
      <c r="B1109" s="2">
        <v>17097</v>
      </c>
      <c r="C1109" s="2">
        <f t="shared" si="102"/>
        <v>1.7097</v>
      </c>
      <c r="D1109" s="2">
        <f t="shared" si="103"/>
        <v>2725801</v>
      </c>
      <c r="E1109" s="2">
        <f t="shared" si="104"/>
        <v>4500297451</v>
      </c>
      <c r="F1109" s="2">
        <f t="shared" si="105"/>
        <v>7429991091601</v>
      </c>
      <c r="G1109" s="2">
        <f t="shared" si="106"/>
        <v>2822.7147</v>
      </c>
      <c r="H1109" s="2">
        <f t="shared" si="107"/>
        <v>4660301.9697000002</v>
      </c>
    </row>
    <row r="1110" spans="1:8" x14ac:dyDescent="0.35">
      <c r="A1110" s="2">
        <v>1651</v>
      </c>
      <c r="B1110" s="2">
        <v>17103</v>
      </c>
      <c r="C1110" s="2">
        <f t="shared" si="102"/>
        <v>1.7102999999999999</v>
      </c>
      <c r="D1110" s="2">
        <f t="shared" si="103"/>
        <v>2725801</v>
      </c>
      <c r="E1110" s="2">
        <f t="shared" si="104"/>
        <v>4500297451</v>
      </c>
      <c r="F1110" s="2">
        <f t="shared" si="105"/>
        <v>7429991091601</v>
      </c>
      <c r="G1110" s="2">
        <f t="shared" si="106"/>
        <v>2823.7053000000001</v>
      </c>
      <c r="H1110" s="2">
        <f t="shared" si="107"/>
        <v>4661937.4502999997</v>
      </c>
    </row>
    <row r="1111" spans="1:8" x14ac:dyDescent="0.35">
      <c r="A1111" s="2">
        <v>1651</v>
      </c>
      <c r="B1111" s="2">
        <v>17106</v>
      </c>
      <c r="C1111" s="2">
        <f t="shared" si="102"/>
        <v>1.7105999999999999</v>
      </c>
      <c r="D1111" s="2">
        <f t="shared" si="103"/>
        <v>2725801</v>
      </c>
      <c r="E1111" s="2">
        <f t="shared" si="104"/>
        <v>4500297451</v>
      </c>
      <c r="F1111" s="2">
        <f t="shared" si="105"/>
        <v>7429991091601</v>
      </c>
      <c r="G1111" s="2">
        <f t="shared" si="106"/>
        <v>2824.2005999999997</v>
      </c>
      <c r="H1111" s="2">
        <f t="shared" si="107"/>
        <v>4662755.1905999994</v>
      </c>
    </row>
    <row r="1112" spans="1:8" x14ac:dyDescent="0.35">
      <c r="A1112" s="2">
        <v>1651</v>
      </c>
      <c r="B1112" s="2">
        <v>17110</v>
      </c>
      <c r="C1112" s="2">
        <f t="shared" si="102"/>
        <v>1.7110000000000001</v>
      </c>
      <c r="D1112" s="2">
        <f t="shared" si="103"/>
        <v>2725801</v>
      </c>
      <c r="E1112" s="2">
        <f t="shared" si="104"/>
        <v>4500297451</v>
      </c>
      <c r="F1112" s="2">
        <f t="shared" si="105"/>
        <v>7429991091601</v>
      </c>
      <c r="G1112" s="2">
        <f t="shared" si="106"/>
        <v>2824.8610000000003</v>
      </c>
      <c r="H1112" s="2">
        <f t="shared" si="107"/>
        <v>4663845.5109999999</v>
      </c>
    </row>
    <row r="1113" spans="1:8" x14ac:dyDescent="0.35">
      <c r="A1113" s="2">
        <v>1651</v>
      </c>
      <c r="B1113" s="2">
        <v>17113</v>
      </c>
      <c r="C1113" s="2">
        <f t="shared" si="102"/>
        <v>1.7113</v>
      </c>
      <c r="D1113" s="2">
        <f t="shared" si="103"/>
        <v>2725801</v>
      </c>
      <c r="E1113" s="2">
        <f t="shared" si="104"/>
        <v>4500297451</v>
      </c>
      <c r="F1113" s="2">
        <f t="shared" si="105"/>
        <v>7429991091601</v>
      </c>
      <c r="G1113" s="2">
        <f t="shared" si="106"/>
        <v>2825.3562999999999</v>
      </c>
      <c r="H1113" s="2">
        <f t="shared" si="107"/>
        <v>4664663.2512999997</v>
      </c>
    </row>
    <row r="1114" spans="1:8" x14ac:dyDescent="0.35">
      <c r="A1114" s="2">
        <v>1651</v>
      </c>
      <c r="B1114" s="2">
        <v>17116</v>
      </c>
      <c r="C1114" s="2">
        <f t="shared" si="102"/>
        <v>1.7116</v>
      </c>
      <c r="D1114" s="2">
        <f t="shared" si="103"/>
        <v>2725801</v>
      </c>
      <c r="E1114" s="2">
        <f t="shared" si="104"/>
        <v>4500297451</v>
      </c>
      <c r="F1114" s="2">
        <f t="shared" si="105"/>
        <v>7429991091601</v>
      </c>
      <c r="G1114" s="2">
        <f t="shared" si="106"/>
        <v>2825.8516</v>
      </c>
      <c r="H1114" s="2">
        <f t="shared" si="107"/>
        <v>4665480.9916000003</v>
      </c>
    </row>
    <row r="1115" spans="1:8" x14ac:dyDescent="0.35">
      <c r="A1115" s="2">
        <v>1651</v>
      </c>
      <c r="B1115" s="2">
        <v>17119</v>
      </c>
      <c r="C1115" s="2">
        <f t="shared" si="102"/>
        <v>1.7119</v>
      </c>
      <c r="D1115" s="2">
        <f t="shared" si="103"/>
        <v>2725801</v>
      </c>
      <c r="E1115" s="2">
        <f t="shared" si="104"/>
        <v>4500297451</v>
      </c>
      <c r="F1115" s="2">
        <f t="shared" si="105"/>
        <v>7429991091601</v>
      </c>
      <c r="G1115" s="2">
        <f t="shared" si="106"/>
        <v>2826.3469</v>
      </c>
      <c r="H1115" s="2">
        <f t="shared" si="107"/>
        <v>4666298.7319</v>
      </c>
    </row>
    <row r="1116" spans="1:8" x14ac:dyDescent="0.35">
      <c r="A1116" s="2">
        <v>1651</v>
      </c>
      <c r="B1116" s="2">
        <v>17122</v>
      </c>
      <c r="C1116" s="2">
        <f t="shared" si="102"/>
        <v>1.7121999999999999</v>
      </c>
      <c r="D1116" s="2">
        <f t="shared" si="103"/>
        <v>2725801</v>
      </c>
      <c r="E1116" s="2">
        <f t="shared" si="104"/>
        <v>4500297451</v>
      </c>
      <c r="F1116" s="2">
        <f t="shared" si="105"/>
        <v>7429991091601</v>
      </c>
      <c r="G1116" s="2">
        <f t="shared" si="106"/>
        <v>2826.8422</v>
      </c>
      <c r="H1116" s="2">
        <f t="shared" si="107"/>
        <v>4667116.4721999997</v>
      </c>
    </row>
    <row r="1117" spans="1:8" x14ac:dyDescent="0.35">
      <c r="A1117" s="2">
        <v>1651</v>
      </c>
      <c r="B1117" s="2">
        <v>17126</v>
      </c>
      <c r="C1117" s="2">
        <f t="shared" si="102"/>
        <v>1.7125999999999999</v>
      </c>
      <c r="D1117" s="2">
        <f t="shared" si="103"/>
        <v>2725801</v>
      </c>
      <c r="E1117" s="2">
        <f t="shared" si="104"/>
        <v>4500297451</v>
      </c>
      <c r="F1117" s="2">
        <f t="shared" si="105"/>
        <v>7429991091601</v>
      </c>
      <c r="G1117" s="2">
        <f t="shared" si="106"/>
        <v>2827.5025999999998</v>
      </c>
      <c r="H1117" s="2">
        <f t="shared" si="107"/>
        <v>4668206.7925999993</v>
      </c>
    </row>
    <row r="1118" spans="1:8" x14ac:dyDescent="0.35">
      <c r="A1118" s="2">
        <v>1651</v>
      </c>
      <c r="B1118" s="2">
        <v>17129</v>
      </c>
      <c r="C1118" s="2">
        <f t="shared" si="102"/>
        <v>1.7129000000000001</v>
      </c>
      <c r="D1118" s="2">
        <f t="shared" si="103"/>
        <v>2725801</v>
      </c>
      <c r="E1118" s="2">
        <f t="shared" si="104"/>
        <v>4500297451</v>
      </c>
      <c r="F1118" s="2">
        <f t="shared" si="105"/>
        <v>7429991091601</v>
      </c>
      <c r="G1118" s="2">
        <f t="shared" si="106"/>
        <v>2827.9979000000003</v>
      </c>
      <c r="H1118" s="2">
        <f t="shared" si="107"/>
        <v>4669024.5329</v>
      </c>
    </row>
    <row r="1119" spans="1:8" x14ac:dyDescent="0.35">
      <c r="A1119" s="2">
        <v>1651</v>
      </c>
      <c r="B1119" s="2">
        <v>17132</v>
      </c>
      <c r="C1119" s="2">
        <f t="shared" si="102"/>
        <v>1.7132000000000001</v>
      </c>
      <c r="D1119" s="2">
        <f t="shared" si="103"/>
        <v>2725801</v>
      </c>
      <c r="E1119" s="2">
        <f t="shared" si="104"/>
        <v>4500297451</v>
      </c>
      <c r="F1119" s="2">
        <f t="shared" si="105"/>
        <v>7429991091601</v>
      </c>
      <c r="G1119" s="2">
        <f t="shared" si="106"/>
        <v>2828.4931999999999</v>
      </c>
      <c r="H1119" s="2">
        <f t="shared" si="107"/>
        <v>4669842.2731999997</v>
      </c>
    </row>
    <row r="1120" spans="1:8" x14ac:dyDescent="0.35">
      <c r="A1120" s="2">
        <v>1651</v>
      </c>
      <c r="B1120" s="2">
        <v>17135</v>
      </c>
      <c r="C1120" s="2">
        <f t="shared" si="102"/>
        <v>1.7135</v>
      </c>
      <c r="D1120" s="2">
        <f t="shared" si="103"/>
        <v>2725801</v>
      </c>
      <c r="E1120" s="2">
        <f t="shared" si="104"/>
        <v>4500297451</v>
      </c>
      <c r="F1120" s="2">
        <f t="shared" si="105"/>
        <v>7429991091601</v>
      </c>
      <c r="G1120" s="2">
        <f t="shared" si="106"/>
        <v>2828.9884999999999</v>
      </c>
      <c r="H1120" s="2">
        <f t="shared" si="107"/>
        <v>4670660.0135000004</v>
      </c>
    </row>
    <row r="1121" spans="1:8" x14ac:dyDescent="0.35">
      <c r="A1121" s="2">
        <v>1651</v>
      </c>
      <c r="B1121" s="2">
        <v>17139</v>
      </c>
      <c r="C1121" s="2">
        <f t="shared" si="102"/>
        <v>1.7139</v>
      </c>
      <c r="D1121" s="2">
        <f t="shared" si="103"/>
        <v>2725801</v>
      </c>
      <c r="E1121" s="2">
        <f t="shared" si="104"/>
        <v>4500297451</v>
      </c>
      <c r="F1121" s="2">
        <f t="shared" si="105"/>
        <v>7429991091601</v>
      </c>
      <c r="G1121" s="2">
        <f t="shared" si="106"/>
        <v>2829.6489000000001</v>
      </c>
      <c r="H1121" s="2">
        <f t="shared" si="107"/>
        <v>4671750.3339</v>
      </c>
    </row>
    <row r="1122" spans="1:8" x14ac:dyDescent="0.35">
      <c r="A1122" s="2">
        <v>1651</v>
      </c>
      <c r="B1122" s="2">
        <v>17194</v>
      </c>
      <c r="C1122" s="2">
        <f t="shared" si="102"/>
        <v>1.7194</v>
      </c>
      <c r="D1122" s="2">
        <f t="shared" si="103"/>
        <v>2725801</v>
      </c>
      <c r="E1122" s="2">
        <f t="shared" si="104"/>
        <v>4500297451</v>
      </c>
      <c r="F1122" s="2">
        <f t="shared" si="105"/>
        <v>7429991091601</v>
      </c>
      <c r="G1122" s="2">
        <f t="shared" si="106"/>
        <v>2838.7294000000002</v>
      </c>
      <c r="H1122" s="2">
        <f t="shared" si="107"/>
        <v>4686742.2394000003</v>
      </c>
    </row>
    <row r="1123" spans="1:8" x14ac:dyDescent="0.35">
      <c r="A1123" s="2">
        <v>1651</v>
      </c>
      <c r="B1123" s="2">
        <v>17289</v>
      </c>
      <c r="C1123" s="2">
        <f t="shared" si="102"/>
        <v>1.7289000000000001</v>
      </c>
      <c r="D1123" s="2">
        <f t="shared" si="103"/>
        <v>2725801</v>
      </c>
      <c r="E1123" s="2">
        <f t="shared" si="104"/>
        <v>4500297451</v>
      </c>
      <c r="F1123" s="2">
        <f t="shared" si="105"/>
        <v>7429991091601</v>
      </c>
      <c r="G1123" s="2">
        <f t="shared" si="106"/>
        <v>2854.4139</v>
      </c>
      <c r="H1123" s="2">
        <f t="shared" si="107"/>
        <v>4712637.3489000006</v>
      </c>
    </row>
    <row r="1124" spans="1:8" x14ac:dyDescent="0.35">
      <c r="A1124" s="2">
        <v>1651</v>
      </c>
      <c r="B1124" s="2">
        <v>17479</v>
      </c>
      <c r="C1124" s="2">
        <f t="shared" si="102"/>
        <v>1.7479</v>
      </c>
      <c r="D1124" s="2">
        <f t="shared" si="103"/>
        <v>2725801</v>
      </c>
      <c r="E1124" s="2">
        <f t="shared" si="104"/>
        <v>4500297451</v>
      </c>
      <c r="F1124" s="2">
        <f t="shared" si="105"/>
        <v>7429991091601</v>
      </c>
      <c r="G1124" s="2">
        <f t="shared" si="106"/>
        <v>2885.7829000000002</v>
      </c>
      <c r="H1124" s="2">
        <f t="shared" si="107"/>
        <v>4764427.5679000001</v>
      </c>
    </row>
    <row r="1125" spans="1:8" x14ac:dyDescent="0.35">
      <c r="A1125" s="2">
        <v>1651</v>
      </c>
      <c r="B1125" s="2">
        <v>17575</v>
      </c>
      <c r="C1125" s="2">
        <f t="shared" si="102"/>
        <v>1.7575000000000001</v>
      </c>
      <c r="D1125" s="2">
        <f t="shared" si="103"/>
        <v>2725801</v>
      </c>
      <c r="E1125" s="2">
        <f t="shared" si="104"/>
        <v>4500297451</v>
      </c>
      <c r="F1125" s="2">
        <f t="shared" si="105"/>
        <v>7429991091601</v>
      </c>
      <c r="G1125" s="2">
        <f t="shared" si="106"/>
        <v>2901.6325000000002</v>
      </c>
      <c r="H1125" s="2">
        <f t="shared" si="107"/>
        <v>4790595.2575000003</v>
      </c>
    </row>
    <row r="1126" spans="1:8" x14ac:dyDescent="0.35">
      <c r="A1126" s="2">
        <v>1651</v>
      </c>
      <c r="B1126" s="2">
        <v>17672</v>
      </c>
      <c r="C1126" s="2">
        <f t="shared" si="102"/>
        <v>1.7672000000000001</v>
      </c>
      <c r="D1126" s="2">
        <f t="shared" si="103"/>
        <v>2725801</v>
      </c>
      <c r="E1126" s="2">
        <f t="shared" si="104"/>
        <v>4500297451</v>
      </c>
      <c r="F1126" s="2">
        <f t="shared" si="105"/>
        <v>7429991091601</v>
      </c>
      <c r="G1126" s="2">
        <f t="shared" si="106"/>
        <v>2917.6472000000003</v>
      </c>
      <c r="H1126" s="2">
        <f t="shared" si="107"/>
        <v>4817035.5272000004</v>
      </c>
    </row>
    <row r="1127" spans="1:8" x14ac:dyDescent="0.35">
      <c r="A1127" s="2">
        <v>1651</v>
      </c>
      <c r="B1127" s="2">
        <v>17769</v>
      </c>
      <c r="C1127" s="2">
        <f t="shared" si="102"/>
        <v>1.7768999999999999</v>
      </c>
      <c r="D1127" s="2">
        <f t="shared" si="103"/>
        <v>2725801</v>
      </c>
      <c r="E1127" s="2">
        <f t="shared" si="104"/>
        <v>4500297451</v>
      </c>
      <c r="F1127" s="2">
        <f t="shared" si="105"/>
        <v>7429991091601</v>
      </c>
      <c r="G1127" s="2">
        <f t="shared" si="106"/>
        <v>2933.6619000000001</v>
      </c>
      <c r="H1127" s="2">
        <f t="shared" si="107"/>
        <v>4843475.7968999995</v>
      </c>
    </row>
    <row r="1128" spans="1:8" x14ac:dyDescent="0.35">
      <c r="A1128" s="2">
        <v>1651</v>
      </c>
      <c r="B1128" s="2">
        <v>19308</v>
      </c>
      <c r="C1128" s="2">
        <f t="shared" si="102"/>
        <v>1.9308000000000001</v>
      </c>
      <c r="D1128" s="2">
        <f t="shared" si="103"/>
        <v>2725801</v>
      </c>
      <c r="E1128" s="2">
        <f t="shared" si="104"/>
        <v>4500297451</v>
      </c>
      <c r="F1128" s="2">
        <f t="shared" si="105"/>
        <v>7429991091601</v>
      </c>
      <c r="G1128" s="2">
        <f t="shared" si="106"/>
        <v>3187.7508000000003</v>
      </c>
      <c r="H1128" s="2">
        <f t="shared" si="107"/>
        <v>5262976.5707999999</v>
      </c>
    </row>
    <row r="1129" spans="1:8" x14ac:dyDescent="0.35">
      <c r="A1129" s="2">
        <v>1651</v>
      </c>
      <c r="B1129" s="2">
        <v>16705</v>
      </c>
      <c r="C1129" s="2">
        <f t="shared" si="102"/>
        <v>1.6705000000000001</v>
      </c>
      <c r="D1129" s="2">
        <f t="shared" si="103"/>
        <v>2725801</v>
      </c>
      <c r="E1129" s="2">
        <f t="shared" si="104"/>
        <v>4500297451</v>
      </c>
      <c r="F1129" s="2">
        <f t="shared" si="105"/>
        <v>7429991091601</v>
      </c>
      <c r="G1129" s="2">
        <f t="shared" si="106"/>
        <v>2757.9955</v>
      </c>
      <c r="H1129" s="2">
        <f t="shared" si="107"/>
        <v>4553450.5705000004</v>
      </c>
    </row>
    <row r="1130" spans="1:8" x14ac:dyDescent="0.35">
      <c r="A1130" s="2">
        <v>1651</v>
      </c>
      <c r="B1130" s="2">
        <v>11008</v>
      </c>
      <c r="C1130" s="2">
        <f t="shared" si="102"/>
        <v>1.1008</v>
      </c>
      <c r="D1130" s="2">
        <f t="shared" si="103"/>
        <v>2725801</v>
      </c>
      <c r="E1130" s="2">
        <f t="shared" si="104"/>
        <v>4500297451</v>
      </c>
      <c r="F1130" s="2">
        <f t="shared" si="105"/>
        <v>7429991091601</v>
      </c>
      <c r="G1130" s="2">
        <f t="shared" si="106"/>
        <v>1817.4208000000001</v>
      </c>
      <c r="H1130" s="2">
        <f t="shared" si="107"/>
        <v>3000561.7407999998</v>
      </c>
    </row>
    <row r="1131" spans="1:8" x14ac:dyDescent="0.35">
      <c r="A1131" s="2">
        <v>1651</v>
      </c>
      <c r="B1131" s="2">
        <v>11567</v>
      </c>
      <c r="C1131" s="2">
        <f t="shared" si="102"/>
        <v>1.1567000000000001</v>
      </c>
      <c r="D1131" s="2">
        <f t="shared" si="103"/>
        <v>2725801</v>
      </c>
      <c r="E1131" s="2">
        <f t="shared" si="104"/>
        <v>4500297451</v>
      </c>
      <c r="F1131" s="2">
        <f t="shared" si="105"/>
        <v>7429991091601</v>
      </c>
      <c r="G1131" s="2">
        <f t="shared" si="106"/>
        <v>1909.7117000000001</v>
      </c>
      <c r="H1131" s="2">
        <f t="shared" si="107"/>
        <v>3152934.0167</v>
      </c>
    </row>
    <row r="1132" spans="1:8" x14ac:dyDescent="0.35">
      <c r="A1132" s="2">
        <v>1651</v>
      </c>
      <c r="B1132" s="2">
        <v>12000</v>
      </c>
      <c r="C1132" s="2">
        <f t="shared" si="102"/>
        <v>1.2</v>
      </c>
      <c r="D1132" s="2">
        <f t="shared" si="103"/>
        <v>2725801</v>
      </c>
      <c r="E1132" s="2">
        <f t="shared" si="104"/>
        <v>4500297451</v>
      </c>
      <c r="F1132" s="2">
        <f t="shared" si="105"/>
        <v>7429991091601</v>
      </c>
      <c r="G1132" s="2">
        <f t="shared" si="106"/>
        <v>1981.1999999999998</v>
      </c>
      <c r="H1132" s="2">
        <f t="shared" si="107"/>
        <v>3270961.1999999997</v>
      </c>
    </row>
    <row r="1133" spans="1:8" x14ac:dyDescent="0.35">
      <c r="A1133" s="2">
        <v>1651</v>
      </c>
      <c r="B1133" s="2">
        <v>12500</v>
      </c>
      <c r="C1133" s="2">
        <f t="shared" si="102"/>
        <v>1.25</v>
      </c>
      <c r="D1133" s="2">
        <f t="shared" si="103"/>
        <v>2725801</v>
      </c>
      <c r="E1133" s="2">
        <f t="shared" si="104"/>
        <v>4500297451</v>
      </c>
      <c r="F1133" s="2">
        <f t="shared" si="105"/>
        <v>7429991091601</v>
      </c>
      <c r="G1133" s="2">
        <f t="shared" si="106"/>
        <v>2063.75</v>
      </c>
      <c r="H1133" s="2">
        <f t="shared" si="107"/>
        <v>3407251.25</v>
      </c>
    </row>
    <row r="1134" spans="1:8" x14ac:dyDescent="0.35">
      <c r="A1134" s="2">
        <v>1651</v>
      </c>
      <c r="B1134" s="2">
        <v>13016</v>
      </c>
      <c r="C1134" s="2">
        <f t="shared" si="102"/>
        <v>1.3016000000000001</v>
      </c>
      <c r="D1134" s="2">
        <f t="shared" si="103"/>
        <v>2725801</v>
      </c>
      <c r="E1134" s="2">
        <f t="shared" si="104"/>
        <v>4500297451</v>
      </c>
      <c r="F1134" s="2">
        <f t="shared" si="105"/>
        <v>7429991091601</v>
      </c>
      <c r="G1134" s="2">
        <f t="shared" si="106"/>
        <v>2148.9416000000001</v>
      </c>
      <c r="H1134" s="2">
        <f t="shared" si="107"/>
        <v>3547902.5816000002</v>
      </c>
    </row>
    <row r="1135" spans="1:8" x14ac:dyDescent="0.35">
      <c r="A1135" s="2">
        <v>1651</v>
      </c>
      <c r="B1135" s="2">
        <v>12193</v>
      </c>
      <c r="C1135" s="2">
        <f t="shared" si="102"/>
        <v>1.2193000000000001</v>
      </c>
      <c r="D1135" s="2">
        <f t="shared" si="103"/>
        <v>2725801</v>
      </c>
      <c r="E1135" s="2">
        <f t="shared" si="104"/>
        <v>4500297451</v>
      </c>
      <c r="F1135" s="2">
        <f t="shared" si="105"/>
        <v>7429991091601</v>
      </c>
      <c r="G1135" s="2">
        <f t="shared" si="106"/>
        <v>2013.0643</v>
      </c>
      <c r="H1135" s="2">
        <f t="shared" si="107"/>
        <v>3323569.1592999999</v>
      </c>
    </row>
    <row r="1136" spans="1:8" x14ac:dyDescent="0.35">
      <c r="A1136" s="2">
        <v>1651</v>
      </c>
      <c r="B1136" s="2">
        <v>11769</v>
      </c>
      <c r="C1136" s="2">
        <f t="shared" si="102"/>
        <v>1.1769000000000001</v>
      </c>
      <c r="D1136" s="2">
        <f t="shared" si="103"/>
        <v>2725801</v>
      </c>
      <c r="E1136" s="2">
        <f t="shared" si="104"/>
        <v>4500297451</v>
      </c>
      <c r="F1136" s="2">
        <f t="shared" si="105"/>
        <v>7429991091601</v>
      </c>
      <c r="G1136" s="2">
        <f t="shared" si="106"/>
        <v>1943.0619000000002</v>
      </c>
      <c r="H1136" s="2">
        <f t="shared" si="107"/>
        <v>3207995.1969000003</v>
      </c>
    </row>
    <row r="1137" spans="1:8" x14ac:dyDescent="0.35">
      <c r="A1137" s="2">
        <v>1577</v>
      </c>
      <c r="B1137" s="2">
        <v>17500</v>
      </c>
      <c r="C1137" s="2">
        <f t="shared" si="102"/>
        <v>1.75</v>
      </c>
      <c r="D1137" s="2">
        <f t="shared" si="103"/>
        <v>2486929</v>
      </c>
      <c r="E1137" s="2">
        <f t="shared" si="104"/>
        <v>3921887033</v>
      </c>
      <c r="F1137" s="2">
        <f t="shared" si="105"/>
        <v>6184815851041</v>
      </c>
      <c r="G1137" s="2">
        <f t="shared" si="106"/>
        <v>2759.75</v>
      </c>
      <c r="H1137" s="2">
        <f t="shared" si="107"/>
        <v>4352125.75</v>
      </c>
    </row>
    <row r="1138" spans="1:8" x14ac:dyDescent="0.35">
      <c r="A1138" s="2">
        <v>1577</v>
      </c>
      <c r="B1138" s="2">
        <v>20000</v>
      </c>
      <c r="C1138" s="2">
        <f t="shared" si="102"/>
        <v>2</v>
      </c>
      <c r="D1138" s="2">
        <f t="shared" si="103"/>
        <v>2486929</v>
      </c>
      <c r="E1138" s="2">
        <f t="shared" si="104"/>
        <v>3921887033</v>
      </c>
      <c r="F1138" s="2">
        <f t="shared" si="105"/>
        <v>6184815851041</v>
      </c>
      <c r="G1138" s="2">
        <f t="shared" si="106"/>
        <v>3154</v>
      </c>
      <c r="H1138" s="2">
        <f t="shared" si="107"/>
        <v>4973858</v>
      </c>
    </row>
    <row r="1139" spans="1:8" x14ac:dyDescent="0.35">
      <c r="A1139" s="2">
        <v>1577</v>
      </c>
      <c r="B1139" s="2">
        <v>21000</v>
      </c>
      <c r="C1139" s="2">
        <f t="shared" si="102"/>
        <v>2.1</v>
      </c>
      <c r="D1139" s="2">
        <f t="shared" si="103"/>
        <v>2486929</v>
      </c>
      <c r="E1139" s="2">
        <f t="shared" si="104"/>
        <v>3921887033</v>
      </c>
      <c r="F1139" s="2">
        <f t="shared" si="105"/>
        <v>6184815851041</v>
      </c>
      <c r="G1139" s="2">
        <f t="shared" si="106"/>
        <v>3311.7000000000003</v>
      </c>
      <c r="H1139" s="2">
        <f t="shared" si="107"/>
        <v>5222550.9000000004</v>
      </c>
    </row>
    <row r="1140" spans="1:8" x14ac:dyDescent="0.35">
      <c r="A1140" s="2">
        <v>1577</v>
      </c>
      <c r="B1140" s="2">
        <v>20176</v>
      </c>
      <c r="C1140" s="2">
        <f t="shared" si="102"/>
        <v>2.0175999999999998</v>
      </c>
      <c r="D1140" s="2">
        <f t="shared" si="103"/>
        <v>2486929</v>
      </c>
      <c r="E1140" s="2">
        <f t="shared" si="104"/>
        <v>3921887033</v>
      </c>
      <c r="F1140" s="2">
        <f t="shared" si="105"/>
        <v>6184815851041</v>
      </c>
      <c r="G1140" s="2">
        <f t="shared" si="106"/>
        <v>3181.7551999999996</v>
      </c>
      <c r="H1140" s="2">
        <f t="shared" si="107"/>
        <v>5017627.9503999995</v>
      </c>
    </row>
    <row r="1141" spans="1:8" x14ac:dyDescent="0.35">
      <c r="A1141" s="2">
        <v>1577</v>
      </c>
      <c r="B1141" s="2">
        <v>20518</v>
      </c>
      <c r="C1141" s="2">
        <f t="shared" si="102"/>
        <v>2.0518000000000001</v>
      </c>
      <c r="D1141" s="2">
        <f t="shared" si="103"/>
        <v>2486929</v>
      </c>
      <c r="E1141" s="2">
        <f t="shared" si="104"/>
        <v>3921887033</v>
      </c>
      <c r="F1141" s="2">
        <f t="shared" si="105"/>
        <v>6184815851041</v>
      </c>
      <c r="G1141" s="2">
        <f t="shared" si="106"/>
        <v>3235.6886</v>
      </c>
      <c r="H1141" s="2">
        <f t="shared" si="107"/>
        <v>5102680.9221999999</v>
      </c>
    </row>
    <row r="1142" spans="1:8" x14ac:dyDescent="0.35">
      <c r="A1142" s="2">
        <v>1577</v>
      </c>
      <c r="B1142" s="2">
        <v>20064</v>
      </c>
      <c r="C1142" s="2">
        <f t="shared" si="102"/>
        <v>2.0064000000000002</v>
      </c>
      <c r="D1142" s="2">
        <f t="shared" si="103"/>
        <v>2486929</v>
      </c>
      <c r="E1142" s="2">
        <f t="shared" si="104"/>
        <v>3921887033</v>
      </c>
      <c r="F1142" s="2">
        <f t="shared" si="105"/>
        <v>6184815851041</v>
      </c>
      <c r="G1142" s="2">
        <f t="shared" si="106"/>
        <v>3164.0928000000004</v>
      </c>
      <c r="H1142" s="2">
        <f t="shared" si="107"/>
        <v>4989774.3456000006</v>
      </c>
    </row>
    <row r="1143" spans="1:8" x14ac:dyDescent="0.35">
      <c r="A1143" s="2">
        <v>1577</v>
      </c>
      <c r="B1143" s="2">
        <v>19011</v>
      </c>
      <c r="C1143" s="2">
        <f t="shared" si="102"/>
        <v>1.9011</v>
      </c>
      <c r="D1143" s="2">
        <f t="shared" si="103"/>
        <v>2486929</v>
      </c>
      <c r="E1143" s="2">
        <f t="shared" si="104"/>
        <v>3921887033</v>
      </c>
      <c r="F1143" s="2">
        <f t="shared" si="105"/>
        <v>6184815851041</v>
      </c>
      <c r="G1143" s="2">
        <f t="shared" si="106"/>
        <v>2998.0347000000002</v>
      </c>
      <c r="H1143" s="2">
        <f t="shared" si="107"/>
        <v>4727900.7219000002</v>
      </c>
    </row>
    <row r="1144" spans="1:8" x14ac:dyDescent="0.35">
      <c r="A1144" s="2">
        <v>1577</v>
      </c>
      <c r="B1144" s="2">
        <v>19738</v>
      </c>
      <c r="C1144" s="2">
        <f t="shared" si="102"/>
        <v>1.9738</v>
      </c>
      <c r="D1144" s="2">
        <f t="shared" si="103"/>
        <v>2486929</v>
      </c>
      <c r="E1144" s="2">
        <f t="shared" si="104"/>
        <v>3921887033</v>
      </c>
      <c r="F1144" s="2">
        <f t="shared" si="105"/>
        <v>6184815851041</v>
      </c>
      <c r="G1144" s="2">
        <f t="shared" si="106"/>
        <v>3112.6826000000001</v>
      </c>
      <c r="H1144" s="2">
        <f t="shared" si="107"/>
        <v>4908700.4601999996</v>
      </c>
    </row>
    <row r="1145" spans="1:8" x14ac:dyDescent="0.35">
      <c r="A1145" s="2">
        <v>1577</v>
      </c>
      <c r="B1145" s="2">
        <v>20067</v>
      </c>
      <c r="C1145" s="2">
        <f t="shared" si="102"/>
        <v>2.0066999999999999</v>
      </c>
      <c r="D1145" s="2">
        <f t="shared" si="103"/>
        <v>2486929</v>
      </c>
      <c r="E1145" s="2">
        <f t="shared" si="104"/>
        <v>3921887033</v>
      </c>
      <c r="F1145" s="2">
        <f t="shared" si="105"/>
        <v>6184815851041</v>
      </c>
      <c r="G1145" s="2">
        <f t="shared" si="106"/>
        <v>3164.5659000000001</v>
      </c>
      <c r="H1145" s="2">
        <f t="shared" si="107"/>
        <v>4990520.4243000001</v>
      </c>
    </row>
    <row r="1146" spans="1:8" x14ac:dyDescent="0.35">
      <c r="A1146" s="2">
        <v>1577</v>
      </c>
      <c r="B1146" s="2">
        <v>19070</v>
      </c>
      <c r="C1146" s="2">
        <f t="shared" si="102"/>
        <v>1.907</v>
      </c>
      <c r="D1146" s="2">
        <f t="shared" si="103"/>
        <v>2486929</v>
      </c>
      <c r="E1146" s="2">
        <f t="shared" si="104"/>
        <v>3921887033</v>
      </c>
      <c r="F1146" s="2">
        <f t="shared" si="105"/>
        <v>6184815851041</v>
      </c>
      <c r="G1146" s="2">
        <f t="shared" si="106"/>
        <v>3007.3389999999999</v>
      </c>
      <c r="H1146" s="2">
        <f t="shared" si="107"/>
        <v>4742573.6030000001</v>
      </c>
    </row>
    <row r="1147" spans="1:8" x14ac:dyDescent="0.35">
      <c r="A1147" s="2">
        <v>1577</v>
      </c>
      <c r="B1147" s="2">
        <v>18375</v>
      </c>
      <c r="C1147" s="2">
        <f t="shared" si="102"/>
        <v>1.8374999999999999</v>
      </c>
      <c r="D1147" s="2">
        <f t="shared" si="103"/>
        <v>2486929</v>
      </c>
      <c r="E1147" s="2">
        <f t="shared" si="104"/>
        <v>3921887033</v>
      </c>
      <c r="F1147" s="2">
        <f t="shared" si="105"/>
        <v>6184815851041</v>
      </c>
      <c r="G1147" s="2">
        <f t="shared" si="106"/>
        <v>2897.7374999999997</v>
      </c>
      <c r="H1147" s="2">
        <f t="shared" si="107"/>
        <v>4569732.0374999996</v>
      </c>
    </row>
    <row r="1148" spans="1:8" x14ac:dyDescent="0.35">
      <c r="A1148" s="2">
        <v>1577</v>
      </c>
      <c r="B1148" s="2">
        <v>16657</v>
      </c>
      <c r="C1148" s="2">
        <f t="shared" si="102"/>
        <v>1.6657</v>
      </c>
      <c r="D1148" s="2">
        <f t="shared" si="103"/>
        <v>2486929</v>
      </c>
      <c r="E1148" s="2">
        <f t="shared" si="104"/>
        <v>3921887033</v>
      </c>
      <c r="F1148" s="2">
        <f t="shared" si="105"/>
        <v>6184815851041</v>
      </c>
      <c r="G1148" s="2">
        <f t="shared" si="106"/>
        <v>2626.8089</v>
      </c>
      <c r="H1148" s="2">
        <f t="shared" si="107"/>
        <v>4142477.6352999997</v>
      </c>
    </row>
    <row r="1149" spans="1:8" x14ac:dyDescent="0.35">
      <c r="A1149" s="2">
        <v>1577</v>
      </c>
      <c r="B1149" s="2">
        <v>14282</v>
      </c>
      <c r="C1149" s="2">
        <f t="shared" si="102"/>
        <v>1.4281999999999999</v>
      </c>
      <c r="D1149" s="2">
        <f t="shared" si="103"/>
        <v>2486929</v>
      </c>
      <c r="E1149" s="2">
        <f t="shared" si="104"/>
        <v>3921887033</v>
      </c>
      <c r="F1149" s="2">
        <f t="shared" si="105"/>
        <v>6184815851041</v>
      </c>
      <c r="G1149" s="2">
        <f t="shared" si="106"/>
        <v>2252.2714000000001</v>
      </c>
      <c r="H1149" s="2">
        <f t="shared" si="107"/>
        <v>3551831.9978</v>
      </c>
    </row>
    <row r="1150" spans="1:8" x14ac:dyDescent="0.35">
      <c r="A1150" s="2">
        <v>1577</v>
      </c>
      <c r="B1150" s="2">
        <v>11809</v>
      </c>
      <c r="C1150" s="2">
        <f t="shared" si="102"/>
        <v>1.1809000000000001</v>
      </c>
      <c r="D1150" s="2">
        <f t="shared" si="103"/>
        <v>2486929</v>
      </c>
      <c r="E1150" s="2">
        <f t="shared" si="104"/>
        <v>3921887033</v>
      </c>
      <c r="F1150" s="2">
        <f t="shared" si="105"/>
        <v>6184815851041</v>
      </c>
      <c r="G1150" s="2">
        <f t="shared" si="106"/>
        <v>1862.2793000000001</v>
      </c>
      <c r="H1150" s="2">
        <f t="shared" si="107"/>
        <v>2936814.4561000001</v>
      </c>
    </row>
    <row r="1151" spans="1:8" x14ac:dyDescent="0.35">
      <c r="A1151" s="2">
        <v>1577</v>
      </c>
      <c r="B1151" s="2">
        <v>14210</v>
      </c>
      <c r="C1151" s="2">
        <f t="shared" si="102"/>
        <v>1.421</v>
      </c>
      <c r="D1151" s="2">
        <f t="shared" si="103"/>
        <v>2486929</v>
      </c>
      <c r="E1151" s="2">
        <f t="shared" si="104"/>
        <v>3921887033</v>
      </c>
      <c r="F1151" s="2">
        <f t="shared" si="105"/>
        <v>6184815851041</v>
      </c>
      <c r="G1151" s="2">
        <f t="shared" si="106"/>
        <v>2240.9169999999999</v>
      </c>
      <c r="H1151" s="2">
        <f t="shared" si="107"/>
        <v>3533926.1090000002</v>
      </c>
    </row>
    <row r="1152" spans="1:8" x14ac:dyDescent="0.35">
      <c r="A1152" s="2">
        <v>1577</v>
      </c>
      <c r="B1152" s="2">
        <v>12341</v>
      </c>
      <c r="C1152" s="2">
        <f t="shared" si="102"/>
        <v>1.2341</v>
      </c>
      <c r="D1152" s="2">
        <f t="shared" si="103"/>
        <v>2486929</v>
      </c>
      <c r="E1152" s="2">
        <f t="shared" si="104"/>
        <v>3921887033</v>
      </c>
      <c r="F1152" s="2">
        <f t="shared" si="105"/>
        <v>6184815851041</v>
      </c>
      <c r="G1152" s="2">
        <f t="shared" si="106"/>
        <v>1946.1757</v>
      </c>
      <c r="H1152" s="2">
        <f t="shared" si="107"/>
        <v>3069119.0789000001</v>
      </c>
    </row>
    <row r="1153" spans="1:8" x14ac:dyDescent="0.35">
      <c r="A1153" s="2">
        <v>1577</v>
      </c>
      <c r="B1153" s="2">
        <v>12921</v>
      </c>
      <c r="C1153" s="2">
        <f t="shared" si="102"/>
        <v>1.2921</v>
      </c>
      <c r="D1153" s="2">
        <f t="shared" si="103"/>
        <v>2486929</v>
      </c>
      <c r="E1153" s="2">
        <f t="shared" si="104"/>
        <v>3921887033</v>
      </c>
      <c r="F1153" s="2">
        <f t="shared" si="105"/>
        <v>6184815851041</v>
      </c>
      <c r="G1153" s="2">
        <f t="shared" si="106"/>
        <v>2037.6417000000001</v>
      </c>
      <c r="H1153" s="2">
        <f t="shared" si="107"/>
        <v>3213360.9609000003</v>
      </c>
    </row>
    <row r="1154" spans="1:8" x14ac:dyDescent="0.35">
      <c r="A1154" s="2">
        <v>1577</v>
      </c>
      <c r="B1154" s="2">
        <v>13722</v>
      </c>
      <c r="C1154" s="2">
        <f t="shared" si="102"/>
        <v>1.3722000000000001</v>
      </c>
      <c r="D1154" s="2">
        <f t="shared" si="103"/>
        <v>2486929</v>
      </c>
      <c r="E1154" s="2">
        <f t="shared" si="104"/>
        <v>3921887033</v>
      </c>
      <c r="F1154" s="2">
        <f t="shared" si="105"/>
        <v>6184815851041</v>
      </c>
      <c r="G1154" s="2">
        <f t="shared" si="106"/>
        <v>2163.9594000000002</v>
      </c>
      <c r="H1154" s="2">
        <f t="shared" si="107"/>
        <v>3412563.9738000003</v>
      </c>
    </row>
    <row r="1155" spans="1:8" x14ac:dyDescent="0.35">
      <c r="A1155" s="2">
        <v>1577</v>
      </c>
      <c r="B1155" s="2">
        <v>15129</v>
      </c>
      <c r="C1155" s="2">
        <f t="shared" ref="C1155:C1218" si="108">B1155/10000</f>
        <v>1.5128999999999999</v>
      </c>
      <c r="D1155" s="2">
        <f t="shared" ref="D1155:D1218" si="109">A1155^2</f>
        <v>2486929</v>
      </c>
      <c r="E1155" s="2">
        <f t="shared" ref="E1155:E1218" si="110">A1155^3</f>
        <v>3921887033</v>
      </c>
      <c r="F1155" s="2">
        <f t="shared" ref="F1155:F1218" si="111">A1155^4</f>
        <v>6184815851041</v>
      </c>
      <c r="G1155" s="2">
        <f t="shared" ref="G1155:G1218" si="112">A1155*C1155</f>
        <v>2385.8433</v>
      </c>
      <c r="H1155" s="2">
        <f t="shared" ref="H1155:H1218" si="113">D1155*C1155</f>
        <v>3762474.8840999999</v>
      </c>
    </row>
    <row r="1156" spans="1:8" x14ac:dyDescent="0.35">
      <c r="A1156" s="2">
        <v>1577</v>
      </c>
      <c r="B1156" s="2">
        <v>16308</v>
      </c>
      <c r="C1156" s="2">
        <f t="shared" si="108"/>
        <v>1.6308</v>
      </c>
      <c r="D1156" s="2">
        <f t="shared" si="109"/>
        <v>2486929</v>
      </c>
      <c r="E1156" s="2">
        <f t="shared" si="110"/>
        <v>3921887033</v>
      </c>
      <c r="F1156" s="2">
        <f t="shared" si="111"/>
        <v>6184815851041</v>
      </c>
      <c r="G1156" s="2">
        <f t="shared" si="112"/>
        <v>2571.7716</v>
      </c>
      <c r="H1156" s="2">
        <f t="shared" si="113"/>
        <v>4055683.8132000002</v>
      </c>
    </row>
    <row r="1157" spans="1:8" x14ac:dyDescent="0.35">
      <c r="A1157" s="2">
        <v>1577</v>
      </c>
      <c r="B1157" s="2">
        <v>18156</v>
      </c>
      <c r="C1157" s="2">
        <f t="shared" si="108"/>
        <v>1.8156000000000001</v>
      </c>
      <c r="D1157" s="2">
        <f t="shared" si="109"/>
        <v>2486929</v>
      </c>
      <c r="E1157" s="2">
        <f t="shared" si="110"/>
        <v>3921887033</v>
      </c>
      <c r="F1157" s="2">
        <f t="shared" si="111"/>
        <v>6184815851041</v>
      </c>
      <c r="G1157" s="2">
        <f t="shared" si="112"/>
        <v>2863.2012</v>
      </c>
      <c r="H1157" s="2">
        <f t="shared" si="113"/>
        <v>4515268.2924000006</v>
      </c>
    </row>
    <row r="1158" spans="1:8" x14ac:dyDescent="0.35">
      <c r="A1158" s="2">
        <v>1577</v>
      </c>
      <c r="B1158" s="2">
        <v>18098</v>
      </c>
      <c r="C1158" s="2">
        <f t="shared" si="108"/>
        <v>1.8098000000000001</v>
      </c>
      <c r="D1158" s="2">
        <f t="shared" si="109"/>
        <v>2486929</v>
      </c>
      <c r="E1158" s="2">
        <f t="shared" si="110"/>
        <v>3921887033</v>
      </c>
      <c r="F1158" s="2">
        <f t="shared" si="111"/>
        <v>6184815851041</v>
      </c>
      <c r="G1158" s="2">
        <f t="shared" si="112"/>
        <v>2854.0545999999999</v>
      </c>
      <c r="H1158" s="2">
        <f t="shared" si="113"/>
        <v>4500844.1041999999</v>
      </c>
    </row>
    <row r="1159" spans="1:8" x14ac:dyDescent="0.35">
      <c r="A1159" s="2">
        <v>1577</v>
      </c>
      <c r="B1159" s="2">
        <v>20368</v>
      </c>
      <c r="C1159" s="2">
        <f t="shared" si="108"/>
        <v>2.0367999999999999</v>
      </c>
      <c r="D1159" s="2">
        <f t="shared" si="109"/>
        <v>2486929</v>
      </c>
      <c r="E1159" s="2">
        <f t="shared" si="110"/>
        <v>3921887033</v>
      </c>
      <c r="F1159" s="2">
        <f t="shared" si="111"/>
        <v>6184815851041</v>
      </c>
      <c r="G1159" s="2">
        <f t="shared" si="112"/>
        <v>3212.0335999999998</v>
      </c>
      <c r="H1159" s="2">
        <f t="shared" si="113"/>
        <v>5065376.9872000003</v>
      </c>
    </row>
    <row r="1160" spans="1:8" x14ac:dyDescent="0.35">
      <c r="A1160" s="2">
        <v>1577</v>
      </c>
      <c r="B1160" s="2">
        <v>20818</v>
      </c>
      <c r="C1160" s="2">
        <f t="shared" si="108"/>
        <v>2.0817999999999999</v>
      </c>
      <c r="D1160" s="2">
        <f t="shared" si="109"/>
        <v>2486929</v>
      </c>
      <c r="E1160" s="2">
        <f t="shared" si="110"/>
        <v>3921887033</v>
      </c>
      <c r="F1160" s="2">
        <f t="shared" si="111"/>
        <v>6184815851041</v>
      </c>
      <c r="G1160" s="2">
        <f t="shared" si="112"/>
        <v>3282.9985999999999</v>
      </c>
      <c r="H1160" s="2">
        <f t="shared" si="113"/>
        <v>5177288.7922</v>
      </c>
    </row>
    <row r="1161" spans="1:8" x14ac:dyDescent="0.35">
      <c r="A1161" s="2">
        <v>1577</v>
      </c>
      <c r="B1161" s="2">
        <v>18824</v>
      </c>
      <c r="C1161" s="2">
        <f t="shared" si="108"/>
        <v>1.8824000000000001</v>
      </c>
      <c r="D1161" s="2">
        <f t="shared" si="109"/>
        <v>2486929</v>
      </c>
      <c r="E1161" s="2">
        <f t="shared" si="110"/>
        <v>3921887033</v>
      </c>
      <c r="F1161" s="2">
        <f t="shared" si="111"/>
        <v>6184815851041</v>
      </c>
      <c r="G1161" s="2">
        <f t="shared" si="112"/>
        <v>2968.5448000000001</v>
      </c>
      <c r="H1161" s="2">
        <f t="shared" si="113"/>
        <v>4681395.1496000001</v>
      </c>
    </row>
    <row r="1162" spans="1:8" x14ac:dyDescent="0.35">
      <c r="A1162" s="2">
        <v>1577</v>
      </c>
      <c r="B1162" s="2">
        <v>17345</v>
      </c>
      <c r="C1162" s="2">
        <f t="shared" si="108"/>
        <v>1.7344999999999999</v>
      </c>
      <c r="D1162" s="2">
        <f t="shared" si="109"/>
        <v>2486929</v>
      </c>
      <c r="E1162" s="2">
        <f t="shared" si="110"/>
        <v>3921887033</v>
      </c>
      <c r="F1162" s="2">
        <f t="shared" si="111"/>
        <v>6184815851041</v>
      </c>
      <c r="G1162" s="2">
        <f t="shared" si="112"/>
        <v>2735.3064999999997</v>
      </c>
      <c r="H1162" s="2">
        <f t="shared" si="113"/>
        <v>4313578.3504999997</v>
      </c>
    </row>
    <row r="1163" spans="1:8" x14ac:dyDescent="0.35">
      <c r="A1163" s="2">
        <v>1577</v>
      </c>
      <c r="B1163" s="2">
        <v>15535</v>
      </c>
      <c r="C1163" s="2">
        <f t="shared" si="108"/>
        <v>1.5535000000000001</v>
      </c>
      <c r="D1163" s="2">
        <f t="shared" si="109"/>
        <v>2486929</v>
      </c>
      <c r="E1163" s="2">
        <f t="shared" si="110"/>
        <v>3921887033</v>
      </c>
      <c r="F1163" s="2">
        <f t="shared" si="111"/>
        <v>6184815851041</v>
      </c>
      <c r="G1163" s="2">
        <f t="shared" si="112"/>
        <v>2449.8695000000002</v>
      </c>
      <c r="H1163" s="2">
        <f t="shared" si="113"/>
        <v>3863444.2015000004</v>
      </c>
    </row>
    <row r="1164" spans="1:8" x14ac:dyDescent="0.35">
      <c r="A1164" s="2">
        <v>1577</v>
      </c>
      <c r="B1164" s="2">
        <v>15647</v>
      </c>
      <c r="C1164" s="2">
        <f t="shared" si="108"/>
        <v>1.5647</v>
      </c>
      <c r="D1164" s="2">
        <f t="shared" si="109"/>
        <v>2486929</v>
      </c>
      <c r="E1164" s="2">
        <f t="shared" si="110"/>
        <v>3921887033</v>
      </c>
      <c r="F1164" s="2">
        <f t="shared" si="111"/>
        <v>6184815851041</v>
      </c>
      <c r="G1164" s="2">
        <f t="shared" si="112"/>
        <v>2467.5319</v>
      </c>
      <c r="H1164" s="2">
        <f t="shared" si="113"/>
        <v>3891297.8062999998</v>
      </c>
    </row>
    <row r="1165" spans="1:8" x14ac:dyDescent="0.35">
      <c r="A1165" s="2">
        <v>1577</v>
      </c>
      <c r="B1165" s="2">
        <v>15281</v>
      </c>
      <c r="C1165" s="2">
        <f t="shared" si="108"/>
        <v>1.5281</v>
      </c>
      <c r="D1165" s="2">
        <f t="shared" si="109"/>
        <v>2486929</v>
      </c>
      <c r="E1165" s="2">
        <f t="shared" si="110"/>
        <v>3921887033</v>
      </c>
      <c r="F1165" s="2">
        <f t="shared" si="111"/>
        <v>6184815851041</v>
      </c>
      <c r="G1165" s="2">
        <f t="shared" si="112"/>
        <v>2409.8137000000002</v>
      </c>
      <c r="H1165" s="2">
        <f t="shared" si="113"/>
        <v>3800276.2049000002</v>
      </c>
    </row>
    <row r="1166" spans="1:8" x14ac:dyDescent="0.35">
      <c r="A1166" s="2">
        <v>1577</v>
      </c>
      <c r="B1166" s="2">
        <v>16255</v>
      </c>
      <c r="C1166" s="2">
        <f t="shared" si="108"/>
        <v>1.6254999999999999</v>
      </c>
      <c r="D1166" s="2">
        <f t="shared" si="109"/>
        <v>2486929</v>
      </c>
      <c r="E1166" s="2">
        <f t="shared" si="110"/>
        <v>3921887033</v>
      </c>
      <c r="F1166" s="2">
        <f t="shared" si="111"/>
        <v>6184815851041</v>
      </c>
      <c r="G1166" s="2">
        <f t="shared" si="112"/>
        <v>2563.4135000000001</v>
      </c>
      <c r="H1166" s="2">
        <f t="shared" si="113"/>
        <v>4042503.0894999998</v>
      </c>
    </row>
    <row r="1167" spans="1:8" x14ac:dyDescent="0.35">
      <c r="A1167" s="2">
        <v>2387</v>
      </c>
      <c r="B1167" s="2">
        <v>32935</v>
      </c>
      <c r="C1167" s="2">
        <f t="shared" si="108"/>
        <v>3.2934999999999999</v>
      </c>
      <c r="D1167" s="2">
        <f t="shared" si="109"/>
        <v>5697769</v>
      </c>
      <c r="E1167" s="2">
        <f t="shared" si="110"/>
        <v>13600574603</v>
      </c>
      <c r="F1167" s="2">
        <f t="shared" si="111"/>
        <v>32464571577361</v>
      </c>
      <c r="G1167" s="2">
        <f t="shared" si="112"/>
        <v>7861.5844999999999</v>
      </c>
      <c r="H1167" s="2">
        <f t="shared" si="113"/>
        <v>18765602.201499999</v>
      </c>
    </row>
    <row r="1168" spans="1:8" x14ac:dyDescent="0.35">
      <c r="A1168" s="2">
        <v>2387</v>
      </c>
      <c r="B1168" s="2">
        <v>32825</v>
      </c>
      <c r="C1168" s="2">
        <f t="shared" si="108"/>
        <v>3.2825000000000002</v>
      </c>
      <c r="D1168" s="2">
        <f t="shared" si="109"/>
        <v>5697769</v>
      </c>
      <c r="E1168" s="2">
        <f t="shared" si="110"/>
        <v>13600574603</v>
      </c>
      <c r="F1168" s="2">
        <f t="shared" si="111"/>
        <v>32464571577361</v>
      </c>
      <c r="G1168" s="2">
        <f t="shared" si="112"/>
        <v>7835.3275000000003</v>
      </c>
      <c r="H1168" s="2">
        <f t="shared" si="113"/>
        <v>18702926.7425</v>
      </c>
    </row>
    <row r="1169" spans="1:8" x14ac:dyDescent="0.35">
      <c r="A1169" s="2">
        <v>2387</v>
      </c>
      <c r="B1169" s="2">
        <v>32515</v>
      </c>
      <c r="C1169" s="2">
        <f t="shared" si="108"/>
        <v>3.2515000000000001</v>
      </c>
      <c r="D1169" s="2">
        <f t="shared" si="109"/>
        <v>5697769</v>
      </c>
      <c r="E1169" s="2">
        <f t="shared" si="110"/>
        <v>13600574603</v>
      </c>
      <c r="F1169" s="2">
        <f t="shared" si="111"/>
        <v>32464571577361</v>
      </c>
      <c r="G1169" s="2">
        <f t="shared" si="112"/>
        <v>7761.3305</v>
      </c>
      <c r="H1169" s="2">
        <f t="shared" si="113"/>
        <v>18526295.903500002</v>
      </c>
    </row>
    <row r="1170" spans="1:8" x14ac:dyDescent="0.35">
      <c r="A1170" s="2">
        <v>2387</v>
      </c>
      <c r="B1170" s="2">
        <v>34014</v>
      </c>
      <c r="C1170" s="2">
        <f t="shared" si="108"/>
        <v>3.4014000000000002</v>
      </c>
      <c r="D1170" s="2">
        <f t="shared" si="109"/>
        <v>5697769</v>
      </c>
      <c r="E1170" s="2">
        <f t="shared" si="110"/>
        <v>13600574603</v>
      </c>
      <c r="F1170" s="2">
        <f t="shared" si="111"/>
        <v>32464571577361</v>
      </c>
      <c r="G1170" s="2">
        <f t="shared" si="112"/>
        <v>8119.1418000000003</v>
      </c>
      <c r="H1170" s="2">
        <f t="shared" si="113"/>
        <v>19380391.476600002</v>
      </c>
    </row>
    <row r="1171" spans="1:8" x14ac:dyDescent="0.35">
      <c r="A1171" s="2">
        <v>2387</v>
      </c>
      <c r="B1171" s="2">
        <v>30331</v>
      </c>
      <c r="C1171" s="2">
        <f t="shared" si="108"/>
        <v>3.0331000000000001</v>
      </c>
      <c r="D1171" s="2">
        <f t="shared" si="109"/>
        <v>5697769</v>
      </c>
      <c r="E1171" s="2">
        <f t="shared" si="110"/>
        <v>13600574603</v>
      </c>
      <c r="F1171" s="2">
        <f t="shared" si="111"/>
        <v>32464571577361</v>
      </c>
      <c r="G1171" s="2">
        <f t="shared" si="112"/>
        <v>7240.0097000000005</v>
      </c>
      <c r="H1171" s="2">
        <f t="shared" si="113"/>
        <v>17281903.153900001</v>
      </c>
    </row>
    <row r="1172" spans="1:8" x14ac:dyDescent="0.35">
      <c r="A1172" s="2">
        <v>2387</v>
      </c>
      <c r="B1172" s="2">
        <v>33427</v>
      </c>
      <c r="C1172" s="2">
        <f t="shared" si="108"/>
        <v>3.3426999999999998</v>
      </c>
      <c r="D1172" s="2">
        <f t="shared" si="109"/>
        <v>5697769</v>
      </c>
      <c r="E1172" s="2">
        <f t="shared" si="110"/>
        <v>13600574603</v>
      </c>
      <c r="F1172" s="2">
        <f t="shared" si="111"/>
        <v>32464571577361</v>
      </c>
      <c r="G1172" s="2">
        <f t="shared" si="112"/>
        <v>7979.0248999999994</v>
      </c>
      <c r="H1172" s="2">
        <f t="shared" si="113"/>
        <v>19045932.436299998</v>
      </c>
    </row>
    <row r="1173" spans="1:8" x14ac:dyDescent="0.35">
      <c r="A1173" s="2">
        <v>2387</v>
      </c>
      <c r="B1173" s="2">
        <v>35106</v>
      </c>
      <c r="C1173" s="2">
        <f t="shared" si="108"/>
        <v>3.5106000000000002</v>
      </c>
      <c r="D1173" s="2">
        <f t="shared" si="109"/>
        <v>5697769</v>
      </c>
      <c r="E1173" s="2">
        <f t="shared" si="110"/>
        <v>13600574603</v>
      </c>
      <c r="F1173" s="2">
        <f t="shared" si="111"/>
        <v>32464571577361</v>
      </c>
      <c r="G1173" s="2">
        <f t="shared" si="112"/>
        <v>8379.8022000000001</v>
      </c>
      <c r="H1173" s="2">
        <f t="shared" si="113"/>
        <v>20002587.851399999</v>
      </c>
    </row>
    <row r="1174" spans="1:8" x14ac:dyDescent="0.35">
      <c r="A1174" s="2">
        <v>2387</v>
      </c>
      <c r="B1174" s="2">
        <v>33171</v>
      </c>
      <c r="C1174" s="2">
        <f t="shared" si="108"/>
        <v>3.3170999999999999</v>
      </c>
      <c r="D1174" s="2">
        <f t="shared" si="109"/>
        <v>5697769</v>
      </c>
      <c r="E1174" s="2">
        <f t="shared" si="110"/>
        <v>13600574603</v>
      </c>
      <c r="F1174" s="2">
        <f t="shared" si="111"/>
        <v>32464571577361</v>
      </c>
      <c r="G1174" s="2">
        <f t="shared" si="112"/>
        <v>7917.9177</v>
      </c>
      <c r="H1174" s="2">
        <f t="shared" si="113"/>
        <v>18900069.549899999</v>
      </c>
    </row>
    <row r="1175" spans="1:8" x14ac:dyDescent="0.35">
      <c r="A1175" s="2">
        <v>2387</v>
      </c>
      <c r="B1175" s="2">
        <v>37329</v>
      </c>
      <c r="C1175" s="2">
        <f t="shared" si="108"/>
        <v>3.7328999999999999</v>
      </c>
      <c r="D1175" s="2">
        <f t="shared" si="109"/>
        <v>5697769</v>
      </c>
      <c r="E1175" s="2">
        <f t="shared" si="110"/>
        <v>13600574603</v>
      </c>
      <c r="F1175" s="2">
        <f t="shared" si="111"/>
        <v>32464571577361</v>
      </c>
      <c r="G1175" s="2">
        <f t="shared" si="112"/>
        <v>8910.4323000000004</v>
      </c>
      <c r="H1175" s="2">
        <f t="shared" si="113"/>
        <v>21269201.9001</v>
      </c>
    </row>
    <row r="1176" spans="1:8" x14ac:dyDescent="0.35">
      <c r="A1176" s="2">
        <v>2387</v>
      </c>
      <c r="B1176" s="2">
        <v>39542</v>
      </c>
      <c r="C1176" s="2">
        <f t="shared" si="108"/>
        <v>3.9542000000000002</v>
      </c>
      <c r="D1176" s="2">
        <f t="shared" si="109"/>
        <v>5697769</v>
      </c>
      <c r="E1176" s="2">
        <f t="shared" si="110"/>
        <v>13600574603</v>
      </c>
      <c r="F1176" s="2">
        <f t="shared" si="111"/>
        <v>32464571577361</v>
      </c>
      <c r="G1176" s="2">
        <f t="shared" si="112"/>
        <v>9438.6754000000001</v>
      </c>
      <c r="H1176" s="2">
        <f t="shared" si="113"/>
        <v>22530118.1798</v>
      </c>
    </row>
    <row r="1177" spans="1:8" x14ac:dyDescent="0.35">
      <c r="A1177" s="2">
        <v>2387</v>
      </c>
      <c r="B1177" s="2">
        <v>40141</v>
      </c>
      <c r="C1177" s="2">
        <f t="shared" si="108"/>
        <v>4.0141</v>
      </c>
      <c r="D1177" s="2">
        <f t="shared" si="109"/>
        <v>5697769</v>
      </c>
      <c r="E1177" s="2">
        <f t="shared" si="110"/>
        <v>13600574603</v>
      </c>
      <c r="F1177" s="2">
        <f t="shared" si="111"/>
        <v>32464571577361</v>
      </c>
      <c r="G1177" s="2">
        <f t="shared" si="112"/>
        <v>9581.6566999999995</v>
      </c>
      <c r="H1177" s="2">
        <f t="shared" si="113"/>
        <v>22871414.5429</v>
      </c>
    </row>
    <row r="1178" spans="1:8" x14ac:dyDescent="0.35">
      <c r="A1178" s="2">
        <v>2387</v>
      </c>
      <c r="B1178" s="2">
        <v>39809</v>
      </c>
      <c r="C1178" s="2">
        <f t="shared" si="108"/>
        <v>3.9809000000000001</v>
      </c>
      <c r="D1178" s="2">
        <f t="shared" si="109"/>
        <v>5697769</v>
      </c>
      <c r="E1178" s="2">
        <f t="shared" si="110"/>
        <v>13600574603</v>
      </c>
      <c r="F1178" s="2">
        <f t="shared" si="111"/>
        <v>32464571577361</v>
      </c>
      <c r="G1178" s="2">
        <f t="shared" si="112"/>
        <v>9502.408300000001</v>
      </c>
      <c r="H1178" s="2">
        <f t="shared" si="113"/>
        <v>22682248.612100001</v>
      </c>
    </row>
    <row r="1179" spans="1:8" x14ac:dyDescent="0.35">
      <c r="A1179" s="2">
        <v>2387</v>
      </c>
      <c r="B1179" s="2">
        <v>40405</v>
      </c>
      <c r="C1179" s="2">
        <f t="shared" si="108"/>
        <v>4.0404999999999998</v>
      </c>
      <c r="D1179" s="2">
        <f t="shared" si="109"/>
        <v>5697769</v>
      </c>
      <c r="E1179" s="2">
        <f t="shared" si="110"/>
        <v>13600574603</v>
      </c>
      <c r="F1179" s="2">
        <f t="shared" si="111"/>
        <v>32464571577361</v>
      </c>
      <c r="G1179" s="2">
        <f t="shared" si="112"/>
        <v>9644.673499999999</v>
      </c>
      <c r="H1179" s="2">
        <f t="shared" si="113"/>
        <v>23021835.644499999</v>
      </c>
    </row>
    <row r="1180" spans="1:8" x14ac:dyDescent="0.35">
      <c r="A1180" s="2">
        <v>2387</v>
      </c>
      <c r="B1180" s="2">
        <v>38246</v>
      </c>
      <c r="C1180" s="2">
        <f t="shared" si="108"/>
        <v>3.8246000000000002</v>
      </c>
      <c r="D1180" s="2">
        <f t="shared" si="109"/>
        <v>5697769</v>
      </c>
      <c r="E1180" s="2">
        <f t="shared" si="110"/>
        <v>13600574603</v>
      </c>
      <c r="F1180" s="2">
        <f t="shared" si="111"/>
        <v>32464571577361</v>
      </c>
      <c r="G1180" s="2">
        <f t="shared" si="112"/>
        <v>9129.3202000000001</v>
      </c>
      <c r="H1180" s="2">
        <f t="shared" si="113"/>
        <v>21791687.317400001</v>
      </c>
    </row>
    <row r="1181" spans="1:8" x14ac:dyDescent="0.35">
      <c r="A1181" s="2">
        <v>2387</v>
      </c>
      <c r="B1181" s="2">
        <v>38677</v>
      </c>
      <c r="C1181" s="2">
        <f t="shared" si="108"/>
        <v>3.8677000000000001</v>
      </c>
      <c r="D1181" s="2">
        <f t="shared" si="109"/>
        <v>5697769</v>
      </c>
      <c r="E1181" s="2">
        <f t="shared" si="110"/>
        <v>13600574603</v>
      </c>
      <c r="F1181" s="2">
        <f t="shared" si="111"/>
        <v>32464571577361</v>
      </c>
      <c r="G1181" s="2">
        <f t="shared" si="112"/>
        <v>9232.1998999999996</v>
      </c>
      <c r="H1181" s="2">
        <f t="shared" si="113"/>
        <v>22037261.1613</v>
      </c>
    </row>
    <row r="1182" spans="1:8" x14ac:dyDescent="0.35">
      <c r="A1182" s="2">
        <v>2387</v>
      </c>
      <c r="B1182" s="2">
        <v>39823</v>
      </c>
      <c r="C1182" s="2">
        <f t="shared" si="108"/>
        <v>3.9823</v>
      </c>
      <c r="D1182" s="2">
        <f t="shared" si="109"/>
        <v>5697769</v>
      </c>
      <c r="E1182" s="2">
        <f t="shared" si="110"/>
        <v>13600574603</v>
      </c>
      <c r="F1182" s="2">
        <f t="shared" si="111"/>
        <v>32464571577361</v>
      </c>
      <c r="G1182" s="2">
        <f t="shared" si="112"/>
        <v>9505.7500999999993</v>
      </c>
      <c r="H1182" s="2">
        <f t="shared" si="113"/>
        <v>22690225.488699999</v>
      </c>
    </row>
    <row r="1183" spans="1:8" x14ac:dyDescent="0.35">
      <c r="A1183" s="2">
        <v>2387</v>
      </c>
      <c r="B1183" s="2">
        <v>41194</v>
      </c>
      <c r="C1183" s="2">
        <f t="shared" si="108"/>
        <v>4.1193999999999997</v>
      </c>
      <c r="D1183" s="2">
        <f t="shared" si="109"/>
        <v>5697769</v>
      </c>
      <c r="E1183" s="2">
        <f t="shared" si="110"/>
        <v>13600574603</v>
      </c>
      <c r="F1183" s="2">
        <f t="shared" si="111"/>
        <v>32464571577361</v>
      </c>
      <c r="G1183" s="2">
        <f t="shared" si="112"/>
        <v>9833.0077999999994</v>
      </c>
      <c r="H1183" s="2">
        <f t="shared" si="113"/>
        <v>23471389.6186</v>
      </c>
    </row>
    <row r="1184" spans="1:8" x14ac:dyDescent="0.35">
      <c r="A1184" s="2">
        <v>2387</v>
      </c>
      <c r="B1184" s="2">
        <v>43294</v>
      </c>
      <c r="C1184" s="2">
        <f t="shared" si="108"/>
        <v>4.3293999999999997</v>
      </c>
      <c r="D1184" s="2">
        <f t="shared" si="109"/>
        <v>5697769</v>
      </c>
      <c r="E1184" s="2">
        <f t="shared" si="110"/>
        <v>13600574603</v>
      </c>
      <c r="F1184" s="2">
        <f t="shared" si="111"/>
        <v>32464571577361</v>
      </c>
      <c r="G1184" s="2">
        <f t="shared" si="112"/>
        <v>10334.2778</v>
      </c>
      <c r="H1184" s="2">
        <f t="shared" si="113"/>
        <v>24667921.108599998</v>
      </c>
    </row>
    <row r="1185" spans="1:8" x14ac:dyDescent="0.35">
      <c r="A1185" s="2">
        <v>2387</v>
      </c>
      <c r="B1185" s="2">
        <v>39397</v>
      </c>
      <c r="C1185" s="2">
        <f t="shared" si="108"/>
        <v>3.9397000000000002</v>
      </c>
      <c r="D1185" s="2">
        <f t="shared" si="109"/>
        <v>5697769</v>
      </c>
      <c r="E1185" s="2">
        <f t="shared" si="110"/>
        <v>13600574603</v>
      </c>
      <c r="F1185" s="2">
        <f t="shared" si="111"/>
        <v>32464571577361</v>
      </c>
      <c r="G1185" s="2">
        <f t="shared" si="112"/>
        <v>9404.063900000001</v>
      </c>
      <c r="H1185" s="2">
        <f t="shared" si="113"/>
        <v>22447500.529300001</v>
      </c>
    </row>
    <row r="1186" spans="1:8" x14ac:dyDescent="0.35">
      <c r="A1186" s="2">
        <v>2387</v>
      </c>
      <c r="B1186" s="2">
        <v>46265</v>
      </c>
      <c r="C1186" s="2">
        <f t="shared" si="108"/>
        <v>4.6265000000000001</v>
      </c>
      <c r="D1186" s="2">
        <f t="shared" si="109"/>
        <v>5697769</v>
      </c>
      <c r="E1186" s="2">
        <f t="shared" si="110"/>
        <v>13600574603</v>
      </c>
      <c r="F1186" s="2">
        <f t="shared" si="111"/>
        <v>32464571577361</v>
      </c>
      <c r="G1186" s="2">
        <f t="shared" si="112"/>
        <v>11043.4555</v>
      </c>
      <c r="H1186" s="2">
        <f t="shared" si="113"/>
        <v>26360728.278500002</v>
      </c>
    </row>
    <row r="1187" spans="1:8" x14ac:dyDescent="0.35">
      <c r="A1187" s="2">
        <v>2387</v>
      </c>
      <c r="B1187" s="2">
        <v>43310</v>
      </c>
      <c r="C1187" s="2">
        <f t="shared" si="108"/>
        <v>4.3310000000000004</v>
      </c>
      <c r="D1187" s="2">
        <f t="shared" si="109"/>
        <v>5697769</v>
      </c>
      <c r="E1187" s="2">
        <f t="shared" si="110"/>
        <v>13600574603</v>
      </c>
      <c r="F1187" s="2">
        <f t="shared" si="111"/>
        <v>32464571577361</v>
      </c>
      <c r="G1187" s="2">
        <f t="shared" si="112"/>
        <v>10338.097000000002</v>
      </c>
      <c r="H1187" s="2">
        <f t="shared" si="113"/>
        <v>24677037.539000001</v>
      </c>
    </row>
    <row r="1188" spans="1:8" x14ac:dyDescent="0.35">
      <c r="A1188" s="2">
        <v>2387</v>
      </c>
      <c r="B1188" s="2">
        <v>42324</v>
      </c>
      <c r="C1188" s="2">
        <f t="shared" si="108"/>
        <v>4.2324000000000002</v>
      </c>
      <c r="D1188" s="2">
        <f t="shared" si="109"/>
        <v>5697769</v>
      </c>
      <c r="E1188" s="2">
        <f t="shared" si="110"/>
        <v>13600574603</v>
      </c>
      <c r="F1188" s="2">
        <f t="shared" si="111"/>
        <v>32464571577361</v>
      </c>
      <c r="G1188" s="2">
        <f t="shared" si="112"/>
        <v>10102.738800000001</v>
      </c>
      <c r="H1188" s="2">
        <f t="shared" si="113"/>
        <v>24115237.5156</v>
      </c>
    </row>
    <row r="1189" spans="1:8" x14ac:dyDescent="0.35">
      <c r="A1189" s="2">
        <v>2387</v>
      </c>
      <c r="B1189" s="2">
        <v>44353</v>
      </c>
      <c r="C1189" s="2">
        <f t="shared" si="108"/>
        <v>4.4352999999999998</v>
      </c>
      <c r="D1189" s="2">
        <f t="shared" si="109"/>
        <v>5697769</v>
      </c>
      <c r="E1189" s="2">
        <f t="shared" si="110"/>
        <v>13600574603</v>
      </c>
      <c r="F1189" s="2">
        <f t="shared" si="111"/>
        <v>32464571577361</v>
      </c>
      <c r="G1189" s="2">
        <f t="shared" si="112"/>
        <v>10587.061099999999</v>
      </c>
      <c r="H1189" s="2">
        <f t="shared" si="113"/>
        <v>25271314.845699999</v>
      </c>
    </row>
    <row r="1190" spans="1:8" x14ac:dyDescent="0.35">
      <c r="A1190" s="2">
        <v>2387</v>
      </c>
      <c r="B1190" s="2">
        <v>42328</v>
      </c>
      <c r="C1190" s="2">
        <f t="shared" si="108"/>
        <v>4.2328000000000001</v>
      </c>
      <c r="D1190" s="2">
        <f t="shared" si="109"/>
        <v>5697769</v>
      </c>
      <c r="E1190" s="2">
        <f t="shared" si="110"/>
        <v>13600574603</v>
      </c>
      <c r="F1190" s="2">
        <f t="shared" si="111"/>
        <v>32464571577361</v>
      </c>
      <c r="G1190" s="2">
        <f t="shared" si="112"/>
        <v>10103.693600000001</v>
      </c>
      <c r="H1190" s="2">
        <f t="shared" si="113"/>
        <v>24117516.623199999</v>
      </c>
    </row>
    <row r="1191" spans="1:8" x14ac:dyDescent="0.35">
      <c r="A1191" s="2">
        <v>2387</v>
      </c>
      <c r="B1191" s="2">
        <v>44102</v>
      </c>
      <c r="C1191" s="2">
        <f t="shared" si="108"/>
        <v>4.4101999999999997</v>
      </c>
      <c r="D1191" s="2">
        <f t="shared" si="109"/>
        <v>5697769</v>
      </c>
      <c r="E1191" s="2">
        <f t="shared" si="110"/>
        <v>13600574603</v>
      </c>
      <c r="F1191" s="2">
        <f t="shared" si="111"/>
        <v>32464571577361</v>
      </c>
      <c r="G1191" s="2">
        <f t="shared" si="112"/>
        <v>10527.1474</v>
      </c>
      <c r="H1191" s="2">
        <f t="shared" si="113"/>
        <v>25128300.843799997</v>
      </c>
    </row>
    <row r="1192" spans="1:8" x14ac:dyDescent="0.35">
      <c r="A1192" s="2">
        <v>2387</v>
      </c>
      <c r="B1192" s="2">
        <v>45280</v>
      </c>
      <c r="C1192" s="2">
        <f t="shared" si="108"/>
        <v>4.5279999999999996</v>
      </c>
      <c r="D1192" s="2">
        <f t="shared" si="109"/>
        <v>5697769</v>
      </c>
      <c r="E1192" s="2">
        <f t="shared" si="110"/>
        <v>13600574603</v>
      </c>
      <c r="F1192" s="2">
        <f t="shared" si="111"/>
        <v>32464571577361</v>
      </c>
      <c r="G1192" s="2">
        <f t="shared" si="112"/>
        <v>10808.335999999999</v>
      </c>
      <c r="H1192" s="2">
        <f t="shared" si="113"/>
        <v>25799498.031999998</v>
      </c>
    </row>
    <row r="1193" spans="1:8" x14ac:dyDescent="0.35">
      <c r="A1193" s="2">
        <v>2387</v>
      </c>
      <c r="B1193" s="2">
        <v>49996</v>
      </c>
      <c r="C1193" s="2">
        <f t="shared" si="108"/>
        <v>4.9996</v>
      </c>
      <c r="D1193" s="2">
        <f t="shared" si="109"/>
        <v>5697769</v>
      </c>
      <c r="E1193" s="2">
        <f t="shared" si="110"/>
        <v>13600574603</v>
      </c>
      <c r="F1193" s="2">
        <f t="shared" si="111"/>
        <v>32464571577361</v>
      </c>
      <c r="G1193" s="2">
        <f t="shared" si="112"/>
        <v>11934.0452</v>
      </c>
      <c r="H1193" s="2">
        <f t="shared" si="113"/>
        <v>28486565.8924</v>
      </c>
    </row>
    <row r="1194" spans="1:8" x14ac:dyDescent="0.35">
      <c r="A1194" s="2">
        <v>2387</v>
      </c>
      <c r="B1194" s="2">
        <v>34265</v>
      </c>
      <c r="C1194" s="2">
        <f t="shared" si="108"/>
        <v>3.4264999999999999</v>
      </c>
      <c r="D1194" s="2">
        <f t="shared" si="109"/>
        <v>5697769</v>
      </c>
      <c r="E1194" s="2">
        <f t="shared" si="110"/>
        <v>13600574603</v>
      </c>
      <c r="F1194" s="2">
        <f t="shared" si="111"/>
        <v>32464571577361</v>
      </c>
      <c r="G1194" s="2">
        <f t="shared" si="112"/>
        <v>8179.0554999999995</v>
      </c>
      <c r="H1194" s="2">
        <f t="shared" si="113"/>
        <v>19523405.478500001</v>
      </c>
    </row>
    <row r="1195" spans="1:8" x14ac:dyDescent="0.35">
      <c r="A1195" s="2">
        <v>2387</v>
      </c>
      <c r="B1195" s="2">
        <v>36010</v>
      </c>
      <c r="C1195" s="2">
        <f t="shared" si="108"/>
        <v>3.601</v>
      </c>
      <c r="D1195" s="2">
        <f t="shared" si="109"/>
        <v>5697769</v>
      </c>
      <c r="E1195" s="2">
        <f t="shared" si="110"/>
        <v>13600574603</v>
      </c>
      <c r="F1195" s="2">
        <f t="shared" si="111"/>
        <v>32464571577361</v>
      </c>
      <c r="G1195" s="2">
        <f t="shared" si="112"/>
        <v>8595.5869999999995</v>
      </c>
      <c r="H1195" s="2">
        <f t="shared" si="113"/>
        <v>20517666.169</v>
      </c>
    </row>
    <row r="1196" spans="1:8" x14ac:dyDescent="0.35">
      <c r="A1196" s="2">
        <v>2387</v>
      </c>
      <c r="B1196" s="2">
        <v>35572</v>
      </c>
      <c r="C1196" s="2">
        <f t="shared" si="108"/>
        <v>3.5571999999999999</v>
      </c>
      <c r="D1196" s="2">
        <f t="shared" si="109"/>
        <v>5697769</v>
      </c>
      <c r="E1196" s="2">
        <f t="shared" si="110"/>
        <v>13600574603</v>
      </c>
      <c r="F1196" s="2">
        <f t="shared" si="111"/>
        <v>32464571577361</v>
      </c>
      <c r="G1196" s="2">
        <f t="shared" si="112"/>
        <v>8491.036399999999</v>
      </c>
      <c r="H1196" s="2">
        <f t="shared" si="113"/>
        <v>20268103.886799999</v>
      </c>
    </row>
    <row r="1197" spans="1:8" x14ac:dyDescent="0.35">
      <c r="A1197" s="2">
        <v>1440</v>
      </c>
      <c r="B1197" s="2">
        <v>23490</v>
      </c>
      <c r="C1197" s="2">
        <f t="shared" si="108"/>
        <v>2.3490000000000002</v>
      </c>
      <c r="D1197" s="2">
        <f t="shared" si="109"/>
        <v>2073600</v>
      </c>
      <c r="E1197" s="2">
        <f t="shared" si="110"/>
        <v>2985984000</v>
      </c>
      <c r="F1197" s="2">
        <f t="shared" si="111"/>
        <v>4299816960000</v>
      </c>
      <c r="G1197" s="2">
        <f t="shared" si="112"/>
        <v>3382.5600000000004</v>
      </c>
      <c r="H1197" s="2">
        <f t="shared" si="113"/>
        <v>4870886.4000000004</v>
      </c>
    </row>
    <row r="1198" spans="1:8" x14ac:dyDescent="0.35">
      <c r="A1198" s="2">
        <v>1440</v>
      </c>
      <c r="B1198" s="2">
        <v>24566</v>
      </c>
      <c r="C1198" s="2">
        <f t="shared" si="108"/>
        <v>2.4565999999999999</v>
      </c>
      <c r="D1198" s="2">
        <f t="shared" si="109"/>
        <v>2073600</v>
      </c>
      <c r="E1198" s="2">
        <f t="shared" si="110"/>
        <v>2985984000</v>
      </c>
      <c r="F1198" s="2">
        <f t="shared" si="111"/>
        <v>4299816960000</v>
      </c>
      <c r="G1198" s="2">
        <f t="shared" si="112"/>
        <v>3537.5039999999999</v>
      </c>
      <c r="H1198" s="2">
        <f t="shared" si="113"/>
        <v>5094005.76</v>
      </c>
    </row>
    <row r="1199" spans="1:8" x14ac:dyDescent="0.35">
      <c r="A1199" s="2">
        <v>1440</v>
      </c>
      <c r="B1199" s="2">
        <v>24166</v>
      </c>
      <c r="C1199" s="2">
        <f t="shared" si="108"/>
        <v>2.4165999999999999</v>
      </c>
      <c r="D1199" s="2">
        <f t="shared" si="109"/>
        <v>2073600</v>
      </c>
      <c r="E1199" s="2">
        <f t="shared" si="110"/>
        <v>2985984000</v>
      </c>
      <c r="F1199" s="2">
        <f t="shared" si="111"/>
        <v>4299816960000</v>
      </c>
      <c r="G1199" s="2">
        <f t="shared" si="112"/>
        <v>3479.904</v>
      </c>
      <c r="H1199" s="2">
        <f t="shared" si="113"/>
        <v>5011061.76</v>
      </c>
    </row>
    <row r="1200" spans="1:8" x14ac:dyDescent="0.35">
      <c r="A1200" s="2">
        <v>1440</v>
      </c>
      <c r="B1200" s="2">
        <v>22125</v>
      </c>
      <c r="C1200" s="2">
        <f t="shared" si="108"/>
        <v>2.2124999999999999</v>
      </c>
      <c r="D1200" s="2">
        <f t="shared" si="109"/>
        <v>2073600</v>
      </c>
      <c r="E1200" s="2">
        <f t="shared" si="110"/>
        <v>2985984000</v>
      </c>
      <c r="F1200" s="2">
        <f t="shared" si="111"/>
        <v>4299816960000</v>
      </c>
      <c r="G1200" s="2">
        <f t="shared" si="112"/>
        <v>3186</v>
      </c>
      <c r="H1200" s="2">
        <f t="shared" si="113"/>
        <v>4587840</v>
      </c>
    </row>
    <row r="1201" spans="1:8" x14ac:dyDescent="0.35">
      <c r="A1201" s="2">
        <v>1440</v>
      </c>
      <c r="B1201" s="2">
        <v>21122</v>
      </c>
      <c r="C1201" s="2">
        <f t="shared" si="108"/>
        <v>2.1122000000000001</v>
      </c>
      <c r="D1201" s="2">
        <f t="shared" si="109"/>
        <v>2073600</v>
      </c>
      <c r="E1201" s="2">
        <f t="shared" si="110"/>
        <v>2985984000</v>
      </c>
      <c r="F1201" s="2">
        <f t="shared" si="111"/>
        <v>4299816960000</v>
      </c>
      <c r="G1201" s="2">
        <f t="shared" si="112"/>
        <v>3041.5680000000002</v>
      </c>
      <c r="H1201" s="2">
        <f t="shared" si="113"/>
        <v>4379857.92</v>
      </c>
    </row>
    <row r="1202" spans="1:8" x14ac:dyDescent="0.35">
      <c r="A1202" s="2">
        <v>1440</v>
      </c>
      <c r="B1202" s="2">
        <v>20000</v>
      </c>
      <c r="C1202" s="2">
        <f t="shared" si="108"/>
        <v>2</v>
      </c>
      <c r="D1202" s="2">
        <f t="shared" si="109"/>
        <v>2073600</v>
      </c>
      <c r="E1202" s="2">
        <f t="shared" si="110"/>
        <v>2985984000</v>
      </c>
      <c r="F1202" s="2">
        <f t="shared" si="111"/>
        <v>4299816960000</v>
      </c>
      <c r="G1202" s="2">
        <f t="shared" si="112"/>
        <v>2880</v>
      </c>
      <c r="H1202" s="2">
        <f t="shared" si="113"/>
        <v>4147200</v>
      </c>
    </row>
    <row r="1203" spans="1:8" x14ac:dyDescent="0.35">
      <c r="A1203" s="2">
        <v>1440</v>
      </c>
      <c r="B1203" s="2">
        <v>21586</v>
      </c>
      <c r="C1203" s="2">
        <f t="shared" si="108"/>
        <v>2.1585999999999999</v>
      </c>
      <c r="D1203" s="2">
        <f t="shared" si="109"/>
        <v>2073600</v>
      </c>
      <c r="E1203" s="2">
        <f t="shared" si="110"/>
        <v>2985984000</v>
      </c>
      <c r="F1203" s="2">
        <f t="shared" si="111"/>
        <v>4299816960000</v>
      </c>
      <c r="G1203" s="2">
        <f t="shared" si="112"/>
        <v>3108.384</v>
      </c>
      <c r="H1203" s="2">
        <f t="shared" si="113"/>
        <v>4476072.96</v>
      </c>
    </row>
    <row r="1204" spans="1:8" x14ac:dyDescent="0.35">
      <c r="A1204" s="2">
        <v>1440</v>
      </c>
      <c r="B1204" s="2">
        <v>20000</v>
      </c>
      <c r="C1204" s="2">
        <f t="shared" si="108"/>
        <v>2</v>
      </c>
      <c r="D1204" s="2">
        <f t="shared" si="109"/>
        <v>2073600</v>
      </c>
      <c r="E1204" s="2">
        <f t="shared" si="110"/>
        <v>2985984000</v>
      </c>
      <c r="F1204" s="2">
        <f t="shared" si="111"/>
        <v>4299816960000</v>
      </c>
      <c r="G1204" s="2">
        <f t="shared" si="112"/>
        <v>2880</v>
      </c>
      <c r="H1204" s="2">
        <f t="shared" si="113"/>
        <v>4147200</v>
      </c>
    </row>
    <row r="1205" spans="1:8" x14ac:dyDescent="0.35">
      <c r="A1205" s="2">
        <v>1440</v>
      </c>
      <c r="B1205" s="2">
        <v>19811</v>
      </c>
      <c r="C1205" s="2">
        <f t="shared" si="108"/>
        <v>1.9811000000000001</v>
      </c>
      <c r="D1205" s="2">
        <f t="shared" si="109"/>
        <v>2073600</v>
      </c>
      <c r="E1205" s="2">
        <f t="shared" si="110"/>
        <v>2985984000</v>
      </c>
      <c r="F1205" s="2">
        <f t="shared" si="111"/>
        <v>4299816960000</v>
      </c>
      <c r="G1205" s="2">
        <f t="shared" si="112"/>
        <v>2852.7840000000001</v>
      </c>
      <c r="H1205" s="2">
        <f t="shared" si="113"/>
        <v>4108008.96</v>
      </c>
    </row>
    <row r="1206" spans="1:8" x14ac:dyDescent="0.35">
      <c r="A1206" s="2">
        <v>1440</v>
      </c>
      <c r="B1206" s="2">
        <v>20000</v>
      </c>
      <c r="C1206" s="2">
        <f t="shared" si="108"/>
        <v>2</v>
      </c>
      <c r="D1206" s="2">
        <f t="shared" si="109"/>
        <v>2073600</v>
      </c>
      <c r="E1206" s="2">
        <f t="shared" si="110"/>
        <v>2985984000</v>
      </c>
      <c r="F1206" s="2">
        <f t="shared" si="111"/>
        <v>4299816960000</v>
      </c>
      <c r="G1206" s="2">
        <f t="shared" si="112"/>
        <v>2880</v>
      </c>
      <c r="H1206" s="2">
        <f t="shared" si="113"/>
        <v>4147200</v>
      </c>
    </row>
    <row r="1207" spans="1:8" x14ac:dyDescent="0.35">
      <c r="A1207" s="2">
        <v>1440</v>
      </c>
      <c r="B1207" s="2">
        <v>24896</v>
      </c>
      <c r="C1207" s="2">
        <f t="shared" si="108"/>
        <v>2.4895999999999998</v>
      </c>
      <c r="D1207" s="2">
        <f t="shared" si="109"/>
        <v>2073600</v>
      </c>
      <c r="E1207" s="2">
        <f t="shared" si="110"/>
        <v>2985984000</v>
      </c>
      <c r="F1207" s="2">
        <f t="shared" si="111"/>
        <v>4299816960000</v>
      </c>
      <c r="G1207" s="2">
        <f t="shared" si="112"/>
        <v>3585.0239999999999</v>
      </c>
      <c r="H1207" s="2">
        <f t="shared" si="113"/>
        <v>5162434.5599999996</v>
      </c>
    </row>
    <row r="1208" spans="1:8" x14ac:dyDescent="0.35">
      <c r="A1208" s="2">
        <v>1440</v>
      </c>
      <c r="B1208" s="2">
        <v>22857</v>
      </c>
      <c r="C1208" s="2">
        <f t="shared" si="108"/>
        <v>2.2856999999999998</v>
      </c>
      <c r="D1208" s="2">
        <f t="shared" si="109"/>
        <v>2073600</v>
      </c>
      <c r="E1208" s="2">
        <f t="shared" si="110"/>
        <v>2985984000</v>
      </c>
      <c r="F1208" s="2">
        <f t="shared" si="111"/>
        <v>4299816960000</v>
      </c>
      <c r="G1208" s="2">
        <f t="shared" si="112"/>
        <v>3291.4079999999999</v>
      </c>
      <c r="H1208" s="2">
        <f t="shared" si="113"/>
        <v>4739627.5199999996</v>
      </c>
    </row>
    <row r="1209" spans="1:8" x14ac:dyDescent="0.35">
      <c r="A1209" s="2">
        <v>1440</v>
      </c>
      <c r="B1209" s="2">
        <v>19800</v>
      </c>
      <c r="C1209" s="2">
        <f t="shared" si="108"/>
        <v>1.98</v>
      </c>
      <c r="D1209" s="2">
        <f t="shared" si="109"/>
        <v>2073600</v>
      </c>
      <c r="E1209" s="2">
        <f t="shared" si="110"/>
        <v>2985984000</v>
      </c>
      <c r="F1209" s="2">
        <f t="shared" si="111"/>
        <v>4299816960000</v>
      </c>
      <c r="G1209" s="2">
        <f t="shared" si="112"/>
        <v>2851.2</v>
      </c>
      <c r="H1209" s="2">
        <f t="shared" si="113"/>
        <v>4105728</v>
      </c>
    </row>
    <row r="1210" spans="1:8" x14ac:dyDescent="0.35">
      <c r="A1210" s="2">
        <v>1440</v>
      </c>
      <c r="B1210" s="2">
        <v>20833</v>
      </c>
      <c r="C1210" s="2">
        <f t="shared" si="108"/>
        <v>2.0832999999999999</v>
      </c>
      <c r="D1210" s="2">
        <f t="shared" si="109"/>
        <v>2073600</v>
      </c>
      <c r="E1210" s="2">
        <f t="shared" si="110"/>
        <v>2985984000</v>
      </c>
      <c r="F1210" s="2">
        <f t="shared" si="111"/>
        <v>4299816960000</v>
      </c>
      <c r="G1210" s="2">
        <f t="shared" si="112"/>
        <v>2999.9519999999998</v>
      </c>
      <c r="H1210" s="2">
        <f t="shared" si="113"/>
        <v>4319930.88</v>
      </c>
    </row>
    <row r="1211" spans="1:8" x14ac:dyDescent="0.35">
      <c r="A1211" s="2">
        <v>1440</v>
      </c>
      <c r="B1211" s="2">
        <v>25000</v>
      </c>
      <c r="C1211" s="2">
        <f t="shared" si="108"/>
        <v>2.5</v>
      </c>
      <c r="D1211" s="2">
        <f t="shared" si="109"/>
        <v>2073600</v>
      </c>
      <c r="E1211" s="2">
        <f t="shared" si="110"/>
        <v>2985984000</v>
      </c>
      <c r="F1211" s="2">
        <f t="shared" si="111"/>
        <v>4299816960000</v>
      </c>
      <c r="G1211" s="2">
        <f t="shared" si="112"/>
        <v>3600</v>
      </c>
      <c r="H1211" s="2">
        <f t="shared" si="113"/>
        <v>5184000</v>
      </c>
    </row>
    <row r="1212" spans="1:8" x14ac:dyDescent="0.35">
      <c r="A1212" s="2">
        <v>1440</v>
      </c>
      <c r="B1212" s="2">
        <v>20117</v>
      </c>
      <c r="C1212" s="2">
        <f t="shared" si="108"/>
        <v>2.0116999999999998</v>
      </c>
      <c r="D1212" s="2">
        <f t="shared" si="109"/>
        <v>2073600</v>
      </c>
      <c r="E1212" s="2">
        <f t="shared" si="110"/>
        <v>2985984000</v>
      </c>
      <c r="F1212" s="2">
        <f t="shared" si="111"/>
        <v>4299816960000</v>
      </c>
      <c r="G1212" s="2">
        <f t="shared" si="112"/>
        <v>2896.848</v>
      </c>
      <c r="H1212" s="2">
        <f t="shared" si="113"/>
        <v>4171461.1199999996</v>
      </c>
    </row>
    <row r="1213" spans="1:8" x14ac:dyDescent="0.35">
      <c r="A1213" s="2">
        <v>1440</v>
      </c>
      <c r="B1213" s="2">
        <v>20000</v>
      </c>
      <c r="C1213" s="2">
        <f t="shared" si="108"/>
        <v>2</v>
      </c>
      <c r="D1213" s="2">
        <f t="shared" si="109"/>
        <v>2073600</v>
      </c>
      <c r="E1213" s="2">
        <f t="shared" si="110"/>
        <v>2985984000</v>
      </c>
      <c r="F1213" s="2">
        <f t="shared" si="111"/>
        <v>4299816960000</v>
      </c>
      <c r="G1213" s="2">
        <f t="shared" si="112"/>
        <v>2880</v>
      </c>
      <c r="H1213" s="2">
        <f t="shared" si="113"/>
        <v>4147200</v>
      </c>
    </row>
    <row r="1214" spans="1:8" x14ac:dyDescent="0.35">
      <c r="A1214" s="2">
        <v>1440</v>
      </c>
      <c r="B1214" s="2">
        <v>20508</v>
      </c>
      <c r="C1214" s="2">
        <f t="shared" si="108"/>
        <v>2.0508000000000002</v>
      </c>
      <c r="D1214" s="2">
        <f t="shared" si="109"/>
        <v>2073600</v>
      </c>
      <c r="E1214" s="2">
        <f t="shared" si="110"/>
        <v>2985984000</v>
      </c>
      <c r="F1214" s="2">
        <f t="shared" si="111"/>
        <v>4299816960000</v>
      </c>
      <c r="G1214" s="2">
        <f t="shared" si="112"/>
        <v>2953.152</v>
      </c>
      <c r="H1214" s="2">
        <f t="shared" si="113"/>
        <v>4252538.8800000008</v>
      </c>
    </row>
    <row r="1215" spans="1:8" x14ac:dyDescent="0.35">
      <c r="A1215" s="2">
        <v>1440</v>
      </c>
      <c r="B1215" s="2">
        <v>20270</v>
      </c>
      <c r="C1215" s="2">
        <f t="shared" si="108"/>
        <v>2.0270000000000001</v>
      </c>
      <c r="D1215" s="2">
        <f t="shared" si="109"/>
        <v>2073600</v>
      </c>
      <c r="E1215" s="2">
        <f t="shared" si="110"/>
        <v>2985984000</v>
      </c>
      <c r="F1215" s="2">
        <f t="shared" si="111"/>
        <v>4299816960000</v>
      </c>
      <c r="G1215" s="2">
        <f t="shared" si="112"/>
        <v>2918.88</v>
      </c>
      <c r="H1215" s="2">
        <f t="shared" si="113"/>
        <v>4203187.2</v>
      </c>
    </row>
    <row r="1216" spans="1:8" x14ac:dyDescent="0.35">
      <c r="A1216" s="2">
        <v>1440</v>
      </c>
      <c r="B1216" s="2">
        <v>20755</v>
      </c>
      <c r="C1216" s="2">
        <f t="shared" si="108"/>
        <v>2.0754999999999999</v>
      </c>
      <c r="D1216" s="2">
        <f t="shared" si="109"/>
        <v>2073600</v>
      </c>
      <c r="E1216" s="2">
        <f t="shared" si="110"/>
        <v>2985984000</v>
      </c>
      <c r="F1216" s="2">
        <f t="shared" si="111"/>
        <v>4299816960000</v>
      </c>
      <c r="G1216" s="2">
        <f t="shared" si="112"/>
        <v>2988.72</v>
      </c>
      <c r="H1216" s="2">
        <f t="shared" si="113"/>
        <v>4303756.8</v>
      </c>
    </row>
    <row r="1217" spans="1:8" x14ac:dyDescent="0.35">
      <c r="A1217" s="2">
        <v>1440</v>
      </c>
      <c r="B1217" s="2">
        <v>22491</v>
      </c>
      <c r="C1217" s="2">
        <f t="shared" si="108"/>
        <v>2.2490999999999999</v>
      </c>
      <c r="D1217" s="2">
        <f t="shared" si="109"/>
        <v>2073600</v>
      </c>
      <c r="E1217" s="2">
        <f t="shared" si="110"/>
        <v>2985984000</v>
      </c>
      <c r="F1217" s="2">
        <f t="shared" si="111"/>
        <v>4299816960000</v>
      </c>
      <c r="G1217" s="2">
        <f t="shared" si="112"/>
        <v>3238.7039999999997</v>
      </c>
      <c r="H1217" s="2">
        <f t="shared" si="113"/>
        <v>4663733.76</v>
      </c>
    </row>
    <row r="1218" spans="1:8" x14ac:dyDescent="0.35">
      <c r="A1218" s="2">
        <v>1440</v>
      </c>
      <c r="B1218" s="2">
        <v>20755</v>
      </c>
      <c r="C1218" s="2">
        <f t="shared" si="108"/>
        <v>2.0754999999999999</v>
      </c>
      <c r="D1218" s="2">
        <f t="shared" si="109"/>
        <v>2073600</v>
      </c>
      <c r="E1218" s="2">
        <f t="shared" si="110"/>
        <v>2985984000</v>
      </c>
      <c r="F1218" s="2">
        <f t="shared" si="111"/>
        <v>4299816960000</v>
      </c>
      <c r="G1218" s="2">
        <f t="shared" si="112"/>
        <v>2988.72</v>
      </c>
      <c r="H1218" s="2">
        <f t="shared" si="113"/>
        <v>4303756.8</v>
      </c>
    </row>
    <row r="1219" spans="1:8" x14ac:dyDescent="0.35">
      <c r="A1219" s="2">
        <v>1440</v>
      </c>
      <c r="B1219" s="2">
        <v>22313</v>
      </c>
      <c r="C1219" s="2">
        <f t="shared" ref="C1219:C1282" si="114">B1219/10000</f>
        <v>2.2313000000000001</v>
      </c>
      <c r="D1219" s="2">
        <f t="shared" ref="D1219:D1282" si="115">A1219^2</f>
        <v>2073600</v>
      </c>
      <c r="E1219" s="2">
        <f t="shared" ref="E1219:E1282" si="116">A1219^3</f>
        <v>2985984000</v>
      </c>
      <c r="F1219" s="2">
        <f t="shared" ref="F1219:F1282" si="117">A1219^4</f>
        <v>4299816960000</v>
      </c>
      <c r="G1219" s="2">
        <f t="shared" ref="G1219:G1282" si="118">A1219*C1219</f>
        <v>3213.0720000000001</v>
      </c>
      <c r="H1219" s="2">
        <f t="shared" ref="H1219:H1282" si="119">D1219*C1219</f>
        <v>4626823.68</v>
      </c>
    </row>
    <row r="1220" spans="1:8" x14ac:dyDescent="0.35">
      <c r="A1220" s="2">
        <v>1440</v>
      </c>
      <c r="B1220" s="2">
        <v>23321</v>
      </c>
      <c r="C1220" s="2">
        <f t="shared" si="114"/>
        <v>2.3321000000000001</v>
      </c>
      <c r="D1220" s="2">
        <f t="shared" si="115"/>
        <v>2073600</v>
      </c>
      <c r="E1220" s="2">
        <f t="shared" si="116"/>
        <v>2985984000</v>
      </c>
      <c r="F1220" s="2">
        <f t="shared" si="117"/>
        <v>4299816960000</v>
      </c>
      <c r="G1220" s="2">
        <f t="shared" si="118"/>
        <v>3358.2240000000002</v>
      </c>
      <c r="H1220" s="2">
        <f t="shared" si="119"/>
        <v>4835842.5600000005</v>
      </c>
    </row>
    <row r="1221" spans="1:8" x14ac:dyDescent="0.35">
      <c r="A1221" s="2">
        <v>1440</v>
      </c>
      <c r="B1221" s="2">
        <v>24043</v>
      </c>
      <c r="C1221" s="2">
        <f t="shared" si="114"/>
        <v>2.4043000000000001</v>
      </c>
      <c r="D1221" s="2">
        <f t="shared" si="115"/>
        <v>2073600</v>
      </c>
      <c r="E1221" s="2">
        <f t="shared" si="116"/>
        <v>2985984000</v>
      </c>
      <c r="F1221" s="2">
        <f t="shared" si="117"/>
        <v>4299816960000</v>
      </c>
      <c r="G1221" s="2">
        <f t="shared" si="118"/>
        <v>3462.192</v>
      </c>
      <c r="H1221" s="2">
        <f t="shared" si="119"/>
        <v>4985556.4800000004</v>
      </c>
    </row>
    <row r="1222" spans="1:8" x14ac:dyDescent="0.35">
      <c r="A1222" s="2">
        <v>1440</v>
      </c>
      <c r="B1222" s="2">
        <v>24722</v>
      </c>
      <c r="C1222" s="2">
        <f t="shared" si="114"/>
        <v>2.4722</v>
      </c>
      <c r="D1222" s="2">
        <f t="shared" si="115"/>
        <v>2073600</v>
      </c>
      <c r="E1222" s="2">
        <f t="shared" si="116"/>
        <v>2985984000</v>
      </c>
      <c r="F1222" s="2">
        <f t="shared" si="117"/>
        <v>4299816960000</v>
      </c>
      <c r="G1222" s="2">
        <f t="shared" si="118"/>
        <v>3559.9679999999998</v>
      </c>
      <c r="H1222" s="2">
        <f t="shared" si="119"/>
        <v>5126353.92</v>
      </c>
    </row>
    <row r="1223" spans="1:8" x14ac:dyDescent="0.35">
      <c r="A1223" s="2">
        <v>1440</v>
      </c>
      <c r="B1223" s="2">
        <v>28789</v>
      </c>
      <c r="C1223" s="2">
        <f t="shared" si="114"/>
        <v>2.8788999999999998</v>
      </c>
      <c r="D1223" s="2">
        <f t="shared" si="115"/>
        <v>2073600</v>
      </c>
      <c r="E1223" s="2">
        <f t="shared" si="116"/>
        <v>2985984000</v>
      </c>
      <c r="F1223" s="2">
        <f t="shared" si="117"/>
        <v>4299816960000</v>
      </c>
      <c r="G1223" s="2">
        <f t="shared" si="118"/>
        <v>4145.616</v>
      </c>
      <c r="H1223" s="2">
        <f t="shared" si="119"/>
        <v>5969687.0399999991</v>
      </c>
    </row>
    <row r="1224" spans="1:8" x14ac:dyDescent="0.35">
      <c r="A1224" s="2">
        <v>1440</v>
      </c>
      <c r="B1224" s="2">
        <v>25821</v>
      </c>
      <c r="C1224" s="2">
        <f t="shared" si="114"/>
        <v>2.5821000000000001</v>
      </c>
      <c r="D1224" s="2">
        <f t="shared" si="115"/>
        <v>2073600</v>
      </c>
      <c r="E1224" s="2">
        <f t="shared" si="116"/>
        <v>2985984000</v>
      </c>
      <c r="F1224" s="2">
        <f t="shared" si="117"/>
        <v>4299816960000</v>
      </c>
      <c r="G1224" s="2">
        <f t="shared" si="118"/>
        <v>3718.2240000000002</v>
      </c>
      <c r="H1224" s="2">
        <f t="shared" si="119"/>
        <v>5354242.5600000005</v>
      </c>
    </row>
    <row r="1225" spans="1:8" x14ac:dyDescent="0.35">
      <c r="A1225" s="2">
        <v>1440</v>
      </c>
      <c r="B1225" s="2">
        <v>24690</v>
      </c>
      <c r="C1225" s="2">
        <f t="shared" si="114"/>
        <v>2.4689999999999999</v>
      </c>
      <c r="D1225" s="2">
        <f t="shared" si="115"/>
        <v>2073600</v>
      </c>
      <c r="E1225" s="2">
        <f t="shared" si="116"/>
        <v>2985984000</v>
      </c>
      <c r="F1225" s="2">
        <f t="shared" si="117"/>
        <v>4299816960000</v>
      </c>
      <c r="G1225" s="2">
        <f t="shared" si="118"/>
        <v>3555.3599999999997</v>
      </c>
      <c r="H1225" s="2">
        <f t="shared" si="119"/>
        <v>5119718.3999999994</v>
      </c>
    </row>
    <row r="1226" spans="1:8" x14ac:dyDescent="0.35">
      <c r="A1226" s="2">
        <v>1440</v>
      </c>
      <c r="B1226" s="2">
        <v>25240</v>
      </c>
      <c r="C1226" s="2">
        <f t="shared" si="114"/>
        <v>2.524</v>
      </c>
      <c r="D1226" s="2">
        <f t="shared" si="115"/>
        <v>2073600</v>
      </c>
      <c r="E1226" s="2">
        <f t="shared" si="116"/>
        <v>2985984000</v>
      </c>
      <c r="F1226" s="2">
        <f t="shared" si="117"/>
        <v>4299816960000</v>
      </c>
      <c r="G1226" s="2">
        <f t="shared" si="118"/>
        <v>3634.56</v>
      </c>
      <c r="H1226" s="2">
        <f t="shared" si="119"/>
        <v>5233766.4000000004</v>
      </c>
    </row>
    <row r="1227" spans="1:8" x14ac:dyDescent="0.35">
      <c r="A1227" s="2">
        <v>1976</v>
      </c>
      <c r="B1227" s="2">
        <v>25983</v>
      </c>
      <c r="C1227" s="2">
        <f t="shared" si="114"/>
        <v>2.5983000000000001</v>
      </c>
      <c r="D1227" s="2">
        <f t="shared" si="115"/>
        <v>3904576</v>
      </c>
      <c r="E1227" s="2">
        <f t="shared" si="116"/>
        <v>7715442176</v>
      </c>
      <c r="F1227" s="2">
        <f t="shared" si="117"/>
        <v>15245713739776</v>
      </c>
      <c r="G1227" s="2">
        <f t="shared" si="118"/>
        <v>5134.2408000000005</v>
      </c>
      <c r="H1227" s="2">
        <f t="shared" si="119"/>
        <v>10145259.820800001</v>
      </c>
    </row>
    <row r="1228" spans="1:8" x14ac:dyDescent="0.35">
      <c r="A1228" s="2">
        <v>1976</v>
      </c>
      <c r="B1228" s="2">
        <v>24971</v>
      </c>
      <c r="C1228" s="2">
        <f t="shared" si="114"/>
        <v>2.4971000000000001</v>
      </c>
      <c r="D1228" s="2">
        <f t="shared" si="115"/>
        <v>3904576</v>
      </c>
      <c r="E1228" s="2">
        <f t="shared" si="116"/>
        <v>7715442176</v>
      </c>
      <c r="F1228" s="2">
        <f t="shared" si="117"/>
        <v>15245713739776</v>
      </c>
      <c r="G1228" s="2">
        <f t="shared" si="118"/>
        <v>4934.2696000000005</v>
      </c>
      <c r="H1228" s="2">
        <f t="shared" si="119"/>
        <v>9750116.7296000011</v>
      </c>
    </row>
    <row r="1229" spans="1:8" x14ac:dyDescent="0.35">
      <c r="A1229" s="2">
        <v>1976</v>
      </c>
      <c r="B1229" s="2">
        <v>28557</v>
      </c>
      <c r="C1229" s="2">
        <f t="shared" si="114"/>
        <v>2.8557000000000001</v>
      </c>
      <c r="D1229" s="2">
        <f t="shared" si="115"/>
        <v>3904576</v>
      </c>
      <c r="E1229" s="2">
        <f t="shared" si="116"/>
        <v>7715442176</v>
      </c>
      <c r="F1229" s="2">
        <f t="shared" si="117"/>
        <v>15245713739776</v>
      </c>
      <c r="G1229" s="2">
        <f t="shared" si="118"/>
        <v>5642.8632000000007</v>
      </c>
      <c r="H1229" s="2">
        <f t="shared" si="119"/>
        <v>11150297.6832</v>
      </c>
    </row>
    <row r="1230" spans="1:8" x14ac:dyDescent="0.35">
      <c r="A1230" s="2">
        <v>1976</v>
      </c>
      <c r="B1230" s="2">
        <v>27542</v>
      </c>
      <c r="C1230" s="2">
        <f t="shared" si="114"/>
        <v>2.7542</v>
      </c>
      <c r="D1230" s="2">
        <f t="shared" si="115"/>
        <v>3904576</v>
      </c>
      <c r="E1230" s="2">
        <f t="shared" si="116"/>
        <v>7715442176</v>
      </c>
      <c r="F1230" s="2">
        <f t="shared" si="117"/>
        <v>15245713739776</v>
      </c>
      <c r="G1230" s="2">
        <f t="shared" si="118"/>
        <v>5442.2992000000004</v>
      </c>
      <c r="H1230" s="2">
        <f t="shared" si="119"/>
        <v>10753983.2192</v>
      </c>
    </row>
    <row r="1231" spans="1:8" x14ac:dyDescent="0.35">
      <c r="A1231" s="2">
        <v>1976</v>
      </c>
      <c r="B1231" s="2">
        <v>25026</v>
      </c>
      <c r="C1231" s="2">
        <f t="shared" si="114"/>
        <v>2.5026000000000002</v>
      </c>
      <c r="D1231" s="2">
        <f t="shared" si="115"/>
        <v>3904576</v>
      </c>
      <c r="E1231" s="2">
        <f t="shared" si="116"/>
        <v>7715442176</v>
      </c>
      <c r="F1231" s="2">
        <f t="shared" si="117"/>
        <v>15245713739776</v>
      </c>
      <c r="G1231" s="2">
        <f t="shared" si="118"/>
        <v>4945.1376</v>
      </c>
      <c r="H1231" s="2">
        <f t="shared" si="119"/>
        <v>9771591.8976000007</v>
      </c>
    </row>
    <row r="1232" spans="1:8" x14ac:dyDescent="0.35">
      <c r="A1232" s="2">
        <v>1976</v>
      </c>
      <c r="B1232" s="2">
        <v>25924</v>
      </c>
      <c r="C1232" s="2">
        <f t="shared" si="114"/>
        <v>2.5924</v>
      </c>
      <c r="D1232" s="2">
        <f t="shared" si="115"/>
        <v>3904576</v>
      </c>
      <c r="E1232" s="2">
        <f t="shared" si="116"/>
        <v>7715442176</v>
      </c>
      <c r="F1232" s="2">
        <f t="shared" si="117"/>
        <v>15245713739776</v>
      </c>
      <c r="G1232" s="2">
        <f t="shared" si="118"/>
        <v>5122.5824000000002</v>
      </c>
      <c r="H1232" s="2">
        <f t="shared" si="119"/>
        <v>10122222.8224</v>
      </c>
    </row>
    <row r="1233" spans="1:8" x14ac:dyDescent="0.35">
      <c r="A1233" s="2">
        <v>1976</v>
      </c>
      <c r="B1233" s="2">
        <v>26931</v>
      </c>
      <c r="C1233" s="2">
        <f t="shared" si="114"/>
        <v>2.6930999999999998</v>
      </c>
      <c r="D1233" s="2">
        <f t="shared" si="115"/>
        <v>3904576</v>
      </c>
      <c r="E1233" s="2">
        <f t="shared" si="116"/>
        <v>7715442176</v>
      </c>
      <c r="F1233" s="2">
        <f t="shared" si="117"/>
        <v>15245713739776</v>
      </c>
      <c r="G1233" s="2">
        <f t="shared" si="118"/>
        <v>5321.5655999999999</v>
      </c>
      <c r="H1233" s="2">
        <f t="shared" si="119"/>
        <v>10515413.625599999</v>
      </c>
    </row>
    <row r="1234" spans="1:8" x14ac:dyDescent="0.35">
      <c r="A1234" s="2">
        <v>1976</v>
      </c>
      <c r="B1234" s="2">
        <v>26536</v>
      </c>
      <c r="C1234" s="2">
        <f t="shared" si="114"/>
        <v>2.6536</v>
      </c>
      <c r="D1234" s="2">
        <f t="shared" si="115"/>
        <v>3904576</v>
      </c>
      <c r="E1234" s="2">
        <f t="shared" si="116"/>
        <v>7715442176</v>
      </c>
      <c r="F1234" s="2">
        <f t="shared" si="117"/>
        <v>15245713739776</v>
      </c>
      <c r="G1234" s="2">
        <f t="shared" si="118"/>
        <v>5243.5136000000002</v>
      </c>
      <c r="H1234" s="2">
        <f t="shared" si="119"/>
        <v>10361182.873600001</v>
      </c>
    </row>
    <row r="1235" spans="1:8" x14ac:dyDescent="0.35">
      <c r="A1235" s="2">
        <v>1976</v>
      </c>
      <c r="B1235" s="2">
        <v>24906</v>
      </c>
      <c r="C1235" s="2">
        <f t="shared" si="114"/>
        <v>2.4906000000000001</v>
      </c>
      <c r="D1235" s="2">
        <f t="shared" si="115"/>
        <v>3904576</v>
      </c>
      <c r="E1235" s="2">
        <f t="shared" si="116"/>
        <v>7715442176</v>
      </c>
      <c r="F1235" s="2">
        <f t="shared" si="117"/>
        <v>15245713739776</v>
      </c>
      <c r="G1235" s="2">
        <f t="shared" si="118"/>
        <v>4921.4256000000005</v>
      </c>
      <c r="H1235" s="2">
        <f t="shared" si="119"/>
        <v>9724736.9856000002</v>
      </c>
    </row>
    <row r="1236" spans="1:8" x14ac:dyDescent="0.35">
      <c r="A1236" s="2">
        <v>1976</v>
      </c>
      <c r="B1236" s="2">
        <v>26103</v>
      </c>
      <c r="C1236" s="2">
        <f t="shared" si="114"/>
        <v>2.6103000000000001</v>
      </c>
      <c r="D1236" s="2">
        <f t="shared" si="115"/>
        <v>3904576</v>
      </c>
      <c r="E1236" s="2">
        <f t="shared" si="116"/>
        <v>7715442176</v>
      </c>
      <c r="F1236" s="2">
        <f t="shared" si="117"/>
        <v>15245713739776</v>
      </c>
      <c r="G1236" s="2">
        <f t="shared" si="118"/>
        <v>5157.9528</v>
      </c>
      <c r="H1236" s="2">
        <f t="shared" si="119"/>
        <v>10192114.732799999</v>
      </c>
    </row>
    <row r="1237" spans="1:8" x14ac:dyDescent="0.35">
      <c r="A1237" s="2">
        <v>1976</v>
      </c>
      <c r="B1237" s="2">
        <v>26768</v>
      </c>
      <c r="C1237" s="2">
        <f t="shared" si="114"/>
        <v>2.6768000000000001</v>
      </c>
      <c r="D1237" s="2">
        <f t="shared" si="115"/>
        <v>3904576</v>
      </c>
      <c r="E1237" s="2">
        <f t="shared" si="116"/>
        <v>7715442176</v>
      </c>
      <c r="F1237" s="2">
        <f t="shared" si="117"/>
        <v>15245713739776</v>
      </c>
      <c r="G1237" s="2">
        <f t="shared" si="118"/>
        <v>5289.3568000000005</v>
      </c>
      <c r="H1237" s="2">
        <f t="shared" si="119"/>
        <v>10451769.036800001</v>
      </c>
    </row>
    <row r="1238" spans="1:8" x14ac:dyDescent="0.35">
      <c r="A1238" s="2">
        <v>1976</v>
      </c>
      <c r="B1238" s="2">
        <v>31028</v>
      </c>
      <c r="C1238" s="2">
        <f t="shared" si="114"/>
        <v>3.1027999999999998</v>
      </c>
      <c r="D1238" s="2">
        <f t="shared" si="115"/>
        <v>3904576</v>
      </c>
      <c r="E1238" s="2">
        <f t="shared" si="116"/>
        <v>7715442176</v>
      </c>
      <c r="F1238" s="2">
        <f t="shared" si="117"/>
        <v>15245713739776</v>
      </c>
      <c r="G1238" s="2">
        <f t="shared" si="118"/>
        <v>6131.1327999999994</v>
      </c>
      <c r="H1238" s="2">
        <f t="shared" si="119"/>
        <v>12115118.412799999</v>
      </c>
    </row>
    <row r="1239" spans="1:8" x14ac:dyDescent="0.35">
      <c r="A1239" s="2">
        <v>1976</v>
      </c>
      <c r="B1239" s="2">
        <v>25468</v>
      </c>
      <c r="C1239" s="2">
        <f t="shared" si="114"/>
        <v>2.5468000000000002</v>
      </c>
      <c r="D1239" s="2">
        <f t="shared" si="115"/>
        <v>3904576</v>
      </c>
      <c r="E1239" s="2">
        <f t="shared" si="116"/>
        <v>7715442176</v>
      </c>
      <c r="F1239" s="2">
        <f t="shared" si="117"/>
        <v>15245713739776</v>
      </c>
      <c r="G1239" s="2">
        <f t="shared" si="118"/>
        <v>5032.4768000000004</v>
      </c>
      <c r="H1239" s="2">
        <f t="shared" si="119"/>
        <v>9944174.1568</v>
      </c>
    </row>
    <row r="1240" spans="1:8" x14ac:dyDescent="0.35">
      <c r="A1240" s="2">
        <v>1976</v>
      </c>
      <c r="B1240" s="2">
        <v>21850</v>
      </c>
      <c r="C1240" s="2">
        <f t="shared" si="114"/>
        <v>2.1850000000000001</v>
      </c>
      <c r="D1240" s="2">
        <f t="shared" si="115"/>
        <v>3904576</v>
      </c>
      <c r="E1240" s="2">
        <f t="shared" si="116"/>
        <v>7715442176</v>
      </c>
      <c r="F1240" s="2">
        <f t="shared" si="117"/>
        <v>15245713739776</v>
      </c>
      <c r="G1240" s="2">
        <f t="shared" si="118"/>
        <v>4317.5600000000004</v>
      </c>
      <c r="H1240" s="2">
        <f t="shared" si="119"/>
        <v>8531498.5600000005</v>
      </c>
    </row>
    <row r="1241" spans="1:8" x14ac:dyDescent="0.35">
      <c r="A1241" s="2">
        <v>1976</v>
      </c>
      <c r="B1241" s="2">
        <v>22923</v>
      </c>
      <c r="C1241" s="2">
        <f t="shared" si="114"/>
        <v>2.2923</v>
      </c>
      <c r="D1241" s="2">
        <f t="shared" si="115"/>
        <v>3904576</v>
      </c>
      <c r="E1241" s="2">
        <f t="shared" si="116"/>
        <v>7715442176</v>
      </c>
      <c r="F1241" s="2">
        <f t="shared" si="117"/>
        <v>15245713739776</v>
      </c>
      <c r="G1241" s="2">
        <f t="shared" si="118"/>
        <v>4529.5847999999996</v>
      </c>
      <c r="H1241" s="2">
        <f t="shared" si="119"/>
        <v>8950459.5647999998</v>
      </c>
    </row>
    <row r="1242" spans="1:8" x14ac:dyDescent="0.35">
      <c r="A1242" s="2">
        <v>1976</v>
      </c>
      <c r="B1242" s="2">
        <v>34989</v>
      </c>
      <c r="C1242" s="2">
        <f t="shared" si="114"/>
        <v>3.4988999999999999</v>
      </c>
      <c r="D1242" s="2">
        <f t="shared" si="115"/>
        <v>3904576</v>
      </c>
      <c r="E1242" s="2">
        <f t="shared" si="116"/>
        <v>7715442176</v>
      </c>
      <c r="F1242" s="2">
        <f t="shared" si="117"/>
        <v>15245713739776</v>
      </c>
      <c r="G1242" s="2">
        <f t="shared" si="118"/>
        <v>6913.8263999999999</v>
      </c>
      <c r="H1242" s="2">
        <f t="shared" si="119"/>
        <v>13661720.966399999</v>
      </c>
    </row>
    <row r="1243" spans="1:8" x14ac:dyDescent="0.35">
      <c r="A1243" s="2">
        <v>1976</v>
      </c>
      <c r="B1243" s="2">
        <v>23573</v>
      </c>
      <c r="C1243" s="2">
        <f t="shared" si="114"/>
        <v>2.3573</v>
      </c>
      <c r="D1243" s="2">
        <f t="shared" si="115"/>
        <v>3904576</v>
      </c>
      <c r="E1243" s="2">
        <f t="shared" si="116"/>
        <v>7715442176</v>
      </c>
      <c r="F1243" s="2">
        <f t="shared" si="117"/>
        <v>15245713739776</v>
      </c>
      <c r="G1243" s="2">
        <f t="shared" si="118"/>
        <v>4658.0248000000001</v>
      </c>
      <c r="H1243" s="2">
        <f t="shared" si="119"/>
        <v>9204257.0047999993</v>
      </c>
    </row>
    <row r="1244" spans="1:8" x14ac:dyDescent="0.35">
      <c r="A1244" s="2">
        <v>1976</v>
      </c>
      <c r="B1244" s="2">
        <v>41050</v>
      </c>
      <c r="C1244" s="2">
        <f t="shared" si="114"/>
        <v>4.1050000000000004</v>
      </c>
      <c r="D1244" s="2">
        <f t="shared" si="115"/>
        <v>3904576</v>
      </c>
      <c r="E1244" s="2">
        <f t="shared" si="116"/>
        <v>7715442176</v>
      </c>
      <c r="F1244" s="2">
        <f t="shared" si="117"/>
        <v>15245713739776</v>
      </c>
      <c r="G1244" s="2">
        <f t="shared" si="118"/>
        <v>8111.4800000000005</v>
      </c>
      <c r="H1244" s="2">
        <f t="shared" si="119"/>
        <v>16028284.480000002</v>
      </c>
    </row>
    <row r="1245" spans="1:8" x14ac:dyDescent="0.35">
      <c r="A1245" s="2">
        <v>1976</v>
      </c>
      <c r="B1245" s="2">
        <v>37417</v>
      </c>
      <c r="C1245" s="2">
        <f t="shared" si="114"/>
        <v>3.7416999999999998</v>
      </c>
      <c r="D1245" s="2">
        <f t="shared" si="115"/>
        <v>3904576</v>
      </c>
      <c r="E1245" s="2">
        <f t="shared" si="116"/>
        <v>7715442176</v>
      </c>
      <c r="F1245" s="2">
        <f t="shared" si="117"/>
        <v>15245713739776</v>
      </c>
      <c r="G1245" s="2">
        <f t="shared" si="118"/>
        <v>7393.5991999999997</v>
      </c>
      <c r="H1245" s="2">
        <f t="shared" si="119"/>
        <v>14609752.019199999</v>
      </c>
    </row>
    <row r="1246" spans="1:8" x14ac:dyDescent="0.35">
      <c r="A1246" s="2">
        <v>1976</v>
      </c>
      <c r="B1246" s="2">
        <v>49229</v>
      </c>
      <c r="C1246" s="2">
        <f t="shared" si="114"/>
        <v>4.9229000000000003</v>
      </c>
      <c r="D1246" s="2">
        <f t="shared" si="115"/>
        <v>3904576</v>
      </c>
      <c r="E1246" s="2">
        <f t="shared" si="116"/>
        <v>7715442176</v>
      </c>
      <c r="F1246" s="2">
        <f t="shared" si="117"/>
        <v>15245713739776</v>
      </c>
      <c r="G1246" s="2">
        <f t="shared" si="118"/>
        <v>9727.6504000000004</v>
      </c>
      <c r="H1246" s="2">
        <f t="shared" si="119"/>
        <v>19221837.190400001</v>
      </c>
    </row>
    <row r="1247" spans="1:8" x14ac:dyDescent="0.35">
      <c r="A1247" s="2">
        <v>1976</v>
      </c>
      <c r="B1247" s="2">
        <v>50483</v>
      </c>
      <c r="C1247" s="2">
        <f t="shared" si="114"/>
        <v>5.0483000000000002</v>
      </c>
      <c r="D1247" s="2">
        <f t="shared" si="115"/>
        <v>3904576</v>
      </c>
      <c r="E1247" s="2">
        <f t="shared" si="116"/>
        <v>7715442176</v>
      </c>
      <c r="F1247" s="2">
        <f t="shared" si="117"/>
        <v>15245713739776</v>
      </c>
      <c r="G1247" s="2">
        <f t="shared" si="118"/>
        <v>9975.4408000000003</v>
      </c>
      <c r="H1247" s="2">
        <f t="shared" si="119"/>
        <v>19711471.020800002</v>
      </c>
    </row>
    <row r="1248" spans="1:8" x14ac:dyDescent="0.35">
      <c r="A1248" s="2">
        <v>1976</v>
      </c>
      <c r="B1248" s="2">
        <v>51911</v>
      </c>
      <c r="C1248" s="2">
        <f t="shared" si="114"/>
        <v>5.1910999999999996</v>
      </c>
      <c r="D1248" s="2">
        <f t="shared" si="115"/>
        <v>3904576</v>
      </c>
      <c r="E1248" s="2">
        <f t="shared" si="116"/>
        <v>7715442176</v>
      </c>
      <c r="F1248" s="2">
        <f t="shared" si="117"/>
        <v>15245713739776</v>
      </c>
      <c r="G1248" s="2">
        <f t="shared" si="118"/>
        <v>10257.613599999999</v>
      </c>
      <c r="H1248" s="2">
        <f t="shared" si="119"/>
        <v>20269044.4736</v>
      </c>
    </row>
    <row r="1249" spans="1:8" x14ac:dyDescent="0.35">
      <c r="A1249" s="2">
        <v>1976</v>
      </c>
      <c r="B1249" s="2">
        <v>49376</v>
      </c>
      <c r="C1249" s="2">
        <f t="shared" si="114"/>
        <v>4.9375999999999998</v>
      </c>
      <c r="D1249" s="2">
        <f t="shared" si="115"/>
        <v>3904576</v>
      </c>
      <c r="E1249" s="2">
        <f t="shared" si="116"/>
        <v>7715442176</v>
      </c>
      <c r="F1249" s="2">
        <f t="shared" si="117"/>
        <v>15245713739776</v>
      </c>
      <c r="G1249" s="2">
        <f t="shared" si="118"/>
        <v>9756.6975999999995</v>
      </c>
      <c r="H1249" s="2">
        <f t="shared" si="119"/>
        <v>19279234.457599998</v>
      </c>
    </row>
    <row r="1250" spans="1:8" x14ac:dyDescent="0.35">
      <c r="A1250" s="2">
        <v>1976</v>
      </c>
      <c r="B1250" s="2">
        <v>57287</v>
      </c>
      <c r="C1250" s="2">
        <f t="shared" si="114"/>
        <v>5.7286999999999999</v>
      </c>
      <c r="D1250" s="2">
        <f t="shared" si="115"/>
        <v>3904576</v>
      </c>
      <c r="E1250" s="2">
        <f t="shared" si="116"/>
        <v>7715442176</v>
      </c>
      <c r="F1250" s="2">
        <f t="shared" si="117"/>
        <v>15245713739776</v>
      </c>
      <c r="G1250" s="2">
        <f t="shared" si="118"/>
        <v>11319.9112</v>
      </c>
      <c r="H1250" s="2">
        <f t="shared" si="119"/>
        <v>22368144.531199999</v>
      </c>
    </row>
    <row r="1251" spans="1:8" x14ac:dyDescent="0.35">
      <c r="A1251" s="2">
        <v>1976</v>
      </c>
      <c r="B1251" s="2">
        <v>57761</v>
      </c>
      <c r="C1251" s="2">
        <f t="shared" si="114"/>
        <v>5.7760999999999996</v>
      </c>
      <c r="D1251" s="2">
        <f t="shared" si="115"/>
        <v>3904576</v>
      </c>
      <c r="E1251" s="2">
        <f t="shared" si="116"/>
        <v>7715442176</v>
      </c>
      <c r="F1251" s="2">
        <f t="shared" si="117"/>
        <v>15245713739776</v>
      </c>
      <c r="G1251" s="2">
        <f t="shared" si="118"/>
        <v>11413.5736</v>
      </c>
      <c r="H1251" s="2">
        <f t="shared" si="119"/>
        <v>22553221.433599997</v>
      </c>
    </row>
    <row r="1252" spans="1:8" x14ac:dyDescent="0.35">
      <c r="A1252" s="2">
        <v>1976</v>
      </c>
      <c r="B1252" s="2">
        <v>59734</v>
      </c>
      <c r="C1252" s="2">
        <f t="shared" si="114"/>
        <v>5.9733999999999998</v>
      </c>
      <c r="D1252" s="2">
        <f t="shared" si="115"/>
        <v>3904576</v>
      </c>
      <c r="E1252" s="2">
        <f t="shared" si="116"/>
        <v>7715442176</v>
      </c>
      <c r="F1252" s="2">
        <f t="shared" si="117"/>
        <v>15245713739776</v>
      </c>
      <c r="G1252" s="2">
        <f t="shared" si="118"/>
        <v>11803.438399999999</v>
      </c>
      <c r="H1252" s="2">
        <f t="shared" si="119"/>
        <v>23323594.2784</v>
      </c>
    </row>
    <row r="1253" spans="1:8" x14ac:dyDescent="0.35">
      <c r="A1253" s="2">
        <v>1976</v>
      </c>
      <c r="B1253" s="2">
        <v>61214</v>
      </c>
      <c r="C1253" s="2">
        <f t="shared" si="114"/>
        <v>6.1214000000000004</v>
      </c>
      <c r="D1253" s="2">
        <f t="shared" si="115"/>
        <v>3904576</v>
      </c>
      <c r="E1253" s="2">
        <f t="shared" si="116"/>
        <v>7715442176</v>
      </c>
      <c r="F1253" s="2">
        <f t="shared" si="117"/>
        <v>15245713739776</v>
      </c>
      <c r="G1253" s="2">
        <f t="shared" si="118"/>
        <v>12095.886400000001</v>
      </c>
      <c r="H1253" s="2">
        <f t="shared" si="119"/>
        <v>23901471.5264</v>
      </c>
    </row>
    <row r="1254" spans="1:8" x14ac:dyDescent="0.35">
      <c r="A1254" s="2">
        <v>1976</v>
      </c>
      <c r="B1254" s="2">
        <v>64530</v>
      </c>
      <c r="C1254" s="2">
        <f t="shared" si="114"/>
        <v>6.4530000000000003</v>
      </c>
      <c r="D1254" s="2">
        <f t="shared" si="115"/>
        <v>3904576</v>
      </c>
      <c r="E1254" s="2">
        <f t="shared" si="116"/>
        <v>7715442176</v>
      </c>
      <c r="F1254" s="2">
        <f t="shared" si="117"/>
        <v>15245713739776</v>
      </c>
      <c r="G1254" s="2">
        <f t="shared" si="118"/>
        <v>12751.128000000001</v>
      </c>
      <c r="H1254" s="2">
        <f t="shared" si="119"/>
        <v>25196228.927999999</v>
      </c>
    </row>
    <row r="1255" spans="1:8" x14ac:dyDescent="0.35">
      <c r="A1255" s="2">
        <v>1976</v>
      </c>
      <c r="B1255" s="2">
        <v>67386</v>
      </c>
      <c r="C1255" s="2">
        <f t="shared" si="114"/>
        <v>6.7385999999999999</v>
      </c>
      <c r="D1255" s="2">
        <f t="shared" si="115"/>
        <v>3904576</v>
      </c>
      <c r="E1255" s="2">
        <f t="shared" si="116"/>
        <v>7715442176</v>
      </c>
      <c r="F1255" s="2">
        <f t="shared" si="117"/>
        <v>15245713739776</v>
      </c>
      <c r="G1255" s="2">
        <f t="shared" si="118"/>
        <v>13315.473599999999</v>
      </c>
      <c r="H1255" s="2">
        <f t="shared" si="119"/>
        <v>26311375.8336</v>
      </c>
    </row>
    <row r="1256" spans="1:8" x14ac:dyDescent="0.35">
      <c r="A1256" s="2">
        <v>1976</v>
      </c>
      <c r="B1256" s="2">
        <v>69716</v>
      </c>
      <c r="C1256" s="2">
        <f t="shared" si="114"/>
        <v>6.9715999999999996</v>
      </c>
      <c r="D1256" s="2">
        <f t="shared" si="115"/>
        <v>3904576</v>
      </c>
      <c r="E1256" s="2">
        <f t="shared" si="116"/>
        <v>7715442176</v>
      </c>
      <c r="F1256" s="2">
        <f t="shared" si="117"/>
        <v>15245713739776</v>
      </c>
      <c r="G1256" s="2">
        <f t="shared" si="118"/>
        <v>13775.881599999999</v>
      </c>
      <c r="H1256" s="2">
        <f t="shared" si="119"/>
        <v>27221142.0416</v>
      </c>
    </row>
    <row r="1257" spans="1:8" x14ac:dyDescent="0.35">
      <c r="A1257" s="2">
        <v>589</v>
      </c>
      <c r="B1257" s="2">
        <v>33871</v>
      </c>
      <c r="C1257" s="2">
        <f t="shared" si="114"/>
        <v>3.3871000000000002</v>
      </c>
      <c r="D1257" s="2">
        <f t="shared" si="115"/>
        <v>346921</v>
      </c>
      <c r="E1257" s="2">
        <f t="shared" si="116"/>
        <v>204336469</v>
      </c>
      <c r="F1257" s="2">
        <f t="shared" si="117"/>
        <v>120354180241</v>
      </c>
      <c r="G1257" s="2">
        <f t="shared" si="118"/>
        <v>1995.0019000000002</v>
      </c>
      <c r="H1257" s="2">
        <f t="shared" si="119"/>
        <v>1175056.1191</v>
      </c>
    </row>
    <row r="1258" spans="1:8" x14ac:dyDescent="0.35">
      <c r="A1258" s="2">
        <v>589</v>
      </c>
      <c r="B1258" s="2">
        <v>39930</v>
      </c>
      <c r="C1258" s="2">
        <f t="shared" si="114"/>
        <v>3.9929999999999999</v>
      </c>
      <c r="D1258" s="2">
        <f t="shared" si="115"/>
        <v>346921</v>
      </c>
      <c r="E1258" s="2">
        <f t="shared" si="116"/>
        <v>204336469</v>
      </c>
      <c r="F1258" s="2">
        <f t="shared" si="117"/>
        <v>120354180241</v>
      </c>
      <c r="G1258" s="2">
        <f t="shared" si="118"/>
        <v>2351.877</v>
      </c>
      <c r="H1258" s="2">
        <f t="shared" si="119"/>
        <v>1385255.5530000001</v>
      </c>
    </row>
    <row r="1259" spans="1:8" x14ac:dyDescent="0.35">
      <c r="A1259" s="2">
        <v>589</v>
      </c>
      <c r="B1259" s="2">
        <v>30073</v>
      </c>
      <c r="C1259" s="2">
        <f t="shared" si="114"/>
        <v>3.0072999999999999</v>
      </c>
      <c r="D1259" s="2">
        <f t="shared" si="115"/>
        <v>346921</v>
      </c>
      <c r="E1259" s="2">
        <f t="shared" si="116"/>
        <v>204336469</v>
      </c>
      <c r="F1259" s="2">
        <f t="shared" si="117"/>
        <v>120354180241</v>
      </c>
      <c r="G1259" s="2">
        <f t="shared" si="118"/>
        <v>1771.2997</v>
      </c>
      <c r="H1259" s="2">
        <f t="shared" si="119"/>
        <v>1043295.5233</v>
      </c>
    </row>
    <row r="1260" spans="1:8" x14ac:dyDescent="0.35">
      <c r="A1260" s="2">
        <v>589</v>
      </c>
      <c r="B1260" s="2">
        <v>23713</v>
      </c>
      <c r="C1260" s="2">
        <f t="shared" si="114"/>
        <v>2.3713000000000002</v>
      </c>
      <c r="D1260" s="2">
        <f t="shared" si="115"/>
        <v>346921</v>
      </c>
      <c r="E1260" s="2">
        <f t="shared" si="116"/>
        <v>204336469</v>
      </c>
      <c r="F1260" s="2">
        <f t="shared" si="117"/>
        <v>120354180241</v>
      </c>
      <c r="G1260" s="2">
        <f t="shared" si="118"/>
        <v>1396.6957000000002</v>
      </c>
      <c r="H1260" s="2">
        <f t="shared" si="119"/>
        <v>822653.76730000007</v>
      </c>
    </row>
    <row r="1261" spans="1:8" x14ac:dyDescent="0.35">
      <c r="A1261" s="2">
        <v>589</v>
      </c>
      <c r="B1261" s="2">
        <v>33520</v>
      </c>
      <c r="C1261" s="2">
        <f t="shared" si="114"/>
        <v>3.3519999999999999</v>
      </c>
      <c r="D1261" s="2">
        <f t="shared" si="115"/>
        <v>346921</v>
      </c>
      <c r="E1261" s="2">
        <f t="shared" si="116"/>
        <v>204336469</v>
      </c>
      <c r="F1261" s="2">
        <f t="shared" si="117"/>
        <v>120354180241</v>
      </c>
      <c r="G1261" s="2">
        <f t="shared" si="118"/>
        <v>1974.328</v>
      </c>
      <c r="H1261" s="2">
        <f t="shared" si="119"/>
        <v>1162879.192</v>
      </c>
    </row>
    <row r="1262" spans="1:8" x14ac:dyDescent="0.35">
      <c r="A1262" s="2">
        <v>589</v>
      </c>
      <c r="B1262" s="2">
        <v>23696</v>
      </c>
      <c r="C1262" s="2">
        <f t="shared" si="114"/>
        <v>2.3696000000000002</v>
      </c>
      <c r="D1262" s="2">
        <f t="shared" si="115"/>
        <v>346921</v>
      </c>
      <c r="E1262" s="2">
        <f t="shared" si="116"/>
        <v>204336469</v>
      </c>
      <c r="F1262" s="2">
        <f t="shared" si="117"/>
        <v>120354180241</v>
      </c>
      <c r="G1262" s="2">
        <f t="shared" si="118"/>
        <v>1395.6944000000001</v>
      </c>
      <c r="H1262" s="2">
        <f t="shared" si="119"/>
        <v>822064.00160000008</v>
      </c>
    </row>
    <row r="1263" spans="1:8" x14ac:dyDescent="0.35">
      <c r="A1263" s="2">
        <v>589</v>
      </c>
      <c r="B1263" s="2">
        <v>30702</v>
      </c>
      <c r="C1263" s="2">
        <f t="shared" si="114"/>
        <v>3.0701999999999998</v>
      </c>
      <c r="D1263" s="2">
        <f t="shared" si="115"/>
        <v>346921</v>
      </c>
      <c r="E1263" s="2">
        <f t="shared" si="116"/>
        <v>204336469</v>
      </c>
      <c r="F1263" s="2">
        <f t="shared" si="117"/>
        <v>120354180241</v>
      </c>
      <c r="G1263" s="2">
        <f t="shared" si="118"/>
        <v>1808.3478</v>
      </c>
      <c r="H1263" s="2">
        <f t="shared" si="119"/>
        <v>1065116.8541999999</v>
      </c>
    </row>
    <row r="1264" spans="1:8" x14ac:dyDescent="0.35">
      <c r="A1264" s="2">
        <v>589</v>
      </c>
      <c r="B1264" s="2">
        <v>26519</v>
      </c>
      <c r="C1264" s="2">
        <f t="shared" si="114"/>
        <v>2.6518999999999999</v>
      </c>
      <c r="D1264" s="2">
        <f t="shared" si="115"/>
        <v>346921</v>
      </c>
      <c r="E1264" s="2">
        <f t="shared" si="116"/>
        <v>204336469</v>
      </c>
      <c r="F1264" s="2">
        <f t="shared" si="117"/>
        <v>120354180241</v>
      </c>
      <c r="G1264" s="2">
        <f t="shared" si="118"/>
        <v>1561.9691</v>
      </c>
      <c r="H1264" s="2">
        <f t="shared" si="119"/>
        <v>919999.79989999998</v>
      </c>
    </row>
    <row r="1265" spans="1:8" x14ac:dyDescent="0.35">
      <c r="A1265" s="2">
        <v>589</v>
      </c>
      <c r="B1265" s="2">
        <v>31308</v>
      </c>
      <c r="C1265" s="2">
        <f t="shared" si="114"/>
        <v>3.1307999999999998</v>
      </c>
      <c r="D1265" s="2">
        <f t="shared" si="115"/>
        <v>346921</v>
      </c>
      <c r="E1265" s="2">
        <f t="shared" si="116"/>
        <v>204336469</v>
      </c>
      <c r="F1265" s="2">
        <f t="shared" si="117"/>
        <v>120354180241</v>
      </c>
      <c r="G1265" s="2">
        <f t="shared" si="118"/>
        <v>1844.0411999999999</v>
      </c>
      <c r="H1265" s="2">
        <f t="shared" si="119"/>
        <v>1086140.2667999999</v>
      </c>
    </row>
    <row r="1266" spans="1:8" x14ac:dyDescent="0.35">
      <c r="A1266" s="2">
        <v>589</v>
      </c>
      <c r="B1266" s="2">
        <v>31606</v>
      </c>
      <c r="C1266" s="2">
        <f t="shared" si="114"/>
        <v>3.1606000000000001</v>
      </c>
      <c r="D1266" s="2">
        <f t="shared" si="115"/>
        <v>346921</v>
      </c>
      <c r="E1266" s="2">
        <f t="shared" si="116"/>
        <v>204336469</v>
      </c>
      <c r="F1266" s="2">
        <f t="shared" si="117"/>
        <v>120354180241</v>
      </c>
      <c r="G1266" s="2">
        <f t="shared" si="118"/>
        <v>1861.5934</v>
      </c>
      <c r="H1266" s="2">
        <f t="shared" si="119"/>
        <v>1096478.5126</v>
      </c>
    </row>
    <row r="1267" spans="1:8" x14ac:dyDescent="0.35">
      <c r="A1267" s="2">
        <v>589</v>
      </c>
      <c r="B1267" s="2">
        <v>22508</v>
      </c>
      <c r="C1267" s="2">
        <f t="shared" si="114"/>
        <v>2.2507999999999999</v>
      </c>
      <c r="D1267" s="2">
        <f t="shared" si="115"/>
        <v>346921</v>
      </c>
      <c r="E1267" s="2">
        <f t="shared" si="116"/>
        <v>204336469</v>
      </c>
      <c r="F1267" s="2">
        <f t="shared" si="117"/>
        <v>120354180241</v>
      </c>
      <c r="G1267" s="2">
        <f t="shared" si="118"/>
        <v>1325.7212</v>
      </c>
      <c r="H1267" s="2">
        <f t="shared" si="119"/>
        <v>780849.7868</v>
      </c>
    </row>
    <row r="1268" spans="1:8" x14ac:dyDescent="0.35">
      <c r="A1268" s="2">
        <v>589</v>
      </c>
      <c r="B1268" s="2">
        <v>33286</v>
      </c>
      <c r="C1268" s="2">
        <f t="shared" si="114"/>
        <v>3.3285999999999998</v>
      </c>
      <c r="D1268" s="2">
        <f t="shared" si="115"/>
        <v>346921</v>
      </c>
      <c r="E1268" s="2">
        <f t="shared" si="116"/>
        <v>204336469</v>
      </c>
      <c r="F1268" s="2">
        <f t="shared" si="117"/>
        <v>120354180241</v>
      </c>
      <c r="G1268" s="2">
        <f t="shared" si="118"/>
        <v>1960.5454</v>
      </c>
      <c r="H1268" s="2">
        <f t="shared" si="119"/>
        <v>1154761.2405999999</v>
      </c>
    </row>
    <row r="1269" spans="1:8" x14ac:dyDescent="0.35">
      <c r="A1269" s="2">
        <v>589</v>
      </c>
      <c r="B1269" s="2">
        <v>27031</v>
      </c>
      <c r="C1269" s="2">
        <f t="shared" si="114"/>
        <v>2.7031000000000001</v>
      </c>
      <c r="D1269" s="2">
        <f t="shared" si="115"/>
        <v>346921</v>
      </c>
      <c r="E1269" s="2">
        <f t="shared" si="116"/>
        <v>204336469</v>
      </c>
      <c r="F1269" s="2">
        <f t="shared" si="117"/>
        <v>120354180241</v>
      </c>
      <c r="G1269" s="2">
        <f t="shared" si="118"/>
        <v>1592.1259</v>
      </c>
      <c r="H1269" s="2">
        <f t="shared" si="119"/>
        <v>937762.15509999997</v>
      </c>
    </row>
    <row r="1270" spans="1:8" x14ac:dyDescent="0.35">
      <c r="A1270" s="2">
        <v>589</v>
      </c>
      <c r="B1270" s="2">
        <v>33158</v>
      </c>
      <c r="C1270" s="2">
        <f t="shared" si="114"/>
        <v>3.3157999999999999</v>
      </c>
      <c r="D1270" s="2">
        <f t="shared" si="115"/>
        <v>346921</v>
      </c>
      <c r="E1270" s="2">
        <f t="shared" si="116"/>
        <v>204336469</v>
      </c>
      <c r="F1270" s="2">
        <f t="shared" si="117"/>
        <v>120354180241</v>
      </c>
      <c r="G1270" s="2">
        <f t="shared" si="118"/>
        <v>1953.0061999999998</v>
      </c>
      <c r="H1270" s="2">
        <f t="shared" si="119"/>
        <v>1150320.6517999999</v>
      </c>
    </row>
    <row r="1271" spans="1:8" x14ac:dyDescent="0.35">
      <c r="A1271" s="2">
        <v>589</v>
      </c>
      <c r="B1271" s="2">
        <v>34932</v>
      </c>
      <c r="C1271" s="2">
        <f t="shared" si="114"/>
        <v>3.4931999999999999</v>
      </c>
      <c r="D1271" s="2">
        <f t="shared" si="115"/>
        <v>346921</v>
      </c>
      <c r="E1271" s="2">
        <f t="shared" si="116"/>
        <v>204336469</v>
      </c>
      <c r="F1271" s="2">
        <f t="shared" si="117"/>
        <v>120354180241</v>
      </c>
      <c r="G1271" s="2">
        <f t="shared" si="118"/>
        <v>2057.4947999999999</v>
      </c>
      <c r="H1271" s="2">
        <f t="shared" si="119"/>
        <v>1211864.4372</v>
      </c>
    </row>
    <row r="1272" spans="1:8" x14ac:dyDescent="0.35">
      <c r="A1272" s="2">
        <v>589</v>
      </c>
      <c r="B1272" s="2">
        <v>32950</v>
      </c>
      <c r="C1272" s="2">
        <f t="shared" si="114"/>
        <v>3.2949999999999999</v>
      </c>
      <c r="D1272" s="2">
        <f t="shared" si="115"/>
        <v>346921</v>
      </c>
      <c r="E1272" s="2">
        <f t="shared" si="116"/>
        <v>204336469</v>
      </c>
      <c r="F1272" s="2">
        <f t="shared" si="117"/>
        <v>120354180241</v>
      </c>
      <c r="G1272" s="2">
        <f t="shared" si="118"/>
        <v>1940.7549999999999</v>
      </c>
      <c r="H1272" s="2">
        <f t="shared" si="119"/>
        <v>1143104.6950000001</v>
      </c>
    </row>
    <row r="1273" spans="1:8" x14ac:dyDescent="0.35">
      <c r="A1273" s="2">
        <v>589</v>
      </c>
      <c r="B1273" s="2">
        <v>46448</v>
      </c>
      <c r="C1273" s="2">
        <f t="shared" si="114"/>
        <v>4.6448</v>
      </c>
      <c r="D1273" s="2">
        <f t="shared" si="115"/>
        <v>346921</v>
      </c>
      <c r="E1273" s="2">
        <f t="shared" si="116"/>
        <v>204336469</v>
      </c>
      <c r="F1273" s="2">
        <f t="shared" si="117"/>
        <v>120354180241</v>
      </c>
      <c r="G1273" s="2">
        <f t="shared" si="118"/>
        <v>2735.7872000000002</v>
      </c>
      <c r="H1273" s="2">
        <f t="shared" si="119"/>
        <v>1611378.6608</v>
      </c>
    </row>
    <row r="1274" spans="1:8" x14ac:dyDescent="0.35">
      <c r="A1274" s="2">
        <v>589</v>
      </c>
      <c r="B1274" s="2">
        <v>34097</v>
      </c>
      <c r="C1274" s="2">
        <f t="shared" si="114"/>
        <v>3.4097</v>
      </c>
      <c r="D1274" s="2">
        <f t="shared" si="115"/>
        <v>346921</v>
      </c>
      <c r="E1274" s="2">
        <f t="shared" si="116"/>
        <v>204336469</v>
      </c>
      <c r="F1274" s="2">
        <f t="shared" si="117"/>
        <v>120354180241</v>
      </c>
      <c r="G1274" s="2">
        <f t="shared" si="118"/>
        <v>2008.3133</v>
      </c>
      <c r="H1274" s="2">
        <f t="shared" si="119"/>
        <v>1182896.5337</v>
      </c>
    </row>
    <row r="1275" spans="1:8" x14ac:dyDescent="0.35">
      <c r="A1275" s="2">
        <v>589</v>
      </c>
      <c r="B1275" s="2">
        <v>35426</v>
      </c>
      <c r="C1275" s="2">
        <f t="shared" si="114"/>
        <v>3.5426000000000002</v>
      </c>
      <c r="D1275" s="2">
        <f t="shared" si="115"/>
        <v>346921</v>
      </c>
      <c r="E1275" s="2">
        <f t="shared" si="116"/>
        <v>204336469</v>
      </c>
      <c r="F1275" s="2">
        <f t="shared" si="117"/>
        <v>120354180241</v>
      </c>
      <c r="G1275" s="2">
        <f t="shared" si="118"/>
        <v>2086.5914000000002</v>
      </c>
      <c r="H1275" s="2">
        <f t="shared" si="119"/>
        <v>1229002.3346000002</v>
      </c>
    </row>
    <row r="1276" spans="1:8" x14ac:dyDescent="0.35">
      <c r="A1276" s="2">
        <v>589</v>
      </c>
      <c r="B1276" s="2">
        <v>32342</v>
      </c>
      <c r="C1276" s="2">
        <f t="shared" si="114"/>
        <v>3.2342</v>
      </c>
      <c r="D1276" s="2">
        <f t="shared" si="115"/>
        <v>346921</v>
      </c>
      <c r="E1276" s="2">
        <f t="shared" si="116"/>
        <v>204336469</v>
      </c>
      <c r="F1276" s="2">
        <f t="shared" si="117"/>
        <v>120354180241</v>
      </c>
      <c r="G1276" s="2">
        <f t="shared" si="118"/>
        <v>1904.9438</v>
      </c>
      <c r="H1276" s="2">
        <f t="shared" si="119"/>
        <v>1122011.8981999999</v>
      </c>
    </row>
    <row r="1277" spans="1:8" x14ac:dyDescent="0.35">
      <c r="A1277" s="2">
        <v>589</v>
      </c>
      <c r="B1277" s="2">
        <v>37891</v>
      </c>
      <c r="C1277" s="2">
        <f t="shared" si="114"/>
        <v>3.7890999999999999</v>
      </c>
      <c r="D1277" s="2">
        <f t="shared" si="115"/>
        <v>346921</v>
      </c>
      <c r="E1277" s="2">
        <f t="shared" si="116"/>
        <v>204336469</v>
      </c>
      <c r="F1277" s="2">
        <f t="shared" si="117"/>
        <v>120354180241</v>
      </c>
      <c r="G1277" s="2">
        <f t="shared" si="118"/>
        <v>2231.7799</v>
      </c>
      <c r="H1277" s="2">
        <f t="shared" si="119"/>
        <v>1314518.3610999999</v>
      </c>
    </row>
    <row r="1278" spans="1:8" x14ac:dyDescent="0.35">
      <c r="A1278" s="2">
        <v>589</v>
      </c>
      <c r="B1278" s="2">
        <v>39404</v>
      </c>
      <c r="C1278" s="2">
        <f t="shared" si="114"/>
        <v>3.9403999999999999</v>
      </c>
      <c r="D1278" s="2">
        <f t="shared" si="115"/>
        <v>346921</v>
      </c>
      <c r="E1278" s="2">
        <f t="shared" si="116"/>
        <v>204336469</v>
      </c>
      <c r="F1278" s="2">
        <f t="shared" si="117"/>
        <v>120354180241</v>
      </c>
      <c r="G1278" s="2">
        <f t="shared" si="118"/>
        <v>2320.8955999999998</v>
      </c>
      <c r="H1278" s="2">
        <f t="shared" si="119"/>
        <v>1367007.5083999999</v>
      </c>
    </row>
    <row r="1279" spans="1:8" x14ac:dyDescent="0.35">
      <c r="A1279" s="2">
        <v>589</v>
      </c>
      <c r="B1279" s="2">
        <v>43223</v>
      </c>
      <c r="C1279" s="2">
        <f t="shared" si="114"/>
        <v>4.3223000000000003</v>
      </c>
      <c r="D1279" s="2">
        <f t="shared" si="115"/>
        <v>346921</v>
      </c>
      <c r="E1279" s="2">
        <f t="shared" si="116"/>
        <v>204336469</v>
      </c>
      <c r="F1279" s="2">
        <f t="shared" si="117"/>
        <v>120354180241</v>
      </c>
      <c r="G1279" s="2">
        <f t="shared" si="118"/>
        <v>2545.8347000000003</v>
      </c>
      <c r="H1279" s="2">
        <f t="shared" si="119"/>
        <v>1499496.6383</v>
      </c>
    </row>
    <row r="1280" spans="1:8" x14ac:dyDescent="0.35">
      <c r="A1280" s="2">
        <v>589</v>
      </c>
      <c r="B1280" s="2">
        <v>29465</v>
      </c>
      <c r="C1280" s="2">
        <f t="shared" si="114"/>
        <v>2.9464999999999999</v>
      </c>
      <c r="D1280" s="2">
        <f t="shared" si="115"/>
        <v>346921</v>
      </c>
      <c r="E1280" s="2">
        <f t="shared" si="116"/>
        <v>204336469</v>
      </c>
      <c r="F1280" s="2">
        <f t="shared" si="117"/>
        <v>120354180241</v>
      </c>
      <c r="G1280" s="2">
        <f t="shared" si="118"/>
        <v>1735.4884999999999</v>
      </c>
      <c r="H1280" s="2">
        <f t="shared" si="119"/>
        <v>1022202.7265</v>
      </c>
    </row>
    <row r="1281" spans="1:8" x14ac:dyDescent="0.35">
      <c r="A1281" s="2">
        <v>589</v>
      </c>
      <c r="B1281" s="2">
        <v>32411</v>
      </c>
      <c r="C1281" s="2">
        <f t="shared" si="114"/>
        <v>3.2410999999999999</v>
      </c>
      <c r="D1281" s="2">
        <f t="shared" si="115"/>
        <v>346921</v>
      </c>
      <c r="E1281" s="2">
        <f t="shared" si="116"/>
        <v>204336469</v>
      </c>
      <c r="F1281" s="2">
        <f t="shared" si="117"/>
        <v>120354180241</v>
      </c>
      <c r="G1281" s="2">
        <f t="shared" si="118"/>
        <v>1909.0078999999998</v>
      </c>
      <c r="H1281" s="2">
        <f t="shared" si="119"/>
        <v>1124405.6531</v>
      </c>
    </row>
    <row r="1282" spans="1:8" x14ac:dyDescent="0.35">
      <c r="A1282" s="2">
        <v>589</v>
      </c>
      <c r="B1282" s="2">
        <v>38074</v>
      </c>
      <c r="C1282" s="2">
        <f t="shared" si="114"/>
        <v>3.8073999999999999</v>
      </c>
      <c r="D1282" s="2">
        <f t="shared" si="115"/>
        <v>346921</v>
      </c>
      <c r="E1282" s="2">
        <f t="shared" si="116"/>
        <v>204336469</v>
      </c>
      <c r="F1282" s="2">
        <f t="shared" si="117"/>
        <v>120354180241</v>
      </c>
      <c r="G1282" s="2">
        <f t="shared" si="118"/>
        <v>2242.5585999999998</v>
      </c>
      <c r="H1282" s="2">
        <f t="shared" si="119"/>
        <v>1320867.0153999999</v>
      </c>
    </row>
    <row r="1283" spans="1:8" x14ac:dyDescent="0.35">
      <c r="A1283" s="2">
        <v>589</v>
      </c>
      <c r="B1283" s="2">
        <v>32727</v>
      </c>
      <c r="C1283" s="2">
        <f t="shared" ref="C1283:C1346" si="120">B1283/10000</f>
        <v>3.2726999999999999</v>
      </c>
      <c r="D1283" s="2">
        <f t="shared" ref="D1283:D1346" si="121">A1283^2</f>
        <v>346921</v>
      </c>
      <c r="E1283" s="2">
        <f t="shared" ref="E1283:E1346" si="122">A1283^3</f>
        <v>204336469</v>
      </c>
      <c r="F1283" s="2">
        <f t="shared" ref="F1283:F1346" si="123">A1283^4</f>
        <v>120354180241</v>
      </c>
      <c r="G1283" s="2">
        <f t="shared" ref="G1283:G1346" si="124">A1283*C1283</f>
        <v>1927.6203</v>
      </c>
      <c r="H1283" s="2">
        <f t="shared" ref="H1283:H1346" si="125">D1283*C1283</f>
        <v>1135368.3566999999</v>
      </c>
    </row>
    <row r="1284" spans="1:8" x14ac:dyDescent="0.35">
      <c r="A1284" s="2">
        <v>589</v>
      </c>
      <c r="B1284" s="2">
        <v>32958</v>
      </c>
      <c r="C1284" s="2">
        <f t="shared" si="120"/>
        <v>3.2957999999999998</v>
      </c>
      <c r="D1284" s="2">
        <f t="shared" si="121"/>
        <v>346921</v>
      </c>
      <c r="E1284" s="2">
        <f t="shared" si="122"/>
        <v>204336469</v>
      </c>
      <c r="F1284" s="2">
        <f t="shared" si="123"/>
        <v>120354180241</v>
      </c>
      <c r="G1284" s="2">
        <f t="shared" si="124"/>
        <v>1941.2261999999998</v>
      </c>
      <c r="H1284" s="2">
        <f t="shared" si="125"/>
        <v>1143382.2318</v>
      </c>
    </row>
    <row r="1285" spans="1:8" x14ac:dyDescent="0.35">
      <c r="A1285" s="2">
        <v>589</v>
      </c>
      <c r="B1285" s="2">
        <v>33578</v>
      </c>
      <c r="C1285" s="2">
        <f t="shared" si="120"/>
        <v>3.3578000000000001</v>
      </c>
      <c r="D1285" s="2">
        <f t="shared" si="121"/>
        <v>346921</v>
      </c>
      <c r="E1285" s="2">
        <f t="shared" si="122"/>
        <v>204336469</v>
      </c>
      <c r="F1285" s="2">
        <f t="shared" si="123"/>
        <v>120354180241</v>
      </c>
      <c r="G1285" s="2">
        <f t="shared" si="124"/>
        <v>1977.7442000000001</v>
      </c>
      <c r="H1285" s="2">
        <f t="shared" si="125"/>
        <v>1164891.3338000001</v>
      </c>
    </row>
    <row r="1286" spans="1:8" x14ac:dyDescent="0.35">
      <c r="A1286" s="2">
        <v>589</v>
      </c>
      <c r="B1286" s="2">
        <v>34518</v>
      </c>
      <c r="C1286" s="2">
        <f t="shared" si="120"/>
        <v>3.4518</v>
      </c>
      <c r="D1286" s="2">
        <f t="shared" si="121"/>
        <v>346921</v>
      </c>
      <c r="E1286" s="2">
        <f t="shared" si="122"/>
        <v>204336469</v>
      </c>
      <c r="F1286" s="2">
        <f t="shared" si="123"/>
        <v>120354180241</v>
      </c>
      <c r="G1286" s="2">
        <f t="shared" si="124"/>
        <v>2033.1102000000001</v>
      </c>
      <c r="H1286" s="2">
        <f t="shared" si="125"/>
        <v>1197501.9077999999</v>
      </c>
    </row>
    <row r="1287" spans="1:8" x14ac:dyDescent="0.35">
      <c r="A1287" s="2">
        <v>1940</v>
      </c>
      <c r="B1287" s="2">
        <v>23292</v>
      </c>
      <c r="C1287" s="2">
        <f t="shared" si="120"/>
        <v>2.3292000000000002</v>
      </c>
      <c r="D1287" s="2">
        <f t="shared" si="121"/>
        <v>3763600</v>
      </c>
      <c r="E1287" s="2">
        <f t="shared" si="122"/>
        <v>7301384000</v>
      </c>
      <c r="F1287" s="2">
        <f t="shared" si="123"/>
        <v>14164684960000</v>
      </c>
      <c r="G1287" s="2">
        <f t="shared" si="124"/>
        <v>4518.6480000000001</v>
      </c>
      <c r="H1287" s="2">
        <f t="shared" si="125"/>
        <v>8766177.120000001</v>
      </c>
    </row>
    <row r="1288" spans="1:8" x14ac:dyDescent="0.35">
      <c r="A1288" s="2">
        <v>1083</v>
      </c>
      <c r="B1288" s="2">
        <v>22052</v>
      </c>
      <c r="C1288" s="2">
        <f t="shared" si="120"/>
        <v>2.2052</v>
      </c>
      <c r="D1288" s="2">
        <f t="shared" si="121"/>
        <v>1172889</v>
      </c>
      <c r="E1288" s="2">
        <f t="shared" si="122"/>
        <v>1270238787</v>
      </c>
      <c r="F1288" s="2">
        <f t="shared" si="123"/>
        <v>1375668606321</v>
      </c>
      <c r="G1288" s="2">
        <f t="shared" si="124"/>
        <v>2388.2316000000001</v>
      </c>
      <c r="H1288" s="2">
        <f t="shared" si="125"/>
        <v>2586454.8228000002</v>
      </c>
    </row>
    <row r="1289" spans="1:8" x14ac:dyDescent="0.35">
      <c r="A1289" s="2">
        <v>1083</v>
      </c>
      <c r="B1289" s="2">
        <v>21991</v>
      </c>
      <c r="C1289" s="2">
        <f t="shared" si="120"/>
        <v>2.1991000000000001</v>
      </c>
      <c r="D1289" s="2">
        <f t="shared" si="121"/>
        <v>1172889</v>
      </c>
      <c r="E1289" s="2">
        <f t="shared" si="122"/>
        <v>1270238787</v>
      </c>
      <c r="F1289" s="2">
        <f t="shared" si="123"/>
        <v>1375668606321</v>
      </c>
      <c r="G1289" s="2">
        <f t="shared" si="124"/>
        <v>2381.6253000000002</v>
      </c>
      <c r="H1289" s="2">
        <f t="shared" si="125"/>
        <v>2579300.1998999999</v>
      </c>
    </row>
    <row r="1290" spans="1:8" x14ac:dyDescent="0.35">
      <c r="A1290" s="2">
        <v>1083</v>
      </c>
      <c r="B1290" s="2">
        <v>26160</v>
      </c>
      <c r="C1290" s="2">
        <f t="shared" si="120"/>
        <v>2.6160000000000001</v>
      </c>
      <c r="D1290" s="2">
        <f t="shared" si="121"/>
        <v>1172889</v>
      </c>
      <c r="E1290" s="2">
        <f t="shared" si="122"/>
        <v>1270238787</v>
      </c>
      <c r="F1290" s="2">
        <f t="shared" si="123"/>
        <v>1375668606321</v>
      </c>
      <c r="G1290" s="2">
        <f t="shared" si="124"/>
        <v>2833.1280000000002</v>
      </c>
      <c r="H1290" s="2">
        <f t="shared" si="125"/>
        <v>3068277.6240000003</v>
      </c>
    </row>
    <row r="1291" spans="1:8" x14ac:dyDescent="0.35">
      <c r="A1291" s="2">
        <v>1083</v>
      </c>
      <c r="B1291" s="2">
        <v>26125</v>
      </c>
      <c r="C1291" s="2">
        <f t="shared" si="120"/>
        <v>2.6124999999999998</v>
      </c>
      <c r="D1291" s="2">
        <f t="shared" si="121"/>
        <v>1172889</v>
      </c>
      <c r="E1291" s="2">
        <f t="shared" si="122"/>
        <v>1270238787</v>
      </c>
      <c r="F1291" s="2">
        <f t="shared" si="123"/>
        <v>1375668606321</v>
      </c>
      <c r="G1291" s="2">
        <f t="shared" si="124"/>
        <v>2829.3374999999996</v>
      </c>
      <c r="H1291" s="2">
        <f t="shared" si="125"/>
        <v>3064172.5124999997</v>
      </c>
    </row>
    <row r="1292" spans="1:8" x14ac:dyDescent="0.35">
      <c r="A1292" s="2">
        <v>1083</v>
      </c>
      <c r="B1292" s="2">
        <v>26271</v>
      </c>
      <c r="C1292" s="2">
        <f t="shared" si="120"/>
        <v>2.6271</v>
      </c>
      <c r="D1292" s="2">
        <f t="shared" si="121"/>
        <v>1172889</v>
      </c>
      <c r="E1292" s="2">
        <f t="shared" si="122"/>
        <v>1270238787</v>
      </c>
      <c r="F1292" s="2">
        <f t="shared" si="123"/>
        <v>1375668606321</v>
      </c>
      <c r="G1292" s="2">
        <f t="shared" si="124"/>
        <v>2845.1493</v>
      </c>
      <c r="H1292" s="2">
        <f t="shared" si="125"/>
        <v>3081296.6919</v>
      </c>
    </row>
    <row r="1293" spans="1:8" x14ac:dyDescent="0.35">
      <c r="A1293" s="2">
        <v>1083</v>
      </c>
      <c r="B1293" s="2">
        <v>26092</v>
      </c>
      <c r="C1293" s="2">
        <f t="shared" si="120"/>
        <v>2.6092</v>
      </c>
      <c r="D1293" s="2">
        <f t="shared" si="121"/>
        <v>1172889</v>
      </c>
      <c r="E1293" s="2">
        <f t="shared" si="122"/>
        <v>1270238787</v>
      </c>
      <c r="F1293" s="2">
        <f t="shared" si="123"/>
        <v>1375668606321</v>
      </c>
      <c r="G1293" s="2">
        <f t="shared" si="124"/>
        <v>2825.7635999999998</v>
      </c>
      <c r="H1293" s="2">
        <f t="shared" si="125"/>
        <v>3060301.9788000002</v>
      </c>
    </row>
    <row r="1294" spans="1:8" x14ac:dyDescent="0.35">
      <c r="A1294" s="2">
        <v>1083</v>
      </c>
      <c r="B1294" s="2">
        <v>28303</v>
      </c>
      <c r="C1294" s="2">
        <f t="shared" si="120"/>
        <v>2.8302999999999998</v>
      </c>
      <c r="D1294" s="2">
        <f t="shared" si="121"/>
        <v>1172889</v>
      </c>
      <c r="E1294" s="2">
        <f t="shared" si="122"/>
        <v>1270238787</v>
      </c>
      <c r="F1294" s="2">
        <f t="shared" si="123"/>
        <v>1375668606321</v>
      </c>
      <c r="G1294" s="2">
        <f t="shared" si="124"/>
        <v>3065.2148999999999</v>
      </c>
      <c r="H1294" s="2">
        <f t="shared" si="125"/>
        <v>3319627.7366999998</v>
      </c>
    </row>
    <row r="1295" spans="1:8" x14ac:dyDescent="0.35">
      <c r="A1295" s="2">
        <v>1083</v>
      </c>
      <c r="B1295" s="2">
        <v>28645</v>
      </c>
      <c r="C1295" s="2">
        <f t="shared" si="120"/>
        <v>2.8645</v>
      </c>
      <c r="D1295" s="2">
        <f t="shared" si="121"/>
        <v>1172889</v>
      </c>
      <c r="E1295" s="2">
        <f t="shared" si="122"/>
        <v>1270238787</v>
      </c>
      <c r="F1295" s="2">
        <f t="shared" si="123"/>
        <v>1375668606321</v>
      </c>
      <c r="G1295" s="2">
        <f t="shared" si="124"/>
        <v>3102.2535000000003</v>
      </c>
      <c r="H1295" s="2">
        <f t="shared" si="125"/>
        <v>3359740.5405000001</v>
      </c>
    </row>
    <row r="1296" spans="1:8" x14ac:dyDescent="0.35">
      <c r="A1296" s="2">
        <v>1083</v>
      </c>
      <c r="B1296" s="2">
        <v>26972</v>
      </c>
      <c r="C1296" s="2">
        <f t="shared" si="120"/>
        <v>2.6972</v>
      </c>
      <c r="D1296" s="2">
        <f t="shared" si="121"/>
        <v>1172889</v>
      </c>
      <c r="E1296" s="2">
        <f t="shared" si="122"/>
        <v>1270238787</v>
      </c>
      <c r="F1296" s="2">
        <f t="shared" si="123"/>
        <v>1375668606321</v>
      </c>
      <c r="G1296" s="2">
        <f t="shared" si="124"/>
        <v>2921.0675999999999</v>
      </c>
      <c r="H1296" s="2">
        <f t="shared" si="125"/>
        <v>3163516.2108</v>
      </c>
    </row>
    <row r="1297" spans="1:8" x14ac:dyDescent="0.35">
      <c r="A1297" s="2">
        <v>1083</v>
      </c>
      <c r="B1297" s="2">
        <v>28226</v>
      </c>
      <c r="C1297" s="2">
        <f t="shared" si="120"/>
        <v>2.8226</v>
      </c>
      <c r="D1297" s="2">
        <f t="shared" si="121"/>
        <v>1172889</v>
      </c>
      <c r="E1297" s="2">
        <f t="shared" si="122"/>
        <v>1270238787</v>
      </c>
      <c r="F1297" s="2">
        <f t="shared" si="123"/>
        <v>1375668606321</v>
      </c>
      <c r="G1297" s="2">
        <f t="shared" si="124"/>
        <v>3056.8757999999998</v>
      </c>
      <c r="H1297" s="2">
        <f t="shared" si="125"/>
        <v>3310596.4914000002</v>
      </c>
    </row>
    <row r="1298" spans="1:8" x14ac:dyDescent="0.35">
      <c r="A1298" s="2">
        <v>1083</v>
      </c>
      <c r="B1298" s="2">
        <v>28457</v>
      </c>
      <c r="C1298" s="2">
        <f t="shared" si="120"/>
        <v>2.8456999999999999</v>
      </c>
      <c r="D1298" s="2">
        <f t="shared" si="121"/>
        <v>1172889</v>
      </c>
      <c r="E1298" s="2">
        <f t="shared" si="122"/>
        <v>1270238787</v>
      </c>
      <c r="F1298" s="2">
        <f t="shared" si="123"/>
        <v>1375668606321</v>
      </c>
      <c r="G1298" s="2">
        <f t="shared" si="124"/>
        <v>3081.8930999999998</v>
      </c>
      <c r="H1298" s="2">
        <f t="shared" si="125"/>
        <v>3337690.2272999999</v>
      </c>
    </row>
    <row r="1299" spans="1:8" x14ac:dyDescent="0.35">
      <c r="A1299" s="2">
        <v>1083</v>
      </c>
      <c r="B1299" s="2">
        <v>28805</v>
      </c>
      <c r="C1299" s="2">
        <f t="shared" si="120"/>
        <v>2.8805000000000001</v>
      </c>
      <c r="D1299" s="2">
        <f t="shared" si="121"/>
        <v>1172889</v>
      </c>
      <c r="E1299" s="2">
        <f t="shared" si="122"/>
        <v>1270238787</v>
      </c>
      <c r="F1299" s="2">
        <f t="shared" si="123"/>
        <v>1375668606321</v>
      </c>
      <c r="G1299" s="2">
        <f t="shared" si="124"/>
        <v>3119.5815000000002</v>
      </c>
      <c r="H1299" s="2">
        <f t="shared" si="125"/>
        <v>3378506.7645</v>
      </c>
    </row>
    <row r="1300" spans="1:8" x14ac:dyDescent="0.35">
      <c r="A1300" s="2">
        <v>1083</v>
      </c>
      <c r="B1300" s="2">
        <v>29782</v>
      </c>
      <c r="C1300" s="2">
        <f t="shared" si="120"/>
        <v>2.9782000000000002</v>
      </c>
      <c r="D1300" s="2">
        <f t="shared" si="121"/>
        <v>1172889</v>
      </c>
      <c r="E1300" s="2">
        <f t="shared" si="122"/>
        <v>1270238787</v>
      </c>
      <c r="F1300" s="2">
        <f t="shared" si="123"/>
        <v>1375668606321</v>
      </c>
      <c r="G1300" s="2">
        <f t="shared" si="124"/>
        <v>3225.3906000000002</v>
      </c>
      <c r="H1300" s="2">
        <f t="shared" si="125"/>
        <v>3493098.0198000004</v>
      </c>
    </row>
    <row r="1301" spans="1:8" x14ac:dyDescent="0.35">
      <c r="A1301" s="2">
        <v>1083</v>
      </c>
      <c r="B1301" s="2">
        <v>28508</v>
      </c>
      <c r="C1301" s="2">
        <f t="shared" si="120"/>
        <v>2.8508</v>
      </c>
      <c r="D1301" s="2">
        <f t="shared" si="121"/>
        <v>1172889</v>
      </c>
      <c r="E1301" s="2">
        <f t="shared" si="122"/>
        <v>1270238787</v>
      </c>
      <c r="F1301" s="2">
        <f t="shared" si="123"/>
        <v>1375668606321</v>
      </c>
      <c r="G1301" s="2">
        <f t="shared" si="124"/>
        <v>3087.4164000000001</v>
      </c>
      <c r="H1301" s="2">
        <f t="shared" si="125"/>
        <v>3343671.9611999998</v>
      </c>
    </row>
    <row r="1302" spans="1:8" x14ac:dyDescent="0.35">
      <c r="A1302" s="2">
        <v>1083</v>
      </c>
      <c r="B1302" s="2">
        <v>31158</v>
      </c>
      <c r="C1302" s="2">
        <f t="shared" si="120"/>
        <v>3.1158000000000001</v>
      </c>
      <c r="D1302" s="2">
        <f t="shared" si="121"/>
        <v>1172889</v>
      </c>
      <c r="E1302" s="2">
        <f t="shared" si="122"/>
        <v>1270238787</v>
      </c>
      <c r="F1302" s="2">
        <f t="shared" si="123"/>
        <v>1375668606321</v>
      </c>
      <c r="G1302" s="2">
        <f t="shared" si="124"/>
        <v>3374.4114</v>
      </c>
      <c r="H1302" s="2">
        <f t="shared" si="125"/>
        <v>3654487.5462000002</v>
      </c>
    </row>
    <row r="1303" spans="1:8" x14ac:dyDescent="0.35">
      <c r="A1303" s="2">
        <v>1083</v>
      </c>
      <c r="B1303" s="2">
        <v>26163</v>
      </c>
      <c r="C1303" s="2">
        <f t="shared" si="120"/>
        <v>2.6162999999999998</v>
      </c>
      <c r="D1303" s="2">
        <f t="shared" si="121"/>
        <v>1172889</v>
      </c>
      <c r="E1303" s="2">
        <f t="shared" si="122"/>
        <v>1270238787</v>
      </c>
      <c r="F1303" s="2">
        <f t="shared" si="123"/>
        <v>1375668606321</v>
      </c>
      <c r="G1303" s="2">
        <f t="shared" si="124"/>
        <v>2833.4528999999998</v>
      </c>
      <c r="H1303" s="2">
        <f t="shared" si="125"/>
        <v>3068629.4907</v>
      </c>
    </row>
    <row r="1304" spans="1:8" x14ac:dyDescent="0.35">
      <c r="A1304" s="2">
        <v>1083</v>
      </c>
      <c r="B1304" s="2">
        <v>29756</v>
      </c>
      <c r="C1304" s="2">
        <f t="shared" si="120"/>
        <v>2.9756</v>
      </c>
      <c r="D1304" s="2">
        <f t="shared" si="121"/>
        <v>1172889</v>
      </c>
      <c r="E1304" s="2">
        <f t="shared" si="122"/>
        <v>1270238787</v>
      </c>
      <c r="F1304" s="2">
        <f t="shared" si="123"/>
        <v>1375668606321</v>
      </c>
      <c r="G1304" s="2">
        <f t="shared" si="124"/>
        <v>3222.5747999999999</v>
      </c>
      <c r="H1304" s="2">
        <f t="shared" si="125"/>
        <v>3490048.5084000002</v>
      </c>
    </row>
    <row r="1305" spans="1:8" x14ac:dyDescent="0.35">
      <c r="A1305" s="2">
        <v>1083</v>
      </c>
      <c r="B1305" s="2">
        <v>31537</v>
      </c>
      <c r="C1305" s="2">
        <f t="shared" si="120"/>
        <v>3.1537000000000002</v>
      </c>
      <c r="D1305" s="2">
        <f t="shared" si="121"/>
        <v>1172889</v>
      </c>
      <c r="E1305" s="2">
        <f t="shared" si="122"/>
        <v>1270238787</v>
      </c>
      <c r="F1305" s="2">
        <f t="shared" si="123"/>
        <v>1375668606321</v>
      </c>
      <c r="G1305" s="2">
        <f t="shared" si="124"/>
        <v>3415.4571000000001</v>
      </c>
      <c r="H1305" s="2">
        <f t="shared" si="125"/>
        <v>3698940.0393000003</v>
      </c>
    </row>
    <row r="1306" spans="1:8" x14ac:dyDescent="0.35">
      <c r="A1306" s="2">
        <v>1083</v>
      </c>
      <c r="B1306" s="2">
        <v>31759</v>
      </c>
      <c r="C1306" s="2">
        <f t="shared" si="120"/>
        <v>3.1758999999999999</v>
      </c>
      <c r="D1306" s="2">
        <f t="shared" si="121"/>
        <v>1172889</v>
      </c>
      <c r="E1306" s="2">
        <f t="shared" si="122"/>
        <v>1270238787</v>
      </c>
      <c r="F1306" s="2">
        <f t="shared" si="123"/>
        <v>1375668606321</v>
      </c>
      <c r="G1306" s="2">
        <f t="shared" si="124"/>
        <v>3439.4996999999998</v>
      </c>
      <c r="H1306" s="2">
        <f t="shared" si="125"/>
        <v>3724978.1751000001</v>
      </c>
    </row>
    <row r="1307" spans="1:8" x14ac:dyDescent="0.35">
      <c r="A1307" s="2">
        <v>1083</v>
      </c>
      <c r="B1307" s="2">
        <v>32924</v>
      </c>
      <c r="C1307" s="2">
        <f t="shared" si="120"/>
        <v>3.2924000000000002</v>
      </c>
      <c r="D1307" s="2">
        <f t="shared" si="121"/>
        <v>1172889</v>
      </c>
      <c r="E1307" s="2">
        <f t="shared" si="122"/>
        <v>1270238787</v>
      </c>
      <c r="F1307" s="2">
        <f t="shared" si="123"/>
        <v>1375668606321</v>
      </c>
      <c r="G1307" s="2">
        <f t="shared" si="124"/>
        <v>3565.6692000000003</v>
      </c>
      <c r="H1307" s="2">
        <f t="shared" si="125"/>
        <v>3861619.7436000002</v>
      </c>
    </row>
    <row r="1308" spans="1:8" x14ac:dyDescent="0.35">
      <c r="A1308" s="2">
        <v>1083</v>
      </c>
      <c r="B1308" s="2">
        <v>32509</v>
      </c>
      <c r="C1308" s="2">
        <f t="shared" si="120"/>
        <v>3.2509000000000001</v>
      </c>
      <c r="D1308" s="2">
        <f t="shared" si="121"/>
        <v>1172889</v>
      </c>
      <c r="E1308" s="2">
        <f t="shared" si="122"/>
        <v>1270238787</v>
      </c>
      <c r="F1308" s="2">
        <f t="shared" si="123"/>
        <v>1375668606321</v>
      </c>
      <c r="G1308" s="2">
        <f t="shared" si="124"/>
        <v>3520.7247000000002</v>
      </c>
      <c r="H1308" s="2">
        <f t="shared" si="125"/>
        <v>3812944.8500999999</v>
      </c>
    </row>
    <row r="1309" spans="1:8" x14ac:dyDescent="0.35">
      <c r="A1309" s="2">
        <v>1083</v>
      </c>
      <c r="B1309" s="2">
        <v>32366</v>
      </c>
      <c r="C1309" s="2">
        <f t="shared" si="120"/>
        <v>3.2366000000000001</v>
      </c>
      <c r="D1309" s="2">
        <f t="shared" si="121"/>
        <v>1172889</v>
      </c>
      <c r="E1309" s="2">
        <f t="shared" si="122"/>
        <v>1270238787</v>
      </c>
      <c r="F1309" s="2">
        <f t="shared" si="123"/>
        <v>1375668606321</v>
      </c>
      <c r="G1309" s="2">
        <f t="shared" si="124"/>
        <v>3505.2378000000003</v>
      </c>
      <c r="H1309" s="2">
        <f t="shared" si="125"/>
        <v>3796172.5374000003</v>
      </c>
    </row>
    <row r="1310" spans="1:8" x14ac:dyDescent="0.35">
      <c r="A1310" s="2">
        <v>1083</v>
      </c>
      <c r="B1310" s="2">
        <v>33587</v>
      </c>
      <c r="C1310" s="2">
        <f t="shared" si="120"/>
        <v>3.3586999999999998</v>
      </c>
      <c r="D1310" s="2">
        <f t="shared" si="121"/>
        <v>1172889</v>
      </c>
      <c r="E1310" s="2">
        <f t="shared" si="122"/>
        <v>1270238787</v>
      </c>
      <c r="F1310" s="2">
        <f t="shared" si="123"/>
        <v>1375668606321</v>
      </c>
      <c r="G1310" s="2">
        <f t="shared" si="124"/>
        <v>3637.4721</v>
      </c>
      <c r="H1310" s="2">
        <f t="shared" si="125"/>
        <v>3939382.2842999999</v>
      </c>
    </row>
    <row r="1311" spans="1:8" x14ac:dyDescent="0.35">
      <c r="A1311" s="2">
        <v>1083</v>
      </c>
      <c r="B1311" s="2">
        <v>35878</v>
      </c>
      <c r="C1311" s="2">
        <f t="shared" si="120"/>
        <v>3.5878000000000001</v>
      </c>
      <c r="D1311" s="2">
        <f t="shared" si="121"/>
        <v>1172889</v>
      </c>
      <c r="E1311" s="2">
        <f t="shared" si="122"/>
        <v>1270238787</v>
      </c>
      <c r="F1311" s="2">
        <f t="shared" si="123"/>
        <v>1375668606321</v>
      </c>
      <c r="G1311" s="2">
        <f t="shared" si="124"/>
        <v>3885.5873999999999</v>
      </c>
      <c r="H1311" s="2">
        <f t="shared" si="125"/>
        <v>4208091.1541999998</v>
      </c>
    </row>
    <row r="1312" spans="1:8" x14ac:dyDescent="0.35">
      <c r="A1312" s="2">
        <v>1083</v>
      </c>
      <c r="B1312" s="2">
        <v>36909</v>
      </c>
      <c r="C1312" s="2">
        <f t="shared" si="120"/>
        <v>3.6909000000000001</v>
      </c>
      <c r="D1312" s="2">
        <f t="shared" si="121"/>
        <v>1172889</v>
      </c>
      <c r="E1312" s="2">
        <f t="shared" si="122"/>
        <v>1270238787</v>
      </c>
      <c r="F1312" s="2">
        <f t="shared" si="123"/>
        <v>1375668606321</v>
      </c>
      <c r="G1312" s="2">
        <f t="shared" si="124"/>
        <v>3997.2447000000002</v>
      </c>
      <c r="H1312" s="2">
        <f t="shared" si="125"/>
        <v>4329016.0101000005</v>
      </c>
    </row>
    <row r="1313" spans="1:8" x14ac:dyDescent="0.35">
      <c r="A1313" s="2">
        <v>1083</v>
      </c>
      <c r="B1313" s="2">
        <v>36070</v>
      </c>
      <c r="C1313" s="2">
        <f t="shared" si="120"/>
        <v>3.6070000000000002</v>
      </c>
      <c r="D1313" s="2">
        <f t="shared" si="121"/>
        <v>1172889</v>
      </c>
      <c r="E1313" s="2">
        <f t="shared" si="122"/>
        <v>1270238787</v>
      </c>
      <c r="F1313" s="2">
        <f t="shared" si="123"/>
        <v>1375668606321</v>
      </c>
      <c r="G1313" s="2">
        <f t="shared" si="124"/>
        <v>3906.3810000000003</v>
      </c>
      <c r="H1313" s="2">
        <f t="shared" si="125"/>
        <v>4230610.6230000006</v>
      </c>
    </row>
    <row r="1314" spans="1:8" x14ac:dyDescent="0.35">
      <c r="A1314" s="2">
        <v>1083</v>
      </c>
      <c r="B1314" s="2">
        <v>35638</v>
      </c>
      <c r="C1314" s="2">
        <f t="shared" si="120"/>
        <v>3.5638000000000001</v>
      </c>
      <c r="D1314" s="2">
        <f t="shared" si="121"/>
        <v>1172889</v>
      </c>
      <c r="E1314" s="2">
        <f t="shared" si="122"/>
        <v>1270238787</v>
      </c>
      <c r="F1314" s="2">
        <f t="shared" si="123"/>
        <v>1375668606321</v>
      </c>
      <c r="G1314" s="2">
        <f t="shared" si="124"/>
        <v>3859.5954000000002</v>
      </c>
      <c r="H1314" s="2">
        <f t="shared" si="125"/>
        <v>4179941.8182000001</v>
      </c>
    </row>
    <row r="1315" spans="1:8" x14ac:dyDescent="0.35">
      <c r="A1315" s="2">
        <v>1083</v>
      </c>
      <c r="B1315" s="2">
        <v>36077</v>
      </c>
      <c r="C1315" s="2">
        <f t="shared" si="120"/>
        <v>3.6076999999999999</v>
      </c>
      <c r="D1315" s="2">
        <f t="shared" si="121"/>
        <v>1172889</v>
      </c>
      <c r="E1315" s="2">
        <f t="shared" si="122"/>
        <v>1270238787</v>
      </c>
      <c r="F1315" s="2">
        <f t="shared" si="123"/>
        <v>1375668606321</v>
      </c>
      <c r="G1315" s="2">
        <f t="shared" si="124"/>
        <v>3907.1390999999999</v>
      </c>
      <c r="H1315" s="2">
        <f t="shared" si="125"/>
        <v>4231431.6453</v>
      </c>
    </row>
    <row r="1316" spans="1:8" x14ac:dyDescent="0.35">
      <c r="A1316" s="2">
        <v>1083</v>
      </c>
      <c r="B1316" s="2">
        <v>36950</v>
      </c>
      <c r="C1316" s="2">
        <f t="shared" si="120"/>
        <v>3.6949999999999998</v>
      </c>
      <c r="D1316" s="2">
        <f t="shared" si="121"/>
        <v>1172889</v>
      </c>
      <c r="E1316" s="2">
        <f t="shared" si="122"/>
        <v>1270238787</v>
      </c>
      <c r="F1316" s="2">
        <f t="shared" si="123"/>
        <v>1375668606321</v>
      </c>
      <c r="G1316" s="2">
        <f t="shared" si="124"/>
        <v>4001.6849999999999</v>
      </c>
      <c r="H1316" s="2">
        <f t="shared" si="125"/>
        <v>4333824.8549999995</v>
      </c>
    </row>
    <row r="1317" spans="1:8" x14ac:dyDescent="0.35">
      <c r="A1317" s="2">
        <v>2702</v>
      </c>
      <c r="B1317" s="2">
        <v>39418</v>
      </c>
      <c r="C1317" s="2">
        <f t="shared" si="120"/>
        <v>3.9418000000000002</v>
      </c>
      <c r="D1317" s="2">
        <f t="shared" si="121"/>
        <v>7300804</v>
      </c>
      <c r="E1317" s="2">
        <f t="shared" si="122"/>
        <v>19726772408</v>
      </c>
      <c r="F1317" s="2">
        <f t="shared" si="123"/>
        <v>53301739046416</v>
      </c>
      <c r="G1317" s="2">
        <f t="shared" si="124"/>
        <v>10650.7436</v>
      </c>
      <c r="H1317" s="2">
        <f t="shared" si="125"/>
        <v>28778309.207200002</v>
      </c>
    </row>
    <row r="1318" spans="1:8" x14ac:dyDescent="0.35">
      <c r="A1318" s="2">
        <v>2702</v>
      </c>
      <c r="B1318" s="2">
        <v>39773</v>
      </c>
      <c r="C1318" s="2">
        <f t="shared" si="120"/>
        <v>3.9773000000000001</v>
      </c>
      <c r="D1318" s="2">
        <f t="shared" si="121"/>
        <v>7300804</v>
      </c>
      <c r="E1318" s="2">
        <f t="shared" si="122"/>
        <v>19726772408</v>
      </c>
      <c r="F1318" s="2">
        <f t="shared" si="123"/>
        <v>53301739046416</v>
      </c>
      <c r="G1318" s="2">
        <f t="shared" si="124"/>
        <v>10746.6646</v>
      </c>
      <c r="H1318" s="2">
        <f t="shared" si="125"/>
        <v>29037487.749200001</v>
      </c>
    </row>
    <row r="1319" spans="1:8" x14ac:dyDescent="0.35">
      <c r="A1319" s="2">
        <v>2702</v>
      </c>
      <c r="B1319" s="2">
        <v>40391</v>
      </c>
      <c r="C1319" s="2">
        <f t="shared" si="120"/>
        <v>4.0391000000000004</v>
      </c>
      <c r="D1319" s="2">
        <f t="shared" si="121"/>
        <v>7300804</v>
      </c>
      <c r="E1319" s="2">
        <f t="shared" si="122"/>
        <v>19726772408</v>
      </c>
      <c r="F1319" s="2">
        <f t="shared" si="123"/>
        <v>53301739046416</v>
      </c>
      <c r="G1319" s="2">
        <f t="shared" si="124"/>
        <v>10913.648200000001</v>
      </c>
      <c r="H1319" s="2">
        <f t="shared" si="125"/>
        <v>29488677.436400004</v>
      </c>
    </row>
    <row r="1320" spans="1:8" x14ac:dyDescent="0.35">
      <c r="A1320" s="2">
        <v>2702</v>
      </c>
      <c r="B1320" s="2">
        <v>42470</v>
      </c>
      <c r="C1320" s="2">
        <f t="shared" si="120"/>
        <v>4.2469999999999999</v>
      </c>
      <c r="D1320" s="2">
        <f t="shared" si="121"/>
        <v>7300804</v>
      </c>
      <c r="E1320" s="2">
        <f t="shared" si="122"/>
        <v>19726772408</v>
      </c>
      <c r="F1320" s="2">
        <f t="shared" si="123"/>
        <v>53301739046416</v>
      </c>
      <c r="G1320" s="2">
        <f t="shared" si="124"/>
        <v>11475.394</v>
      </c>
      <c r="H1320" s="2">
        <f t="shared" si="125"/>
        <v>31006514.588</v>
      </c>
    </row>
    <row r="1321" spans="1:8" x14ac:dyDescent="0.35">
      <c r="A1321" s="2">
        <v>2702</v>
      </c>
      <c r="B1321" s="2">
        <v>43018</v>
      </c>
      <c r="C1321" s="2">
        <f t="shared" si="120"/>
        <v>4.3018000000000001</v>
      </c>
      <c r="D1321" s="2">
        <f t="shared" si="121"/>
        <v>7300804</v>
      </c>
      <c r="E1321" s="2">
        <f t="shared" si="122"/>
        <v>19726772408</v>
      </c>
      <c r="F1321" s="2">
        <f t="shared" si="123"/>
        <v>53301739046416</v>
      </c>
      <c r="G1321" s="2">
        <f t="shared" si="124"/>
        <v>11623.463600000001</v>
      </c>
      <c r="H1321" s="2">
        <f t="shared" si="125"/>
        <v>31406598.6472</v>
      </c>
    </row>
    <row r="1322" spans="1:8" x14ac:dyDescent="0.35">
      <c r="A1322" s="2">
        <v>2702</v>
      </c>
      <c r="B1322" s="2">
        <v>43465</v>
      </c>
      <c r="C1322" s="2">
        <f t="shared" si="120"/>
        <v>4.3464999999999998</v>
      </c>
      <c r="D1322" s="2">
        <f t="shared" si="121"/>
        <v>7300804</v>
      </c>
      <c r="E1322" s="2">
        <f t="shared" si="122"/>
        <v>19726772408</v>
      </c>
      <c r="F1322" s="2">
        <f t="shared" si="123"/>
        <v>53301739046416</v>
      </c>
      <c r="G1322" s="2">
        <f t="shared" si="124"/>
        <v>11744.242999999999</v>
      </c>
      <c r="H1322" s="2">
        <f t="shared" si="125"/>
        <v>31732944.585999999</v>
      </c>
    </row>
    <row r="1323" spans="1:8" x14ac:dyDescent="0.35">
      <c r="A1323" s="2">
        <v>2702</v>
      </c>
      <c r="B1323" s="2">
        <v>43446</v>
      </c>
      <c r="C1323" s="2">
        <f t="shared" si="120"/>
        <v>4.3445999999999998</v>
      </c>
      <c r="D1323" s="2">
        <f t="shared" si="121"/>
        <v>7300804</v>
      </c>
      <c r="E1323" s="2">
        <f t="shared" si="122"/>
        <v>19726772408</v>
      </c>
      <c r="F1323" s="2">
        <f t="shared" si="123"/>
        <v>53301739046416</v>
      </c>
      <c r="G1323" s="2">
        <f t="shared" si="124"/>
        <v>11739.109199999999</v>
      </c>
      <c r="H1323" s="2">
        <f t="shared" si="125"/>
        <v>31719073.058399998</v>
      </c>
    </row>
    <row r="1324" spans="1:8" x14ac:dyDescent="0.35">
      <c r="A1324" s="2">
        <v>2702</v>
      </c>
      <c r="B1324" s="2">
        <v>43750</v>
      </c>
      <c r="C1324" s="2">
        <f t="shared" si="120"/>
        <v>4.375</v>
      </c>
      <c r="D1324" s="2">
        <f t="shared" si="121"/>
        <v>7300804</v>
      </c>
      <c r="E1324" s="2">
        <f t="shared" si="122"/>
        <v>19726772408</v>
      </c>
      <c r="F1324" s="2">
        <f t="shared" si="123"/>
        <v>53301739046416</v>
      </c>
      <c r="G1324" s="2">
        <f t="shared" si="124"/>
        <v>11821.25</v>
      </c>
      <c r="H1324" s="2">
        <f t="shared" si="125"/>
        <v>31941017.5</v>
      </c>
    </row>
    <row r="1325" spans="1:8" x14ac:dyDescent="0.35">
      <c r="A1325" s="2">
        <v>2702</v>
      </c>
      <c r="B1325" s="2">
        <v>43453</v>
      </c>
      <c r="C1325" s="2">
        <f t="shared" si="120"/>
        <v>4.3452999999999999</v>
      </c>
      <c r="D1325" s="2">
        <f t="shared" si="121"/>
        <v>7300804</v>
      </c>
      <c r="E1325" s="2">
        <f t="shared" si="122"/>
        <v>19726772408</v>
      </c>
      <c r="F1325" s="2">
        <f t="shared" si="123"/>
        <v>53301739046416</v>
      </c>
      <c r="G1325" s="2">
        <f t="shared" si="124"/>
        <v>11741.000599999999</v>
      </c>
      <c r="H1325" s="2">
        <f t="shared" si="125"/>
        <v>31724183.621199999</v>
      </c>
    </row>
    <row r="1326" spans="1:8" x14ac:dyDescent="0.35">
      <c r="A1326" s="2">
        <v>2702</v>
      </c>
      <c r="B1326" s="2">
        <v>43487</v>
      </c>
      <c r="C1326" s="2">
        <f t="shared" si="120"/>
        <v>4.3487</v>
      </c>
      <c r="D1326" s="2">
        <f t="shared" si="121"/>
        <v>7300804</v>
      </c>
      <c r="E1326" s="2">
        <f t="shared" si="122"/>
        <v>19726772408</v>
      </c>
      <c r="F1326" s="2">
        <f t="shared" si="123"/>
        <v>53301739046416</v>
      </c>
      <c r="G1326" s="2">
        <f t="shared" si="124"/>
        <v>11750.187400000001</v>
      </c>
      <c r="H1326" s="2">
        <f t="shared" si="125"/>
        <v>31749006.354800001</v>
      </c>
    </row>
    <row r="1327" spans="1:8" x14ac:dyDescent="0.35">
      <c r="A1327" s="2">
        <v>2702</v>
      </c>
      <c r="B1327" s="2">
        <v>44168</v>
      </c>
      <c r="C1327" s="2">
        <f t="shared" si="120"/>
        <v>4.4168000000000003</v>
      </c>
      <c r="D1327" s="2">
        <f t="shared" si="121"/>
        <v>7300804</v>
      </c>
      <c r="E1327" s="2">
        <f t="shared" si="122"/>
        <v>19726772408</v>
      </c>
      <c r="F1327" s="2">
        <f t="shared" si="123"/>
        <v>53301739046416</v>
      </c>
      <c r="G1327" s="2">
        <f t="shared" si="124"/>
        <v>11934.193600000001</v>
      </c>
      <c r="H1327" s="2">
        <f t="shared" si="125"/>
        <v>32246191.1072</v>
      </c>
    </row>
    <row r="1328" spans="1:8" x14ac:dyDescent="0.35">
      <c r="A1328" s="2">
        <v>2702</v>
      </c>
      <c r="B1328" s="2">
        <v>44322</v>
      </c>
      <c r="C1328" s="2">
        <f t="shared" si="120"/>
        <v>4.4321999999999999</v>
      </c>
      <c r="D1328" s="2">
        <f t="shared" si="121"/>
        <v>7300804</v>
      </c>
      <c r="E1328" s="2">
        <f t="shared" si="122"/>
        <v>19726772408</v>
      </c>
      <c r="F1328" s="2">
        <f t="shared" si="123"/>
        <v>53301739046416</v>
      </c>
      <c r="G1328" s="2">
        <f t="shared" si="124"/>
        <v>11975.804399999999</v>
      </c>
      <c r="H1328" s="2">
        <f t="shared" si="125"/>
        <v>32358623.4888</v>
      </c>
    </row>
    <row r="1329" spans="1:8" x14ac:dyDescent="0.35">
      <c r="A1329" s="2">
        <v>2702</v>
      </c>
      <c r="B1329" s="2">
        <v>41974</v>
      </c>
      <c r="C1329" s="2">
        <f t="shared" si="120"/>
        <v>4.1974</v>
      </c>
      <c r="D1329" s="2">
        <f t="shared" si="121"/>
        <v>7300804</v>
      </c>
      <c r="E1329" s="2">
        <f t="shared" si="122"/>
        <v>19726772408</v>
      </c>
      <c r="F1329" s="2">
        <f t="shared" si="123"/>
        <v>53301739046416</v>
      </c>
      <c r="G1329" s="2">
        <f t="shared" si="124"/>
        <v>11341.3748</v>
      </c>
      <c r="H1329" s="2">
        <f t="shared" si="125"/>
        <v>30644394.709600002</v>
      </c>
    </row>
    <row r="1330" spans="1:8" x14ac:dyDescent="0.35">
      <c r="A1330" s="2">
        <v>2702</v>
      </c>
      <c r="B1330" s="2">
        <v>42519</v>
      </c>
      <c r="C1330" s="2">
        <f t="shared" si="120"/>
        <v>4.2519</v>
      </c>
      <c r="D1330" s="2">
        <f t="shared" si="121"/>
        <v>7300804</v>
      </c>
      <c r="E1330" s="2">
        <f t="shared" si="122"/>
        <v>19726772408</v>
      </c>
      <c r="F1330" s="2">
        <f t="shared" si="123"/>
        <v>53301739046416</v>
      </c>
      <c r="G1330" s="2">
        <f t="shared" si="124"/>
        <v>11488.6338</v>
      </c>
      <c r="H1330" s="2">
        <f t="shared" si="125"/>
        <v>31042288.527600002</v>
      </c>
    </row>
    <row r="1331" spans="1:8" x14ac:dyDescent="0.35">
      <c r="A1331" s="2">
        <v>2702</v>
      </c>
      <c r="B1331" s="2">
        <v>44007</v>
      </c>
      <c r="C1331" s="2">
        <f t="shared" si="120"/>
        <v>4.4006999999999996</v>
      </c>
      <c r="D1331" s="2">
        <f t="shared" si="121"/>
        <v>7300804</v>
      </c>
      <c r="E1331" s="2">
        <f t="shared" si="122"/>
        <v>19726772408</v>
      </c>
      <c r="F1331" s="2">
        <f t="shared" si="123"/>
        <v>53301739046416</v>
      </c>
      <c r="G1331" s="2">
        <f t="shared" si="124"/>
        <v>11890.6914</v>
      </c>
      <c r="H1331" s="2">
        <f t="shared" si="125"/>
        <v>32128648.162799995</v>
      </c>
    </row>
    <row r="1332" spans="1:8" x14ac:dyDescent="0.35">
      <c r="A1332" s="2">
        <v>2702</v>
      </c>
      <c r="B1332" s="2">
        <v>43879</v>
      </c>
      <c r="C1332" s="2">
        <f t="shared" si="120"/>
        <v>4.3879000000000001</v>
      </c>
      <c r="D1332" s="2">
        <f t="shared" si="121"/>
        <v>7300804</v>
      </c>
      <c r="E1332" s="2">
        <f t="shared" si="122"/>
        <v>19726772408</v>
      </c>
      <c r="F1332" s="2">
        <f t="shared" si="123"/>
        <v>53301739046416</v>
      </c>
      <c r="G1332" s="2">
        <f t="shared" si="124"/>
        <v>11856.105800000001</v>
      </c>
      <c r="H1332" s="2">
        <f t="shared" si="125"/>
        <v>32035197.871600002</v>
      </c>
    </row>
    <row r="1333" spans="1:8" x14ac:dyDescent="0.35">
      <c r="A1333" s="2">
        <v>2702</v>
      </c>
      <c r="B1333" s="2">
        <v>44691</v>
      </c>
      <c r="C1333" s="2">
        <f t="shared" si="120"/>
        <v>4.4691000000000001</v>
      </c>
      <c r="D1333" s="2">
        <f t="shared" si="121"/>
        <v>7300804</v>
      </c>
      <c r="E1333" s="2">
        <f t="shared" si="122"/>
        <v>19726772408</v>
      </c>
      <c r="F1333" s="2">
        <f t="shared" si="123"/>
        <v>53301739046416</v>
      </c>
      <c r="G1333" s="2">
        <f t="shared" si="124"/>
        <v>12075.5082</v>
      </c>
      <c r="H1333" s="2">
        <f t="shared" si="125"/>
        <v>32628023.156399999</v>
      </c>
    </row>
    <row r="1334" spans="1:8" x14ac:dyDescent="0.35">
      <c r="A1334" s="2">
        <v>2702</v>
      </c>
      <c r="B1334" s="2">
        <v>45365</v>
      </c>
      <c r="C1334" s="2">
        <f t="shared" si="120"/>
        <v>4.5365000000000002</v>
      </c>
      <c r="D1334" s="2">
        <f t="shared" si="121"/>
        <v>7300804</v>
      </c>
      <c r="E1334" s="2">
        <f t="shared" si="122"/>
        <v>19726772408</v>
      </c>
      <c r="F1334" s="2">
        <f t="shared" si="123"/>
        <v>53301739046416</v>
      </c>
      <c r="G1334" s="2">
        <f t="shared" si="124"/>
        <v>12257.623000000001</v>
      </c>
      <c r="H1334" s="2">
        <f t="shared" si="125"/>
        <v>33120097.346000001</v>
      </c>
    </row>
    <row r="1335" spans="1:8" x14ac:dyDescent="0.35">
      <c r="A1335" s="2">
        <v>2702</v>
      </c>
      <c r="B1335" s="2">
        <v>45739</v>
      </c>
      <c r="C1335" s="2">
        <f t="shared" si="120"/>
        <v>4.5739000000000001</v>
      </c>
      <c r="D1335" s="2">
        <f t="shared" si="121"/>
        <v>7300804</v>
      </c>
      <c r="E1335" s="2">
        <f t="shared" si="122"/>
        <v>19726772408</v>
      </c>
      <c r="F1335" s="2">
        <f t="shared" si="123"/>
        <v>53301739046416</v>
      </c>
      <c r="G1335" s="2">
        <f t="shared" si="124"/>
        <v>12358.677799999999</v>
      </c>
      <c r="H1335" s="2">
        <f t="shared" si="125"/>
        <v>33393147.415600002</v>
      </c>
    </row>
    <row r="1336" spans="1:8" x14ac:dyDescent="0.35">
      <c r="A1336" s="2">
        <v>2702</v>
      </c>
      <c r="B1336" s="2">
        <v>46201</v>
      </c>
      <c r="C1336" s="2">
        <f t="shared" si="120"/>
        <v>4.6200999999999999</v>
      </c>
      <c r="D1336" s="2">
        <f t="shared" si="121"/>
        <v>7300804</v>
      </c>
      <c r="E1336" s="2">
        <f t="shared" si="122"/>
        <v>19726772408</v>
      </c>
      <c r="F1336" s="2">
        <f t="shared" si="123"/>
        <v>53301739046416</v>
      </c>
      <c r="G1336" s="2">
        <f t="shared" si="124"/>
        <v>12483.510199999999</v>
      </c>
      <c r="H1336" s="2">
        <f t="shared" si="125"/>
        <v>33730444.560400002</v>
      </c>
    </row>
    <row r="1337" spans="1:8" x14ac:dyDescent="0.35">
      <c r="A1337" s="2">
        <v>2702</v>
      </c>
      <c r="B1337" s="2">
        <v>47052</v>
      </c>
      <c r="C1337" s="2">
        <f t="shared" si="120"/>
        <v>4.7051999999999996</v>
      </c>
      <c r="D1337" s="2">
        <f t="shared" si="121"/>
        <v>7300804</v>
      </c>
      <c r="E1337" s="2">
        <f t="shared" si="122"/>
        <v>19726772408</v>
      </c>
      <c r="F1337" s="2">
        <f t="shared" si="123"/>
        <v>53301739046416</v>
      </c>
      <c r="G1337" s="2">
        <f t="shared" si="124"/>
        <v>12713.4504</v>
      </c>
      <c r="H1337" s="2">
        <f t="shared" si="125"/>
        <v>34351742.980799995</v>
      </c>
    </row>
    <row r="1338" spans="1:8" x14ac:dyDescent="0.35">
      <c r="A1338" s="2">
        <v>2702</v>
      </c>
      <c r="B1338" s="2">
        <v>48948</v>
      </c>
      <c r="C1338" s="2">
        <f t="shared" si="120"/>
        <v>4.8948</v>
      </c>
      <c r="D1338" s="2">
        <f t="shared" si="121"/>
        <v>7300804</v>
      </c>
      <c r="E1338" s="2">
        <f t="shared" si="122"/>
        <v>19726772408</v>
      </c>
      <c r="F1338" s="2">
        <f t="shared" si="123"/>
        <v>53301739046416</v>
      </c>
      <c r="G1338" s="2">
        <f t="shared" si="124"/>
        <v>13225.749600000001</v>
      </c>
      <c r="H1338" s="2">
        <f t="shared" si="125"/>
        <v>35735975.419200003</v>
      </c>
    </row>
    <row r="1339" spans="1:8" x14ac:dyDescent="0.35">
      <c r="A1339" s="2">
        <v>2702</v>
      </c>
      <c r="B1339" s="2">
        <v>49985</v>
      </c>
      <c r="C1339" s="2">
        <f t="shared" si="120"/>
        <v>4.9984999999999999</v>
      </c>
      <c r="D1339" s="2">
        <f t="shared" si="121"/>
        <v>7300804</v>
      </c>
      <c r="E1339" s="2">
        <f t="shared" si="122"/>
        <v>19726772408</v>
      </c>
      <c r="F1339" s="2">
        <f t="shared" si="123"/>
        <v>53301739046416</v>
      </c>
      <c r="G1339" s="2">
        <f t="shared" si="124"/>
        <v>13505.947</v>
      </c>
      <c r="H1339" s="2">
        <f t="shared" si="125"/>
        <v>36493068.794</v>
      </c>
    </row>
    <row r="1340" spans="1:8" x14ac:dyDescent="0.35">
      <c r="A1340" s="2">
        <v>2702</v>
      </c>
      <c r="B1340" s="2">
        <v>50153</v>
      </c>
      <c r="C1340" s="2">
        <f t="shared" si="120"/>
        <v>5.0152999999999999</v>
      </c>
      <c r="D1340" s="2">
        <f t="shared" si="121"/>
        <v>7300804</v>
      </c>
      <c r="E1340" s="2">
        <f t="shared" si="122"/>
        <v>19726772408</v>
      </c>
      <c r="F1340" s="2">
        <f t="shared" si="123"/>
        <v>53301739046416</v>
      </c>
      <c r="G1340" s="2">
        <f t="shared" si="124"/>
        <v>13551.3406</v>
      </c>
      <c r="H1340" s="2">
        <f t="shared" si="125"/>
        <v>36615722.301200002</v>
      </c>
    </row>
    <row r="1341" spans="1:8" x14ac:dyDescent="0.35">
      <c r="A1341" s="2">
        <v>2702</v>
      </c>
      <c r="B1341" s="2">
        <v>49802</v>
      </c>
      <c r="C1341" s="2">
        <f t="shared" si="120"/>
        <v>4.9802</v>
      </c>
      <c r="D1341" s="2">
        <f t="shared" si="121"/>
        <v>7300804</v>
      </c>
      <c r="E1341" s="2">
        <f t="shared" si="122"/>
        <v>19726772408</v>
      </c>
      <c r="F1341" s="2">
        <f t="shared" si="123"/>
        <v>53301739046416</v>
      </c>
      <c r="G1341" s="2">
        <f t="shared" si="124"/>
        <v>13456.500399999999</v>
      </c>
      <c r="H1341" s="2">
        <f t="shared" si="125"/>
        <v>36359464.080799997</v>
      </c>
    </row>
    <row r="1342" spans="1:8" x14ac:dyDescent="0.35">
      <c r="A1342" s="2">
        <v>2702</v>
      </c>
      <c r="B1342" s="2">
        <v>51360</v>
      </c>
      <c r="C1342" s="2">
        <f t="shared" si="120"/>
        <v>5.1360000000000001</v>
      </c>
      <c r="D1342" s="2">
        <f t="shared" si="121"/>
        <v>7300804</v>
      </c>
      <c r="E1342" s="2">
        <f t="shared" si="122"/>
        <v>19726772408</v>
      </c>
      <c r="F1342" s="2">
        <f t="shared" si="123"/>
        <v>53301739046416</v>
      </c>
      <c r="G1342" s="2">
        <f t="shared" si="124"/>
        <v>13877.472</v>
      </c>
      <c r="H1342" s="2">
        <f t="shared" si="125"/>
        <v>37496929.344000004</v>
      </c>
    </row>
    <row r="1343" spans="1:8" x14ac:dyDescent="0.35">
      <c r="A1343" s="2">
        <v>2702</v>
      </c>
      <c r="B1343" s="2">
        <v>51520</v>
      </c>
      <c r="C1343" s="2">
        <f t="shared" si="120"/>
        <v>5.1520000000000001</v>
      </c>
      <c r="D1343" s="2">
        <f t="shared" si="121"/>
        <v>7300804</v>
      </c>
      <c r="E1343" s="2">
        <f t="shared" si="122"/>
        <v>19726772408</v>
      </c>
      <c r="F1343" s="2">
        <f t="shared" si="123"/>
        <v>53301739046416</v>
      </c>
      <c r="G1343" s="2">
        <f t="shared" si="124"/>
        <v>13920.704</v>
      </c>
      <c r="H1343" s="2">
        <f t="shared" si="125"/>
        <v>37613742.208000004</v>
      </c>
    </row>
    <row r="1344" spans="1:8" x14ac:dyDescent="0.35">
      <c r="A1344" s="2">
        <v>2702</v>
      </c>
      <c r="B1344" s="2">
        <v>51348</v>
      </c>
      <c r="C1344" s="2">
        <f t="shared" si="120"/>
        <v>5.1348000000000003</v>
      </c>
      <c r="D1344" s="2">
        <f t="shared" si="121"/>
        <v>7300804</v>
      </c>
      <c r="E1344" s="2">
        <f t="shared" si="122"/>
        <v>19726772408</v>
      </c>
      <c r="F1344" s="2">
        <f t="shared" si="123"/>
        <v>53301739046416</v>
      </c>
      <c r="G1344" s="2">
        <f t="shared" si="124"/>
        <v>13874.229600000001</v>
      </c>
      <c r="H1344" s="2">
        <f t="shared" si="125"/>
        <v>37488168.379200004</v>
      </c>
    </row>
    <row r="1345" spans="1:8" x14ac:dyDescent="0.35">
      <c r="A1345" s="2">
        <v>2702</v>
      </c>
      <c r="B1345" s="2">
        <v>53411</v>
      </c>
      <c r="C1345" s="2">
        <f t="shared" si="120"/>
        <v>5.3411</v>
      </c>
      <c r="D1345" s="2">
        <f t="shared" si="121"/>
        <v>7300804</v>
      </c>
      <c r="E1345" s="2">
        <f t="shared" si="122"/>
        <v>19726772408</v>
      </c>
      <c r="F1345" s="2">
        <f t="shared" si="123"/>
        <v>53301739046416</v>
      </c>
      <c r="G1345" s="2">
        <f t="shared" si="124"/>
        <v>14431.6522</v>
      </c>
      <c r="H1345" s="2">
        <f t="shared" si="125"/>
        <v>38994324.244400002</v>
      </c>
    </row>
    <row r="1346" spans="1:8" x14ac:dyDescent="0.35">
      <c r="A1346" s="2">
        <v>2702</v>
      </c>
      <c r="B1346" s="2">
        <v>54148</v>
      </c>
      <c r="C1346" s="2">
        <f t="shared" si="120"/>
        <v>5.4147999999999996</v>
      </c>
      <c r="D1346" s="2">
        <f t="shared" si="121"/>
        <v>7300804</v>
      </c>
      <c r="E1346" s="2">
        <f t="shared" si="122"/>
        <v>19726772408</v>
      </c>
      <c r="F1346" s="2">
        <f t="shared" si="123"/>
        <v>53301739046416</v>
      </c>
      <c r="G1346" s="2">
        <f t="shared" si="124"/>
        <v>14630.789599999998</v>
      </c>
      <c r="H1346" s="2">
        <f t="shared" si="125"/>
        <v>39532393.499199994</v>
      </c>
    </row>
    <row r="1347" spans="1:8" x14ac:dyDescent="0.35">
      <c r="A1347" s="2">
        <v>216</v>
      </c>
      <c r="B1347" s="2">
        <v>28348</v>
      </c>
      <c r="C1347" s="2">
        <f t="shared" ref="C1347:C1410" si="126">B1347/10000</f>
        <v>2.8348</v>
      </c>
      <c r="D1347" s="2">
        <f t="shared" ref="D1347:D1410" si="127">A1347^2</f>
        <v>46656</v>
      </c>
      <c r="E1347" s="2">
        <f t="shared" ref="E1347:E1410" si="128">A1347^3</f>
        <v>10077696</v>
      </c>
      <c r="F1347" s="2">
        <f t="shared" ref="F1347:F1410" si="129">A1347^4</f>
        <v>2176782336</v>
      </c>
      <c r="G1347" s="2">
        <f t="shared" ref="G1347:G1410" si="130">A1347*C1347</f>
        <v>612.31679999999994</v>
      </c>
      <c r="H1347" s="2">
        <f t="shared" ref="H1347:H1410" si="131">D1347*C1347</f>
        <v>132260.42879999999</v>
      </c>
    </row>
    <row r="1348" spans="1:8" x14ac:dyDescent="0.35">
      <c r="A1348" s="2">
        <v>216</v>
      </c>
      <c r="B1348" s="2">
        <v>28127</v>
      </c>
      <c r="C1348" s="2">
        <f t="shared" si="126"/>
        <v>2.8127</v>
      </c>
      <c r="D1348" s="2">
        <f t="shared" si="127"/>
        <v>46656</v>
      </c>
      <c r="E1348" s="2">
        <f t="shared" si="128"/>
        <v>10077696</v>
      </c>
      <c r="F1348" s="2">
        <f t="shared" si="129"/>
        <v>2176782336</v>
      </c>
      <c r="G1348" s="2">
        <f t="shared" si="130"/>
        <v>607.54319999999996</v>
      </c>
      <c r="H1348" s="2">
        <f t="shared" si="131"/>
        <v>131229.33119999999</v>
      </c>
    </row>
    <row r="1349" spans="1:8" x14ac:dyDescent="0.35">
      <c r="A1349" s="2">
        <v>216</v>
      </c>
      <c r="B1349" s="2">
        <v>27986</v>
      </c>
      <c r="C1349" s="2">
        <f t="shared" si="126"/>
        <v>2.7986</v>
      </c>
      <c r="D1349" s="2">
        <f t="shared" si="127"/>
        <v>46656</v>
      </c>
      <c r="E1349" s="2">
        <f t="shared" si="128"/>
        <v>10077696</v>
      </c>
      <c r="F1349" s="2">
        <f t="shared" si="129"/>
        <v>2176782336</v>
      </c>
      <c r="G1349" s="2">
        <f t="shared" si="130"/>
        <v>604.49760000000003</v>
      </c>
      <c r="H1349" s="2">
        <f t="shared" si="131"/>
        <v>130571.4816</v>
      </c>
    </row>
    <row r="1350" spans="1:8" x14ac:dyDescent="0.35">
      <c r="A1350" s="2">
        <v>216</v>
      </c>
      <c r="B1350" s="2">
        <v>31863</v>
      </c>
      <c r="C1350" s="2">
        <f t="shared" si="126"/>
        <v>3.1863000000000001</v>
      </c>
      <c r="D1350" s="2">
        <f t="shared" si="127"/>
        <v>46656</v>
      </c>
      <c r="E1350" s="2">
        <f t="shared" si="128"/>
        <v>10077696</v>
      </c>
      <c r="F1350" s="2">
        <f t="shared" si="129"/>
        <v>2176782336</v>
      </c>
      <c r="G1350" s="2">
        <f t="shared" si="130"/>
        <v>688.24080000000004</v>
      </c>
      <c r="H1350" s="2">
        <f t="shared" si="131"/>
        <v>148660.0128</v>
      </c>
    </row>
    <row r="1351" spans="1:8" x14ac:dyDescent="0.35">
      <c r="A1351" s="2">
        <v>216</v>
      </c>
      <c r="B1351" s="2">
        <v>28889</v>
      </c>
      <c r="C1351" s="2">
        <f t="shared" si="126"/>
        <v>2.8889</v>
      </c>
      <c r="D1351" s="2">
        <f t="shared" si="127"/>
        <v>46656</v>
      </c>
      <c r="E1351" s="2">
        <f t="shared" si="128"/>
        <v>10077696</v>
      </c>
      <c r="F1351" s="2">
        <f t="shared" si="129"/>
        <v>2176782336</v>
      </c>
      <c r="G1351" s="2">
        <f t="shared" si="130"/>
        <v>624.00239999999997</v>
      </c>
      <c r="H1351" s="2">
        <f t="shared" si="131"/>
        <v>134784.5184</v>
      </c>
    </row>
    <row r="1352" spans="1:8" x14ac:dyDescent="0.35">
      <c r="A1352" s="2">
        <v>216</v>
      </c>
      <c r="B1352" s="2">
        <v>22008</v>
      </c>
      <c r="C1352" s="2">
        <f t="shared" si="126"/>
        <v>2.2008000000000001</v>
      </c>
      <c r="D1352" s="2">
        <f t="shared" si="127"/>
        <v>46656</v>
      </c>
      <c r="E1352" s="2">
        <f t="shared" si="128"/>
        <v>10077696</v>
      </c>
      <c r="F1352" s="2">
        <f t="shared" si="129"/>
        <v>2176782336</v>
      </c>
      <c r="G1352" s="2">
        <f t="shared" si="130"/>
        <v>475.37280000000004</v>
      </c>
      <c r="H1352" s="2">
        <f t="shared" si="131"/>
        <v>102680.5248</v>
      </c>
    </row>
    <row r="1353" spans="1:8" x14ac:dyDescent="0.35">
      <c r="A1353" s="2">
        <v>216</v>
      </c>
      <c r="B1353" s="2">
        <v>18947</v>
      </c>
      <c r="C1353" s="2">
        <f t="shared" si="126"/>
        <v>1.8947000000000001</v>
      </c>
      <c r="D1353" s="2">
        <f t="shared" si="127"/>
        <v>46656</v>
      </c>
      <c r="E1353" s="2">
        <f t="shared" si="128"/>
        <v>10077696</v>
      </c>
      <c r="F1353" s="2">
        <f t="shared" si="129"/>
        <v>2176782336</v>
      </c>
      <c r="G1353" s="2">
        <f t="shared" si="130"/>
        <v>409.2552</v>
      </c>
      <c r="H1353" s="2">
        <f t="shared" si="131"/>
        <v>88399.123200000002</v>
      </c>
    </row>
    <row r="1354" spans="1:8" x14ac:dyDescent="0.35">
      <c r="A1354" s="2">
        <v>216</v>
      </c>
      <c r="B1354" s="2">
        <v>18727</v>
      </c>
      <c r="C1354" s="2">
        <f t="shared" si="126"/>
        <v>1.8727</v>
      </c>
      <c r="D1354" s="2">
        <f t="shared" si="127"/>
        <v>46656</v>
      </c>
      <c r="E1354" s="2">
        <f t="shared" si="128"/>
        <v>10077696</v>
      </c>
      <c r="F1354" s="2">
        <f t="shared" si="129"/>
        <v>2176782336</v>
      </c>
      <c r="G1354" s="2">
        <f t="shared" si="130"/>
        <v>404.50319999999999</v>
      </c>
      <c r="H1354" s="2">
        <f t="shared" si="131"/>
        <v>87372.691200000001</v>
      </c>
    </row>
    <row r="1355" spans="1:8" x14ac:dyDescent="0.35">
      <c r="A1355" s="2">
        <v>216</v>
      </c>
      <c r="B1355" s="2">
        <v>23497</v>
      </c>
      <c r="C1355" s="2">
        <f t="shared" si="126"/>
        <v>2.3496999999999999</v>
      </c>
      <c r="D1355" s="2">
        <f t="shared" si="127"/>
        <v>46656</v>
      </c>
      <c r="E1355" s="2">
        <f t="shared" si="128"/>
        <v>10077696</v>
      </c>
      <c r="F1355" s="2">
        <f t="shared" si="129"/>
        <v>2176782336</v>
      </c>
      <c r="G1355" s="2">
        <f t="shared" si="130"/>
        <v>507.53519999999997</v>
      </c>
      <c r="H1355" s="2">
        <f t="shared" si="131"/>
        <v>109627.6032</v>
      </c>
    </row>
    <row r="1356" spans="1:8" x14ac:dyDescent="0.35">
      <c r="A1356" s="2">
        <v>216</v>
      </c>
      <c r="B1356" s="2">
        <v>18000</v>
      </c>
      <c r="C1356" s="2">
        <f t="shared" si="126"/>
        <v>1.8</v>
      </c>
      <c r="D1356" s="2">
        <f t="shared" si="127"/>
        <v>46656</v>
      </c>
      <c r="E1356" s="2">
        <f t="shared" si="128"/>
        <v>10077696</v>
      </c>
      <c r="F1356" s="2">
        <f t="shared" si="129"/>
        <v>2176782336</v>
      </c>
      <c r="G1356" s="2">
        <f t="shared" si="130"/>
        <v>388.8</v>
      </c>
      <c r="H1356" s="2">
        <f t="shared" si="131"/>
        <v>83980.800000000003</v>
      </c>
    </row>
    <row r="1357" spans="1:8" x14ac:dyDescent="0.35">
      <c r="A1357" s="2">
        <v>216</v>
      </c>
      <c r="B1357" s="2">
        <v>22500</v>
      </c>
      <c r="C1357" s="2">
        <f t="shared" si="126"/>
        <v>2.25</v>
      </c>
      <c r="D1357" s="2">
        <f t="shared" si="127"/>
        <v>46656</v>
      </c>
      <c r="E1357" s="2">
        <f t="shared" si="128"/>
        <v>10077696</v>
      </c>
      <c r="F1357" s="2">
        <f t="shared" si="129"/>
        <v>2176782336</v>
      </c>
      <c r="G1357" s="2">
        <f t="shared" si="130"/>
        <v>486</v>
      </c>
      <c r="H1357" s="2">
        <f t="shared" si="131"/>
        <v>104976</v>
      </c>
    </row>
    <row r="1358" spans="1:8" x14ac:dyDescent="0.35">
      <c r="A1358" s="2">
        <v>216</v>
      </c>
      <c r="B1358" s="2">
        <v>20165</v>
      </c>
      <c r="C1358" s="2">
        <f t="shared" si="126"/>
        <v>2.0165000000000002</v>
      </c>
      <c r="D1358" s="2">
        <f t="shared" si="127"/>
        <v>46656</v>
      </c>
      <c r="E1358" s="2">
        <f t="shared" si="128"/>
        <v>10077696</v>
      </c>
      <c r="F1358" s="2">
        <f t="shared" si="129"/>
        <v>2176782336</v>
      </c>
      <c r="G1358" s="2">
        <f t="shared" si="130"/>
        <v>435.56400000000002</v>
      </c>
      <c r="H1358" s="2">
        <f t="shared" si="131"/>
        <v>94081.824000000008</v>
      </c>
    </row>
    <row r="1359" spans="1:8" x14ac:dyDescent="0.35">
      <c r="A1359" s="2">
        <v>216</v>
      </c>
      <c r="B1359" s="2">
        <v>23438</v>
      </c>
      <c r="C1359" s="2">
        <f t="shared" si="126"/>
        <v>2.3437999999999999</v>
      </c>
      <c r="D1359" s="2">
        <f t="shared" si="127"/>
        <v>46656</v>
      </c>
      <c r="E1359" s="2">
        <f t="shared" si="128"/>
        <v>10077696</v>
      </c>
      <c r="F1359" s="2">
        <f t="shared" si="129"/>
        <v>2176782336</v>
      </c>
      <c r="G1359" s="2">
        <f t="shared" si="130"/>
        <v>506.26079999999996</v>
      </c>
      <c r="H1359" s="2">
        <f t="shared" si="131"/>
        <v>109352.33279999999</v>
      </c>
    </row>
    <row r="1360" spans="1:8" x14ac:dyDescent="0.35">
      <c r="A1360" s="2">
        <v>216</v>
      </c>
      <c r="B1360" s="2">
        <v>13846</v>
      </c>
      <c r="C1360" s="2">
        <f t="shared" si="126"/>
        <v>1.3846000000000001</v>
      </c>
      <c r="D1360" s="2">
        <f t="shared" si="127"/>
        <v>46656</v>
      </c>
      <c r="E1360" s="2">
        <f t="shared" si="128"/>
        <v>10077696</v>
      </c>
      <c r="F1360" s="2">
        <f t="shared" si="129"/>
        <v>2176782336</v>
      </c>
      <c r="G1360" s="2">
        <f t="shared" si="130"/>
        <v>299.0736</v>
      </c>
      <c r="H1360" s="2">
        <f t="shared" si="131"/>
        <v>64599.897600000004</v>
      </c>
    </row>
    <row r="1361" spans="1:8" x14ac:dyDescent="0.35">
      <c r="A1361" s="2">
        <v>216</v>
      </c>
      <c r="B1361" s="2">
        <v>6000</v>
      </c>
      <c r="C1361" s="2">
        <f t="shared" si="126"/>
        <v>0.6</v>
      </c>
      <c r="D1361" s="2">
        <f t="shared" si="127"/>
        <v>46656</v>
      </c>
      <c r="E1361" s="2">
        <f t="shared" si="128"/>
        <v>10077696</v>
      </c>
      <c r="F1361" s="2">
        <f t="shared" si="129"/>
        <v>2176782336</v>
      </c>
      <c r="G1361" s="2">
        <f t="shared" si="130"/>
        <v>129.6</v>
      </c>
      <c r="H1361" s="2">
        <f t="shared" si="131"/>
        <v>27993.599999999999</v>
      </c>
    </row>
    <row r="1362" spans="1:8" x14ac:dyDescent="0.35">
      <c r="A1362" s="2">
        <v>216</v>
      </c>
      <c r="B1362" s="2">
        <v>12800</v>
      </c>
      <c r="C1362" s="2">
        <f t="shared" si="126"/>
        <v>1.28</v>
      </c>
      <c r="D1362" s="2">
        <f t="shared" si="127"/>
        <v>46656</v>
      </c>
      <c r="E1362" s="2">
        <f t="shared" si="128"/>
        <v>10077696</v>
      </c>
      <c r="F1362" s="2">
        <f t="shared" si="129"/>
        <v>2176782336</v>
      </c>
      <c r="G1362" s="2">
        <f t="shared" si="130"/>
        <v>276.48</v>
      </c>
      <c r="H1362" s="2">
        <f t="shared" si="131"/>
        <v>59719.68</v>
      </c>
    </row>
    <row r="1363" spans="1:8" x14ac:dyDescent="0.35">
      <c r="A1363" s="2">
        <v>216</v>
      </c>
      <c r="B1363" s="2">
        <v>25000</v>
      </c>
      <c r="C1363" s="2">
        <f t="shared" si="126"/>
        <v>2.5</v>
      </c>
      <c r="D1363" s="2">
        <f t="shared" si="127"/>
        <v>46656</v>
      </c>
      <c r="E1363" s="2">
        <f t="shared" si="128"/>
        <v>10077696</v>
      </c>
      <c r="F1363" s="2">
        <f t="shared" si="129"/>
        <v>2176782336</v>
      </c>
      <c r="G1363" s="2">
        <f t="shared" si="130"/>
        <v>540</v>
      </c>
      <c r="H1363" s="2">
        <f t="shared" si="131"/>
        <v>116640</v>
      </c>
    </row>
    <row r="1364" spans="1:8" x14ac:dyDescent="0.35">
      <c r="A1364" s="2">
        <v>216</v>
      </c>
      <c r="B1364" s="2">
        <v>28409</v>
      </c>
      <c r="C1364" s="2">
        <f t="shared" si="126"/>
        <v>2.8409</v>
      </c>
      <c r="D1364" s="2">
        <f t="shared" si="127"/>
        <v>46656</v>
      </c>
      <c r="E1364" s="2">
        <f t="shared" si="128"/>
        <v>10077696</v>
      </c>
      <c r="F1364" s="2">
        <f t="shared" si="129"/>
        <v>2176782336</v>
      </c>
      <c r="G1364" s="2">
        <f t="shared" si="130"/>
        <v>613.63440000000003</v>
      </c>
      <c r="H1364" s="2">
        <f t="shared" si="131"/>
        <v>132545.03039999999</v>
      </c>
    </row>
    <row r="1365" spans="1:8" x14ac:dyDescent="0.35">
      <c r="A1365" s="2">
        <v>216</v>
      </c>
      <c r="B1365" s="2">
        <v>28879</v>
      </c>
      <c r="C1365" s="2">
        <f t="shared" si="126"/>
        <v>2.8879000000000001</v>
      </c>
      <c r="D1365" s="2">
        <f t="shared" si="127"/>
        <v>46656</v>
      </c>
      <c r="E1365" s="2">
        <f t="shared" si="128"/>
        <v>10077696</v>
      </c>
      <c r="F1365" s="2">
        <f t="shared" si="129"/>
        <v>2176782336</v>
      </c>
      <c r="G1365" s="2">
        <f t="shared" si="130"/>
        <v>623.78640000000007</v>
      </c>
      <c r="H1365" s="2">
        <f t="shared" si="131"/>
        <v>134737.86240000001</v>
      </c>
    </row>
    <row r="1366" spans="1:8" x14ac:dyDescent="0.35">
      <c r="A1366" s="2">
        <v>216</v>
      </c>
      <c r="B1366" s="2">
        <v>28867</v>
      </c>
      <c r="C1366" s="2">
        <f t="shared" si="126"/>
        <v>2.8866999999999998</v>
      </c>
      <c r="D1366" s="2">
        <f t="shared" si="127"/>
        <v>46656</v>
      </c>
      <c r="E1366" s="2">
        <f t="shared" si="128"/>
        <v>10077696</v>
      </c>
      <c r="F1366" s="2">
        <f t="shared" si="129"/>
        <v>2176782336</v>
      </c>
      <c r="G1366" s="2">
        <f t="shared" si="130"/>
        <v>623.52719999999999</v>
      </c>
      <c r="H1366" s="2">
        <f t="shared" si="131"/>
        <v>134681.87519999998</v>
      </c>
    </row>
    <row r="1367" spans="1:8" x14ac:dyDescent="0.35">
      <c r="A1367" s="2">
        <v>216</v>
      </c>
      <c r="B1367" s="2">
        <v>31630</v>
      </c>
      <c r="C1367" s="2">
        <f t="shared" si="126"/>
        <v>3.1629999999999998</v>
      </c>
      <c r="D1367" s="2">
        <f t="shared" si="127"/>
        <v>46656</v>
      </c>
      <c r="E1367" s="2">
        <f t="shared" si="128"/>
        <v>10077696</v>
      </c>
      <c r="F1367" s="2">
        <f t="shared" si="129"/>
        <v>2176782336</v>
      </c>
      <c r="G1367" s="2">
        <f t="shared" si="130"/>
        <v>683.20799999999997</v>
      </c>
      <c r="H1367" s="2">
        <f t="shared" si="131"/>
        <v>147572.92799999999</v>
      </c>
    </row>
    <row r="1368" spans="1:8" x14ac:dyDescent="0.35">
      <c r="A1368" s="2">
        <v>216</v>
      </c>
      <c r="B1368" s="2">
        <v>29281</v>
      </c>
      <c r="C1368" s="2">
        <f t="shared" si="126"/>
        <v>2.9281000000000001</v>
      </c>
      <c r="D1368" s="2">
        <f t="shared" si="127"/>
        <v>46656</v>
      </c>
      <c r="E1368" s="2">
        <f t="shared" si="128"/>
        <v>10077696</v>
      </c>
      <c r="F1368" s="2">
        <f t="shared" si="129"/>
        <v>2176782336</v>
      </c>
      <c r="G1368" s="2">
        <f t="shared" si="130"/>
        <v>632.46960000000001</v>
      </c>
      <c r="H1368" s="2">
        <f t="shared" si="131"/>
        <v>136613.43360000002</v>
      </c>
    </row>
    <row r="1369" spans="1:8" x14ac:dyDescent="0.35">
      <c r="A1369" s="2">
        <v>216</v>
      </c>
      <c r="B1369" s="2">
        <v>31511</v>
      </c>
      <c r="C1369" s="2">
        <f t="shared" si="126"/>
        <v>3.1511</v>
      </c>
      <c r="D1369" s="2">
        <f t="shared" si="127"/>
        <v>46656</v>
      </c>
      <c r="E1369" s="2">
        <f t="shared" si="128"/>
        <v>10077696</v>
      </c>
      <c r="F1369" s="2">
        <f t="shared" si="129"/>
        <v>2176782336</v>
      </c>
      <c r="G1369" s="2">
        <f t="shared" si="130"/>
        <v>680.63760000000002</v>
      </c>
      <c r="H1369" s="2">
        <f t="shared" si="131"/>
        <v>147017.72159999999</v>
      </c>
    </row>
    <row r="1370" spans="1:8" x14ac:dyDescent="0.35">
      <c r="A1370" s="2">
        <v>216</v>
      </c>
      <c r="B1370" s="2">
        <v>32482</v>
      </c>
      <c r="C1370" s="2">
        <f t="shared" si="126"/>
        <v>3.2482000000000002</v>
      </c>
      <c r="D1370" s="2">
        <f t="shared" si="127"/>
        <v>46656</v>
      </c>
      <c r="E1370" s="2">
        <f t="shared" si="128"/>
        <v>10077696</v>
      </c>
      <c r="F1370" s="2">
        <f t="shared" si="129"/>
        <v>2176782336</v>
      </c>
      <c r="G1370" s="2">
        <f t="shared" si="130"/>
        <v>701.61120000000005</v>
      </c>
      <c r="H1370" s="2">
        <f t="shared" si="131"/>
        <v>151548.01920000001</v>
      </c>
    </row>
    <row r="1371" spans="1:8" x14ac:dyDescent="0.35">
      <c r="A1371" s="2">
        <v>216</v>
      </c>
      <c r="B1371" s="2">
        <v>35762</v>
      </c>
      <c r="C1371" s="2">
        <f t="shared" si="126"/>
        <v>3.5762</v>
      </c>
      <c r="D1371" s="2">
        <f t="shared" si="127"/>
        <v>46656</v>
      </c>
      <c r="E1371" s="2">
        <f t="shared" si="128"/>
        <v>10077696</v>
      </c>
      <c r="F1371" s="2">
        <f t="shared" si="129"/>
        <v>2176782336</v>
      </c>
      <c r="G1371" s="2">
        <f t="shared" si="130"/>
        <v>772.45920000000001</v>
      </c>
      <c r="H1371" s="2">
        <f t="shared" si="131"/>
        <v>166851.18720000001</v>
      </c>
    </row>
    <row r="1372" spans="1:8" x14ac:dyDescent="0.35">
      <c r="A1372" s="2">
        <v>216</v>
      </c>
      <c r="B1372" s="2">
        <v>45468</v>
      </c>
      <c r="C1372" s="2">
        <f t="shared" si="126"/>
        <v>4.5468000000000002</v>
      </c>
      <c r="D1372" s="2">
        <f t="shared" si="127"/>
        <v>46656</v>
      </c>
      <c r="E1372" s="2">
        <f t="shared" si="128"/>
        <v>10077696</v>
      </c>
      <c r="F1372" s="2">
        <f t="shared" si="129"/>
        <v>2176782336</v>
      </c>
      <c r="G1372" s="2">
        <f t="shared" si="130"/>
        <v>982.10880000000009</v>
      </c>
      <c r="H1372" s="2">
        <f t="shared" si="131"/>
        <v>212135.50080000001</v>
      </c>
    </row>
    <row r="1373" spans="1:8" x14ac:dyDescent="0.35">
      <c r="A1373" s="2">
        <v>216</v>
      </c>
      <c r="B1373" s="2">
        <v>47162</v>
      </c>
      <c r="C1373" s="2">
        <f t="shared" si="126"/>
        <v>4.7161999999999997</v>
      </c>
      <c r="D1373" s="2">
        <f t="shared" si="127"/>
        <v>46656</v>
      </c>
      <c r="E1373" s="2">
        <f t="shared" si="128"/>
        <v>10077696</v>
      </c>
      <c r="F1373" s="2">
        <f t="shared" si="129"/>
        <v>2176782336</v>
      </c>
      <c r="G1373" s="2">
        <f t="shared" si="130"/>
        <v>1018.6991999999999</v>
      </c>
      <c r="H1373" s="2">
        <f t="shared" si="131"/>
        <v>220039.02719999998</v>
      </c>
    </row>
    <row r="1374" spans="1:8" x14ac:dyDescent="0.35">
      <c r="A1374" s="2">
        <v>216</v>
      </c>
      <c r="B1374" s="2">
        <v>51049</v>
      </c>
      <c r="C1374" s="2">
        <f t="shared" si="126"/>
        <v>5.1048999999999998</v>
      </c>
      <c r="D1374" s="2">
        <f t="shared" si="127"/>
        <v>46656</v>
      </c>
      <c r="E1374" s="2">
        <f t="shared" si="128"/>
        <v>10077696</v>
      </c>
      <c r="F1374" s="2">
        <f t="shared" si="129"/>
        <v>2176782336</v>
      </c>
      <c r="G1374" s="2">
        <f t="shared" si="130"/>
        <v>1102.6584</v>
      </c>
      <c r="H1374" s="2">
        <f t="shared" si="131"/>
        <v>238174.2144</v>
      </c>
    </row>
    <row r="1375" spans="1:8" x14ac:dyDescent="0.35">
      <c r="A1375" s="2">
        <v>216</v>
      </c>
      <c r="B1375" s="2">
        <v>44776</v>
      </c>
      <c r="C1375" s="2">
        <f t="shared" si="126"/>
        <v>4.4775999999999998</v>
      </c>
      <c r="D1375" s="2">
        <f t="shared" si="127"/>
        <v>46656</v>
      </c>
      <c r="E1375" s="2">
        <f t="shared" si="128"/>
        <v>10077696</v>
      </c>
      <c r="F1375" s="2">
        <f t="shared" si="129"/>
        <v>2176782336</v>
      </c>
      <c r="G1375" s="2">
        <f t="shared" si="130"/>
        <v>967.16159999999991</v>
      </c>
      <c r="H1375" s="2">
        <f t="shared" si="131"/>
        <v>208906.9056</v>
      </c>
    </row>
    <row r="1376" spans="1:8" x14ac:dyDescent="0.35">
      <c r="A1376" s="2">
        <v>216</v>
      </c>
      <c r="B1376" s="2">
        <v>48056</v>
      </c>
      <c r="C1376" s="2">
        <f t="shared" si="126"/>
        <v>4.8056000000000001</v>
      </c>
      <c r="D1376" s="2">
        <f t="shared" si="127"/>
        <v>46656</v>
      </c>
      <c r="E1376" s="2">
        <f t="shared" si="128"/>
        <v>10077696</v>
      </c>
      <c r="F1376" s="2">
        <f t="shared" si="129"/>
        <v>2176782336</v>
      </c>
      <c r="G1376" s="2">
        <f t="shared" si="130"/>
        <v>1038.0096000000001</v>
      </c>
      <c r="H1376" s="2">
        <f t="shared" si="131"/>
        <v>224210.0736</v>
      </c>
    </row>
    <row r="1377" spans="1:8" x14ac:dyDescent="0.35">
      <c r="A1377" s="2">
        <v>832</v>
      </c>
      <c r="B1377" s="2">
        <v>60520</v>
      </c>
      <c r="C1377" s="2">
        <f t="shared" si="126"/>
        <v>6.0519999999999996</v>
      </c>
      <c r="D1377" s="2">
        <f t="shared" si="127"/>
        <v>692224</v>
      </c>
      <c r="E1377" s="2">
        <f t="shared" si="128"/>
        <v>575930368</v>
      </c>
      <c r="F1377" s="2">
        <f t="shared" si="129"/>
        <v>479174066176</v>
      </c>
      <c r="G1377" s="2">
        <f t="shared" si="130"/>
        <v>5035.2639999999992</v>
      </c>
      <c r="H1377" s="2">
        <f t="shared" si="131"/>
        <v>4189339.6479999996</v>
      </c>
    </row>
    <row r="1378" spans="1:8" x14ac:dyDescent="0.35">
      <c r="A1378" s="2">
        <v>832</v>
      </c>
      <c r="B1378" s="2">
        <v>59344</v>
      </c>
      <c r="C1378" s="2">
        <f t="shared" si="126"/>
        <v>5.9344000000000001</v>
      </c>
      <c r="D1378" s="2">
        <f t="shared" si="127"/>
        <v>692224</v>
      </c>
      <c r="E1378" s="2">
        <f t="shared" si="128"/>
        <v>575930368</v>
      </c>
      <c r="F1378" s="2">
        <f t="shared" si="129"/>
        <v>479174066176</v>
      </c>
      <c r="G1378" s="2">
        <f t="shared" si="130"/>
        <v>4937.4207999999999</v>
      </c>
      <c r="H1378" s="2">
        <f t="shared" si="131"/>
        <v>4107934.1055999999</v>
      </c>
    </row>
    <row r="1379" spans="1:8" x14ac:dyDescent="0.35">
      <c r="A1379" s="2">
        <v>832</v>
      </c>
      <c r="B1379" s="2">
        <v>56128</v>
      </c>
      <c r="C1379" s="2">
        <f t="shared" si="126"/>
        <v>5.6128</v>
      </c>
      <c r="D1379" s="2">
        <f t="shared" si="127"/>
        <v>692224</v>
      </c>
      <c r="E1379" s="2">
        <f t="shared" si="128"/>
        <v>575930368</v>
      </c>
      <c r="F1379" s="2">
        <f t="shared" si="129"/>
        <v>479174066176</v>
      </c>
      <c r="G1379" s="2">
        <f t="shared" si="130"/>
        <v>4669.8495999999996</v>
      </c>
      <c r="H1379" s="2">
        <f t="shared" si="131"/>
        <v>3885314.8672000002</v>
      </c>
    </row>
    <row r="1380" spans="1:8" x14ac:dyDescent="0.35">
      <c r="A1380" s="2">
        <v>832</v>
      </c>
      <c r="B1380" s="2">
        <v>60461</v>
      </c>
      <c r="C1380" s="2">
        <f t="shared" si="126"/>
        <v>6.0461</v>
      </c>
      <c r="D1380" s="2">
        <f t="shared" si="127"/>
        <v>692224</v>
      </c>
      <c r="E1380" s="2">
        <f t="shared" si="128"/>
        <v>575930368</v>
      </c>
      <c r="F1380" s="2">
        <f t="shared" si="129"/>
        <v>479174066176</v>
      </c>
      <c r="G1380" s="2">
        <f t="shared" si="130"/>
        <v>5030.3552</v>
      </c>
      <c r="H1380" s="2">
        <f t="shared" si="131"/>
        <v>4185255.5263999999</v>
      </c>
    </row>
    <row r="1381" spans="1:8" x14ac:dyDescent="0.35">
      <c r="A1381" s="2">
        <v>832</v>
      </c>
      <c r="B1381" s="2">
        <v>60278</v>
      </c>
      <c r="C1381" s="2">
        <f t="shared" si="126"/>
        <v>6.0278</v>
      </c>
      <c r="D1381" s="2">
        <f t="shared" si="127"/>
        <v>692224</v>
      </c>
      <c r="E1381" s="2">
        <f t="shared" si="128"/>
        <v>575930368</v>
      </c>
      <c r="F1381" s="2">
        <f t="shared" si="129"/>
        <v>479174066176</v>
      </c>
      <c r="G1381" s="2">
        <f t="shared" si="130"/>
        <v>5015.1296000000002</v>
      </c>
      <c r="H1381" s="2">
        <f t="shared" si="131"/>
        <v>4172587.8272000002</v>
      </c>
    </row>
    <row r="1382" spans="1:8" x14ac:dyDescent="0.35">
      <c r="A1382" s="2">
        <v>832</v>
      </c>
      <c r="B1382" s="2">
        <v>60274</v>
      </c>
      <c r="C1382" s="2">
        <f t="shared" si="126"/>
        <v>6.0274000000000001</v>
      </c>
      <c r="D1382" s="2">
        <f t="shared" si="127"/>
        <v>692224</v>
      </c>
      <c r="E1382" s="2">
        <f t="shared" si="128"/>
        <v>575930368</v>
      </c>
      <c r="F1382" s="2">
        <f t="shared" si="129"/>
        <v>479174066176</v>
      </c>
      <c r="G1382" s="2">
        <f t="shared" si="130"/>
        <v>5014.7968000000001</v>
      </c>
      <c r="H1382" s="2">
        <f t="shared" si="131"/>
        <v>4172310.9375999998</v>
      </c>
    </row>
    <row r="1383" spans="1:8" x14ac:dyDescent="0.35">
      <c r="A1383" s="2">
        <v>832</v>
      </c>
      <c r="B1383" s="2">
        <v>58758</v>
      </c>
      <c r="C1383" s="2">
        <f t="shared" si="126"/>
        <v>5.8757999999999999</v>
      </c>
      <c r="D1383" s="2">
        <f t="shared" si="127"/>
        <v>692224</v>
      </c>
      <c r="E1383" s="2">
        <f t="shared" si="128"/>
        <v>575930368</v>
      </c>
      <c r="F1383" s="2">
        <f t="shared" si="129"/>
        <v>479174066176</v>
      </c>
      <c r="G1383" s="2">
        <f t="shared" si="130"/>
        <v>4888.6656000000003</v>
      </c>
      <c r="H1383" s="2">
        <f t="shared" si="131"/>
        <v>4067369.7791999998</v>
      </c>
    </row>
    <row r="1384" spans="1:8" x14ac:dyDescent="0.35">
      <c r="A1384" s="2">
        <v>832</v>
      </c>
      <c r="B1384" s="2">
        <v>56317</v>
      </c>
      <c r="C1384" s="2">
        <f t="shared" si="126"/>
        <v>5.6317000000000004</v>
      </c>
      <c r="D1384" s="2">
        <f t="shared" si="127"/>
        <v>692224</v>
      </c>
      <c r="E1384" s="2">
        <f t="shared" si="128"/>
        <v>575930368</v>
      </c>
      <c r="F1384" s="2">
        <f t="shared" si="129"/>
        <v>479174066176</v>
      </c>
      <c r="G1384" s="2">
        <f t="shared" si="130"/>
        <v>4685.5744000000004</v>
      </c>
      <c r="H1384" s="2">
        <f t="shared" si="131"/>
        <v>3898397.9008000004</v>
      </c>
    </row>
    <row r="1385" spans="1:8" x14ac:dyDescent="0.35">
      <c r="A1385" s="2">
        <v>832</v>
      </c>
      <c r="B1385" s="2">
        <v>57661</v>
      </c>
      <c r="C1385" s="2">
        <f t="shared" si="126"/>
        <v>5.7660999999999998</v>
      </c>
      <c r="D1385" s="2">
        <f t="shared" si="127"/>
        <v>692224</v>
      </c>
      <c r="E1385" s="2">
        <f t="shared" si="128"/>
        <v>575930368</v>
      </c>
      <c r="F1385" s="2">
        <f t="shared" si="129"/>
        <v>479174066176</v>
      </c>
      <c r="G1385" s="2">
        <f t="shared" si="130"/>
        <v>4797.3951999999999</v>
      </c>
      <c r="H1385" s="2">
        <f t="shared" si="131"/>
        <v>3991432.8063999997</v>
      </c>
    </row>
    <row r="1386" spans="1:8" x14ac:dyDescent="0.35">
      <c r="A1386" s="2">
        <v>832</v>
      </c>
      <c r="B1386" s="2">
        <v>55206</v>
      </c>
      <c r="C1386" s="2">
        <f t="shared" si="126"/>
        <v>5.5206</v>
      </c>
      <c r="D1386" s="2">
        <f t="shared" si="127"/>
        <v>692224</v>
      </c>
      <c r="E1386" s="2">
        <f t="shared" si="128"/>
        <v>575930368</v>
      </c>
      <c r="F1386" s="2">
        <f t="shared" si="129"/>
        <v>479174066176</v>
      </c>
      <c r="G1386" s="2">
        <f t="shared" si="130"/>
        <v>4593.1391999999996</v>
      </c>
      <c r="H1386" s="2">
        <f t="shared" si="131"/>
        <v>3821491.8144</v>
      </c>
    </row>
    <row r="1387" spans="1:8" x14ac:dyDescent="0.35">
      <c r="A1387" s="2">
        <v>832</v>
      </c>
      <c r="B1387" s="2">
        <v>58122</v>
      </c>
      <c r="C1387" s="2">
        <f t="shared" si="126"/>
        <v>5.8121999999999998</v>
      </c>
      <c r="D1387" s="2">
        <f t="shared" si="127"/>
        <v>692224</v>
      </c>
      <c r="E1387" s="2">
        <f t="shared" si="128"/>
        <v>575930368</v>
      </c>
      <c r="F1387" s="2">
        <f t="shared" si="129"/>
        <v>479174066176</v>
      </c>
      <c r="G1387" s="2">
        <f t="shared" si="130"/>
        <v>4835.7503999999999</v>
      </c>
      <c r="H1387" s="2">
        <f t="shared" si="131"/>
        <v>4023344.3328</v>
      </c>
    </row>
    <row r="1388" spans="1:8" x14ac:dyDescent="0.35">
      <c r="A1388" s="2">
        <v>832</v>
      </c>
      <c r="B1388" s="2">
        <v>61950</v>
      </c>
      <c r="C1388" s="2">
        <f t="shared" si="126"/>
        <v>6.1950000000000003</v>
      </c>
      <c r="D1388" s="2">
        <f t="shared" si="127"/>
        <v>692224</v>
      </c>
      <c r="E1388" s="2">
        <f t="shared" si="128"/>
        <v>575930368</v>
      </c>
      <c r="F1388" s="2">
        <f t="shared" si="129"/>
        <v>479174066176</v>
      </c>
      <c r="G1388" s="2">
        <f t="shared" si="130"/>
        <v>5154.24</v>
      </c>
      <c r="H1388" s="2">
        <f t="shared" si="131"/>
        <v>4288327.6800000006</v>
      </c>
    </row>
    <row r="1389" spans="1:8" x14ac:dyDescent="0.35">
      <c r="A1389" s="2">
        <v>832</v>
      </c>
      <c r="B1389" s="2">
        <v>62573</v>
      </c>
      <c r="C1389" s="2">
        <f t="shared" si="126"/>
        <v>6.2572999999999999</v>
      </c>
      <c r="D1389" s="2">
        <f t="shared" si="127"/>
        <v>692224</v>
      </c>
      <c r="E1389" s="2">
        <f t="shared" si="128"/>
        <v>575930368</v>
      </c>
      <c r="F1389" s="2">
        <f t="shared" si="129"/>
        <v>479174066176</v>
      </c>
      <c r="G1389" s="2">
        <f t="shared" si="130"/>
        <v>5206.0735999999997</v>
      </c>
      <c r="H1389" s="2">
        <f t="shared" si="131"/>
        <v>4331453.2352</v>
      </c>
    </row>
    <row r="1390" spans="1:8" x14ac:dyDescent="0.35">
      <c r="A1390" s="2">
        <v>832</v>
      </c>
      <c r="B1390" s="2">
        <v>64635</v>
      </c>
      <c r="C1390" s="2">
        <f t="shared" si="126"/>
        <v>6.4634999999999998</v>
      </c>
      <c r="D1390" s="2">
        <f t="shared" si="127"/>
        <v>692224</v>
      </c>
      <c r="E1390" s="2">
        <f t="shared" si="128"/>
        <v>575930368</v>
      </c>
      <c r="F1390" s="2">
        <f t="shared" si="129"/>
        <v>479174066176</v>
      </c>
      <c r="G1390" s="2">
        <f t="shared" si="130"/>
        <v>5377.6319999999996</v>
      </c>
      <c r="H1390" s="2">
        <f t="shared" si="131"/>
        <v>4474189.824</v>
      </c>
    </row>
    <row r="1391" spans="1:8" x14ac:dyDescent="0.35">
      <c r="A1391" s="2">
        <v>832</v>
      </c>
      <c r="B1391" s="2">
        <v>55810</v>
      </c>
      <c r="C1391" s="2">
        <f t="shared" si="126"/>
        <v>5.5810000000000004</v>
      </c>
      <c r="D1391" s="2">
        <f t="shared" si="127"/>
        <v>692224</v>
      </c>
      <c r="E1391" s="2">
        <f t="shared" si="128"/>
        <v>575930368</v>
      </c>
      <c r="F1391" s="2">
        <f t="shared" si="129"/>
        <v>479174066176</v>
      </c>
      <c r="G1391" s="2">
        <f t="shared" si="130"/>
        <v>4643.3920000000007</v>
      </c>
      <c r="H1391" s="2">
        <f t="shared" si="131"/>
        <v>3863302.1440000003</v>
      </c>
    </row>
    <row r="1392" spans="1:8" x14ac:dyDescent="0.35">
      <c r="A1392" s="2">
        <v>832</v>
      </c>
      <c r="B1392" s="2">
        <v>58494</v>
      </c>
      <c r="C1392" s="2">
        <f t="shared" si="126"/>
        <v>5.8494000000000002</v>
      </c>
      <c r="D1392" s="2">
        <f t="shared" si="127"/>
        <v>692224</v>
      </c>
      <c r="E1392" s="2">
        <f t="shared" si="128"/>
        <v>575930368</v>
      </c>
      <c r="F1392" s="2">
        <f t="shared" si="129"/>
        <v>479174066176</v>
      </c>
      <c r="G1392" s="2">
        <f t="shared" si="130"/>
        <v>4866.7008000000005</v>
      </c>
      <c r="H1392" s="2">
        <f t="shared" si="131"/>
        <v>4049095.0656000003</v>
      </c>
    </row>
    <row r="1393" spans="1:8" x14ac:dyDescent="0.35">
      <c r="A1393" s="2">
        <v>832</v>
      </c>
      <c r="B1393" s="2">
        <v>62700</v>
      </c>
      <c r="C1393" s="2">
        <f t="shared" si="126"/>
        <v>6.27</v>
      </c>
      <c r="D1393" s="2">
        <f t="shared" si="127"/>
        <v>692224</v>
      </c>
      <c r="E1393" s="2">
        <f t="shared" si="128"/>
        <v>575930368</v>
      </c>
      <c r="F1393" s="2">
        <f t="shared" si="129"/>
        <v>479174066176</v>
      </c>
      <c r="G1393" s="2">
        <f t="shared" si="130"/>
        <v>5216.6399999999994</v>
      </c>
      <c r="H1393" s="2">
        <f t="shared" si="131"/>
        <v>4340244.4799999995</v>
      </c>
    </row>
    <row r="1394" spans="1:8" x14ac:dyDescent="0.35">
      <c r="A1394" s="2">
        <v>832</v>
      </c>
      <c r="B1394" s="2">
        <v>66317</v>
      </c>
      <c r="C1394" s="2">
        <f t="shared" si="126"/>
        <v>6.6317000000000004</v>
      </c>
      <c r="D1394" s="2">
        <f t="shared" si="127"/>
        <v>692224</v>
      </c>
      <c r="E1394" s="2">
        <f t="shared" si="128"/>
        <v>575930368</v>
      </c>
      <c r="F1394" s="2">
        <f t="shared" si="129"/>
        <v>479174066176</v>
      </c>
      <c r="G1394" s="2">
        <f t="shared" si="130"/>
        <v>5517.5744000000004</v>
      </c>
      <c r="H1394" s="2">
        <f t="shared" si="131"/>
        <v>4590621.9007999999</v>
      </c>
    </row>
    <row r="1395" spans="1:8" x14ac:dyDescent="0.35">
      <c r="A1395" s="2">
        <v>832</v>
      </c>
      <c r="B1395" s="2">
        <v>63074</v>
      </c>
      <c r="C1395" s="2">
        <f t="shared" si="126"/>
        <v>6.3074000000000003</v>
      </c>
      <c r="D1395" s="2">
        <f t="shared" si="127"/>
        <v>692224</v>
      </c>
      <c r="E1395" s="2">
        <f t="shared" si="128"/>
        <v>575930368</v>
      </c>
      <c r="F1395" s="2">
        <f t="shared" si="129"/>
        <v>479174066176</v>
      </c>
      <c r="G1395" s="2">
        <f t="shared" si="130"/>
        <v>5247.7568000000001</v>
      </c>
      <c r="H1395" s="2">
        <f t="shared" si="131"/>
        <v>4366133.6576000005</v>
      </c>
    </row>
    <row r="1396" spans="1:8" x14ac:dyDescent="0.35">
      <c r="A1396" s="2">
        <v>832</v>
      </c>
      <c r="B1396" s="2">
        <v>62772</v>
      </c>
      <c r="C1396" s="2">
        <f t="shared" si="126"/>
        <v>6.2771999999999997</v>
      </c>
      <c r="D1396" s="2">
        <f t="shared" si="127"/>
        <v>692224</v>
      </c>
      <c r="E1396" s="2">
        <f t="shared" si="128"/>
        <v>575930368</v>
      </c>
      <c r="F1396" s="2">
        <f t="shared" si="129"/>
        <v>479174066176</v>
      </c>
      <c r="G1396" s="2">
        <f t="shared" si="130"/>
        <v>5222.6304</v>
      </c>
      <c r="H1396" s="2">
        <f t="shared" si="131"/>
        <v>4345228.4928000001</v>
      </c>
    </row>
    <row r="1397" spans="1:8" x14ac:dyDescent="0.35">
      <c r="A1397" s="2">
        <v>832</v>
      </c>
      <c r="B1397" s="2">
        <v>66240</v>
      </c>
      <c r="C1397" s="2">
        <f t="shared" si="126"/>
        <v>6.6239999999999997</v>
      </c>
      <c r="D1397" s="2">
        <f t="shared" si="127"/>
        <v>692224</v>
      </c>
      <c r="E1397" s="2">
        <f t="shared" si="128"/>
        <v>575930368</v>
      </c>
      <c r="F1397" s="2">
        <f t="shared" si="129"/>
        <v>479174066176</v>
      </c>
      <c r="G1397" s="2">
        <f t="shared" si="130"/>
        <v>5511.1679999999997</v>
      </c>
      <c r="H1397" s="2">
        <f t="shared" si="131"/>
        <v>4585291.7759999996</v>
      </c>
    </row>
    <row r="1398" spans="1:8" x14ac:dyDescent="0.35">
      <c r="A1398" s="2">
        <v>832</v>
      </c>
      <c r="B1398" s="2">
        <v>61949</v>
      </c>
      <c r="C1398" s="2">
        <f t="shared" si="126"/>
        <v>6.1948999999999996</v>
      </c>
      <c r="D1398" s="2">
        <f t="shared" si="127"/>
        <v>692224</v>
      </c>
      <c r="E1398" s="2">
        <f t="shared" si="128"/>
        <v>575930368</v>
      </c>
      <c r="F1398" s="2">
        <f t="shared" si="129"/>
        <v>479174066176</v>
      </c>
      <c r="G1398" s="2">
        <f t="shared" si="130"/>
        <v>5154.1567999999997</v>
      </c>
      <c r="H1398" s="2">
        <f t="shared" si="131"/>
        <v>4288258.4575999994</v>
      </c>
    </row>
    <row r="1399" spans="1:8" x14ac:dyDescent="0.35">
      <c r="A1399" s="2">
        <v>832</v>
      </c>
      <c r="B1399" s="2">
        <v>67941</v>
      </c>
      <c r="C1399" s="2">
        <f t="shared" si="126"/>
        <v>6.7941000000000003</v>
      </c>
      <c r="D1399" s="2">
        <f t="shared" si="127"/>
        <v>692224</v>
      </c>
      <c r="E1399" s="2">
        <f t="shared" si="128"/>
        <v>575930368</v>
      </c>
      <c r="F1399" s="2">
        <f t="shared" si="129"/>
        <v>479174066176</v>
      </c>
      <c r="G1399" s="2">
        <f t="shared" si="130"/>
        <v>5652.6912000000002</v>
      </c>
      <c r="H1399" s="2">
        <f t="shared" si="131"/>
        <v>4703039.0784</v>
      </c>
    </row>
    <row r="1400" spans="1:8" x14ac:dyDescent="0.35">
      <c r="A1400" s="2">
        <v>832</v>
      </c>
      <c r="B1400" s="2">
        <v>61219</v>
      </c>
      <c r="C1400" s="2">
        <f t="shared" si="126"/>
        <v>6.1219000000000001</v>
      </c>
      <c r="D1400" s="2">
        <f t="shared" si="127"/>
        <v>692224</v>
      </c>
      <c r="E1400" s="2">
        <f t="shared" si="128"/>
        <v>575930368</v>
      </c>
      <c r="F1400" s="2">
        <f t="shared" si="129"/>
        <v>479174066176</v>
      </c>
      <c r="G1400" s="2">
        <f t="shared" si="130"/>
        <v>5093.4207999999999</v>
      </c>
      <c r="H1400" s="2">
        <f t="shared" si="131"/>
        <v>4237726.1056000004</v>
      </c>
    </row>
    <row r="1401" spans="1:8" x14ac:dyDescent="0.35">
      <c r="A1401" s="2">
        <v>832</v>
      </c>
      <c r="B1401" s="2">
        <v>60452</v>
      </c>
      <c r="C1401" s="2">
        <f t="shared" si="126"/>
        <v>6.0452000000000004</v>
      </c>
      <c r="D1401" s="2">
        <f t="shared" si="127"/>
        <v>692224</v>
      </c>
      <c r="E1401" s="2">
        <f t="shared" si="128"/>
        <v>575930368</v>
      </c>
      <c r="F1401" s="2">
        <f t="shared" si="129"/>
        <v>479174066176</v>
      </c>
      <c r="G1401" s="2">
        <f t="shared" si="130"/>
        <v>5029.6064000000006</v>
      </c>
      <c r="H1401" s="2">
        <f t="shared" si="131"/>
        <v>4184632.5248000002</v>
      </c>
    </row>
    <row r="1402" spans="1:8" x14ac:dyDescent="0.35">
      <c r="A1402" s="2">
        <v>832</v>
      </c>
      <c r="B1402" s="2">
        <v>68133</v>
      </c>
      <c r="C1402" s="2">
        <f t="shared" si="126"/>
        <v>6.8132999999999999</v>
      </c>
      <c r="D1402" s="2">
        <f t="shared" si="127"/>
        <v>692224</v>
      </c>
      <c r="E1402" s="2">
        <f t="shared" si="128"/>
        <v>575930368</v>
      </c>
      <c r="F1402" s="2">
        <f t="shared" si="129"/>
        <v>479174066176</v>
      </c>
      <c r="G1402" s="2">
        <f t="shared" si="130"/>
        <v>5668.6656000000003</v>
      </c>
      <c r="H1402" s="2">
        <f t="shared" si="131"/>
        <v>4716329.7791999998</v>
      </c>
    </row>
    <row r="1403" spans="1:8" x14ac:dyDescent="0.35">
      <c r="A1403" s="2">
        <v>832</v>
      </c>
      <c r="B1403" s="2">
        <v>66342</v>
      </c>
      <c r="C1403" s="2">
        <f t="shared" si="126"/>
        <v>6.6341999999999999</v>
      </c>
      <c r="D1403" s="2">
        <f t="shared" si="127"/>
        <v>692224</v>
      </c>
      <c r="E1403" s="2">
        <f t="shared" si="128"/>
        <v>575930368</v>
      </c>
      <c r="F1403" s="2">
        <f t="shared" si="129"/>
        <v>479174066176</v>
      </c>
      <c r="G1403" s="2">
        <f t="shared" si="130"/>
        <v>5519.6543999999994</v>
      </c>
      <c r="H1403" s="2">
        <f t="shared" si="131"/>
        <v>4592352.4607999995</v>
      </c>
    </row>
    <row r="1404" spans="1:8" x14ac:dyDescent="0.35">
      <c r="A1404" s="2">
        <v>832</v>
      </c>
      <c r="B1404" s="2">
        <v>63148</v>
      </c>
      <c r="C1404" s="2">
        <f t="shared" si="126"/>
        <v>6.3148</v>
      </c>
      <c r="D1404" s="2">
        <f t="shared" si="127"/>
        <v>692224</v>
      </c>
      <c r="E1404" s="2">
        <f t="shared" si="128"/>
        <v>575930368</v>
      </c>
      <c r="F1404" s="2">
        <f t="shared" si="129"/>
        <v>479174066176</v>
      </c>
      <c r="G1404" s="2">
        <f t="shared" si="130"/>
        <v>5253.9135999999999</v>
      </c>
      <c r="H1404" s="2">
        <f t="shared" si="131"/>
        <v>4371256.1151999999</v>
      </c>
    </row>
    <row r="1405" spans="1:8" x14ac:dyDescent="0.35">
      <c r="A1405" s="2">
        <v>832</v>
      </c>
      <c r="B1405" s="2">
        <v>66785</v>
      </c>
      <c r="C1405" s="2">
        <f t="shared" si="126"/>
        <v>6.6784999999999997</v>
      </c>
      <c r="D1405" s="2">
        <f t="shared" si="127"/>
        <v>692224</v>
      </c>
      <c r="E1405" s="2">
        <f t="shared" si="128"/>
        <v>575930368</v>
      </c>
      <c r="F1405" s="2">
        <f t="shared" si="129"/>
        <v>479174066176</v>
      </c>
      <c r="G1405" s="2">
        <f t="shared" si="130"/>
        <v>5556.5119999999997</v>
      </c>
      <c r="H1405" s="2">
        <f t="shared" si="131"/>
        <v>4623017.9840000002</v>
      </c>
    </row>
    <row r="1406" spans="1:8" x14ac:dyDescent="0.35">
      <c r="A1406" s="2">
        <v>832</v>
      </c>
      <c r="B1406" s="2">
        <v>67797</v>
      </c>
      <c r="C1406" s="2">
        <f t="shared" si="126"/>
        <v>6.7797000000000001</v>
      </c>
      <c r="D1406" s="2">
        <f t="shared" si="127"/>
        <v>692224</v>
      </c>
      <c r="E1406" s="2">
        <f t="shared" si="128"/>
        <v>575930368</v>
      </c>
      <c r="F1406" s="2">
        <f t="shared" si="129"/>
        <v>479174066176</v>
      </c>
      <c r="G1406" s="2">
        <f t="shared" si="130"/>
        <v>5640.7103999999999</v>
      </c>
      <c r="H1406" s="2">
        <f t="shared" si="131"/>
        <v>4693071.0527999997</v>
      </c>
    </row>
    <row r="1407" spans="1:8" x14ac:dyDescent="0.35">
      <c r="A1407" s="2">
        <v>2051</v>
      </c>
      <c r="B1407" s="2">
        <v>30364</v>
      </c>
      <c r="C1407" s="2">
        <f t="shared" si="126"/>
        <v>3.0364</v>
      </c>
      <c r="D1407" s="2">
        <f t="shared" si="127"/>
        <v>4206601</v>
      </c>
      <c r="E1407" s="2">
        <f t="shared" si="128"/>
        <v>8627738651</v>
      </c>
      <c r="F1407" s="2">
        <f t="shared" si="129"/>
        <v>17695491973201</v>
      </c>
      <c r="G1407" s="2">
        <f t="shared" si="130"/>
        <v>6227.6563999999998</v>
      </c>
      <c r="H1407" s="2">
        <f t="shared" si="131"/>
        <v>12772923.2764</v>
      </c>
    </row>
    <row r="1408" spans="1:8" x14ac:dyDescent="0.35">
      <c r="A1408" s="2">
        <v>2051</v>
      </c>
      <c r="B1408" s="2">
        <v>31802</v>
      </c>
      <c r="C1408" s="2">
        <f t="shared" si="126"/>
        <v>3.1802000000000001</v>
      </c>
      <c r="D1408" s="2">
        <f t="shared" si="127"/>
        <v>4206601</v>
      </c>
      <c r="E1408" s="2">
        <f t="shared" si="128"/>
        <v>8627738651</v>
      </c>
      <c r="F1408" s="2">
        <f t="shared" si="129"/>
        <v>17695491973201</v>
      </c>
      <c r="G1408" s="2">
        <f t="shared" si="130"/>
        <v>6522.5902000000006</v>
      </c>
      <c r="H1408" s="2">
        <f t="shared" si="131"/>
        <v>13377832.5002</v>
      </c>
    </row>
    <row r="1409" spans="1:8" x14ac:dyDescent="0.35">
      <c r="A1409" s="2">
        <v>2051</v>
      </c>
      <c r="B1409" s="2">
        <v>20668</v>
      </c>
      <c r="C1409" s="2">
        <f t="shared" si="126"/>
        <v>2.0668000000000002</v>
      </c>
      <c r="D1409" s="2">
        <f t="shared" si="127"/>
        <v>4206601</v>
      </c>
      <c r="E1409" s="2">
        <f t="shared" si="128"/>
        <v>8627738651</v>
      </c>
      <c r="F1409" s="2">
        <f t="shared" si="129"/>
        <v>17695491973201</v>
      </c>
      <c r="G1409" s="2">
        <f t="shared" si="130"/>
        <v>4239.0068000000001</v>
      </c>
      <c r="H1409" s="2">
        <f t="shared" si="131"/>
        <v>8694202.946800001</v>
      </c>
    </row>
    <row r="1410" spans="1:8" x14ac:dyDescent="0.35">
      <c r="A1410" s="2">
        <v>2051</v>
      </c>
      <c r="B1410" s="2">
        <v>33506</v>
      </c>
      <c r="C1410" s="2">
        <f t="shared" si="126"/>
        <v>3.3506</v>
      </c>
      <c r="D1410" s="2">
        <f t="shared" si="127"/>
        <v>4206601</v>
      </c>
      <c r="E1410" s="2">
        <f t="shared" si="128"/>
        <v>8627738651</v>
      </c>
      <c r="F1410" s="2">
        <f t="shared" si="129"/>
        <v>17695491973201</v>
      </c>
      <c r="G1410" s="2">
        <f t="shared" si="130"/>
        <v>6872.0806000000002</v>
      </c>
      <c r="H1410" s="2">
        <f t="shared" si="131"/>
        <v>14094637.3106</v>
      </c>
    </row>
    <row r="1411" spans="1:8" x14ac:dyDescent="0.35">
      <c r="A1411" s="2">
        <v>2051</v>
      </c>
      <c r="B1411" s="2">
        <v>23656</v>
      </c>
      <c r="C1411" s="2">
        <f t="shared" ref="C1411:C1474" si="132">B1411/10000</f>
        <v>2.3656000000000001</v>
      </c>
      <c r="D1411" s="2">
        <f t="shared" ref="D1411:D1474" si="133">A1411^2</f>
        <v>4206601</v>
      </c>
      <c r="E1411" s="2">
        <f t="shared" ref="E1411:E1474" si="134">A1411^3</f>
        <v>8627738651</v>
      </c>
      <c r="F1411" s="2">
        <f t="shared" ref="F1411:F1474" si="135">A1411^4</f>
        <v>17695491973201</v>
      </c>
      <c r="G1411" s="2">
        <f t="shared" ref="G1411:G1474" si="136">A1411*C1411</f>
        <v>4851.8456000000006</v>
      </c>
      <c r="H1411" s="2">
        <f t="shared" ref="H1411:H1474" si="137">D1411*C1411</f>
        <v>9951135.3256000001</v>
      </c>
    </row>
    <row r="1412" spans="1:8" x14ac:dyDescent="0.35">
      <c r="A1412" s="2">
        <v>2051</v>
      </c>
      <c r="B1412" s="2">
        <v>27019</v>
      </c>
      <c r="C1412" s="2">
        <f t="shared" si="132"/>
        <v>2.7019000000000002</v>
      </c>
      <c r="D1412" s="2">
        <f t="shared" si="133"/>
        <v>4206601</v>
      </c>
      <c r="E1412" s="2">
        <f t="shared" si="134"/>
        <v>8627738651</v>
      </c>
      <c r="F1412" s="2">
        <f t="shared" si="135"/>
        <v>17695491973201</v>
      </c>
      <c r="G1412" s="2">
        <f t="shared" si="136"/>
        <v>5541.5969000000005</v>
      </c>
      <c r="H1412" s="2">
        <f t="shared" si="137"/>
        <v>11365815.241900001</v>
      </c>
    </row>
    <row r="1413" spans="1:8" x14ac:dyDescent="0.35">
      <c r="A1413" s="2">
        <v>2051</v>
      </c>
      <c r="B1413" s="2">
        <v>23981</v>
      </c>
      <c r="C1413" s="2">
        <f t="shared" si="132"/>
        <v>2.3980999999999999</v>
      </c>
      <c r="D1413" s="2">
        <f t="shared" si="133"/>
        <v>4206601</v>
      </c>
      <c r="E1413" s="2">
        <f t="shared" si="134"/>
        <v>8627738651</v>
      </c>
      <c r="F1413" s="2">
        <f t="shared" si="135"/>
        <v>17695491973201</v>
      </c>
      <c r="G1413" s="2">
        <f t="shared" si="136"/>
        <v>4918.5030999999999</v>
      </c>
      <c r="H1413" s="2">
        <f t="shared" si="137"/>
        <v>10087849.858099999</v>
      </c>
    </row>
    <row r="1414" spans="1:8" x14ac:dyDescent="0.35">
      <c r="A1414" s="2">
        <v>2051</v>
      </c>
      <c r="B1414" s="2">
        <v>31279</v>
      </c>
      <c r="C1414" s="2">
        <f t="shared" si="132"/>
        <v>3.1278999999999999</v>
      </c>
      <c r="D1414" s="2">
        <f t="shared" si="133"/>
        <v>4206601</v>
      </c>
      <c r="E1414" s="2">
        <f t="shared" si="134"/>
        <v>8627738651</v>
      </c>
      <c r="F1414" s="2">
        <f t="shared" si="135"/>
        <v>17695491973201</v>
      </c>
      <c r="G1414" s="2">
        <f t="shared" si="136"/>
        <v>6415.3229000000001</v>
      </c>
      <c r="H1414" s="2">
        <f t="shared" si="137"/>
        <v>13157827.267899999</v>
      </c>
    </row>
    <row r="1415" spans="1:8" x14ac:dyDescent="0.35">
      <c r="A1415" s="2">
        <v>2051</v>
      </c>
      <c r="B1415" s="2">
        <v>29080</v>
      </c>
      <c r="C1415" s="2">
        <f t="shared" si="132"/>
        <v>2.9079999999999999</v>
      </c>
      <c r="D1415" s="2">
        <f t="shared" si="133"/>
        <v>4206601</v>
      </c>
      <c r="E1415" s="2">
        <f t="shared" si="134"/>
        <v>8627738651</v>
      </c>
      <c r="F1415" s="2">
        <f t="shared" si="135"/>
        <v>17695491973201</v>
      </c>
      <c r="G1415" s="2">
        <f t="shared" si="136"/>
        <v>5964.308</v>
      </c>
      <c r="H1415" s="2">
        <f t="shared" si="137"/>
        <v>12232795.708000001</v>
      </c>
    </row>
    <row r="1416" spans="1:8" x14ac:dyDescent="0.35">
      <c r="A1416" s="2">
        <v>2051</v>
      </c>
      <c r="B1416" s="2">
        <v>24308</v>
      </c>
      <c r="C1416" s="2">
        <f t="shared" si="132"/>
        <v>2.4308000000000001</v>
      </c>
      <c r="D1416" s="2">
        <f t="shared" si="133"/>
        <v>4206601</v>
      </c>
      <c r="E1416" s="2">
        <f t="shared" si="134"/>
        <v>8627738651</v>
      </c>
      <c r="F1416" s="2">
        <f t="shared" si="135"/>
        <v>17695491973201</v>
      </c>
      <c r="G1416" s="2">
        <f t="shared" si="136"/>
        <v>4985.5708000000004</v>
      </c>
      <c r="H1416" s="2">
        <f t="shared" si="137"/>
        <v>10225405.7108</v>
      </c>
    </row>
    <row r="1417" spans="1:8" x14ac:dyDescent="0.35">
      <c r="A1417" s="2">
        <v>2051</v>
      </c>
      <c r="B1417" s="2">
        <v>14286</v>
      </c>
      <c r="C1417" s="2">
        <f t="shared" si="132"/>
        <v>1.4286000000000001</v>
      </c>
      <c r="D1417" s="2">
        <f t="shared" si="133"/>
        <v>4206601</v>
      </c>
      <c r="E1417" s="2">
        <f t="shared" si="134"/>
        <v>8627738651</v>
      </c>
      <c r="F1417" s="2">
        <f t="shared" si="135"/>
        <v>17695491973201</v>
      </c>
      <c r="G1417" s="2">
        <f t="shared" si="136"/>
        <v>2930.0586000000003</v>
      </c>
      <c r="H1417" s="2">
        <f t="shared" si="137"/>
        <v>6009550.1886</v>
      </c>
    </row>
    <row r="1418" spans="1:8" x14ac:dyDescent="0.35">
      <c r="A1418" s="2">
        <v>2051</v>
      </c>
      <c r="B1418" s="2">
        <v>16111</v>
      </c>
      <c r="C1418" s="2">
        <f t="shared" si="132"/>
        <v>1.6111</v>
      </c>
      <c r="D1418" s="2">
        <f t="shared" si="133"/>
        <v>4206601</v>
      </c>
      <c r="E1418" s="2">
        <f t="shared" si="134"/>
        <v>8627738651</v>
      </c>
      <c r="F1418" s="2">
        <f t="shared" si="135"/>
        <v>17695491973201</v>
      </c>
      <c r="G1418" s="2">
        <f t="shared" si="136"/>
        <v>3304.3660999999997</v>
      </c>
      <c r="H1418" s="2">
        <f t="shared" si="137"/>
        <v>6777254.8711000001</v>
      </c>
    </row>
    <row r="1419" spans="1:8" x14ac:dyDescent="0.35">
      <c r="A1419" s="2">
        <v>2051</v>
      </c>
      <c r="B1419" s="2">
        <v>18750</v>
      </c>
      <c r="C1419" s="2">
        <f t="shared" si="132"/>
        <v>1.875</v>
      </c>
      <c r="D1419" s="2">
        <f t="shared" si="133"/>
        <v>4206601</v>
      </c>
      <c r="E1419" s="2">
        <f t="shared" si="134"/>
        <v>8627738651</v>
      </c>
      <c r="F1419" s="2">
        <f t="shared" si="135"/>
        <v>17695491973201</v>
      </c>
      <c r="G1419" s="2">
        <f t="shared" si="136"/>
        <v>3845.625</v>
      </c>
      <c r="H1419" s="2">
        <f t="shared" si="137"/>
        <v>7887376.875</v>
      </c>
    </row>
    <row r="1420" spans="1:8" x14ac:dyDescent="0.35">
      <c r="A1420" s="2">
        <v>2051</v>
      </c>
      <c r="B1420" s="2">
        <v>10690</v>
      </c>
      <c r="C1420" s="2">
        <f t="shared" si="132"/>
        <v>1.069</v>
      </c>
      <c r="D1420" s="2">
        <f t="shared" si="133"/>
        <v>4206601</v>
      </c>
      <c r="E1420" s="2">
        <f t="shared" si="134"/>
        <v>8627738651</v>
      </c>
      <c r="F1420" s="2">
        <f t="shared" si="135"/>
        <v>17695491973201</v>
      </c>
      <c r="G1420" s="2">
        <f t="shared" si="136"/>
        <v>2192.5189999999998</v>
      </c>
      <c r="H1420" s="2">
        <f t="shared" si="137"/>
        <v>4496856.4689999996</v>
      </c>
    </row>
    <row r="1421" spans="1:8" x14ac:dyDescent="0.35">
      <c r="A1421" s="2">
        <v>2051</v>
      </c>
      <c r="B1421" s="2">
        <v>9231</v>
      </c>
      <c r="C1421" s="2">
        <f t="shared" si="132"/>
        <v>0.92310000000000003</v>
      </c>
      <c r="D1421" s="2">
        <f t="shared" si="133"/>
        <v>4206601</v>
      </c>
      <c r="E1421" s="2">
        <f t="shared" si="134"/>
        <v>8627738651</v>
      </c>
      <c r="F1421" s="2">
        <f t="shared" si="135"/>
        <v>17695491973201</v>
      </c>
      <c r="G1421" s="2">
        <f t="shared" si="136"/>
        <v>1893.2781</v>
      </c>
      <c r="H1421" s="2">
        <f t="shared" si="137"/>
        <v>3883113.3831000002</v>
      </c>
    </row>
    <row r="1422" spans="1:8" x14ac:dyDescent="0.35">
      <c r="A1422" s="2">
        <v>2051</v>
      </c>
      <c r="B1422" s="2">
        <v>13750</v>
      </c>
      <c r="C1422" s="2">
        <f t="shared" si="132"/>
        <v>1.375</v>
      </c>
      <c r="D1422" s="2">
        <f t="shared" si="133"/>
        <v>4206601</v>
      </c>
      <c r="E1422" s="2">
        <f t="shared" si="134"/>
        <v>8627738651</v>
      </c>
      <c r="F1422" s="2">
        <f t="shared" si="135"/>
        <v>17695491973201</v>
      </c>
      <c r="G1422" s="2">
        <f t="shared" si="136"/>
        <v>2820.125</v>
      </c>
      <c r="H1422" s="2">
        <f t="shared" si="137"/>
        <v>5784076.375</v>
      </c>
    </row>
    <row r="1423" spans="1:8" x14ac:dyDescent="0.35">
      <c r="A1423" s="2">
        <v>2051</v>
      </c>
      <c r="B1423" s="2">
        <v>9091</v>
      </c>
      <c r="C1423" s="2">
        <f t="shared" si="132"/>
        <v>0.90910000000000002</v>
      </c>
      <c r="D1423" s="2">
        <f t="shared" si="133"/>
        <v>4206601</v>
      </c>
      <c r="E1423" s="2">
        <f t="shared" si="134"/>
        <v>8627738651</v>
      </c>
      <c r="F1423" s="2">
        <f t="shared" si="135"/>
        <v>17695491973201</v>
      </c>
      <c r="G1423" s="2">
        <f t="shared" si="136"/>
        <v>1864.5641000000001</v>
      </c>
      <c r="H1423" s="2">
        <f t="shared" si="137"/>
        <v>3824220.9690999999</v>
      </c>
    </row>
    <row r="1424" spans="1:8" x14ac:dyDescent="0.35">
      <c r="A1424" s="2">
        <v>2051</v>
      </c>
      <c r="B1424" s="2">
        <v>14286</v>
      </c>
      <c r="C1424" s="2">
        <f t="shared" si="132"/>
        <v>1.4286000000000001</v>
      </c>
      <c r="D1424" s="2">
        <f t="shared" si="133"/>
        <v>4206601</v>
      </c>
      <c r="E1424" s="2">
        <f t="shared" si="134"/>
        <v>8627738651</v>
      </c>
      <c r="F1424" s="2">
        <f t="shared" si="135"/>
        <v>17695491973201</v>
      </c>
      <c r="G1424" s="2">
        <f t="shared" si="136"/>
        <v>2930.0586000000003</v>
      </c>
      <c r="H1424" s="2">
        <f t="shared" si="137"/>
        <v>6009550.1886</v>
      </c>
    </row>
    <row r="1425" spans="1:8" x14ac:dyDescent="0.35">
      <c r="A1425" s="2">
        <v>2051</v>
      </c>
      <c r="B1425" s="2">
        <v>30000</v>
      </c>
      <c r="C1425" s="2">
        <f t="shared" si="132"/>
        <v>3</v>
      </c>
      <c r="D1425" s="2">
        <f t="shared" si="133"/>
        <v>4206601</v>
      </c>
      <c r="E1425" s="2">
        <f t="shared" si="134"/>
        <v>8627738651</v>
      </c>
      <c r="F1425" s="2">
        <f t="shared" si="135"/>
        <v>17695491973201</v>
      </c>
      <c r="G1425" s="2">
        <f t="shared" si="136"/>
        <v>6153</v>
      </c>
      <c r="H1425" s="2">
        <f t="shared" si="137"/>
        <v>12619803</v>
      </c>
    </row>
    <row r="1426" spans="1:8" x14ac:dyDescent="0.35">
      <c r="A1426" s="2">
        <v>2051</v>
      </c>
      <c r="B1426" s="2">
        <v>20000</v>
      </c>
      <c r="C1426" s="2">
        <f t="shared" si="132"/>
        <v>2</v>
      </c>
      <c r="D1426" s="2">
        <f t="shared" si="133"/>
        <v>4206601</v>
      </c>
      <c r="E1426" s="2">
        <f t="shared" si="134"/>
        <v>8627738651</v>
      </c>
      <c r="F1426" s="2">
        <f t="shared" si="135"/>
        <v>17695491973201</v>
      </c>
      <c r="G1426" s="2">
        <f t="shared" si="136"/>
        <v>4102</v>
      </c>
      <c r="H1426" s="2">
        <f t="shared" si="137"/>
        <v>8413202</v>
      </c>
    </row>
    <row r="1427" spans="1:8" x14ac:dyDescent="0.35">
      <c r="A1427" s="2">
        <v>2051</v>
      </c>
      <c r="B1427" s="2">
        <v>29545</v>
      </c>
      <c r="C1427" s="2">
        <f t="shared" si="132"/>
        <v>2.9544999999999999</v>
      </c>
      <c r="D1427" s="2">
        <f t="shared" si="133"/>
        <v>4206601</v>
      </c>
      <c r="E1427" s="2">
        <f t="shared" si="134"/>
        <v>8627738651</v>
      </c>
      <c r="F1427" s="2">
        <f t="shared" si="135"/>
        <v>17695491973201</v>
      </c>
      <c r="G1427" s="2">
        <f t="shared" si="136"/>
        <v>6059.6795000000002</v>
      </c>
      <c r="H1427" s="2">
        <f t="shared" si="137"/>
        <v>12428402.6545</v>
      </c>
    </row>
    <row r="1428" spans="1:8" x14ac:dyDescent="0.35">
      <c r="A1428" s="2">
        <v>2051</v>
      </c>
      <c r="B1428" s="2">
        <v>33333</v>
      </c>
      <c r="C1428" s="2">
        <f t="shared" si="132"/>
        <v>3.3332999999999999</v>
      </c>
      <c r="D1428" s="2">
        <f t="shared" si="133"/>
        <v>4206601</v>
      </c>
      <c r="E1428" s="2">
        <f t="shared" si="134"/>
        <v>8627738651</v>
      </c>
      <c r="F1428" s="2">
        <f t="shared" si="135"/>
        <v>17695491973201</v>
      </c>
      <c r="G1428" s="2">
        <f t="shared" si="136"/>
        <v>6836.5982999999997</v>
      </c>
      <c r="H1428" s="2">
        <f t="shared" si="137"/>
        <v>14021863.113299999</v>
      </c>
    </row>
    <row r="1429" spans="1:8" x14ac:dyDescent="0.35">
      <c r="A1429" s="2">
        <v>2051</v>
      </c>
      <c r="B1429" s="2">
        <v>40541</v>
      </c>
      <c r="C1429" s="2">
        <f t="shared" si="132"/>
        <v>4.0541</v>
      </c>
      <c r="D1429" s="2">
        <f t="shared" si="133"/>
        <v>4206601</v>
      </c>
      <c r="E1429" s="2">
        <f t="shared" si="134"/>
        <v>8627738651</v>
      </c>
      <c r="F1429" s="2">
        <f t="shared" si="135"/>
        <v>17695491973201</v>
      </c>
      <c r="G1429" s="2">
        <f t="shared" si="136"/>
        <v>8314.9591</v>
      </c>
      <c r="H1429" s="2">
        <f t="shared" si="137"/>
        <v>17053981.114100002</v>
      </c>
    </row>
    <row r="1430" spans="1:8" x14ac:dyDescent="0.35">
      <c r="A1430" s="2">
        <v>2051</v>
      </c>
      <c r="B1430" s="2">
        <v>47397</v>
      </c>
      <c r="C1430" s="2">
        <f t="shared" si="132"/>
        <v>4.7397</v>
      </c>
      <c r="D1430" s="2">
        <f t="shared" si="133"/>
        <v>4206601</v>
      </c>
      <c r="E1430" s="2">
        <f t="shared" si="134"/>
        <v>8627738651</v>
      </c>
      <c r="F1430" s="2">
        <f t="shared" si="135"/>
        <v>17695491973201</v>
      </c>
      <c r="G1430" s="2">
        <f t="shared" si="136"/>
        <v>9721.1247000000003</v>
      </c>
      <c r="H1430" s="2">
        <f t="shared" si="137"/>
        <v>19938026.7597</v>
      </c>
    </row>
    <row r="1431" spans="1:8" x14ac:dyDescent="0.35">
      <c r="A1431" s="2">
        <v>2051</v>
      </c>
      <c r="B1431" s="2">
        <v>53341</v>
      </c>
      <c r="C1431" s="2">
        <f t="shared" si="132"/>
        <v>5.3341000000000003</v>
      </c>
      <c r="D1431" s="2">
        <f t="shared" si="133"/>
        <v>4206601</v>
      </c>
      <c r="E1431" s="2">
        <f t="shared" si="134"/>
        <v>8627738651</v>
      </c>
      <c r="F1431" s="2">
        <f t="shared" si="135"/>
        <v>17695491973201</v>
      </c>
      <c r="G1431" s="2">
        <f t="shared" si="136"/>
        <v>10940.239100000001</v>
      </c>
      <c r="H1431" s="2">
        <f t="shared" si="137"/>
        <v>22438430.394100003</v>
      </c>
    </row>
    <row r="1432" spans="1:8" x14ac:dyDescent="0.35">
      <c r="A1432" s="2">
        <v>2051</v>
      </c>
      <c r="B1432" s="2">
        <v>49023</v>
      </c>
      <c r="C1432" s="2">
        <f t="shared" si="132"/>
        <v>4.9023000000000003</v>
      </c>
      <c r="D1432" s="2">
        <f t="shared" si="133"/>
        <v>4206601</v>
      </c>
      <c r="E1432" s="2">
        <f t="shared" si="134"/>
        <v>8627738651</v>
      </c>
      <c r="F1432" s="2">
        <f t="shared" si="135"/>
        <v>17695491973201</v>
      </c>
      <c r="G1432" s="2">
        <f t="shared" si="136"/>
        <v>10054.6173</v>
      </c>
      <c r="H1432" s="2">
        <f t="shared" si="137"/>
        <v>20622020.0823</v>
      </c>
    </row>
    <row r="1433" spans="1:8" x14ac:dyDescent="0.35">
      <c r="A1433" s="2">
        <v>2051</v>
      </c>
      <c r="B1433" s="2">
        <v>42000</v>
      </c>
      <c r="C1433" s="2">
        <f t="shared" si="132"/>
        <v>4.2</v>
      </c>
      <c r="D1433" s="2">
        <f t="shared" si="133"/>
        <v>4206601</v>
      </c>
      <c r="E1433" s="2">
        <f t="shared" si="134"/>
        <v>8627738651</v>
      </c>
      <c r="F1433" s="2">
        <f t="shared" si="135"/>
        <v>17695491973201</v>
      </c>
      <c r="G1433" s="2">
        <f t="shared" si="136"/>
        <v>8614.2000000000007</v>
      </c>
      <c r="H1433" s="2">
        <f t="shared" si="137"/>
        <v>17667724.199999999</v>
      </c>
    </row>
    <row r="1434" spans="1:8" x14ac:dyDescent="0.35">
      <c r="A1434" s="2">
        <v>2051</v>
      </c>
      <c r="B1434" s="2">
        <v>36667</v>
      </c>
      <c r="C1434" s="2">
        <f t="shared" si="132"/>
        <v>3.6667000000000001</v>
      </c>
      <c r="D1434" s="2">
        <f t="shared" si="133"/>
        <v>4206601</v>
      </c>
      <c r="E1434" s="2">
        <f t="shared" si="134"/>
        <v>8627738651</v>
      </c>
      <c r="F1434" s="2">
        <f t="shared" si="135"/>
        <v>17695491973201</v>
      </c>
      <c r="G1434" s="2">
        <f t="shared" si="136"/>
        <v>7520.4017000000003</v>
      </c>
      <c r="H1434" s="2">
        <f t="shared" si="137"/>
        <v>15424343.886700001</v>
      </c>
    </row>
    <row r="1435" spans="1:8" x14ac:dyDescent="0.35">
      <c r="A1435" s="2">
        <v>2051</v>
      </c>
      <c r="B1435" s="2">
        <v>45000</v>
      </c>
      <c r="C1435" s="2">
        <f t="shared" si="132"/>
        <v>4.5</v>
      </c>
      <c r="D1435" s="2">
        <f t="shared" si="133"/>
        <v>4206601</v>
      </c>
      <c r="E1435" s="2">
        <f t="shared" si="134"/>
        <v>8627738651</v>
      </c>
      <c r="F1435" s="2">
        <f t="shared" si="135"/>
        <v>17695491973201</v>
      </c>
      <c r="G1435" s="2">
        <f t="shared" si="136"/>
        <v>9229.5</v>
      </c>
      <c r="H1435" s="2">
        <f t="shared" si="137"/>
        <v>18929704.5</v>
      </c>
    </row>
    <row r="1436" spans="1:8" x14ac:dyDescent="0.35">
      <c r="A1436" s="2">
        <v>2051</v>
      </c>
      <c r="B1436" s="2">
        <v>45333</v>
      </c>
      <c r="C1436" s="2">
        <f t="shared" si="132"/>
        <v>4.5332999999999997</v>
      </c>
      <c r="D1436" s="2">
        <f t="shared" si="133"/>
        <v>4206601</v>
      </c>
      <c r="E1436" s="2">
        <f t="shared" si="134"/>
        <v>8627738651</v>
      </c>
      <c r="F1436" s="2">
        <f t="shared" si="135"/>
        <v>17695491973201</v>
      </c>
      <c r="G1436" s="2">
        <f t="shared" si="136"/>
        <v>9297.7982999999986</v>
      </c>
      <c r="H1436" s="2">
        <f t="shared" si="137"/>
        <v>19069784.313299999</v>
      </c>
    </row>
    <row r="1437" spans="1:8" x14ac:dyDescent="0.35">
      <c r="A1437" s="2">
        <v>1668</v>
      </c>
      <c r="B1437" s="2">
        <v>62246</v>
      </c>
      <c r="C1437" s="2">
        <f t="shared" si="132"/>
        <v>6.2245999999999997</v>
      </c>
      <c r="D1437" s="2">
        <f t="shared" si="133"/>
        <v>2782224</v>
      </c>
      <c r="E1437" s="2">
        <f t="shared" si="134"/>
        <v>4640749632</v>
      </c>
      <c r="F1437" s="2">
        <f t="shared" si="135"/>
        <v>7740770386176</v>
      </c>
      <c r="G1437" s="2">
        <f t="shared" si="136"/>
        <v>10382.632799999999</v>
      </c>
      <c r="H1437" s="2">
        <f t="shared" si="137"/>
        <v>17318231.510400001</v>
      </c>
    </row>
    <row r="1438" spans="1:8" x14ac:dyDescent="0.35">
      <c r="A1438" s="2">
        <v>1668</v>
      </c>
      <c r="B1438" s="2">
        <v>63218</v>
      </c>
      <c r="C1438" s="2">
        <f t="shared" si="132"/>
        <v>6.3217999999999996</v>
      </c>
      <c r="D1438" s="2">
        <f t="shared" si="133"/>
        <v>2782224</v>
      </c>
      <c r="E1438" s="2">
        <f t="shared" si="134"/>
        <v>4640749632</v>
      </c>
      <c r="F1438" s="2">
        <f t="shared" si="135"/>
        <v>7740770386176</v>
      </c>
      <c r="G1438" s="2">
        <f t="shared" si="136"/>
        <v>10544.7624</v>
      </c>
      <c r="H1438" s="2">
        <f t="shared" si="137"/>
        <v>17588663.683199998</v>
      </c>
    </row>
    <row r="1439" spans="1:8" x14ac:dyDescent="0.35">
      <c r="A1439" s="2">
        <v>1668</v>
      </c>
      <c r="B1439" s="2">
        <v>61901</v>
      </c>
      <c r="C1439" s="2">
        <f t="shared" si="132"/>
        <v>6.1901000000000002</v>
      </c>
      <c r="D1439" s="2">
        <f t="shared" si="133"/>
        <v>2782224</v>
      </c>
      <c r="E1439" s="2">
        <f t="shared" si="134"/>
        <v>4640749632</v>
      </c>
      <c r="F1439" s="2">
        <f t="shared" si="135"/>
        <v>7740770386176</v>
      </c>
      <c r="G1439" s="2">
        <f t="shared" si="136"/>
        <v>10325.086800000001</v>
      </c>
      <c r="H1439" s="2">
        <f t="shared" si="137"/>
        <v>17222244.782400001</v>
      </c>
    </row>
    <row r="1440" spans="1:8" x14ac:dyDescent="0.35">
      <c r="A1440" s="2">
        <v>1668</v>
      </c>
      <c r="B1440" s="2">
        <v>61679</v>
      </c>
      <c r="C1440" s="2">
        <f t="shared" si="132"/>
        <v>6.1679000000000004</v>
      </c>
      <c r="D1440" s="2">
        <f t="shared" si="133"/>
        <v>2782224</v>
      </c>
      <c r="E1440" s="2">
        <f t="shared" si="134"/>
        <v>4640749632</v>
      </c>
      <c r="F1440" s="2">
        <f t="shared" si="135"/>
        <v>7740770386176</v>
      </c>
      <c r="G1440" s="2">
        <f t="shared" si="136"/>
        <v>10288.057200000001</v>
      </c>
      <c r="H1440" s="2">
        <f t="shared" si="137"/>
        <v>17160479.409600001</v>
      </c>
    </row>
    <row r="1441" spans="1:8" x14ac:dyDescent="0.35">
      <c r="A1441" s="2">
        <v>1668</v>
      </c>
      <c r="B1441" s="2">
        <v>63279</v>
      </c>
      <c r="C1441" s="2">
        <f t="shared" si="132"/>
        <v>6.3278999999999996</v>
      </c>
      <c r="D1441" s="2">
        <f t="shared" si="133"/>
        <v>2782224</v>
      </c>
      <c r="E1441" s="2">
        <f t="shared" si="134"/>
        <v>4640749632</v>
      </c>
      <c r="F1441" s="2">
        <f t="shared" si="135"/>
        <v>7740770386176</v>
      </c>
      <c r="G1441" s="2">
        <f t="shared" si="136"/>
        <v>10554.9372</v>
      </c>
      <c r="H1441" s="2">
        <f t="shared" si="137"/>
        <v>17605635.249600001</v>
      </c>
    </row>
    <row r="1442" spans="1:8" x14ac:dyDescent="0.35">
      <c r="A1442" s="2">
        <v>1668</v>
      </c>
      <c r="B1442" s="2">
        <v>58590</v>
      </c>
      <c r="C1442" s="2">
        <f t="shared" si="132"/>
        <v>5.859</v>
      </c>
      <c r="D1442" s="2">
        <f t="shared" si="133"/>
        <v>2782224</v>
      </c>
      <c r="E1442" s="2">
        <f t="shared" si="134"/>
        <v>4640749632</v>
      </c>
      <c r="F1442" s="2">
        <f t="shared" si="135"/>
        <v>7740770386176</v>
      </c>
      <c r="G1442" s="2">
        <f t="shared" si="136"/>
        <v>9772.8119999999999</v>
      </c>
      <c r="H1442" s="2">
        <f t="shared" si="137"/>
        <v>16301050.415999999</v>
      </c>
    </row>
    <row r="1443" spans="1:8" x14ac:dyDescent="0.35">
      <c r="A1443" s="2">
        <v>1668</v>
      </c>
      <c r="B1443" s="2">
        <v>62754</v>
      </c>
      <c r="C1443" s="2">
        <f t="shared" si="132"/>
        <v>6.2754000000000003</v>
      </c>
      <c r="D1443" s="2">
        <f t="shared" si="133"/>
        <v>2782224</v>
      </c>
      <c r="E1443" s="2">
        <f t="shared" si="134"/>
        <v>4640749632</v>
      </c>
      <c r="F1443" s="2">
        <f t="shared" si="135"/>
        <v>7740770386176</v>
      </c>
      <c r="G1443" s="2">
        <f t="shared" si="136"/>
        <v>10467.367200000001</v>
      </c>
      <c r="H1443" s="2">
        <f t="shared" si="137"/>
        <v>17459568.489599999</v>
      </c>
    </row>
    <row r="1444" spans="1:8" x14ac:dyDescent="0.35">
      <c r="A1444" s="2">
        <v>1668</v>
      </c>
      <c r="B1444" s="2">
        <v>45783</v>
      </c>
      <c r="C1444" s="2">
        <f t="shared" si="132"/>
        <v>4.5782999999999996</v>
      </c>
      <c r="D1444" s="2">
        <f t="shared" si="133"/>
        <v>2782224</v>
      </c>
      <c r="E1444" s="2">
        <f t="shared" si="134"/>
        <v>4640749632</v>
      </c>
      <c r="F1444" s="2">
        <f t="shared" si="135"/>
        <v>7740770386176</v>
      </c>
      <c r="G1444" s="2">
        <f t="shared" si="136"/>
        <v>7636.6043999999993</v>
      </c>
      <c r="H1444" s="2">
        <f t="shared" si="137"/>
        <v>12737856.139199998</v>
      </c>
    </row>
    <row r="1445" spans="1:8" x14ac:dyDescent="0.35">
      <c r="A1445" s="2">
        <v>1668</v>
      </c>
      <c r="B1445" s="2">
        <v>67703</v>
      </c>
      <c r="C1445" s="2">
        <f t="shared" si="132"/>
        <v>6.7702999999999998</v>
      </c>
      <c r="D1445" s="2">
        <f t="shared" si="133"/>
        <v>2782224</v>
      </c>
      <c r="E1445" s="2">
        <f t="shared" si="134"/>
        <v>4640749632</v>
      </c>
      <c r="F1445" s="2">
        <f t="shared" si="135"/>
        <v>7740770386176</v>
      </c>
      <c r="G1445" s="2">
        <f t="shared" si="136"/>
        <v>11292.8604</v>
      </c>
      <c r="H1445" s="2">
        <f t="shared" si="137"/>
        <v>18836491.1472</v>
      </c>
    </row>
    <row r="1446" spans="1:8" x14ac:dyDescent="0.35">
      <c r="A1446" s="2">
        <v>1668</v>
      </c>
      <c r="B1446" s="2">
        <v>63432</v>
      </c>
      <c r="C1446" s="2">
        <f t="shared" si="132"/>
        <v>6.3432000000000004</v>
      </c>
      <c r="D1446" s="2">
        <f t="shared" si="133"/>
        <v>2782224</v>
      </c>
      <c r="E1446" s="2">
        <f t="shared" si="134"/>
        <v>4640749632</v>
      </c>
      <c r="F1446" s="2">
        <f t="shared" si="135"/>
        <v>7740770386176</v>
      </c>
      <c r="G1446" s="2">
        <f t="shared" si="136"/>
        <v>10580.457600000002</v>
      </c>
      <c r="H1446" s="2">
        <f t="shared" si="137"/>
        <v>17648203.276800003</v>
      </c>
    </row>
    <row r="1447" spans="1:8" x14ac:dyDescent="0.35">
      <c r="A1447" s="2">
        <v>1668</v>
      </c>
      <c r="B1447" s="2">
        <v>65402</v>
      </c>
      <c r="C1447" s="2">
        <f t="shared" si="132"/>
        <v>6.5401999999999996</v>
      </c>
      <c r="D1447" s="2">
        <f t="shared" si="133"/>
        <v>2782224</v>
      </c>
      <c r="E1447" s="2">
        <f t="shared" si="134"/>
        <v>4640749632</v>
      </c>
      <c r="F1447" s="2">
        <f t="shared" si="135"/>
        <v>7740770386176</v>
      </c>
      <c r="G1447" s="2">
        <f t="shared" si="136"/>
        <v>10909.053599999999</v>
      </c>
      <c r="H1447" s="2">
        <f t="shared" si="137"/>
        <v>18196301.404799998</v>
      </c>
    </row>
    <row r="1448" spans="1:8" x14ac:dyDescent="0.35">
      <c r="A1448" s="2">
        <v>1668</v>
      </c>
      <c r="B1448" s="2">
        <v>64163</v>
      </c>
      <c r="C1448" s="2">
        <f t="shared" si="132"/>
        <v>6.4162999999999997</v>
      </c>
      <c r="D1448" s="2">
        <f t="shared" si="133"/>
        <v>2782224</v>
      </c>
      <c r="E1448" s="2">
        <f t="shared" si="134"/>
        <v>4640749632</v>
      </c>
      <c r="F1448" s="2">
        <f t="shared" si="135"/>
        <v>7740770386176</v>
      </c>
      <c r="G1448" s="2">
        <f t="shared" si="136"/>
        <v>10702.3884</v>
      </c>
      <c r="H1448" s="2">
        <f t="shared" si="137"/>
        <v>17851583.851199999</v>
      </c>
    </row>
    <row r="1449" spans="1:8" x14ac:dyDescent="0.35">
      <c r="A1449" s="2">
        <v>1668</v>
      </c>
      <c r="B1449" s="2">
        <v>62188</v>
      </c>
      <c r="C1449" s="2">
        <f t="shared" si="132"/>
        <v>6.2187999999999999</v>
      </c>
      <c r="D1449" s="2">
        <f t="shared" si="133"/>
        <v>2782224</v>
      </c>
      <c r="E1449" s="2">
        <f t="shared" si="134"/>
        <v>4640749632</v>
      </c>
      <c r="F1449" s="2">
        <f t="shared" si="135"/>
        <v>7740770386176</v>
      </c>
      <c r="G1449" s="2">
        <f t="shared" si="136"/>
        <v>10372.9584</v>
      </c>
      <c r="H1449" s="2">
        <f t="shared" si="137"/>
        <v>17302094.611200001</v>
      </c>
    </row>
    <row r="1450" spans="1:8" x14ac:dyDescent="0.35">
      <c r="A1450" s="2">
        <v>1668</v>
      </c>
      <c r="B1450" s="2">
        <v>64143</v>
      </c>
      <c r="C1450" s="2">
        <f t="shared" si="132"/>
        <v>6.4142999999999999</v>
      </c>
      <c r="D1450" s="2">
        <f t="shared" si="133"/>
        <v>2782224</v>
      </c>
      <c r="E1450" s="2">
        <f t="shared" si="134"/>
        <v>4640749632</v>
      </c>
      <c r="F1450" s="2">
        <f t="shared" si="135"/>
        <v>7740770386176</v>
      </c>
      <c r="G1450" s="2">
        <f t="shared" si="136"/>
        <v>10699.0524</v>
      </c>
      <c r="H1450" s="2">
        <f t="shared" si="137"/>
        <v>17846019.403200001</v>
      </c>
    </row>
    <row r="1451" spans="1:8" x14ac:dyDescent="0.35">
      <c r="A1451" s="2">
        <v>1668</v>
      </c>
      <c r="B1451" s="2">
        <v>67023</v>
      </c>
      <c r="C1451" s="2">
        <f t="shared" si="132"/>
        <v>6.7023000000000001</v>
      </c>
      <c r="D1451" s="2">
        <f t="shared" si="133"/>
        <v>2782224</v>
      </c>
      <c r="E1451" s="2">
        <f t="shared" si="134"/>
        <v>4640749632</v>
      </c>
      <c r="F1451" s="2">
        <f t="shared" si="135"/>
        <v>7740770386176</v>
      </c>
      <c r="G1451" s="2">
        <f t="shared" si="136"/>
        <v>11179.436400000001</v>
      </c>
      <c r="H1451" s="2">
        <f t="shared" si="137"/>
        <v>18647299.915199999</v>
      </c>
    </row>
    <row r="1452" spans="1:8" x14ac:dyDescent="0.35">
      <c r="A1452" s="2">
        <v>1668</v>
      </c>
      <c r="B1452" s="2">
        <v>66354</v>
      </c>
      <c r="C1452" s="2">
        <f t="shared" si="132"/>
        <v>6.6353999999999997</v>
      </c>
      <c r="D1452" s="2">
        <f t="shared" si="133"/>
        <v>2782224</v>
      </c>
      <c r="E1452" s="2">
        <f t="shared" si="134"/>
        <v>4640749632</v>
      </c>
      <c r="F1452" s="2">
        <f t="shared" si="135"/>
        <v>7740770386176</v>
      </c>
      <c r="G1452" s="2">
        <f t="shared" si="136"/>
        <v>11067.8472</v>
      </c>
      <c r="H1452" s="2">
        <f t="shared" si="137"/>
        <v>18461169.1296</v>
      </c>
    </row>
    <row r="1453" spans="1:8" x14ac:dyDescent="0.35">
      <c r="A1453" s="2">
        <v>1668</v>
      </c>
      <c r="B1453" s="2">
        <v>65823</v>
      </c>
      <c r="C1453" s="2">
        <f t="shared" si="132"/>
        <v>6.5823</v>
      </c>
      <c r="D1453" s="2">
        <f t="shared" si="133"/>
        <v>2782224</v>
      </c>
      <c r="E1453" s="2">
        <f t="shared" si="134"/>
        <v>4640749632</v>
      </c>
      <c r="F1453" s="2">
        <f t="shared" si="135"/>
        <v>7740770386176</v>
      </c>
      <c r="G1453" s="2">
        <f t="shared" si="136"/>
        <v>10979.276400000001</v>
      </c>
      <c r="H1453" s="2">
        <f t="shared" si="137"/>
        <v>18313433.0352</v>
      </c>
    </row>
    <row r="1454" spans="1:8" x14ac:dyDescent="0.35">
      <c r="A1454" s="2">
        <v>1668</v>
      </c>
      <c r="B1454" s="2">
        <v>64150</v>
      </c>
      <c r="C1454" s="2">
        <f t="shared" si="132"/>
        <v>6.415</v>
      </c>
      <c r="D1454" s="2">
        <f t="shared" si="133"/>
        <v>2782224</v>
      </c>
      <c r="E1454" s="2">
        <f t="shared" si="134"/>
        <v>4640749632</v>
      </c>
      <c r="F1454" s="2">
        <f t="shared" si="135"/>
        <v>7740770386176</v>
      </c>
      <c r="G1454" s="2">
        <f t="shared" si="136"/>
        <v>10700.22</v>
      </c>
      <c r="H1454" s="2">
        <f t="shared" si="137"/>
        <v>17847966.960000001</v>
      </c>
    </row>
    <row r="1455" spans="1:8" x14ac:dyDescent="0.35">
      <c r="A1455" s="2">
        <v>1668</v>
      </c>
      <c r="B1455" s="2">
        <v>66483</v>
      </c>
      <c r="C1455" s="2">
        <f t="shared" si="132"/>
        <v>6.6482999999999999</v>
      </c>
      <c r="D1455" s="2">
        <f t="shared" si="133"/>
        <v>2782224</v>
      </c>
      <c r="E1455" s="2">
        <f t="shared" si="134"/>
        <v>4640749632</v>
      </c>
      <c r="F1455" s="2">
        <f t="shared" si="135"/>
        <v>7740770386176</v>
      </c>
      <c r="G1455" s="2">
        <f t="shared" si="136"/>
        <v>11089.3644</v>
      </c>
      <c r="H1455" s="2">
        <f t="shared" si="137"/>
        <v>18497059.819199998</v>
      </c>
    </row>
    <row r="1456" spans="1:8" x14ac:dyDescent="0.35">
      <c r="A1456" s="2">
        <v>1668</v>
      </c>
      <c r="B1456" s="2">
        <v>63359</v>
      </c>
      <c r="C1456" s="2">
        <f t="shared" si="132"/>
        <v>6.3358999999999996</v>
      </c>
      <c r="D1456" s="2">
        <f t="shared" si="133"/>
        <v>2782224</v>
      </c>
      <c r="E1456" s="2">
        <f t="shared" si="134"/>
        <v>4640749632</v>
      </c>
      <c r="F1456" s="2">
        <f t="shared" si="135"/>
        <v>7740770386176</v>
      </c>
      <c r="G1456" s="2">
        <f t="shared" si="136"/>
        <v>10568.281199999999</v>
      </c>
      <c r="H1456" s="2">
        <f t="shared" si="137"/>
        <v>17627893.0416</v>
      </c>
    </row>
    <row r="1457" spans="1:8" x14ac:dyDescent="0.35">
      <c r="A1457" s="2">
        <v>1668</v>
      </c>
      <c r="B1457" s="2">
        <v>65111</v>
      </c>
      <c r="C1457" s="2">
        <f t="shared" si="132"/>
        <v>6.5110999999999999</v>
      </c>
      <c r="D1457" s="2">
        <f t="shared" si="133"/>
        <v>2782224</v>
      </c>
      <c r="E1457" s="2">
        <f t="shared" si="134"/>
        <v>4640749632</v>
      </c>
      <c r="F1457" s="2">
        <f t="shared" si="135"/>
        <v>7740770386176</v>
      </c>
      <c r="G1457" s="2">
        <f t="shared" si="136"/>
        <v>10860.514799999999</v>
      </c>
      <c r="H1457" s="2">
        <f t="shared" si="137"/>
        <v>18115338.6864</v>
      </c>
    </row>
    <row r="1458" spans="1:8" x14ac:dyDescent="0.35">
      <c r="A1458" s="2">
        <v>1668</v>
      </c>
      <c r="B1458" s="2">
        <v>67786</v>
      </c>
      <c r="C1458" s="2">
        <f t="shared" si="132"/>
        <v>6.7786</v>
      </c>
      <c r="D1458" s="2">
        <f t="shared" si="133"/>
        <v>2782224</v>
      </c>
      <c r="E1458" s="2">
        <f t="shared" si="134"/>
        <v>4640749632</v>
      </c>
      <c r="F1458" s="2">
        <f t="shared" si="135"/>
        <v>7740770386176</v>
      </c>
      <c r="G1458" s="2">
        <f t="shared" si="136"/>
        <v>11306.7048</v>
      </c>
      <c r="H1458" s="2">
        <f t="shared" si="137"/>
        <v>18859583.606399998</v>
      </c>
    </row>
    <row r="1459" spans="1:8" x14ac:dyDescent="0.35">
      <c r="A1459" s="2">
        <v>1668</v>
      </c>
      <c r="B1459" s="2">
        <v>65222</v>
      </c>
      <c r="C1459" s="2">
        <f t="shared" si="132"/>
        <v>6.5221999999999998</v>
      </c>
      <c r="D1459" s="2">
        <f t="shared" si="133"/>
        <v>2782224</v>
      </c>
      <c r="E1459" s="2">
        <f t="shared" si="134"/>
        <v>4640749632</v>
      </c>
      <c r="F1459" s="2">
        <f t="shared" si="135"/>
        <v>7740770386176</v>
      </c>
      <c r="G1459" s="2">
        <f t="shared" si="136"/>
        <v>10879.0296</v>
      </c>
      <c r="H1459" s="2">
        <f t="shared" si="137"/>
        <v>18146221.3728</v>
      </c>
    </row>
    <row r="1460" spans="1:8" x14ac:dyDescent="0.35">
      <c r="A1460" s="2">
        <v>1668</v>
      </c>
      <c r="B1460" s="2">
        <v>65135</v>
      </c>
      <c r="C1460" s="2">
        <f t="shared" si="132"/>
        <v>6.5134999999999996</v>
      </c>
      <c r="D1460" s="2">
        <f t="shared" si="133"/>
        <v>2782224</v>
      </c>
      <c r="E1460" s="2">
        <f t="shared" si="134"/>
        <v>4640749632</v>
      </c>
      <c r="F1460" s="2">
        <f t="shared" si="135"/>
        <v>7740770386176</v>
      </c>
      <c r="G1460" s="2">
        <f t="shared" si="136"/>
        <v>10864.518</v>
      </c>
      <c r="H1460" s="2">
        <f t="shared" si="137"/>
        <v>18122016.024</v>
      </c>
    </row>
    <row r="1461" spans="1:8" x14ac:dyDescent="0.35">
      <c r="A1461" s="2">
        <v>1668</v>
      </c>
      <c r="B1461" s="2">
        <v>66624</v>
      </c>
      <c r="C1461" s="2">
        <f t="shared" si="132"/>
        <v>6.6623999999999999</v>
      </c>
      <c r="D1461" s="2">
        <f t="shared" si="133"/>
        <v>2782224</v>
      </c>
      <c r="E1461" s="2">
        <f t="shared" si="134"/>
        <v>4640749632</v>
      </c>
      <c r="F1461" s="2">
        <f t="shared" si="135"/>
        <v>7740770386176</v>
      </c>
      <c r="G1461" s="2">
        <f t="shared" si="136"/>
        <v>11112.8832</v>
      </c>
      <c r="H1461" s="2">
        <f t="shared" si="137"/>
        <v>18536289.1776</v>
      </c>
    </row>
    <row r="1462" spans="1:8" x14ac:dyDescent="0.35">
      <c r="A1462" s="2">
        <v>1668</v>
      </c>
      <c r="B1462" s="2">
        <v>67388</v>
      </c>
      <c r="C1462" s="2">
        <f t="shared" si="132"/>
        <v>6.7388000000000003</v>
      </c>
      <c r="D1462" s="2">
        <f t="shared" si="133"/>
        <v>2782224</v>
      </c>
      <c r="E1462" s="2">
        <f t="shared" si="134"/>
        <v>4640749632</v>
      </c>
      <c r="F1462" s="2">
        <f t="shared" si="135"/>
        <v>7740770386176</v>
      </c>
      <c r="G1462" s="2">
        <f t="shared" si="136"/>
        <v>11240.3184</v>
      </c>
      <c r="H1462" s="2">
        <f t="shared" si="137"/>
        <v>18748851.091200002</v>
      </c>
    </row>
    <row r="1463" spans="1:8" x14ac:dyDescent="0.35">
      <c r="A1463" s="2">
        <v>1668</v>
      </c>
      <c r="B1463" s="2">
        <v>67280</v>
      </c>
      <c r="C1463" s="2">
        <f t="shared" si="132"/>
        <v>6.7279999999999998</v>
      </c>
      <c r="D1463" s="2">
        <f t="shared" si="133"/>
        <v>2782224</v>
      </c>
      <c r="E1463" s="2">
        <f t="shared" si="134"/>
        <v>4640749632</v>
      </c>
      <c r="F1463" s="2">
        <f t="shared" si="135"/>
        <v>7740770386176</v>
      </c>
      <c r="G1463" s="2">
        <f t="shared" si="136"/>
        <v>11222.304</v>
      </c>
      <c r="H1463" s="2">
        <f t="shared" si="137"/>
        <v>18718803.072000001</v>
      </c>
    </row>
    <row r="1464" spans="1:8" x14ac:dyDescent="0.35">
      <c r="A1464" s="2">
        <v>1668</v>
      </c>
      <c r="B1464" s="2">
        <v>66978</v>
      </c>
      <c r="C1464" s="2">
        <f t="shared" si="132"/>
        <v>6.6978</v>
      </c>
      <c r="D1464" s="2">
        <f t="shared" si="133"/>
        <v>2782224</v>
      </c>
      <c r="E1464" s="2">
        <f t="shared" si="134"/>
        <v>4640749632</v>
      </c>
      <c r="F1464" s="2">
        <f t="shared" si="135"/>
        <v>7740770386176</v>
      </c>
      <c r="G1464" s="2">
        <f t="shared" si="136"/>
        <v>11171.930399999999</v>
      </c>
      <c r="H1464" s="2">
        <f t="shared" si="137"/>
        <v>18634779.907200001</v>
      </c>
    </row>
    <row r="1465" spans="1:8" x14ac:dyDescent="0.35">
      <c r="A1465" s="2">
        <v>1668</v>
      </c>
      <c r="B1465" s="2">
        <v>66308</v>
      </c>
      <c r="C1465" s="2">
        <f t="shared" si="132"/>
        <v>6.6307999999999998</v>
      </c>
      <c r="D1465" s="2">
        <f t="shared" si="133"/>
        <v>2782224</v>
      </c>
      <c r="E1465" s="2">
        <f t="shared" si="134"/>
        <v>4640749632</v>
      </c>
      <c r="F1465" s="2">
        <f t="shared" si="135"/>
        <v>7740770386176</v>
      </c>
      <c r="G1465" s="2">
        <f t="shared" si="136"/>
        <v>11060.1744</v>
      </c>
      <c r="H1465" s="2">
        <f t="shared" si="137"/>
        <v>18448370.8992</v>
      </c>
    </row>
    <row r="1466" spans="1:8" x14ac:dyDescent="0.35">
      <c r="A1466" s="2">
        <v>1668</v>
      </c>
      <c r="B1466" s="2">
        <v>54388</v>
      </c>
      <c r="C1466" s="2">
        <f t="shared" si="132"/>
        <v>5.4387999999999996</v>
      </c>
      <c r="D1466" s="2">
        <f t="shared" si="133"/>
        <v>2782224</v>
      </c>
      <c r="E1466" s="2">
        <f t="shared" si="134"/>
        <v>4640749632</v>
      </c>
      <c r="F1466" s="2">
        <f t="shared" si="135"/>
        <v>7740770386176</v>
      </c>
      <c r="G1466" s="2">
        <f t="shared" si="136"/>
        <v>9071.9183999999987</v>
      </c>
      <c r="H1466" s="2">
        <f t="shared" si="137"/>
        <v>15131959.891199999</v>
      </c>
    </row>
    <row r="1467" spans="1:8" x14ac:dyDescent="0.35">
      <c r="A1467" s="2">
        <v>250</v>
      </c>
      <c r="B1467" s="2">
        <v>39915</v>
      </c>
      <c r="C1467" s="2">
        <f t="shared" si="132"/>
        <v>3.9914999999999998</v>
      </c>
      <c r="D1467" s="2">
        <f t="shared" si="133"/>
        <v>62500</v>
      </c>
      <c r="E1467" s="2">
        <f t="shared" si="134"/>
        <v>15625000</v>
      </c>
      <c r="F1467" s="2">
        <f t="shared" si="135"/>
        <v>3906250000</v>
      </c>
      <c r="G1467" s="2">
        <f t="shared" si="136"/>
        <v>997.875</v>
      </c>
      <c r="H1467" s="2">
        <f t="shared" si="137"/>
        <v>249468.75</v>
      </c>
    </row>
    <row r="1468" spans="1:8" x14ac:dyDescent="0.35">
      <c r="A1468" s="2">
        <v>250</v>
      </c>
      <c r="B1468" s="2">
        <v>36871</v>
      </c>
      <c r="C1468" s="2">
        <f t="shared" si="132"/>
        <v>3.6871</v>
      </c>
      <c r="D1468" s="2">
        <f t="shared" si="133"/>
        <v>62500</v>
      </c>
      <c r="E1468" s="2">
        <f t="shared" si="134"/>
        <v>15625000</v>
      </c>
      <c r="F1468" s="2">
        <f t="shared" si="135"/>
        <v>3906250000</v>
      </c>
      <c r="G1468" s="2">
        <f t="shared" si="136"/>
        <v>921.77499999999998</v>
      </c>
      <c r="H1468" s="2">
        <f t="shared" si="137"/>
        <v>230443.75</v>
      </c>
    </row>
    <row r="1469" spans="1:8" x14ac:dyDescent="0.35">
      <c r="A1469" s="2">
        <v>250</v>
      </c>
      <c r="B1469" s="2">
        <v>27937</v>
      </c>
      <c r="C1469" s="2">
        <f t="shared" si="132"/>
        <v>2.7936999999999999</v>
      </c>
      <c r="D1469" s="2">
        <f t="shared" si="133"/>
        <v>62500</v>
      </c>
      <c r="E1469" s="2">
        <f t="shared" si="134"/>
        <v>15625000</v>
      </c>
      <c r="F1469" s="2">
        <f t="shared" si="135"/>
        <v>3906250000</v>
      </c>
      <c r="G1469" s="2">
        <f t="shared" si="136"/>
        <v>698.42499999999995</v>
      </c>
      <c r="H1469" s="2">
        <f t="shared" si="137"/>
        <v>174606.25</v>
      </c>
    </row>
    <row r="1470" spans="1:8" x14ac:dyDescent="0.35">
      <c r="A1470" s="2">
        <v>250</v>
      </c>
      <c r="B1470" s="2">
        <v>21932</v>
      </c>
      <c r="C1470" s="2">
        <f t="shared" si="132"/>
        <v>2.1932</v>
      </c>
      <c r="D1470" s="2">
        <f t="shared" si="133"/>
        <v>62500</v>
      </c>
      <c r="E1470" s="2">
        <f t="shared" si="134"/>
        <v>15625000</v>
      </c>
      <c r="F1470" s="2">
        <f t="shared" si="135"/>
        <v>3906250000</v>
      </c>
      <c r="G1470" s="2">
        <f t="shared" si="136"/>
        <v>548.29999999999995</v>
      </c>
      <c r="H1470" s="2">
        <f t="shared" si="137"/>
        <v>137075</v>
      </c>
    </row>
    <row r="1471" spans="1:8" x14ac:dyDescent="0.35">
      <c r="A1471" s="2">
        <v>250</v>
      </c>
      <c r="B1471" s="2">
        <v>26155</v>
      </c>
      <c r="C1471" s="2">
        <f t="shared" si="132"/>
        <v>2.6154999999999999</v>
      </c>
      <c r="D1471" s="2">
        <f t="shared" si="133"/>
        <v>62500</v>
      </c>
      <c r="E1471" s="2">
        <f t="shared" si="134"/>
        <v>15625000</v>
      </c>
      <c r="F1471" s="2">
        <f t="shared" si="135"/>
        <v>3906250000</v>
      </c>
      <c r="G1471" s="2">
        <f t="shared" si="136"/>
        <v>653.875</v>
      </c>
      <c r="H1471" s="2">
        <f t="shared" si="137"/>
        <v>163468.75</v>
      </c>
    </row>
    <row r="1472" spans="1:8" x14ac:dyDescent="0.35">
      <c r="A1472" s="2">
        <v>250</v>
      </c>
      <c r="B1472" s="2">
        <v>30765</v>
      </c>
      <c r="C1472" s="2">
        <f t="shared" si="132"/>
        <v>3.0764999999999998</v>
      </c>
      <c r="D1472" s="2">
        <f t="shared" si="133"/>
        <v>62500</v>
      </c>
      <c r="E1472" s="2">
        <f t="shared" si="134"/>
        <v>15625000</v>
      </c>
      <c r="F1472" s="2">
        <f t="shared" si="135"/>
        <v>3906250000</v>
      </c>
      <c r="G1472" s="2">
        <f t="shared" si="136"/>
        <v>769.125</v>
      </c>
      <c r="H1472" s="2">
        <f t="shared" si="137"/>
        <v>192281.25</v>
      </c>
    </row>
    <row r="1473" spans="1:8" x14ac:dyDescent="0.35">
      <c r="A1473" s="2">
        <v>250</v>
      </c>
      <c r="B1473" s="2">
        <v>32162</v>
      </c>
      <c r="C1473" s="2">
        <f t="shared" si="132"/>
        <v>3.2162000000000002</v>
      </c>
      <c r="D1473" s="2">
        <f t="shared" si="133"/>
        <v>62500</v>
      </c>
      <c r="E1473" s="2">
        <f t="shared" si="134"/>
        <v>15625000</v>
      </c>
      <c r="F1473" s="2">
        <f t="shared" si="135"/>
        <v>3906250000</v>
      </c>
      <c r="G1473" s="2">
        <f t="shared" si="136"/>
        <v>804.05000000000007</v>
      </c>
      <c r="H1473" s="2">
        <f t="shared" si="137"/>
        <v>201012.5</v>
      </c>
    </row>
    <row r="1474" spans="1:8" x14ac:dyDescent="0.35">
      <c r="A1474" s="2">
        <v>250</v>
      </c>
      <c r="B1474" s="2">
        <v>28070</v>
      </c>
      <c r="C1474" s="2">
        <f t="shared" si="132"/>
        <v>2.8069999999999999</v>
      </c>
      <c r="D1474" s="2">
        <f t="shared" si="133"/>
        <v>62500</v>
      </c>
      <c r="E1474" s="2">
        <f t="shared" si="134"/>
        <v>15625000</v>
      </c>
      <c r="F1474" s="2">
        <f t="shared" si="135"/>
        <v>3906250000</v>
      </c>
      <c r="G1474" s="2">
        <f t="shared" si="136"/>
        <v>701.75</v>
      </c>
      <c r="H1474" s="2">
        <f t="shared" si="137"/>
        <v>175437.5</v>
      </c>
    </row>
    <row r="1475" spans="1:8" x14ac:dyDescent="0.35">
      <c r="A1475" s="2">
        <v>250</v>
      </c>
      <c r="B1475" s="2">
        <v>29723</v>
      </c>
      <c r="C1475" s="2">
        <f t="shared" ref="C1475:C1538" si="138">B1475/10000</f>
        <v>2.9723000000000002</v>
      </c>
      <c r="D1475" s="2">
        <f t="shared" ref="D1475:D1538" si="139">A1475^2</f>
        <v>62500</v>
      </c>
      <c r="E1475" s="2">
        <f t="shared" ref="E1475:E1538" si="140">A1475^3</f>
        <v>15625000</v>
      </c>
      <c r="F1475" s="2">
        <f t="shared" ref="F1475:F1538" si="141">A1475^4</f>
        <v>3906250000</v>
      </c>
      <c r="G1475" s="2">
        <f t="shared" ref="G1475:G1538" si="142">A1475*C1475</f>
        <v>743.07500000000005</v>
      </c>
      <c r="H1475" s="2">
        <f t="shared" ref="H1475:H1538" si="143">D1475*C1475</f>
        <v>185768.75</v>
      </c>
    </row>
    <row r="1476" spans="1:8" x14ac:dyDescent="0.35">
      <c r="A1476" s="2">
        <v>250</v>
      </c>
      <c r="B1476" s="2">
        <v>28714</v>
      </c>
      <c r="C1476" s="2">
        <f t="shared" si="138"/>
        <v>2.8714</v>
      </c>
      <c r="D1476" s="2">
        <f t="shared" si="139"/>
        <v>62500</v>
      </c>
      <c r="E1476" s="2">
        <f t="shared" si="140"/>
        <v>15625000</v>
      </c>
      <c r="F1476" s="2">
        <f t="shared" si="141"/>
        <v>3906250000</v>
      </c>
      <c r="G1476" s="2">
        <f t="shared" si="142"/>
        <v>717.85</v>
      </c>
      <c r="H1476" s="2">
        <f t="shared" si="143"/>
        <v>179462.5</v>
      </c>
    </row>
    <row r="1477" spans="1:8" x14ac:dyDescent="0.35">
      <c r="A1477" s="2">
        <v>250</v>
      </c>
      <c r="B1477" s="2">
        <v>30288</v>
      </c>
      <c r="C1477" s="2">
        <f t="shared" si="138"/>
        <v>3.0287999999999999</v>
      </c>
      <c r="D1477" s="2">
        <f t="shared" si="139"/>
        <v>62500</v>
      </c>
      <c r="E1477" s="2">
        <f t="shared" si="140"/>
        <v>15625000</v>
      </c>
      <c r="F1477" s="2">
        <f t="shared" si="141"/>
        <v>3906250000</v>
      </c>
      <c r="G1477" s="2">
        <f t="shared" si="142"/>
        <v>757.19999999999993</v>
      </c>
      <c r="H1477" s="2">
        <f t="shared" si="143"/>
        <v>189300</v>
      </c>
    </row>
    <row r="1478" spans="1:8" x14ac:dyDescent="0.35">
      <c r="A1478" s="2">
        <v>250</v>
      </c>
      <c r="B1478" s="2">
        <v>34182</v>
      </c>
      <c r="C1478" s="2">
        <f t="shared" si="138"/>
        <v>3.4182000000000001</v>
      </c>
      <c r="D1478" s="2">
        <f t="shared" si="139"/>
        <v>62500</v>
      </c>
      <c r="E1478" s="2">
        <f t="shared" si="140"/>
        <v>15625000</v>
      </c>
      <c r="F1478" s="2">
        <f t="shared" si="141"/>
        <v>3906250000</v>
      </c>
      <c r="G1478" s="2">
        <f t="shared" si="142"/>
        <v>854.55000000000007</v>
      </c>
      <c r="H1478" s="2">
        <f t="shared" si="143"/>
        <v>213637.5</v>
      </c>
    </row>
    <row r="1479" spans="1:8" x14ac:dyDescent="0.35">
      <c r="A1479" s="2">
        <v>250</v>
      </c>
      <c r="B1479" s="2">
        <v>33518</v>
      </c>
      <c r="C1479" s="2">
        <f t="shared" si="138"/>
        <v>3.3517999999999999</v>
      </c>
      <c r="D1479" s="2">
        <f t="shared" si="139"/>
        <v>62500</v>
      </c>
      <c r="E1479" s="2">
        <f t="shared" si="140"/>
        <v>15625000</v>
      </c>
      <c r="F1479" s="2">
        <f t="shared" si="141"/>
        <v>3906250000</v>
      </c>
      <c r="G1479" s="2">
        <f t="shared" si="142"/>
        <v>837.94999999999993</v>
      </c>
      <c r="H1479" s="2">
        <f t="shared" si="143"/>
        <v>209487.5</v>
      </c>
    </row>
    <row r="1480" spans="1:8" x14ac:dyDescent="0.35">
      <c r="A1480" s="2">
        <v>250</v>
      </c>
      <c r="B1480" s="2">
        <v>32966</v>
      </c>
      <c r="C1480" s="2">
        <f t="shared" si="138"/>
        <v>3.2966000000000002</v>
      </c>
      <c r="D1480" s="2">
        <f t="shared" si="139"/>
        <v>62500</v>
      </c>
      <c r="E1480" s="2">
        <f t="shared" si="140"/>
        <v>15625000</v>
      </c>
      <c r="F1480" s="2">
        <f t="shared" si="141"/>
        <v>3906250000</v>
      </c>
      <c r="G1480" s="2">
        <f t="shared" si="142"/>
        <v>824.15000000000009</v>
      </c>
      <c r="H1480" s="2">
        <f t="shared" si="143"/>
        <v>206037.5</v>
      </c>
    </row>
    <row r="1481" spans="1:8" x14ac:dyDescent="0.35">
      <c r="A1481" s="2">
        <v>250</v>
      </c>
      <c r="B1481" s="2">
        <v>33678</v>
      </c>
      <c r="C1481" s="2">
        <f t="shared" si="138"/>
        <v>3.3677999999999999</v>
      </c>
      <c r="D1481" s="2">
        <f t="shared" si="139"/>
        <v>62500</v>
      </c>
      <c r="E1481" s="2">
        <f t="shared" si="140"/>
        <v>15625000</v>
      </c>
      <c r="F1481" s="2">
        <f t="shared" si="141"/>
        <v>3906250000</v>
      </c>
      <c r="G1481" s="2">
        <f t="shared" si="142"/>
        <v>841.94999999999993</v>
      </c>
      <c r="H1481" s="2">
        <f t="shared" si="143"/>
        <v>210487.5</v>
      </c>
    </row>
    <row r="1482" spans="1:8" x14ac:dyDescent="0.35">
      <c r="A1482" s="2">
        <v>250</v>
      </c>
      <c r="B1482" s="2">
        <v>33736</v>
      </c>
      <c r="C1482" s="2">
        <f t="shared" si="138"/>
        <v>3.3736000000000002</v>
      </c>
      <c r="D1482" s="2">
        <f t="shared" si="139"/>
        <v>62500</v>
      </c>
      <c r="E1482" s="2">
        <f t="shared" si="140"/>
        <v>15625000</v>
      </c>
      <c r="F1482" s="2">
        <f t="shared" si="141"/>
        <v>3906250000</v>
      </c>
      <c r="G1482" s="2">
        <f t="shared" si="142"/>
        <v>843.40000000000009</v>
      </c>
      <c r="H1482" s="2">
        <f t="shared" si="143"/>
        <v>210850</v>
      </c>
    </row>
    <row r="1483" spans="1:8" x14ac:dyDescent="0.35">
      <c r="A1483" s="2">
        <v>250</v>
      </c>
      <c r="B1483" s="2">
        <v>35323</v>
      </c>
      <c r="C1483" s="2">
        <f t="shared" si="138"/>
        <v>3.5323000000000002</v>
      </c>
      <c r="D1483" s="2">
        <f t="shared" si="139"/>
        <v>62500</v>
      </c>
      <c r="E1483" s="2">
        <f t="shared" si="140"/>
        <v>15625000</v>
      </c>
      <c r="F1483" s="2">
        <f t="shared" si="141"/>
        <v>3906250000</v>
      </c>
      <c r="G1483" s="2">
        <f t="shared" si="142"/>
        <v>883.07500000000005</v>
      </c>
      <c r="H1483" s="2">
        <f t="shared" si="143"/>
        <v>220768.75</v>
      </c>
    </row>
    <row r="1484" spans="1:8" x14ac:dyDescent="0.35">
      <c r="A1484" s="2">
        <v>250</v>
      </c>
      <c r="B1484" s="2">
        <v>39697</v>
      </c>
      <c r="C1484" s="2">
        <f t="shared" si="138"/>
        <v>3.9697</v>
      </c>
      <c r="D1484" s="2">
        <f t="shared" si="139"/>
        <v>62500</v>
      </c>
      <c r="E1484" s="2">
        <f t="shared" si="140"/>
        <v>15625000</v>
      </c>
      <c r="F1484" s="2">
        <f t="shared" si="141"/>
        <v>3906250000</v>
      </c>
      <c r="G1484" s="2">
        <f t="shared" si="142"/>
        <v>992.42499999999995</v>
      </c>
      <c r="H1484" s="2">
        <f t="shared" si="143"/>
        <v>248106.25</v>
      </c>
    </row>
    <row r="1485" spans="1:8" x14ac:dyDescent="0.35">
      <c r="A1485" s="2">
        <v>250</v>
      </c>
      <c r="B1485" s="2">
        <v>37152</v>
      </c>
      <c r="C1485" s="2">
        <f t="shared" si="138"/>
        <v>3.7151999999999998</v>
      </c>
      <c r="D1485" s="2">
        <f t="shared" si="139"/>
        <v>62500</v>
      </c>
      <c r="E1485" s="2">
        <f t="shared" si="140"/>
        <v>15625000</v>
      </c>
      <c r="F1485" s="2">
        <f t="shared" si="141"/>
        <v>3906250000</v>
      </c>
      <c r="G1485" s="2">
        <f t="shared" si="142"/>
        <v>928.8</v>
      </c>
      <c r="H1485" s="2">
        <f t="shared" si="143"/>
        <v>232200</v>
      </c>
    </row>
    <row r="1486" spans="1:8" x14ac:dyDescent="0.35">
      <c r="A1486" s="2">
        <v>250</v>
      </c>
      <c r="B1486" s="2">
        <v>37712</v>
      </c>
      <c r="C1486" s="2">
        <f t="shared" si="138"/>
        <v>3.7711999999999999</v>
      </c>
      <c r="D1486" s="2">
        <f t="shared" si="139"/>
        <v>62500</v>
      </c>
      <c r="E1486" s="2">
        <f t="shared" si="140"/>
        <v>15625000</v>
      </c>
      <c r="F1486" s="2">
        <f t="shared" si="141"/>
        <v>3906250000</v>
      </c>
      <c r="G1486" s="2">
        <f t="shared" si="142"/>
        <v>942.8</v>
      </c>
      <c r="H1486" s="2">
        <f t="shared" si="143"/>
        <v>235700</v>
      </c>
    </row>
    <row r="1487" spans="1:8" x14ac:dyDescent="0.35">
      <c r="A1487" s="2">
        <v>250</v>
      </c>
      <c r="B1487" s="2">
        <v>38500</v>
      </c>
      <c r="C1487" s="2">
        <f t="shared" si="138"/>
        <v>3.85</v>
      </c>
      <c r="D1487" s="2">
        <f t="shared" si="139"/>
        <v>62500</v>
      </c>
      <c r="E1487" s="2">
        <f t="shared" si="140"/>
        <v>15625000</v>
      </c>
      <c r="F1487" s="2">
        <f t="shared" si="141"/>
        <v>3906250000</v>
      </c>
      <c r="G1487" s="2">
        <f t="shared" si="142"/>
        <v>962.5</v>
      </c>
      <c r="H1487" s="2">
        <f t="shared" si="143"/>
        <v>240625</v>
      </c>
    </row>
    <row r="1488" spans="1:8" x14ac:dyDescent="0.35">
      <c r="A1488" s="2">
        <v>250</v>
      </c>
      <c r="B1488" s="2">
        <v>39573</v>
      </c>
      <c r="C1488" s="2">
        <f t="shared" si="138"/>
        <v>3.9573</v>
      </c>
      <c r="D1488" s="2">
        <f t="shared" si="139"/>
        <v>62500</v>
      </c>
      <c r="E1488" s="2">
        <f t="shared" si="140"/>
        <v>15625000</v>
      </c>
      <c r="F1488" s="2">
        <f t="shared" si="141"/>
        <v>3906250000</v>
      </c>
      <c r="G1488" s="2">
        <f t="shared" si="142"/>
        <v>989.32500000000005</v>
      </c>
      <c r="H1488" s="2">
        <f t="shared" si="143"/>
        <v>247331.25</v>
      </c>
    </row>
    <row r="1489" spans="1:8" x14ac:dyDescent="0.35">
      <c r="A1489" s="2">
        <v>250</v>
      </c>
      <c r="B1489" s="2">
        <v>42756</v>
      </c>
      <c r="C1489" s="2">
        <f t="shared" si="138"/>
        <v>4.2755999999999998</v>
      </c>
      <c r="D1489" s="2">
        <f t="shared" si="139"/>
        <v>62500</v>
      </c>
      <c r="E1489" s="2">
        <f t="shared" si="140"/>
        <v>15625000</v>
      </c>
      <c r="F1489" s="2">
        <f t="shared" si="141"/>
        <v>3906250000</v>
      </c>
      <c r="G1489" s="2">
        <f t="shared" si="142"/>
        <v>1068.8999999999999</v>
      </c>
      <c r="H1489" s="2">
        <f t="shared" si="143"/>
        <v>267225</v>
      </c>
    </row>
    <row r="1490" spans="1:8" x14ac:dyDescent="0.35">
      <c r="A1490" s="2">
        <v>250</v>
      </c>
      <c r="B1490" s="2">
        <v>47480</v>
      </c>
      <c r="C1490" s="2">
        <f t="shared" si="138"/>
        <v>4.7480000000000002</v>
      </c>
      <c r="D1490" s="2">
        <f t="shared" si="139"/>
        <v>62500</v>
      </c>
      <c r="E1490" s="2">
        <f t="shared" si="140"/>
        <v>15625000</v>
      </c>
      <c r="F1490" s="2">
        <f t="shared" si="141"/>
        <v>3906250000</v>
      </c>
      <c r="G1490" s="2">
        <f t="shared" si="142"/>
        <v>1187</v>
      </c>
      <c r="H1490" s="2">
        <f t="shared" si="143"/>
        <v>296750</v>
      </c>
    </row>
    <row r="1491" spans="1:8" x14ac:dyDescent="0.35">
      <c r="A1491" s="2">
        <v>630</v>
      </c>
      <c r="B1491" s="2">
        <v>26700</v>
      </c>
      <c r="C1491" s="2">
        <f t="shared" si="138"/>
        <v>2.67</v>
      </c>
      <c r="D1491" s="2">
        <f t="shared" si="139"/>
        <v>396900</v>
      </c>
      <c r="E1491" s="2">
        <f t="shared" si="140"/>
        <v>250047000</v>
      </c>
      <c r="F1491" s="2">
        <f t="shared" si="141"/>
        <v>157529610000</v>
      </c>
      <c r="G1491" s="2">
        <f t="shared" si="142"/>
        <v>1682.1</v>
      </c>
      <c r="H1491" s="2">
        <f t="shared" si="143"/>
        <v>1059723</v>
      </c>
    </row>
    <row r="1492" spans="1:8" x14ac:dyDescent="0.35">
      <c r="A1492" s="2">
        <v>630</v>
      </c>
      <c r="B1492" s="2">
        <v>31491</v>
      </c>
      <c r="C1492" s="2">
        <f t="shared" si="138"/>
        <v>3.1490999999999998</v>
      </c>
      <c r="D1492" s="2">
        <f t="shared" si="139"/>
        <v>396900</v>
      </c>
      <c r="E1492" s="2">
        <f t="shared" si="140"/>
        <v>250047000</v>
      </c>
      <c r="F1492" s="2">
        <f t="shared" si="141"/>
        <v>157529610000</v>
      </c>
      <c r="G1492" s="2">
        <f t="shared" si="142"/>
        <v>1983.9329999999998</v>
      </c>
      <c r="H1492" s="2">
        <f t="shared" si="143"/>
        <v>1249877.7899999998</v>
      </c>
    </row>
    <row r="1493" spans="1:8" x14ac:dyDescent="0.35">
      <c r="A1493" s="2">
        <v>630</v>
      </c>
      <c r="B1493" s="2">
        <v>31034</v>
      </c>
      <c r="C1493" s="2">
        <f t="shared" si="138"/>
        <v>3.1034000000000002</v>
      </c>
      <c r="D1493" s="2">
        <f t="shared" si="139"/>
        <v>396900</v>
      </c>
      <c r="E1493" s="2">
        <f t="shared" si="140"/>
        <v>250047000</v>
      </c>
      <c r="F1493" s="2">
        <f t="shared" si="141"/>
        <v>157529610000</v>
      </c>
      <c r="G1493" s="2">
        <f t="shared" si="142"/>
        <v>1955.1420000000001</v>
      </c>
      <c r="H1493" s="2">
        <f t="shared" si="143"/>
        <v>1231739.46</v>
      </c>
    </row>
    <row r="1494" spans="1:8" x14ac:dyDescent="0.35">
      <c r="A1494" s="2">
        <v>630</v>
      </c>
      <c r="B1494" s="2">
        <v>39859</v>
      </c>
      <c r="C1494" s="2">
        <f t="shared" si="138"/>
        <v>3.9859</v>
      </c>
      <c r="D1494" s="2">
        <f t="shared" si="139"/>
        <v>396900</v>
      </c>
      <c r="E1494" s="2">
        <f t="shared" si="140"/>
        <v>250047000</v>
      </c>
      <c r="F1494" s="2">
        <f t="shared" si="141"/>
        <v>157529610000</v>
      </c>
      <c r="G1494" s="2">
        <f t="shared" si="142"/>
        <v>2511.1170000000002</v>
      </c>
      <c r="H1494" s="2">
        <f t="shared" si="143"/>
        <v>1582003.71</v>
      </c>
    </row>
    <row r="1495" spans="1:8" x14ac:dyDescent="0.35">
      <c r="A1495" s="2">
        <v>630</v>
      </c>
      <c r="B1495" s="2">
        <v>30984</v>
      </c>
      <c r="C1495" s="2">
        <f t="shared" si="138"/>
        <v>3.0983999999999998</v>
      </c>
      <c r="D1495" s="2">
        <f t="shared" si="139"/>
        <v>396900</v>
      </c>
      <c r="E1495" s="2">
        <f t="shared" si="140"/>
        <v>250047000</v>
      </c>
      <c r="F1495" s="2">
        <f t="shared" si="141"/>
        <v>157529610000</v>
      </c>
      <c r="G1495" s="2">
        <f t="shared" si="142"/>
        <v>1951.992</v>
      </c>
      <c r="H1495" s="2">
        <f t="shared" si="143"/>
        <v>1229754.96</v>
      </c>
    </row>
    <row r="1496" spans="1:8" x14ac:dyDescent="0.35">
      <c r="A1496" s="2">
        <v>630</v>
      </c>
      <c r="B1496" s="2">
        <v>38846</v>
      </c>
      <c r="C1496" s="2">
        <f t="shared" si="138"/>
        <v>3.8845999999999998</v>
      </c>
      <c r="D1496" s="2">
        <f t="shared" si="139"/>
        <v>396900</v>
      </c>
      <c r="E1496" s="2">
        <f t="shared" si="140"/>
        <v>250047000</v>
      </c>
      <c r="F1496" s="2">
        <f t="shared" si="141"/>
        <v>157529610000</v>
      </c>
      <c r="G1496" s="2">
        <f t="shared" si="142"/>
        <v>2447.2979999999998</v>
      </c>
      <c r="H1496" s="2">
        <f t="shared" si="143"/>
        <v>1541797.74</v>
      </c>
    </row>
    <row r="1497" spans="1:8" x14ac:dyDescent="0.35">
      <c r="A1497" s="2">
        <v>630</v>
      </c>
      <c r="B1497" s="2">
        <v>35362</v>
      </c>
      <c r="C1497" s="2">
        <f t="shared" si="138"/>
        <v>3.5362</v>
      </c>
      <c r="D1497" s="2">
        <f t="shared" si="139"/>
        <v>396900</v>
      </c>
      <c r="E1497" s="2">
        <f t="shared" si="140"/>
        <v>250047000</v>
      </c>
      <c r="F1497" s="2">
        <f t="shared" si="141"/>
        <v>157529610000</v>
      </c>
      <c r="G1497" s="2">
        <f t="shared" si="142"/>
        <v>2227.806</v>
      </c>
      <c r="H1497" s="2">
        <f t="shared" si="143"/>
        <v>1403517.78</v>
      </c>
    </row>
    <row r="1498" spans="1:8" x14ac:dyDescent="0.35">
      <c r="A1498" s="2">
        <v>630</v>
      </c>
      <c r="B1498" s="2">
        <v>41483</v>
      </c>
      <c r="C1498" s="2">
        <f t="shared" si="138"/>
        <v>4.1482999999999999</v>
      </c>
      <c r="D1498" s="2">
        <f t="shared" si="139"/>
        <v>396900</v>
      </c>
      <c r="E1498" s="2">
        <f t="shared" si="140"/>
        <v>250047000</v>
      </c>
      <c r="F1498" s="2">
        <f t="shared" si="141"/>
        <v>157529610000</v>
      </c>
      <c r="G1498" s="2">
        <f t="shared" si="142"/>
        <v>2613.4290000000001</v>
      </c>
      <c r="H1498" s="2">
        <f t="shared" si="143"/>
        <v>1646460.27</v>
      </c>
    </row>
    <row r="1499" spans="1:8" x14ac:dyDescent="0.35">
      <c r="A1499" s="2">
        <v>630</v>
      </c>
      <c r="B1499" s="2">
        <v>43559</v>
      </c>
      <c r="C1499" s="2">
        <f t="shared" si="138"/>
        <v>4.3559000000000001</v>
      </c>
      <c r="D1499" s="2">
        <f t="shared" si="139"/>
        <v>396900</v>
      </c>
      <c r="E1499" s="2">
        <f t="shared" si="140"/>
        <v>250047000</v>
      </c>
      <c r="F1499" s="2">
        <f t="shared" si="141"/>
        <v>157529610000</v>
      </c>
      <c r="G1499" s="2">
        <f t="shared" si="142"/>
        <v>2744.2170000000001</v>
      </c>
      <c r="H1499" s="2">
        <f t="shared" si="143"/>
        <v>1728856.71</v>
      </c>
    </row>
    <row r="1500" spans="1:8" x14ac:dyDescent="0.35">
      <c r="A1500" s="2">
        <v>630</v>
      </c>
      <c r="B1500" s="2">
        <v>40000</v>
      </c>
      <c r="C1500" s="2">
        <f t="shared" si="138"/>
        <v>4</v>
      </c>
      <c r="D1500" s="2">
        <f t="shared" si="139"/>
        <v>396900</v>
      </c>
      <c r="E1500" s="2">
        <f t="shared" si="140"/>
        <v>250047000</v>
      </c>
      <c r="F1500" s="2">
        <f t="shared" si="141"/>
        <v>157529610000</v>
      </c>
      <c r="G1500" s="2">
        <f t="shared" si="142"/>
        <v>2520</v>
      </c>
      <c r="H1500" s="2">
        <f t="shared" si="143"/>
        <v>1587600</v>
      </c>
    </row>
    <row r="1501" spans="1:8" x14ac:dyDescent="0.35">
      <c r="A1501" s="2">
        <v>630</v>
      </c>
      <c r="B1501" s="2">
        <v>40000</v>
      </c>
      <c r="C1501" s="2">
        <f t="shared" si="138"/>
        <v>4</v>
      </c>
      <c r="D1501" s="2">
        <f t="shared" si="139"/>
        <v>396900</v>
      </c>
      <c r="E1501" s="2">
        <f t="shared" si="140"/>
        <v>250047000</v>
      </c>
      <c r="F1501" s="2">
        <f t="shared" si="141"/>
        <v>157529610000</v>
      </c>
      <c r="G1501" s="2">
        <f t="shared" si="142"/>
        <v>2520</v>
      </c>
      <c r="H1501" s="2">
        <f t="shared" si="143"/>
        <v>1587600</v>
      </c>
    </row>
    <row r="1502" spans="1:8" x14ac:dyDescent="0.35">
      <c r="A1502" s="2">
        <v>630</v>
      </c>
      <c r="B1502" s="2">
        <v>39724</v>
      </c>
      <c r="C1502" s="2">
        <f t="shared" si="138"/>
        <v>3.9723999999999999</v>
      </c>
      <c r="D1502" s="2">
        <f t="shared" si="139"/>
        <v>396900</v>
      </c>
      <c r="E1502" s="2">
        <f t="shared" si="140"/>
        <v>250047000</v>
      </c>
      <c r="F1502" s="2">
        <f t="shared" si="141"/>
        <v>157529610000</v>
      </c>
      <c r="G1502" s="2">
        <f t="shared" si="142"/>
        <v>2502.6120000000001</v>
      </c>
      <c r="H1502" s="2">
        <f t="shared" si="143"/>
        <v>1576645.56</v>
      </c>
    </row>
    <row r="1503" spans="1:8" x14ac:dyDescent="0.35">
      <c r="A1503" s="2">
        <v>630</v>
      </c>
      <c r="B1503" s="2">
        <v>48419</v>
      </c>
      <c r="C1503" s="2">
        <f t="shared" si="138"/>
        <v>4.8418999999999999</v>
      </c>
      <c r="D1503" s="2">
        <f t="shared" si="139"/>
        <v>396900</v>
      </c>
      <c r="E1503" s="2">
        <f t="shared" si="140"/>
        <v>250047000</v>
      </c>
      <c r="F1503" s="2">
        <f t="shared" si="141"/>
        <v>157529610000</v>
      </c>
      <c r="G1503" s="2">
        <f t="shared" si="142"/>
        <v>3050.3969999999999</v>
      </c>
      <c r="H1503" s="2">
        <f t="shared" si="143"/>
        <v>1921750.1099999999</v>
      </c>
    </row>
    <row r="1504" spans="1:8" x14ac:dyDescent="0.35">
      <c r="A1504" s="2">
        <v>630</v>
      </c>
      <c r="B1504" s="2">
        <v>39845</v>
      </c>
      <c r="C1504" s="2">
        <f t="shared" si="138"/>
        <v>3.9845000000000002</v>
      </c>
      <c r="D1504" s="2">
        <f t="shared" si="139"/>
        <v>396900</v>
      </c>
      <c r="E1504" s="2">
        <f t="shared" si="140"/>
        <v>250047000</v>
      </c>
      <c r="F1504" s="2">
        <f t="shared" si="141"/>
        <v>157529610000</v>
      </c>
      <c r="G1504" s="2">
        <f t="shared" si="142"/>
        <v>2510.2350000000001</v>
      </c>
      <c r="H1504" s="2">
        <f t="shared" si="143"/>
        <v>1581448.05</v>
      </c>
    </row>
    <row r="1505" spans="1:8" x14ac:dyDescent="0.35">
      <c r="A1505" s="2">
        <v>630</v>
      </c>
      <c r="B1505" s="2">
        <v>37710</v>
      </c>
      <c r="C1505" s="2">
        <f t="shared" si="138"/>
        <v>3.7709999999999999</v>
      </c>
      <c r="D1505" s="2">
        <f t="shared" si="139"/>
        <v>396900</v>
      </c>
      <c r="E1505" s="2">
        <f t="shared" si="140"/>
        <v>250047000</v>
      </c>
      <c r="F1505" s="2">
        <f t="shared" si="141"/>
        <v>157529610000</v>
      </c>
      <c r="G1505" s="2">
        <f t="shared" si="142"/>
        <v>2375.73</v>
      </c>
      <c r="H1505" s="2">
        <f t="shared" si="143"/>
        <v>1496709.9</v>
      </c>
    </row>
    <row r="1506" spans="1:8" x14ac:dyDescent="0.35">
      <c r="A1506" s="2">
        <v>630</v>
      </c>
      <c r="B1506" s="2">
        <v>34091</v>
      </c>
      <c r="C1506" s="2">
        <f t="shared" si="138"/>
        <v>3.4091</v>
      </c>
      <c r="D1506" s="2">
        <f t="shared" si="139"/>
        <v>396900</v>
      </c>
      <c r="E1506" s="2">
        <f t="shared" si="140"/>
        <v>250047000</v>
      </c>
      <c r="F1506" s="2">
        <f t="shared" si="141"/>
        <v>157529610000</v>
      </c>
      <c r="G1506" s="2">
        <f t="shared" si="142"/>
        <v>2147.7330000000002</v>
      </c>
      <c r="H1506" s="2">
        <f t="shared" si="143"/>
        <v>1353071.79</v>
      </c>
    </row>
    <row r="1507" spans="1:8" x14ac:dyDescent="0.35">
      <c r="A1507" s="2">
        <v>630</v>
      </c>
      <c r="B1507" s="2">
        <v>34615</v>
      </c>
      <c r="C1507" s="2">
        <f t="shared" si="138"/>
        <v>3.4615</v>
      </c>
      <c r="D1507" s="2">
        <f t="shared" si="139"/>
        <v>396900</v>
      </c>
      <c r="E1507" s="2">
        <f t="shared" si="140"/>
        <v>250047000</v>
      </c>
      <c r="F1507" s="2">
        <f t="shared" si="141"/>
        <v>157529610000</v>
      </c>
      <c r="G1507" s="2">
        <f t="shared" si="142"/>
        <v>2180.7449999999999</v>
      </c>
      <c r="H1507" s="2">
        <f t="shared" si="143"/>
        <v>1373869.35</v>
      </c>
    </row>
    <row r="1508" spans="1:8" x14ac:dyDescent="0.35">
      <c r="A1508" s="2">
        <v>630</v>
      </c>
      <c r="B1508" s="2">
        <v>37280</v>
      </c>
      <c r="C1508" s="2">
        <f t="shared" si="138"/>
        <v>3.7280000000000002</v>
      </c>
      <c r="D1508" s="2">
        <f t="shared" si="139"/>
        <v>396900</v>
      </c>
      <c r="E1508" s="2">
        <f t="shared" si="140"/>
        <v>250047000</v>
      </c>
      <c r="F1508" s="2">
        <f t="shared" si="141"/>
        <v>157529610000</v>
      </c>
      <c r="G1508" s="2">
        <f t="shared" si="142"/>
        <v>2348.6400000000003</v>
      </c>
      <c r="H1508" s="2">
        <f t="shared" si="143"/>
        <v>1479643.2000000002</v>
      </c>
    </row>
    <row r="1509" spans="1:8" x14ac:dyDescent="0.35">
      <c r="A1509" s="2">
        <v>630</v>
      </c>
      <c r="B1509" s="2">
        <v>39321</v>
      </c>
      <c r="C1509" s="2">
        <f t="shared" si="138"/>
        <v>3.9321000000000002</v>
      </c>
      <c r="D1509" s="2">
        <f t="shared" si="139"/>
        <v>396900</v>
      </c>
      <c r="E1509" s="2">
        <f t="shared" si="140"/>
        <v>250047000</v>
      </c>
      <c r="F1509" s="2">
        <f t="shared" si="141"/>
        <v>157529610000</v>
      </c>
      <c r="G1509" s="2">
        <f t="shared" si="142"/>
        <v>2477.223</v>
      </c>
      <c r="H1509" s="2">
        <f t="shared" si="143"/>
        <v>1560650.49</v>
      </c>
    </row>
    <row r="1510" spans="1:8" x14ac:dyDescent="0.35">
      <c r="A1510" s="2">
        <v>630</v>
      </c>
      <c r="B1510" s="2">
        <v>28062</v>
      </c>
      <c r="C1510" s="2">
        <f t="shared" si="138"/>
        <v>2.8062</v>
      </c>
      <c r="D1510" s="2">
        <f t="shared" si="139"/>
        <v>396900</v>
      </c>
      <c r="E1510" s="2">
        <f t="shared" si="140"/>
        <v>250047000</v>
      </c>
      <c r="F1510" s="2">
        <f t="shared" si="141"/>
        <v>157529610000</v>
      </c>
      <c r="G1510" s="2">
        <f t="shared" si="142"/>
        <v>1767.9059999999999</v>
      </c>
      <c r="H1510" s="2">
        <f t="shared" si="143"/>
        <v>1113780.78</v>
      </c>
    </row>
    <row r="1511" spans="1:8" x14ac:dyDescent="0.35">
      <c r="A1511" s="2">
        <v>630</v>
      </c>
      <c r="B1511" s="2">
        <v>28715</v>
      </c>
      <c r="C1511" s="2">
        <f t="shared" si="138"/>
        <v>2.8715000000000002</v>
      </c>
      <c r="D1511" s="2">
        <f t="shared" si="139"/>
        <v>396900</v>
      </c>
      <c r="E1511" s="2">
        <f t="shared" si="140"/>
        <v>250047000</v>
      </c>
      <c r="F1511" s="2">
        <f t="shared" si="141"/>
        <v>157529610000</v>
      </c>
      <c r="G1511" s="2">
        <f t="shared" si="142"/>
        <v>1809.0450000000001</v>
      </c>
      <c r="H1511" s="2">
        <f t="shared" si="143"/>
        <v>1139698.3500000001</v>
      </c>
    </row>
    <row r="1512" spans="1:8" x14ac:dyDescent="0.35">
      <c r="A1512" s="2">
        <v>630</v>
      </c>
      <c r="B1512" s="2">
        <v>13076</v>
      </c>
      <c r="C1512" s="2">
        <f t="shared" si="138"/>
        <v>1.3076000000000001</v>
      </c>
      <c r="D1512" s="2">
        <f t="shared" si="139"/>
        <v>396900</v>
      </c>
      <c r="E1512" s="2">
        <f t="shared" si="140"/>
        <v>250047000</v>
      </c>
      <c r="F1512" s="2">
        <f t="shared" si="141"/>
        <v>157529610000</v>
      </c>
      <c r="G1512" s="2">
        <f t="shared" si="142"/>
        <v>823.78800000000001</v>
      </c>
      <c r="H1512" s="2">
        <f t="shared" si="143"/>
        <v>518986.44000000006</v>
      </c>
    </row>
    <row r="1513" spans="1:8" x14ac:dyDescent="0.35">
      <c r="A1513" s="2">
        <v>630</v>
      </c>
      <c r="B1513" s="2">
        <v>19333</v>
      </c>
      <c r="C1513" s="2">
        <f t="shared" si="138"/>
        <v>1.9333</v>
      </c>
      <c r="D1513" s="2">
        <f t="shared" si="139"/>
        <v>396900</v>
      </c>
      <c r="E1513" s="2">
        <f t="shared" si="140"/>
        <v>250047000</v>
      </c>
      <c r="F1513" s="2">
        <f t="shared" si="141"/>
        <v>157529610000</v>
      </c>
      <c r="G1513" s="2">
        <f t="shared" si="142"/>
        <v>1217.979</v>
      </c>
      <c r="H1513" s="2">
        <f t="shared" si="143"/>
        <v>767326.77</v>
      </c>
    </row>
    <row r="1514" spans="1:8" x14ac:dyDescent="0.35">
      <c r="A1514" s="2">
        <v>630</v>
      </c>
      <c r="B1514" s="2">
        <v>42384</v>
      </c>
      <c r="C1514" s="2">
        <f t="shared" si="138"/>
        <v>4.2384000000000004</v>
      </c>
      <c r="D1514" s="2">
        <f t="shared" si="139"/>
        <v>396900</v>
      </c>
      <c r="E1514" s="2">
        <f t="shared" si="140"/>
        <v>250047000</v>
      </c>
      <c r="F1514" s="2">
        <f t="shared" si="141"/>
        <v>157529610000</v>
      </c>
      <c r="G1514" s="2">
        <f t="shared" si="142"/>
        <v>2670.1920000000005</v>
      </c>
      <c r="H1514" s="2">
        <f t="shared" si="143"/>
        <v>1682220.9600000002</v>
      </c>
    </row>
    <row r="1515" spans="1:8" x14ac:dyDescent="0.35">
      <c r="A1515" s="2">
        <v>630</v>
      </c>
      <c r="B1515" s="2">
        <v>39676</v>
      </c>
      <c r="C1515" s="2">
        <f t="shared" si="138"/>
        <v>3.9676</v>
      </c>
      <c r="D1515" s="2">
        <f t="shared" si="139"/>
        <v>396900</v>
      </c>
      <c r="E1515" s="2">
        <f t="shared" si="140"/>
        <v>250047000</v>
      </c>
      <c r="F1515" s="2">
        <f t="shared" si="141"/>
        <v>157529610000</v>
      </c>
      <c r="G1515" s="2">
        <f t="shared" si="142"/>
        <v>2499.5880000000002</v>
      </c>
      <c r="H1515" s="2">
        <f t="shared" si="143"/>
        <v>1574740.44</v>
      </c>
    </row>
    <row r="1516" spans="1:8" x14ac:dyDescent="0.35">
      <c r="A1516" s="2">
        <v>630</v>
      </c>
      <c r="B1516" s="2">
        <v>46643</v>
      </c>
      <c r="C1516" s="2">
        <f t="shared" si="138"/>
        <v>4.6642999999999999</v>
      </c>
      <c r="D1516" s="2">
        <f t="shared" si="139"/>
        <v>396900</v>
      </c>
      <c r="E1516" s="2">
        <f t="shared" si="140"/>
        <v>250047000</v>
      </c>
      <c r="F1516" s="2">
        <f t="shared" si="141"/>
        <v>157529610000</v>
      </c>
      <c r="G1516" s="2">
        <f t="shared" si="142"/>
        <v>2938.509</v>
      </c>
      <c r="H1516" s="2">
        <f t="shared" si="143"/>
        <v>1851260.67</v>
      </c>
    </row>
    <row r="1517" spans="1:8" x14ac:dyDescent="0.35">
      <c r="A1517" s="2">
        <v>630</v>
      </c>
      <c r="B1517" s="2">
        <v>39955</v>
      </c>
      <c r="C1517" s="2">
        <f t="shared" si="138"/>
        <v>3.9954999999999998</v>
      </c>
      <c r="D1517" s="2">
        <f t="shared" si="139"/>
        <v>396900</v>
      </c>
      <c r="E1517" s="2">
        <f t="shared" si="140"/>
        <v>250047000</v>
      </c>
      <c r="F1517" s="2">
        <f t="shared" si="141"/>
        <v>157529610000</v>
      </c>
      <c r="G1517" s="2">
        <f t="shared" si="142"/>
        <v>2517.165</v>
      </c>
      <c r="H1517" s="2">
        <f t="shared" si="143"/>
        <v>1585813.95</v>
      </c>
    </row>
    <row r="1518" spans="1:8" x14ac:dyDescent="0.35">
      <c r="A1518" s="2">
        <v>630</v>
      </c>
      <c r="B1518" s="2">
        <v>39543</v>
      </c>
      <c r="C1518" s="2">
        <f t="shared" si="138"/>
        <v>3.9542999999999999</v>
      </c>
      <c r="D1518" s="2">
        <f t="shared" si="139"/>
        <v>396900</v>
      </c>
      <c r="E1518" s="2">
        <f t="shared" si="140"/>
        <v>250047000</v>
      </c>
      <c r="F1518" s="2">
        <f t="shared" si="141"/>
        <v>157529610000</v>
      </c>
      <c r="G1518" s="2">
        <f t="shared" si="142"/>
        <v>2491.2089999999998</v>
      </c>
      <c r="H1518" s="2">
        <f t="shared" si="143"/>
        <v>1569461.67</v>
      </c>
    </row>
    <row r="1519" spans="1:8" x14ac:dyDescent="0.35">
      <c r="A1519" s="2">
        <v>630</v>
      </c>
      <c r="B1519" s="2">
        <v>39566</v>
      </c>
      <c r="C1519" s="2">
        <f t="shared" si="138"/>
        <v>3.9565999999999999</v>
      </c>
      <c r="D1519" s="2">
        <f t="shared" si="139"/>
        <v>396900</v>
      </c>
      <c r="E1519" s="2">
        <f t="shared" si="140"/>
        <v>250047000</v>
      </c>
      <c r="F1519" s="2">
        <f t="shared" si="141"/>
        <v>157529610000</v>
      </c>
      <c r="G1519" s="2">
        <f t="shared" si="142"/>
        <v>2492.6579999999999</v>
      </c>
      <c r="H1519" s="2">
        <f t="shared" si="143"/>
        <v>1570374.54</v>
      </c>
    </row>
    <row r="1520" spans="1:8" x14ac:dyDescent="0.35">
      <c r="A1520" s="2">
        <v>630</v>
      </c>
      <c r="B1520" s="2">
        <v>40273</v>
      </c>
      <c r="C1520" s="2">
        <f t="shared" si="138"/>
        <v>4.0273000000000003</v>
      </c>
      <c r="D1520" s="2">
        <f t="shared" si="139"/>
        <v>396900</v>
      </c>
      <c r="E1520" s="2">
        <f t="shared" si="140"/>
        <v>250047000</v>
      </c>
      <c r="F1520" s="2">
        <f t="shared" si="141"/>
        <v>157529610000</v>
      </c>
      <c r="G1520" s="2">
        <f t="shared" si="142"/>
        <v>2537.1990000000001</v>
      </c>
      <c r="H1520" s="2">
        <f t="shared" si="143"/>
        <v>1598435.37</v>
      </c>
    </row>
    <row r="1521" spans="1:8" x14ac:dyDescent="0.35">
      <c r="A1521" s="2">
        <v>2391</v>
      </c>
      <c r="B1521" s="2">
        <v>12525</v>
      </c>
      <c r="C1521" s="2">
        <f t="shared" si="138"/>
        <v>1.2524999999999999</v>
      </c>
      <c r="D1521" s="2">
        <f t="shared" si="139"/>
        <v>5716881</v>
      </c>
      <c r="E1521" s="2">
        <f t="shared" si="140"/>
        <v>13669062471</v>
      </c>
      <c r="F1521" s="2">
        <f t="shared" si="141"/>
        <v>32682728368161</v>
      </c>
      <c r="G1521" s="2">
        <f t="shared" si="142"/>
        <v>2994.7275</v>
      </c>
      <c r="H1521" s="2">
        <f t="shared" si="143"/>
        <v>7160393.4524999997</v>
      </c>
    </row>
    <row r="1522" spans="1:8" x14ac:dyDescent="0.35">
      <c r="A1522" s="2">
        <v>2391</v>
      </c>
      <c r="B1522" s="2">
        <v>12355</v>
      </c>
      <c r="C1522" s="2">
        <f t="shared" si="138"/>
        <v>1.2355</v>
      </c>
      <c r="D1522" s="2">
        <f t="shared" si="139"/>
        <v>5716881</v>
      </c>
      <c r="E1522" s="2">
        <f t="shared" si="140"/>
        <v>13669062471</v>
      </c>
      <c r="F1522" s="2">
        <f t="shared" si="141"/>
        <v>32682728368161</v>
      </c>
      <c r="G1522" s="2">
        <f t="shared" si="142"/>
        <v>2954.0805</v>
      </c>
      <c r="H1522" s="2">
        <f t="shared" si="143"/>
        <v>7063206.4755000006</v>
      </c>
    </row>
    <row r="1523" spans="1:8" x14ac:dyDescent="0.35">
      <c r="A1523" s="2">
        <v>2391</v>
      </c>
      <c r="B1523" s="2">
        <v>12623</v>
      </c>
      <c r="C1523" s="2">
        <f t="shared" si="138"/>
        <v>1.2623</v>
      </c>
      <c r="D1523" s="2">
        <f t="shared" si="139"/>
        <v>5716881</v>
      </c>
      <c r="E1523" s="2">
        <f t="shared" si="140"/>
        <v>13669062471</v>
      </c>
      <c r="F1523" s="2">
        <f t="shared" si="141"/>
        <v>32682728368161</v>
      </c>
      <c r="G1523" s="2">
        <f t="shared" si="142"/>
        <v>3018.1592999999998</v>
      </c>
      <c r="H1523" s="2">
        <f t="shared" si="143"/>
        <v>7216418.8862999994</v>
      </c>
    </row>
    <row r="1524" spans="1:8" x14ac:dyDescent="0.35">
      <c r="A1524" s="2">
        <v>2391</v>
      </c>
      <c r="B1524" s="2">
        <v>11661</v>
      </c>
      <c r="C1524" s="2">
        <f t="shared" si="138"/>
        <v>1.1660999999999999</v>
      </c>
      <c r="D1524" s="2">
        <f t="shared" si="139"/>
        <v>5716881</v>
      </c>
      <c r="E1524" s="2">
        <f t="shared" si="140"/>
        <v>13669062471</v>
      </c>
      <c r="F1524" s="2">
        <f t="shared" si="141"/>
        <v>32682728368161</v>
      </c>
      <c r="G1524" s="2">
        <f t="shared" si="142"/>
        <v>2788.1450999999997</v>
      </c>
      <c r="H1524" s="2">
        <f t="shared" si="143"/>
        <v>6666454.9340999993</v>
      </c>
    </row>
    <row r="1525" spans="1:8" x14ac:dyDescent="0.35">
      <c r="A1525" s="2">
        <v>2391</v>
      </c>
      <c r="B1525" s="2">
        <v>10286</v>
      </c>
      <c r="C1525" s="2">
        <f t="shared" si="138"/>
        <v>1.0286</v>
      </c>
      <c r="D1525" s="2">
        <f t="shared" si="139"/>
        <v>5716881</v>
      </c>
      <c r="E1525" s="2">
        <f t="shared" si="140"/>
        <v>13669062471</v>
      </c>
      <c r="F1525" s="2">
        <f t="shared" si="141"/>
        <v>32682728368161</v>
      </c>
      <c r="G1525" s="2">
        <f t="shared" si="142"/>
        <v>2459.3825999999999</v>
      </c>
      <c r="H1525" s="2">
        <f t="shared" si="143"/>
        <v>5880383.7966</v>
      </c>
    </row>
    <row r="1526" spans="1:8" x14ac:dyDescent="0.35">
      <c r="A1526" s="2">
        <v>2391</v>
      </c>
      <c r="B1526" s="2">
        <v>9091</v>
      </c>
      <c r="C1526" s="2">
        <f t="shared" si="138"/>
        <v>0.90910000000000002</v>
      </c>
      <c r="D1526" s="2">
        <f t="shared" si="139"/>
        <v>5716881</v>
      </c>
      <c r="E1526" s="2">
        <f t="shared" si="140"/>
        <v>13669062471</v>
      </c>
      <c r="F1526" s="2">
        <f t="shared" si="141"/>
        <v>32682728368161</v>
      </c>
      <c r="G1526" s="2">
        <f t="shared" si="142"/>
        <v>2173.6581000000001</v>
      </c>
      <c r="H1526" s="2">
        <f t="shared" si="143"/>
        <v>5197216.5170999998</v>
      </c>
    </row>
    <row r="1527" spans="1:8" x14ac:dyDescent="0.35">
      <c r="A1527" s="2">
        <v>2391</v>
      </c>
      <c r="B1527" s="2">
        <v>9167</v>
      </c>
      <c r="C1527" s="2">
        <f t="shared" si="138"/>
        <v>0.91669999999999996</v>
      </c>
      <c r="D1527" s="2">
        <f t="shared" si="139"/>
        <v>5716881</v>
      </c>
      <c r="E1527" s="2">
        <f t="shared" si="140"/>
        <v>13669062471</v>
      </c>
      <c r="F1527" s="2">
        <f t="shared" si="141"/>
        <v>32682728368161</v>
      </c>
      <c r="G1527" s="2">
        <f t="shared" si="142"/>
        <v>2191.8296999999998</v>
      </c>
      <c r="H1527" s="2">
        <f t="shared" si="143"/>
        <v>5240664.8126999997</v>
      </c>
    </row>
    <row r="1528" spans="1:8" x14ac:dyDescent="0.35">
      <c r="A1528" s="2">
        <v>2391</v>
      </c>
      <c r="B1528" s="2">
        <v>10833</v>
      </c>
      <c r="C1528" s="2">
        <f t="shared" si="138"/>
        <v>1.0832999999999999</v>
      </c>
      <c r="D1528" s="2">
        <f t="shared" si="139"/>
        <v>5716881</v>
      </c>
      <c r="E1528" s="2">
        <f t="shared" si="140"/>
        <v>13669062471</v>
      </c>
      <c r="F1528" s="2">
        <f t="shared" si="141"/>
        <v>32682728368161</v>
      </c>
      <c r="G1528" s="2">
        <f t="shared" si="142"/>
        <v>2590.1702999999998</v>
      </c>
      <c r="H1528" s="2">
        <f t="shared" si="143"/>
        <v>6193097.1872999994</v>
      </c>
    </row>
    <row r="1529" spans="1:8" x14ac:dyDescent="0.35">
      <c r="A1529" s="2">
        <v>2391</v>
      </c>
      <c r="B1529" s="2">
        <v>11111</v>
      </c>
      <c r="C1529" s="2">
        <f t="shared" si="138"/>
        <v>1.1111</v>
      </c>
      <c r="D1529" s="2">
        <f t="shared" si="139"/>
        <v>5716881</v>
      </c>
      <c r="E1529" s="2">
        <f t="shared" si="140"/>
        <v>13669062471</v>
      </c>
      <c r="F1529" s="2">
        <f t="shared" si="141"/>
        <v>32682728368161</v>
      </c>
      <c r="G1529" s="2">
        <f t="shared" si="142"/>
        <v>2656.6401000000001</v>
      </c>
      <c r="H1529" s="2">
        <f t="shared" si="143"/>
        <v>6352026.4791000001</v>
      </c>
    </row>
    <row r="1530" spans="1:8" x14ac:dyDescent="0.35">
      <c r="A1530" s="2">
        <v>2391</v>
      </c>
      <c r="B1530" s="2">
        <v>11240</v>
      </c>
      <c r="C1530" s="2">
        <f t="shared" si="138"/>
        <v>1.1240000000000001</v>
      </c>
      <c r="D1530" s="2">
        <f t="shared" si="139"/>
        <v>5716881</v>
      </c>
      <c r="E1530" s="2">
        <f t="shared" si="140"/>
        <v>13669062471</v>
      </c>
      <c r="F1530" s="2">
        <f t="shared" si="141"/>
        <v>32682728368161</v>
      </c>
      <c r="G1530" s="2">
        <f t="shared" si="142"/>
        <v>2687.4840000000004</v>
      </c>
      <c r="H1530" s="2">
        <f t="shared" si="143"/>
        <v>6425774.2440000009</v>
      </c>
    </row>
    <row r="1531" spans="1:8" x14ac:dyDescent="0.35">
      <c r="A1531" s="2">
        <v>2391</v>
      </c>
      <c r="B1531" s="2">
        <v>12493</v>
      </c>
      <c r="C1531" s="2">
        <f t="shared" si="138"/>
        <v>1.2493000000000001</v>
      </c>
      <c r="D1531" s="2">
        <f t="shared" si="139"/>
        <v>5716881</v>
      </c>
      <c r="E1531" s="2">
        <f t="shared" si="140"/>
        <v>13669062471</v>
      </c>
      <c r="F1531" s="2">
        <f t="shared" si="141"/>
        <v>32682728368161</v>
      </c>
      <c r="G1531" s="2">
        <f t="shared" si="142"/>
        <v>2987.0763000000002</v>
      </c>
      <c r="H1531" s="2">
        <f t="shared" si="143"/>
        <v>7142099.4333000006</v>
      </c>
    </row>
    <row r="1532" spans="1:8" x14ac:dyDescent="0.35">
      <c r="A1532" s="2">
        <v>2391</v>
      </c>
      <c r="B1532" s="2">
        <v>12456</v>
      </c>
      <c r="C1532" s="2">
        <f t="shared" si="138"/>
        <v>1.2456</v>
      </c>
      <c r="D1532" s="2">
        <f t="shared" si="139"/>
        <v>5716881</v>
      </c>
      <c r="E1532" s="2">
        <f t="shared" si="140"/>
        <v>13669062471</v>
      </c>
      <c r="F1532" s="2">
        <f t="shared" si="141"/>
        <v>32682728368161</v>
      </c>
      <c r="G1532" s="2">
        <f t="shared" si="142"/>
        <v>2978.2296000000001</v>
      </c>
      <c r="H1532" s="2">
        <f t="shared" si="143"/>
        <v>7120946.9736000001</v>
      </c>
    </row>
    <row r="1533" spans="1:8" x14ac:dyDescent="0.35">
      <c r="A1533" s="2">
        <v>2391</v>
      </c>
      <c r="B1533" s="2">
        <v>12934</v>
      </c>
      <c r="C1533" s="2">
        <f t="shared" si="138"/>
        <v>1.2934000000000001</v>
      </c>
      <c r="D1533" s="2">
        <f t="shared" si="139"/>
        <v>5716881</v>
      </c>
      <c r="E1533" s="2">
        <f t="shared" si="140"/>
        <v>13669062471</v>
      </c>
      <c r="F1533" s="2">
        <f t="shared" si="141"/>
        <v>32682728368161</v>
      </c>
      <c r="G1533" s="2">
        <f t="shared" si="142"/>
        <v>3092.5194000000001</v>
      </c>
      <c r="H1533" s="2">
        <f t="shared" si="143"/>
        <v>7394213.885400001</v>
      </c>
    </row>
    <row r="1534" spans="1:8" x14ac:dyDescent="0.35">
      <c r="A1534" s="2">
        <v>2391</v>
      </c>
      <c r="B1534" s="2">
        <v>12772</v>
      </c>
      <c r="C1534" s="2">
        <f t="shared" si="138"/>
        <v>1.2771999999999999</v>
      </c>
      <c r="D1534" s="2">
        <f t="shared" si="139"/>
        <v>5716881</v>
      </c>
      <c r="E1534" s="2">
        <f t="shared" si="140"/>
        <v>13669062471</v>
      </c>
      <c r="F1534" s="2">
        <f t="shared" si="141"/>
        <v>32682728368161</v>
      </c>
      <c r="G1534" s="2">
        <f t="shared" si="142"/>
        <v>3053.7851999999998</v>
      </c>
      <c r="H1534" s="2">
        <f t="shared" si="143"/>
        <v>7301600.4131999994</v>
      </c>
    </row>
    <row r="1535" spans="1:8" x14ac:dyDescent="0.35">
      <c r="A1535" s="2">
        <v>2391</v>
      </c>
      <c r="B1535" s="2">
        <v>12780</v>
      </c>
      <c r="C1535" s="2">
        <f t="shared" si="138"/>
        <v>1.278</v>
      </c>
      <c r="D1535" s="2">
        <f t="shared" si="139"/>
        <v>5716881</v>
      </c>
      <c r="E1535" s="2">
        <f t="shared" si="140"/>
        <v>13669062471</v>
      </c>
      <c r="F1535" s="2">
        <f t="shared" si="141"/>
        <v>32682728368161</v>
      </c>
      <c r="G1535" s="2">
        <f t="shared" si="142"/>
        <v>3055.6979999999999</v>
      </c>
      <c r="H1535" s="2">
        <f t="shared" si="143"/>
        <v>7306173.9180000005</v>
      </c>
    </row>
    <row r="1536" spans="1:8" x14ac:dyDescent="0.35">
      <c r="A1536" s="2">
        <v>2391</v>
      </c>
      <c r="B1536" s="2">
        <v>11154</v>
      </c>
      <c r="C1536" s="2">
        <f t="shared" si="138"/>
        <v>1.1153999999999999</v>
      </c>
      <c r="D1536" s="2">
        <f t="shared" si="139"/>
        <v>5716881</v>
      </c>
      <c r="E1536" s="2">
        <f t="shared" si="140"/>
        <v>13669062471</v>
      </c>
      <c r="F1536" s="2">
        <f t="shared" si="141"/>
        <v>32682728368161</v>
      </c>
      <c r="G1536" s="2">
        <f t="shared" si="142"/>
        <v>2666.9213999999997</v>
      </c>
      <c r="H1536" s="2">
        <f t="shared" si="143"/>
        <v>6376609.0674000001</v>
      </c>
    </row>
    <row r="1537" spans="1:8" x14ac:dyDescent="0.35">
      <c r="A1537" s="2">
        <v>2391</v>
      </c>
      <c r="B1537" s="2">
        <v>9167</v>
      </c>
      <c r="C1537" s="2">
        <f t="shared" si="138"/>
        <v>0.91669999999999996</v>
      </c>
      <c r="D1537" s="2">
        <f t="shared" si="139"/>
        <v>5716881</v>
      </c>
      <c r="E1537" s="2">
        <f t="shared" si="140"/>
        <v>13669062471</v>
      </c>
      <c r="F1537" s="2">
        <f t="shared" si="141"/>
        <v>32682728368161</v>
      </c>
      <c r="G1537" s="2">
        <f t="shared" si="142"/>
        <v>2191.8296999999998</v>
      </c>
      <c r="H1537" s="2">
        <f t="shared" si="143"/>
        <v>5240664.8126999997</v>
      </c>
    </row>
    <row r="1538" spans="1:8" x14ac:dyDescent="0.35">
      <c r="A1538" s="2">
        <v>2391</v>
      </c>
      <c r="B1538" s="2">
        <v>9167</v>
      </c>
      <c r="C1538" s="2">
        <f t="shared" si="138"/>
        <v>0.91669999999999996</v>
      </c>
      <c r="D1538" s="2">
        <f t="shared" si="139"/>
        <v>5716881</v>
      </c>
      <c r="E1538" s="2">
        <f t="shared" si="140"/>
        <v>13669062471</v>
      </c>
      <c r="F1538" s="2">
        <f t="shared" si="141"/>
        <v>32682728368161</v>
      </c>
      <c r="G1538" s="2">
        <f t="shared" si="142"/>
        <v>2191.8296999999998</v>
      </c>
      <c r="H1538" s="2">
        <f t="shared" si="143"/>
        <v>5240664.8126999997</v>
      </c>
    </row>
    <row r="1539" spans="1:8" x14ac:dyDescent="0.35">
      <c r="A1539" s="2">
        <v>2391</v>
      </c>
      <c r="B1539" s="2">
        <v>12900</v>
      </c>
      <c r="C1539" s="2">
        <f t="shared" ref="C1539:C1602" si="144">B1539/10000</f>
        <v>1.29</v>
      </c>
      <c r="D1539" s="2">
        <f t="shared" ref="D1539:D1602" si="145">A1539^2</f>
        <v>5716881</v>
      </c>
      <c r="E1539" s="2">
        <f t="shared" ref="E1539:E1602" si="146">A1539^3</f>
        <v>13669062471</v>
      </c>
      <c r="F1539" s="2">
        <f t="shared" ref="F1539:F1602" si="147">A1539^4</f>
        <v>32682728368161</v>
      </c>
      <c r="G1539" s="2">
        <f t="shared" ref="G1539:G1602" si="148">A1539*C1539</f>
        <v>3084.39</v>
      </c>
      <c r="H1539" s="2">
        <f t="shared" ref="H1539:H1602" si="149">D1539*C1539</f>
        <v>7374776.4900000002</v>
      </c>
    </row>
    <row r="1540" spans="1:8" x14ac:dyDescent="0.35">
      <c r="A1540" s="2">
        <v>2391</v>
      </c>
      <c r="B1540" s="2">
        <v>12615</v>
      </c>
      <c r="C1540" s="2">
        <f t="shared" si="144"/>
        <v>1.2615000000000001</v>
      </c>
      <c r="D1540" s="2">
        <f t="shared" si="145"/>
        <v>5716881</v>
      </c>
      <c r="E1540" s="2">
        <f t="shared" si="146"/>
        <v>13669062471</v>
      </c>
      <c r="F1540" s="2">
        <f t="shared" si="147"/>
        <v>32682728368161</v>
      </c>
      <c r="G1540" s="2">
        <f t="shared" si="148"/>
        <v>3016.2465000000002</v>
      </c>
      <c r="H1540" s="2">
        <f t="shared" si="149"/>
        <v>7211845.3815000001</v>
      </c>
    </row>
    <row r="1541" spans="1:8" x14ac:dyDescent="0.35">
      <c r="A1541" s="2">
        <v>2391</v>
      </c>
      <c r="B1541" s="2">
        <v>14488</v>
      </c>
      <c r="C1541" s="2">
        <f t="shared" si="144"/>
        <v>1.4488000000000001</v>
      </c>
      <c r="D1541" s="2">
        <f t="shared" si="145"/>
        <v>5716881</v>
      </c>
      <c r="E1541" s="2">
        <f t="shared" si="146"/>
        <v>13669062471</v>
      </c>
      <c r="F1541" s="2">
        <f t="shared" si="147"/>
        <v>32682728368161</v>
      </c>
      <c r="G1541" s="2">
        <f t="shared" si="148"/>
        <v>3464.0808000000002</v>
      </c>
      <c r="H1541" s="2">
        <f t="shared" si="149"/>
        <v>8282617.1928000003</v>
      </c>
    </row>
    <row r="1542" spans="1:8" x14ac:dyDescent="0.35">
      <c r="A1542" s="2">
        <v>2391</v>
      </c>
      <c r="B1542" s="2">
        <v>15534</v>
      </c>
      <c r="C1542" s="2">
        <f t="shared" si="144"/>
        <v>1.5533999999999999</v>
      </c>
      <c r="D1542" s="2">
        <f t="shared" si="145"/>
        <v>5716881</v>
      </c>
      <c r="E1542" s="2">
        <f t="shared" si="146"/>
        <v>13669062471</v>
      </c>
      <c r="F1542" s="2">
        <f t="shared" si="147"/>
        <v>32682728368161</v>
      </c>
      <c r="G1542" s="2">
        <f t="shared" si="148"/>
        <v>3714.1793999999995</v>
      </c>
      <c r="H1542" s="2">
        <f t="shared" si="149"/>
        <v>8880602.9453999996</v>
      </c>
    </row>
    <row r="1543" spans="1:8" x14ac:dyDescent="0.35">
      <c r="A1543" s="2">
        <v>2391</v>
      </c>
      <c r="B1543" s="2">
        <v>11835</v>
      </c>
      <c r="C1543" s="2">
        <f t="shared" si="144"/>
        <v>1.1835</v>
      </c>
      <c r="D1543" s="2">
        <f t="shared" si="145"/>
        <v>5716881</v>
      </c>
      <c r="E1543" s="2">
        <f t="shared" si="146"/>
        <v>13669062471</v>
      </c>
      <c r="F1543" s="2">
        <f t="shared" si="147"/>
        <v>32682728368161</v>
      </c>
      <c r="G1543" s="2">
        <f t="shared" si="148"/>
        <v>2829.7485000000001</v>
      </c>
      <c r="H1543" s="2">
        <f t="shared" si="149"/>
        <v>6765928.6634999998</v>
      </c>
    </row>
    <row r="1544" spans="1:8" x14ac:dyDescent="0.35">
      <c r="A1544" s="2">
        <v>2391</v>
      </c>
      <c r="B1544" s="2">
        <v>11786</v>
      </c>
      <c r="C1544" s="2">
        <f t="shared" si="144"/>
        <v>1.1786000000000001</v>
      </c>
      <c r="D1544" s="2">
        <f t="shared" si="145"/>
        <v>5716881</v>
      </c>
      <c r="E1544" s="2">
        <f t="shared" si="146"/>
        <v>13669062471</v>
      </c>
      <c r="F1544" s="2">
        <f t="shared" si="147"/>
        <v>32682728368161</v>
      </c>
      <c r="G1544" s="2">
        <f t="shared" si="148"/>
        <v>2818.0326</v>
      </c>
      <c r="H1544" s="2">
        <f t="shared" si="149"/>
        <v>6737915.9466000004</v>
      </c>
    </row>
    <row r="1545" spans="1:8" x14ac:dyDescent="0.35">
      <c r="A1545" s="2">
        <v>2391</v>
      </c>
      <c r="B1545" s="2">
        <v>11993</v>
      </c>
      <c r="C1545" s="2">
        <f t="shared" si="144"/>
        <v>1.1993</v>
      </c>
      <c r="D1545" s="2">
        <f t="shared" si="145"/>
        <v>5716881</v>
      </c>
      <c r="E1545" s="2">
        <f t="shared" si="146"/>
        <v>13669062471</v>
      </c>
      <c r="F1545" s="2">
        <f t="shared" si="147"/>
        <v>32682728368161</v>
      </c>
      <c r="G1545" s="2">
        <f t="shared" si="148"/>
        <v>2867.5263</v>
      </c>
      <c r="H1545" s="2">
        <f t="shared" si="149"/>
        <v>6856255.3832999999</v>
      </c>
    </row>
    <row r="1546" spans="1:8" x14ac:dyDescent="0.35">
      <c r="A1546" s="2">
        <v>2391</v>
      </c>
      <c r="B1546" s="2">
        <v>12853</v>
      </c>
      <c r="C1546" s="2">
        <f t="shared" si="144"/>
        <v>1.2853000000000001</v>
      </c>
      <c r="D1546" s="2">
        <f t="shared" si="145"/>
        <v>5716881</v>
      </c>
      <c r="E1546" s="2">
        <f t="shared" si="146"/>
        <v>13669062471</v>
      </c>
      <c r="F1546" s="2">
        <f t="shared" si="147"/>
        <v>32682728368161</v>
      </c>
      <c r="G1546" s="2">
        <f t="shared" si="148"/>
        <v>3073.1523000000002</v>
      </c>
      <c r="H1546" s="2">
        <f t="shared" si="149"/>
        <v>7347907.1493000006</v>
      </c>
    </row>
    <row r="1547" spans="1:8" x14ac:dyDescent="0.35">
      <c r="A1547" s="2">
        <v>2391</v>
      </c>
      <c r="B1547" s="2">
        <v>12892</v>
      </c>
      <c r="C1547" s="2">
        <f t="shared" si="144"/>
        <v>1.2891999999999999</v>
      </c>
      <c r="D1547" s="2">
        <f t="shared" si="145"/>
        <v>5716881</v>
      </c>
      <c r="E1547" s="2">
        <f t="shared" si="146"/>
        <v>13669062471</v>
      </c>
      <c r="F1547" s="2">
        <f t="shared" si="147"/>
        <v>32682728368161</v>
      </c>
      <c r="G1547" s="2">
        <f t="shared" si="148"/>
        <v>3082.4771999999998</v>
      </c>
      <c r="H1547" s="2">
        <f t="shared" si="149"/>
        <v>7370202.9851999991</v>
      </c>
    </row>
    <row r="1548" spans="1:8" x14ac:dyDescent="0.35">
      <c r="A1548" s="2">
        <v>2391</v>
      </c>
      <c r="B1548" s="2">
        <v>12989</v>
      </c>
      <c r="C1548" s="2">
        <f t="shared" si="144"/>
        <v>1.2988999999999999</v>
      </c>
      <c r="D1548" s="2">
        <f t="shared" si="145"/>
        <v>5716881</v>
      </c>
      <c r="E1548" s="2">
        <f t="shared" si="146"/>
        <v>13669062471</v>
      </c>
      <c r="F1548" s="2">
        <f t="shared" si="147"/>
        <v>32682728368161</v>
      </c>
      <c r="G1548" s="2">
        <f t="shared" si="148"/>
        <v>3105.6698999999999</v>
      </c>
      <c r="H1548" s="2">
        <f t="shared" si="149"/>
        <v>7425656.7308999998</v>
      </c>
    </row>
    <row r="1549" spans="1:8" x14ac:dyDescent="0.35">
      <c r="A1549" s="2">
        <v>2391</v>
      </c>
      <c r="B1549" s="2">
        <v>13101</v>
      </c>
      <c r="C1549" s="2">
        <f t="shared" si="144"/>
        <v>1.3101</v>
      </c>
      <c r="D1549" s="2">
        <f t="shared" si="145"/>
        <v>5716881</v>
      </c>
      <c r="E1549" s="2">
        <f t="shared" si="146"/>
        <v>13669062471</v>
      </c>
      <c r="F1549" s="2">
        <f t="shared" si="147"/>
        <v>32682728368161</v>
      </c>
      <c r="G1549" s="2">
        <f t="shared" si="148"/>
        <v>3132.4491000000003</v>
      </c>
      <c r="H1549" s="2">
        <f t="shared" si="149"/>
        <v>7489685.7981000002</v>
      </c>
    </row>
    <row r="1550" spans="1:8" x14ac:dyDescent="0.35">
      <c r="A1550" s="2">
        <v>2391</v>
      </c>
      <c r="B1550" s="2">
        <v>13223</v>
      </c>
      <c r="C1550" s="2">
        <f t="shared" si="144"/>
        <v>1.3223</v>
      </c>
      <c r="D1550" s="2">
        <f t="shared" si="145"/>
        <v>5716881</v>
      </c>
      <c r="E1550" s="2">
        <f t="shared" si="146"/>
        <v>13669062471</v>
      </c>
      <c r="F1550" s="2">
        <f t="shared" si="147"/>
        <v>32682728368161</v>
      </c>
      <c r="G1550" s="2">
        <f t="shared" si="148"/>
        <v>3161.6193000000003</v>
      </c>
      <c r="H1550" s="2">
        <f t="shared" si="149"/>
        <v>7559431.7462999998</v>
      </c>
    </row>
    <row r="1551" spans="1:8" x14ac:dyDescent="0.35">
      <c r="A1551" s="2">
        <v>1513</v>
      </c>
      <c r="B1551" s="2">
        <v>18400</v>
      </c>
      <c r="C1551" s="2">
        <f t="shared" si="144"/>
        <v>1.84</v>
      </c>
      <c r="D1551" s="2">
        <f t="shared" si="145"/>
        <v>2289169</v>
      </c>
      <c r="E1551" s="2">
        <f t="shared" si="146"/>
        <v>3463512697</v>
      </c>
      <c r="F1551" s="2">
        <f t="shared" si="147"/>
        <v>5240294710561</v>
      </c>
      <c r="G1551" s="2">
        <f t="shared" si="148"/>
        <v>2783.92</v>
      </c>
      <c r="H1551" s="2">
        <f t="shared" si="149"/>
        <v>4212070.96</v>
      </c>
    </row>
    <row r="1552" spans="1:8" x14ac:dyDescent="0.35">
      <c r="A1552" s="2">
        <v>1513</v>
      </c>
      <c r="B1552" s="2">
        <v>18780</v>
      </c>
      <c r="C1552" s="2">
        <f t="shared" si="144"/>
        <v>1.8779999999999999</v>
      </c>
      <c r="D1552" s="2">
        <f t="shared" si="145"/>
        <v>2289169</v>
      </c>
      <c r="E1552" s="2">
        <f t="shared" si="146"/>
        <v>3463512697</v>
      </c>
      <c r="F1552" s="2">
        <f t="shared" si="147"/>
        <v>5240294710561</v>
      </c>
      <c r="G1552" s="2">
        <f t="shared" si="148"/>
        <v>2841.4139999999998</v>
      </c>
      <c r="H1552" s="2">
        <f t="shared" si="149"/>
        <v>4299059.3820000002</v>
      </c>
    </row>
    <row r="1553" spans="1:8" x14ac:dyDescent="0.35">
      <c r="A1553" s="2">
        <v>1513</v>
      </c>
      <c r="B1553" s="2">
        <v>19836</v>
      </c>
      <c r="C1553" s="2">
        <f t="shared" si="144"/>
        <v>1.9836</v>
      </c>
      <c r="D1553" s="2">
        <f t="shared" si="145"/>
        <v>2289169</v>
      </c>
      <c r="E1553" s="2">
        <f t="shared" si="146"/>
        <v>3463512697</v>
      </c>
      <c r="F1553" s="2">
        <f t="shared" si="147"/>
        <v>5240294710561</v>
      </c>
      <c r="G1553" s="2">
        <f t="shared" si="148"/>
        <v>3001.1867999999999</v>
      </c>
      <c r="H1553" s="2">
        <f t="shared" si="149"/>
        <v>4540795.6283999998</v>
      </c>
    </row>
    <row r="1554" spans="1:8" x14ac:dyDescent="0.35">
      <c r="A1554" s="2">
        <v>1513</v>
      </c>
      <c r="B1554" s="2">
        <v>20768</v>
      </c>
      <c r="C1554" s="2">
        <f t="shared" si="144"/>
        <v>2.0768</v>
      </c>
      <c r="D1554" s="2">
        <f t="shared" si="145"/>
        <v>2289169</v>
      </c>
      <c r="E1554" s="2">
        <f t="shared" si="146"/>
        <v>3463512697</v>
      </c>
      <c r="F1554" s="2">
        <f t="shared" si="147"/>
        <v>5240294710561</v>
      </c>
      <c r="G1554" s="2">
        <f t="shared" si="148"/>
        <v>3142.1983999999998</v>
      </c>
      <c r="H1554" s="2">
        <f t="shared" si="149"/>
        <v>4754146.1792000001</v>
      </c>
    </row>
    <row r="1555" spans="1:8" x14ac:dyDescent="0.35">
      <c r="A1555" s="2">
        <v>1513</v>
      </c>
      <c r="B1555" s="2">
        <v>20773</v>
      </c>
      <c r="C1555" s="2">
        <f t="shared" si="144"/>
        <v>2.0773000000000001</v>
      </c>
      <c r="D1555" s="2">
        <f t="shared" si="145"/>
        <v>2289169</v>
      </c>
      <c r="E1555" s="2">
        <f t="shared" si="146"/>
        <v>3463512697</v>
      </c>
      <c r="F1555" s="2">
        <f t="shared" si="147"/>
        <v>5240294710561</v>
      </c>
      <c r="G1555" s="2">
        <f t="shared" si="148"/>
        <v>3142.9549000000002</v>
      </c>
      <c r="H1555" s="2">
        <f t="shared" si="149"/>
        <v>4755290.7637</v>
      </c>
    </row>
    <row r="1556" spans="1:8" x14ac:dyDescent="0.35">
      <c r="A1556" s="2">
        <v>1513</v>
      </c>
      <c r="B1556" s="2">
        <v>20546</v>
      </c>
      <c r="C1556" s="2">
        <f t="shared" si="144"/>
        <v>2.0546000000000002</v>
      </c>
      <c r="D1556" s="2">
        <f t="shared" si="145"/>
        <v>2289169</v>
      </c>
      <c r="E1556" s="2">
        <f t="shared" si="146"/>
        <v>3463512697</v>
      </c>
      <c r="F1556" s="2">
        <f t="shared" si="147"/>
        <v>5240294710561</v>
      </c>
      <c r="G1556" s="2">
        <f t="shared" si="148"/>
        <v>3108.6098000000002</v>
      </c>
      <c r="H1556" s="2">
        <f t="shared" si="149"/>
        <v>4703326.6274000006</v>
      </c>
    </row>
    <row r="1557" spans="1:8" x14ac:dyDescent="0.35">
      <c r="A1557" s="2">
        <v>1513</v>
      </c>
      <c r="B1557" s="2">
        <v>20869</v>
      </c>
      <c r="C1557" s="2">
        <f t="shared" si="144"/>
        <v>2.0869</v>
      </c>
      <c r="D1557" s="2">
        <f t="shared" si="145"/>
        <v>2289169</v>
      </c>
      <c r="E1557" s="2">
        <f t="shared" si="146"/>
        <v>3463512697</v>
      </c>
      <c r="F1557" s="2">
        <f t="shared" si="147"/>
        <v>5240294710561</v>
      </c>
      <c r="G1557" s="2">
        <f t="shared" si="148"/>
        <v>3157.4796999999999</v>
      </c>
      <c r="H1557" s="2">
        <f t="shared" si="149"/>
        <v>4777266.7861000001</v>
      </c>
    </row>
    <row r="1558" spans="1:8" x14ac:dyDescent="0.35">
      <c r="A1558" s="2">
        <v>1513</v>
      </c>
      <c r="B1558" s="2">
        <v>20782</v>
      </c>
      <c r="C1558" s="2">
        <f t="shared" si="144"/>
        <v>2.0781999999999998</v>
      </c>
      <c r="D1558" s="2">
        <f t="shared" si="145"/>
        <v>2289169</v>
      </c>
      <c r="E1558" s="2">
        <f t="shared" si="146"/>
        <v>3463512697</v>
      </c>
      <c r="F1558" s="2">
        <f t="shared" si="147"/>
        <v>5240294710561</v>
      </c>
      <c r="G1558" s="2">
        <f t="shared" si="148"/>
        <v>3144.3165999999997</v>
      </c>
      <c r="H1558" s="2">
        <f t="shared" si="149"/>
        <v>4757351.0157999992</v>
      </c>
    </row>
    <row r="1559" spans="1:8" x14ac:dyDescent="0.35">
      <c r="A1559" s="2">
        <v>1513</v>
      </c>
      <c r="B1559" s="2">
        <v>20694</v>
      </c>
      <c r="C1559" s="2">
        <f t="shared" si="144"/>
        <v>2.0693999999999999</v>
      </c>
      <c r="D1559" s="2">
        <f t="shared" si="145"/>
        <v>2289169</v>
      </c>
      <c r="E1559" s="2">
        <f t="shared" si="146"/>
        <v>3463512697</v>
      </c>
      <c r="F1559" s="2">
        <f t="shared" si="147"/>
        <v>5240294710561</v>
      </c>
      <c r="G1559" s="2">
        <f t="shared" si="148"/>
        <v>3131.0021999999999</v>
      </c>
      <c r="H1559" s="2">
        <f t="shared" si="149"/>
        <v>4737206.3285999997</v>
      </c>
    </row>
    <row r="1560" spans="1:8" x14ac:dyDescent="0.35">
      <c r="A1560" s="2">
        <v>1513</v>
      </c>
      <c r="B1560" s="2">
        <v>21304</v>
      </c>
      <c r="C1560" s="2">
        <f t="shared" si="144"/>
        <v>2.1303999999999998</v>
      </c>
      <c r="D1560" s="2">
        <f t="shared" si="145"/>
        <v>2289169</v>
      </c>
      <c r="E1560" s="2">
        <f t="shared" si="146"/>
        <v>3463512697</v>
      </c>
      <c r="F1560" s="2">
        <f t="shared" si="147"/>
        <v>5240294710561</v>
      </c>
      <c r="G1560" s="2">
        <f t="shared" si="148"/>
        <v>3223.2951999999996</v>
      </c>
      <c r="H1560" s="2">
        <f t="shared" si="149"/>
        <v>4876845.6376</v>
      </c>
    </row>
    <row r="1561" spans="1:8" x14ac:dyDescent="0.35">
      <c r="A1561" s="2">
        <v>1513</v>
      </c>
      <c r="B1561" s="2">
        <v>21930</v>
      </c>
      <c r="C1561" s="2">
        <f t="shared" si="144"/>
        <v>2.1930000000000001</v>
      </c>
      <c r="D1561" s="2">
        <f t="shared" si="145"/>
        <v>2289169</v>
      </c>
      <c r="E1561" s="2">
        <f t="shared" si="146"/>
        <v>3463512697</v>
      </c>
      <c r="F1561" s="2">
        <f t="shared" si="147"/>
        <v>5240294710561</v>
      </c>
      <c r="G1561" s="2">
        <f t="shared" si="148"/>
        <v>3318.009</v>
      </c>
      <c r="H1561" s="2">
        <f t="shared" si="149"/>
        <v>5020147.6170000006</v>
      </c>
    </row>
    <row r="1562" spans="1:8" x14ac:dyDescent="0.35">
      <c r="A1562" s="2">
        <v>1513</v>
      </c>
      <c r="B1562" s="2">
        <v>21737</v>
      </c>
      <c r="C1562" s="2">
        <f t="shared" si="144"/>
        <v>2.1737000000000002</v>
      </c>
      <c r="D1562" s="2">
        <f t="shared" si="145"/>
        <v>2289169</v>
      </c>
      <c r="E1562" s="2">
        <f t="shared" si="146"/>
        <v>3463512697</v>
      </c>
      <c r="F1562" s="2">
        <f t="shared" si="147"/>
        <v>5240294710561</v>
      </c>
      <c r="G1562" s="2">
        <f t="shared" si="148"/>
        <v>3288.8081000000002</v>
      </c>
      <c r="H1562" s="2">
        <f t="shared" si="149"/>
        <v>4975966.6553000007</v>
      </c>
    </row>
    <row r="1563" spans="1:8" x14ac:dyDescent="0.35">
      <c r="A1563" s="2">
        <v>1513</v>
      </c>
      <c r="B1563" s="2">
        <v>20341</v>
      </c>
      <c r="C1563" s="2">
        <f t="shared" si="144"/>
        <v>2.0341</v>
      </c>
      <c r="D1563" s="2">
        <f t="shared" si="145"/>
        <v>2289169</v>
      </c>
      <c r="E1563" s="2">
        <f t="shared" si="146"/>
        <v>3463512697</v>
      </c>
      <c r="F1563" s="2">
        <f t="shared" si="147"/>
        <v>5240294710561</v>
      </c>
      <c r="G1563" s="2">
        <f t="shared" si="148"/>
        <v>3077.5933</v>
      </c>
      <c r="H1563" s="2">
        <f t="shared" si="149"/>
        <v>4656398.6628999999</v>
      </c>
    </row>
    <row r="1564" spans="1:8" x14ac:dyDescent="0.35">
      <c r="A1564" s="2">
        <v>1513</v>
      </c>
      <c r="B1564" s="2">
        <v>21284</v>
      </c>
      <c r="C1564" s="2">
        <f t="shared" si="144"/>
        <v>2.1284000000000001</v>
      </c>
      <c r="D1564" s="2">
        <f t="shared" si="145"/>
        <v>2289169</v>
      </c>
      <c r="E1564" s="2">
        <f t="shared" si="146"/>
        <v>3463512697</v>
      </c>
      <c r="F1564" s="2">
        <f t="shared" si="147"/>
        <v>5240294710561</v>
      </c>
      <c r="G1564" s="2">
        <f t="shared" si="148"/>
        <v>3220.2692000000002</v>
      </c>
      <c r="H1564" s="2">
        <f t="shared" si="149"/>
        <v>4872267.2996000005</v>
      </c>
    </row>
    <row r="1565" spans="1:8" x14ac:dyDescent="0.35">
      <c r="A1565" s="2">
        <v>1513</v>
      </c>
      <c r="B1565" s="2">
        <v>20512</v>
      </c>
      <c r="C1565" s="2">
        <f t="shared" si="144"/>
        <v>2.0512000000000001</v>
      </c>
      <c r="D1565" s="2">
        <f t="shared" si="145"/>
        <v>2289169</v>
      </c>
      <c r="E1565" s="2">
        <f t="shared" si="146"/>
        <v>3463512697</v>
      </c>
      <c r="F1565" s="2">
        <f t="shared" si="147"/>
        <v>5240294710561</v>
      </c>
      <c r="G1565" s="2">
        <f t="shared" si="148"/>
        <v>3103.4656</v>
      </c>
      <c r="H1565" s="2">
        <f t="shared" si="149"/>
        <v>4695543.4528000001</v>
      </c>
    </row>
    <row r="1566" spans="1:8" x14ac:dyDescent="0.35">
      <c r="A1566" s="2">
        <v>1513</v>
      </c>
      <c r="B1566" s="2">
        <v>21956</v>
      </c>
      <c r="C1566" s="2">
        <f t="shared" si="144"/>
        <v>2.1956000000000002</v>
      </c>
      <c r="D1566" s="2">
        <f t="shared" si="145"/>
        <v>2289169</v>
      </c>
      <c r="E1566" s="2">
        <f t="shared" si="146"/>
        <v>3463512697</v>
      </c>
      <c r="F1566" s="2">
        <f t="shared" si="147"/>
        <v>5240294710561</v>
      </c>
      <c r="G1566" s="2">
        <f t="shared" si="148"/>
        <v>3321.9428000000003</v>
      </c>
      <c r="H1566" s="2">
        <f t="shared" si="149"/>
        <v>5026099.4564000005</v>
      </c>
    </row>
    <row r="1567" spans="1:8" x14ac:dyDescent="0.35">
      <c r="A1567" s="2">
        <v>1513</v>
      </c>
      <c r="B1567" s="2">
        <v>21414</v>
      </c>
      <c r="C1567" s="2">
        <f t="shared" si="144"/>
        <v>2.1414</v>
      </c>
      <c r="D1567" s="2">
        <f t="shared" si="145"/>
        <v>2289169</v>
      </c>
      <c r="E1567" s="2">
        <f t="shared" si="146"/>
        <v>3463512697</v>
      </c>
      <c r="F1567" s="2">
        <f t="shared" si="147"/>
        <v>5240294710561</v>
      </c>
      <c r="G1567" s="2">
        <f t="shared" si="148"/>
        <v>3239.9382000000001</v>
      </c>
      <c r="H1567" s="2">
        <f t="shared" si="149"/>
        <v>4902026.4966000002</v>
      </c>
    </row>
    <row r="1568" spans="1:8" x14ac:dyDescent="0.35">
      <c r="A1568" s="2">
        <v>1513</v>
      </c>
      <c r="B1568" s="2">
        <v>24475</v>
      </c>
      <c r="C1568" s="2">
        <f t="shared" si="144"/>
        <v>2.4474999999999998</v>
      </c>
      <c r="D1568" s="2">
        <f t="shared" si="145"/>
        <v>2289169</v>
      </c>
      <c r="E1568" s="2">
        <f t="shared" si="146"/>
        <v>3463512697</v>
      </c>
      <c r="F1568" s="2">
        <f t="shared" si="147"/>
        <v>5240294710561</v>
      </c>
      <c r="G1568" s="2">
        <f t="shared" si="148"/>
        <v>3703.0674999999997</v>
      </c>
      <c r="H1568" s="2">
        <f t="shared" si="149"/>
        <v>5602741.1274999995</v>
      </c>
    </row>
    <row r="1569" spans="1:8" x14ac:dyDescent="0.35">
      <c r="A1569" s="2">
        <v>1513</v>
      </c>
      <c r="B1569" s="2">
        <v>27140</v>
      </c>
      <c r="C1569" s="2">
        <f t="shared" si="144"/>
        <v>2.714</v>
      </c>
      <c r="D1569" s="2">
        <f t="shared" si="145"/>
        <v>2289169</v>
      </c>
      <c r="E1569" s="2">
        <f t="shared" si="146"/>
        <v>3463512697</v>
      </c>
      <c r="F1569" s="2">
        <f t="shared" si="147"/>
        <v>5240294710561</v>
      </c>
      <c r="G1569" s="2">
        <f t="shared" si="148"/>
        <v>4106.2820000000002</v>
      </c>
      <c r="H1569" s="2">
        <f t="shared" si="149"/>
        <v>6212804.6660000002</v>
      </c>
    </row>
    <row r="1570" spans="1:8" x14ac:dyDescent="0.35">
      <c r="A1570" s="2">
        <v>1513</v>
      </c>
      <c r="B1570" s="2">
        <v>27667</v>
      </c>
      <c r="C1570" s="2">
        <f t="shared" si="144"/>
        <v>2.7667000000000002</v>
      </c>
      <c r="D1570" s="2">
        <f t="shared" si="145"/>
        <v>2289169</v>
      </c>
      <c r="E1570" s="2">
        <f t="shared" si="146"/>
        <v>3463512697</v>
      </c>
      <c r="F1570" s="2">
        <f t="shared" si="147"/>
        <v>5240294710561</v>
      </c>
      <c r="G1570" s="2">
        <f t="shared" si="148"/>
        <v>4186.0171</v>
      </c>
      <c r="H1570" s="2">
        <f t="shared" si="149"/>
        <v>6333443.8722999999</v>
      </c>
    </row>
    <row r="1571" spans="1:8" x14ac:dyDescent="0.35">
      <c r="A1571" s="2">
        <v>1513</v>
      </c>
      <c r="B1571" s="2">
        <v>28268</v>
      </c>
      <c r="C1571" s="2">
        <f t="shared" si="144"/>
        <v>2.8268</v>
      </c>
      <c r="D1571" s="2">
        <f t="shared" si="145"/>
        <v>2289169</v>
      </c>
      <c r="E1571" s="2">
        <f t="shared" si="146"/>
        <v>3463512697</v>
      </c>
      <c r="F1571" s="2">
        <f t="shared" si="147"/>
        <v>5240294710561</v>
      </c>
      <c r="G1571" s="2">
        <f t="shared" si="148"/>
        <v>4276.9484000000002</v>
      </c>
      <c r="H1571" s="2">
        <f t="shared" si="149"/>
        <v>6471022.9292000001</v>
      </c>
    </row>
    <row r="1572" spans="1:8" x14ac:dyDescent="0.35">
      <c r="A1572" s="2">
        <v>1513</v>
      </c>
      <c r="B1572" s="2">
        <v>30495</v>
      </c>
      <c r="C1572" s="2">
        <f t="shared" si="144"/>
        <v>3.0495000000000001</v>
      </c>
      <c r="D1572" s="2">
        <f t="shared" si="145"/>
        <v>2289169</v>
      </c>
      <c r="E1572" s="2">
        <f t="shared" si="146"/>
        <v>3463512697</v>
      </c>
      <c r="F1572" s="2">
        <f t="shared" si="147"/>
        <v>5240294710561</v>
      </c>
      <c r="G1572" s="2">
        <f t="shared" si="148"/>
        <v>4613.8935000000001</v>
      </c>
      <c r="H1572" s="2">
        <f t="shared" si="149"/>
        <v>6980820.8655000003</v>
      </c>
    </row>
    <row r="1573" spans="1:8" x14ac:dyDescent="0.35">
      <c r="A1573" s="2">
        <v>1513</v>
      </c>
      <c r="B1573" s="2">
        <v>35056</v>
      </c>
      <c r="C1573" s="2">
        <f t="shared" si="144"/>
        <v>3.5055999999999998</v>
      </c>
      <c r="D1573" s="2">
        <f t="shared" si="145"/>
        <v>2289169</v>
      </c>
      <c r="E1573" s="2">
        <f t="shared" si="146"/>
        <v>3463512697</v>
      </c>
      <c r="F1573" s="2">
        <f t="shared" si="147"/>
        <v>5240294710561</v>
      </c>
      <c r="G1573" s="2">
        <f t="shared" si="148"/>
        <v>5303.9727999999996</v>
      </c>
      <c r="H1573" s="2">
        <f t="shared" si="149"/>
        <v>8024910.8463999992</v>
      </c>
    </row>
    <row r="1574" spans="1:8" x14ac:dyDescent="0.35">
      <c r="A1574" s="2">
        <v>1513</v>
      </c>
      <c r="B1574" s="2">
        <v>36249</v>
      </c>
      <c r="C1574" s="2">
        <f t="shared" si="144"/>
        <v>3.6248999999999998</v>
      </c>
      <c r="D1574" s="2">
        <f t="shared" si="145"/>
        <v>2289169</v>
      </c>
      <c r="E1574" s="2">
        <f t="shared" si="146"/>
        <v>3463512697</v>
      </c>
      <c r="F1574" s="2">
        <f t="shared" si="147"/>
        <v>5240294710561</v>
      </c>
      <c r="G1574" s="2">
        <f t="shared" si="148"/>
        <v>5484.4736999999996</v>
      </c>
      <c r="H1574" s="2">
        <f t="shared" si="149"/>
        <v>8298008.7080999995</v>
      </c>
    </row>
    <row r="1575" spans="1:8" x14ac:dyDescent="0.35">
      <c r="A1575" s="2">
        <v>1513</v>
      </c>
      <c r="B1575" s="2">
        <v>37806</v>
      </c>
      <c r="C1575" s="2">
        <f t="shared" si="144"/>
        <v>3.7806000000000002</v>
      </c>
      <c r="D1575" s="2">
        <f t="shared" si="145"/>
        <v>2289169</v>
      </c>
      <c r="E1575" s="2">
        <f t="shared" si="146"/>
        <v>3463512697</v>
      </c>
      <c r="F1575" s="2">
        <f t="shared" si="147"/>
        <v>5240294710561</v>
      </c>
      <c r="G1575" s="2">
        <f t="shared" si="148"/>
        <v>5720.0478000000003</v>
      </c>
      <c r="H1575" s="2">
        <f t="shared" si="149"/>
        <v>8654432.3213999998</v>
      </c>
    </row>
    <row r="1576" spans="1:8" x14ac:dyDescent="0.35">
      <c r="A1576" s="2">
        <v>1513</v>
      </c>
      <c r="B1576" s="2">
        <v>37661</v>
      </c>
      <c r="C1576" s="2">
        <f t="shared" si="144"/>
        <v>3.7660999999999998</v>
      </c>
      <c r="D1576" s="2">
        <f t="shared" si="145"/>
        <v>2289169</v>
      </c>
      <c r="E1576" s="2">
        <f t="shared" si="146"/>
        <v>3463512697</v>
      </c>
      <c r="F1576" s="2">
        <f t="shared" si="147"/>
        <v>5240294710561</v>
      </c>
      <c r="G1576" s="2">
        <f t="shared" si="148"/>
        <v>5698.1093000000001</v>
      </c>
      <c r="H1576" s="2">
        <f t="shared" si="149"/>
        <v>8621239.3708999995</v>
      </c>
    </row>
    <row r="1577" spans="1:8" x14ac:dyDescent="0.35">
      <c r="A1577" s="2">
        <v>1513</v>
      </c>
      <c r="B1577" s="2">
        <v>39449</v>
      </c>
      <c r="C1577" s="2">
        <f t="shared" si="144"/>
        <v>3.9449000000000001</v>
      </c>
      <c r="D1577" s="2">
        <f t="shared" si="145"/>
        <v>2289169</v>
      </c>
      <c r="E1577" s="2">
        <f t="shared" si="146"/>
        <v>3463512697</v>
      </c>
      <c r="F1577" s="2">
        <f t="shared" si="147"/>
        <v>5240294710561</v>
      </c>
      <c r="G1577" s="2">
        <f t="shared" si="148"/>
        <v>5968.6337000000003</v>
      </c>
      <c r="H1577" s="2">
        <f t="shared" si="149"/>
        <v>9030542.7881000005</v>
      </c>
    </row>
    <row r="1578" spans="1:8" x14ac:dyDescent="0.35">
      <c r="A1578" s="2">
        <v>1513</v>
      </c>
      <c r="B1578" s="2">
        <v>41062</v>
      </c>
      <c r="C1578" s="2">
        <f t="shared" si="144"/>
        <v>4.1062000000000003</v>
      </c>
      <c r="D1578" s="2">
        <f t="shared" si="145"/>
        <v>2289169</v>
      </c>
      <c r="E1578" s="2">
        <f t="shared" si="146"/>
        <v>3463512697</v>
      </c>
      <c r="F1578" s="2">
        <f t="shared" si="147"/>
        <v>5240294710561</v>
      </c>
      <c r="G1578" s="2">
        <f t="shared" si="148"/>
        <v>6212.6806000000006</v>
      </c>
      <c r="H1578" s="2">
        <f t="shared" si="149"/>
        <v>9399785.7478</v>
      </c>
    </row>
    <row r="1579" spans="1:8" x14ac:dyDescent="0.35">
      <c r="A1579" s="2">
        <v>1513</v>
      </c>
      <c r="B1579" s="2">
        <v>42674</v>
      </c>
      <c r="C1579" s="2">
        <f t="shared" si="144"/>
        <v>4.2674000000000003</v>
      </c>
      <c r="D1579" s="2">
        <f t="shared" si="145"/>
        <v>2289169</v>
      </c>
      <c r="E1579" s="2">
        <f t="shared" si="146"/>
        <v>3463512697</v>
      </c>
      <c r="F1579" s="2">
        <f t="shared" si="147"/>
        <v>5240294710561</v>
      </c>
      <c r="G1579" s="2">
        <f t="shared" si="148"/>
        <v>6456.5762000000004</v>
      </c>
      <c r="H1579" s="2">
        <f t="shared" si="149"/>
        <v>9768799.7905999999</v>
      </c>
    </row>
    <row r="1580" spans="1:8" x14ac:dyDescent="0.35">
      <c r="A1580" s="2">
        <v>1513</v>
      </c>
      <c r="B1580" s="2">
        <v>44287</v>
      </c>
      <c r="C1580" s="2">
        <f t="shared" si="144"/>
        <v>4.4287000000000001</v>
      </c>
      <c r="D1580" s="2">
        <f t="shared" si="145"/>
        <v>2289169</v>
      </c>
      <c r="E1580" s="2">
        <f t="shared" si="146"/>
        <v>3463512697</v>
      </c>
      <c r="F1580" s="2">
        <f t="shared" si="147"/>
        <v>5240294710561</v>
      </c>
      <c r="G1580" s="2">
        <f t="shared" si="148"/>
        <v>6700.6230999999998</v>
      </c>
      <c r="H1580" s="2">
        <f t="shared" si="149"/>
        <v>10138042.750299999</v>
      </c>
    </row>
    <row r="1581" spans="1:8" x14ac:dyDescent="0.35">
      <c r="A1581" s="2">
        <v>1181</v>
      </c>
      <c r="B1581" s="2">
        <v>16468</v>
      </c>
      <c r="C1581" s="2">
        <f t="shared" si="144"/>
        <v>1.6468</v>
      </c>
      <c r="D1581" s="2">
        <f t="shared" si="145"/>
        <v>1394761</v>
      </c>
      <c r="E1581" s="2">
        <f t="shared" si="146"/>
        <v>1647212741</v>
      </c>
      <c r="F1581" s="2">
        <f t="shared" si="147"/>
        <v>1945358247121</v>
      </c>
      <c r="G1581" s="2">
        <f t="shared" si="148"/>
        <v>1944.8708000000001</v>
      </c>
      <c r="H1581" s="2">
        <f t="shared" si="149"/>
        <v>2296892.4147999999</v>
      </c>
    </row>
    <row r="1582" spans="1:8" x14ac:dyDescent="0.35">
      <c r="A1582" s="2">
        <v>1181</v>
      </c>
      <c r="B1582" s="2">
        <v>16354</v>
      </c>
      <c r="C1582" s="2">
        <f t="shared" si="144"/>
        <v>1.6354</v>
      </c>
      <c r="D1582" s="2">
        <f t="shared" si="145"/>
        <v>1394761</v>
      </c>
      <c r="E1582" s="2">
        <f t="shared" si="146"/>
        <v>1647212741</v>
      </c>
      <c r="F1582" s="2">
        <f t="shared" si="147"/>
        <v>1945358247121</v>
      </c>
      <c r="G1582" s="2">
        <f t="shared" si="148"/>
        <v>1931.4074000000001</v>
      </c>
      <c r="H1582" s="2">
        <f t="shared" si="149"/>
        <v>2280992.1393999998</v>
      </c>
    </row>
    <row r="1583" spans="1:8" x14ac:dyDescent="0.35">
      <c r="A1583" s="2">
        <v>1181</v>
      </c>
      <c r="B1583" s="2">
        <v>14905</v>
      </c>
      <c r="C1583" s="2">
        <f t="shared" si="144"/>
        <v>1.4904999999999999</v>
      </c>
      <c r="D1583" s="2">
        <f t="shared" si="145"/>
        <v>1394761</v>
      </c>
      <c r="E1583" s="2">
        <f t="shared" si="146"/>
        <v>1647212741</v>
      </c>
      <c r="F1583" s="2">
        <f t="shared" si="147"/>
        <v>1945358247121</v>
      </c>
      <c r="G1583" s="2">
        <f t="shared" si="148"/>
        <v>1760.2804999999998</v>
      </c>
      <c r="H1583" s="2">
        <f t="shared" si="149"/>
        <v>2078891.2704999999</v>
      </c>
    </row>
    <row r="1584" spans="1:8" x14ac:dyDescent="0.35">
      <c r="A1584" s="2">
        <v>1181</v>
      </c>
      <c r="B1584" s="2">
        <v>17866</v>
      </c>
      <c r="C1584" s="2">
        <f t="shared" si="144"/>
        <v>1.7866</v>
      </c>
      <c r="D1584" s="2">
        <f t="shared" si="145"/>
        <v>1394761</v>
      </c>
      <c r="E1584" s="2">
        <f t="shared" si="146"/>
        <v>1647212741</v>
      </c>
      <c r="F1584" s="2">
        <f t="shared" si="147"/>
        <v>1945358247121</v>
      </c>
      <c r="G1584" s="2">
        <f t="shared" si="148"/>
        <v>2109.9746</v>
      </c>
      <c r="H1584" s="2">
        <f t="shared" si="149"/>
        <v>2491880.0025999998</v>
      </c>
    </row>
    <row r="1585" spans="1:8" x14ac:dyDescent="0.35">
      <c r="A1585" s="2">
        <v>1181</v>
      </c>
      <c r="B1585" s="2">
        <v>14903</v>
      </c>
      <c r="C1585" s="2">
        <f t="shared" si="144"/>
        <v>1.4903</v>
      </c>
      <c r="D1585" s="2">
        <f t="shared" si="145"/>
        <v>1394761</v>
      </c>
      <c r="E1585" s="2">
        <f t="shared" si="146"/>
        <v>1647212741</v>
      </c>
      <c r="F1585" s="2">
        <f t="shared" si="147"/>
        <v>1945358247121</v>
      </c>
      <c r="G1585" s="2">
        <f t="shared" si="148"/>
        <v>1760.0443</v>
      </c>
      <c r="H1585" s="2">
        <f t="shared" si="149"/>
        <v>2078612.3182999999</v>
      </c>
    </row>
    <row r="1586" spans="1:8" x14ac:dyDescent="0.35">
      <c r="A1586" s="2">
        <v>1181</v>
      </c>
      <c r="B1586" s="2">
        <v>19237</v>
      </c>
      <c r="C1586" s="2">
        <f t="shared" si="144"/>
        <v>1.9237</v>
      </c>
      <c r="D1586" s="2">
        <f t="shared" si="145"/>
        <v>1394761</v>
      </c>
      <c r="E1586" s="2">
        <f t="shared" si="146"/>
        <v>1647212741</v>
      </c>
      <c r="F1586" s="2">
        <f t="shared" si="147"/>
        <v>1945358247121</v>
      </c>
      <c r="G1586" s="2">
        <f t="shared" si="148"/>
        <v>2271.8897000000002</v>
      </c>
      <c r="H1586" s="2">
        <f t="shared" si="149"/>
        <v>2683101.7357000001</v>
      </c>
    </row>
    <row r="1587" spans="1:8" x14ac:dyDescent="0.35">
      <c r="A1587" s="2">
        <v>1181</v>
      </c>
      <c r="B1587" s="2">
        <v>13046</v>
      </c>
      <c r="C1587" s="2">
        <f t="shared" si="144"/>
        <v>1.3046</v>
      </c>
      <c r="D1587" s="2">
        <f t="shared" si="145"/>
        <v>1394761</v>
      </c>
      <c r="E1587" s="2">
        <f t="shared" si="146"/>
        <v>1647212741</v>
      </c>
      <c r="F1587" s="2">
        <f t="shared" si="147"/>
        <v>1945358247121</v>
      </c>
      <c r="G1587" s="2">
        <f t="shared" si="148"/>
        <v>1540.7326</v>
      </c>
      <c r="H1587" s="2">
        <f t="shared" si="149"/>
        <v>1819605.2005999999</v>
      </c>
    </row>
    <row r="1588" spans="1:8" x14ac:dyDescent="0.35">
      <c r="A1588" s="2">
        <v>1181</v>
      </c>
      <c r="B1588" s="2">
        <v>16834</v>
      </c>
      <c r="C1588" s="2">
        <f t="shared" si="144"/>
        <v>1.6834</v>
      </c>
      <c r="D1588" s="2">
        <f t="shared" si="145"/>
        <v>1394761</v>
      </c>
      <c r="E1588" s="2">
        <f t="shared" si="146"/>
        <v>1647212741</v>
      </c>
      <c r="F1588" s="2">
        <f t="shared" si="147"/>
        <v>1945358247121</v>
      </c>
      <c r="G1588" s="2">
        <f t="shared" si="148"/>
        <v>1988.0953999999999</v>
      </c>
      <c r="H1588" s="2">
        <f t="shared" si="149"/>
        <v>2347940.6674000002</v>
      </c>
    </row>
    <row r="1589" spans="1:8" x14ac:dyDescent="0.35">
      <c r="A1589" s="2">
        <v>1181</v>
      </c>
      <c r="B1589" s="2">
        <v>15195</v>
      </c>
      <c r="C1589" s="2">
        <f t="shared" si="144"/>
        <v>1.5195000000000001</v>
      </c>
      <c r="D1589" s="2">
        <f t="shared" si="145"/>
        <v>1394761</v>
      </c>
      <c r="E1589" s="2">
        <f t="shared" si="146"/>
        <v>1647212741</v>
      </c>
      <c r="F1589" s="2">
        <f t="shared" si="147"/>
        <v>1945358247121</v>
      </c>
      <c r="G1589" s="2">
        <f t="shared" si="148"/>
        <v>1794.5295000000001</v>
      </c>
      <c r="H1589" s="2">
        <f t="shared" si="149"/>
        <v>2119339.3395000002</v>
      </c>
    </row>
    <row r="1590" spans="1:8" x14ac:dyDescent="0.35">
      <c r="A1590" s="2">
        <v>1181</v>
      </c>
      <c r="B1590" s="2">
        <v>15635</v>
      </c>
      <c r="C1590" s="2">
        <f t="shared" si="144"/>
        <v>1.5634999999999999</v>
      </c>
      <c r="D1590" s="2">
        <f t="shared" si="145"/>
        <v>1394761</v>
      </c>
      <c r="E1590" s="2">
        <f t="shared" si="146"/>
        <v>1647212741</v>
      </c>
      <c r="F1590" s="2">
        <f t="shared" si="147"/>
        <v>1945358247121</v>
      </c>
      <c r="G1590" s="2">
        <f t="shared" si="148"/>
        <v>1846.4934999999998</v>
      </c>
      <c r="H1590" s="2">
        <f t="shared" si="149"/>
        <v>2180708.8234999999</v>
      </c>
    </row>
    <row r="1591" spans="1:8" x14ac:dyDescent="0.35">
      <c r="A1591" s="2">
        <v>1181</v>
      </c>
      <c r="B1591" s="2">
        <v>17619</v>
      </c>
      <c r="C1591" s="2">
        <f t="shared" si="144"/>
        <v>1.7619</v>
      </c>
      <c r="D1591" s="2">
        <f t="shared" si="145"/>
        <v>1394761</v>
      </c>
      <c r="E1591" s="2">
        <f t="shared" si="146"/>
        <v>1647212741</v>
      </c>
      <c r="F1591" s="2">
        <f t="shared" si="147"/>
        <v>1945358247121</v>
      </c>
      <c r="G1591" s="2">
        <f t="shared" si="148"/>
        <v>2080.8038999999999</v>
      </c>
      <c r="H1591" s="2">
        <f t="shared" si="149"/>
        <v>2457429.4059000001</v>
      </c>
    </row>
    <row r="1592" spans="1:8" x14ac:dyDescent="0.35">
      <c r="A1592" s="2">
        <v>1181</v>
      </c>
      <c r="B1592" s="2">
        <v>16273</v>
      </c>
      <c r="C1592" s="2">
        <f t="shared" si="144"/>
        <v>1.6273</v>
      </c>
      <c r="D1592" s="2">
        <f t="shared" si="145"/>
        <v>1394761</v>
      </c>
      <c r="E1592" s="2">
        <f t="shared" si="146"/>
        <v>1647212741</v>
      </c>
      <c r="F1592" s="2">
        <f t="shared" si="147"/>
        <v>1945358247121</v>
      </c>
      <c r="G1592" s="2">
        <f t="shared" si="148"/>
        <v>1921.8413</v>
      </c>
      <c r="H1592" s="2">
        <f t="shared" si="149"/>
        <v>2269694.5753000001</v>
      </c>
    </row>
    <row r="1593" spans="1:8" x14ac:dyDescent="0.35">
      <c r="A1593" s="2">
        <v>1181</v>
      </c>
      <c r="B1593" s="2">
        <v>16409</v>
      </c>
      <c r="C1593" s="2">
        <f t="shared" si="144"/>
        <v>1.6409</v>
      </c>
      <c r="D1593" s="2">
        <f t="shared" si="145"/>
        <v>1394761</v>
      </c>
      <c r="E1593" s="2">
        <f t="shared" si="146"/>
        <v>1647212741</v>
      </c>
      <c r="F1593" s="2">
        <f t="shared" si="147"/>
        <v>1945358247121</v>
      </c>
      <c r="G1593" s="2">
        <f t="shared" si="148"/>
        <v>1937.9029</v>
      </c>
      <c r="H1593" s="2">
        <f t="shared" si="149"/>
        <v>2288663.3248999999</v>
      </c>
    </row>
    <row r="1594" spans="1:8" x14ac:dyDescent="0.35">
      <c r="A1594" s="2">
        <v>1181</v>
      </c>
      <c r="B1594" s="2">
        <v>20279</v>
      </c>
      <c r="C1594" s="2">
        <f t="shared" si="144"/>
        <v>2.0278999999999998</v>
      </c>
      <c r="D1594" s="2">
        <f t="shared" si="145"/>
        <v>1394761</v>
      </c>
      <c r="E1594" s="2">
        <f t="shared" si="146"/>
        <v>1647212741</v>
      </c>
      <c r="F1594" s="2">
        <f t="shared" si="147"/>
        <v>1945358247121</v>
      </c>
      <c r="G1594" s="2">
        <f t="shared" si="148"/>
        <v>2394.9498999999996</v>
      </c>
      <c r="H1594" s="2">
        <f t="shared" si="149"/>
        <v>2828435.8318999996</v>
      </c>
    </row>
    <row r="1595" spans="1:8" x14ac:dyDescent="0.35">
      <c r="A1595" s="2">
        <v>1181</v>
      </c>
      <c r="B1595" s="2">
        <v>16451</v>
      </c>
      <c r="C1595" s="2">
        <f t="shared" si="144"/>
        <v>1.6451</v>
      </c>
      <c r="D1595" s="2">
        <f t="shared" si="145"/>
        <v>1394761</v>
      </c>
      <c r="E1595" s="2">
        <f t="shared" si="146"/>
        <v>1647212741</v>
      </c>
      <c r="F1595" s="2">
        <f t="shared" si="147"/>
        <v>1945358247121</v>
      </c>
      <c r="G1595" s="2">
        <f t="shared" si="148"/>
        <v>1942.8631</v>
      </c>
      <c r="H1595" s="2">
        <f t="shared" si="149"/>
        <v>2294521.3210999998</v>
      </c>
    </row>
    <row r="1596" spans="1:8" x14ac:dyDescent="0.35">
      <c r="A1596" s="2">
        <v>1181</v>
      </c>
      <c r="B1596" s="2">
        <v>18576</v>
      </c>
      <c r="C1596" s="2">
        <f t="shared" si="144"/>
        <v>1.8575999999999999</v>
      </c>
      <c r="D1596" s="2">
        <f t="shared" si="145"/>
        <v>1394761</v>
      </c>
      <c r="E1596" s="2">
        <f t="shared" si="146"/>
        <v>1647212741</v>
      </c>
      <c r="F1596" s="2">
        <f t="shared" si="147"/>
        <v>1945358247121</v>
      </c>
      <c r="G1596" s="2">
        <f t="shared" si="148"/>
        <v>2193.8256000000001</v>
      </c>
      <c r="H1596" s="2">
        <f t="shared" si="149"/>
        <v>2590908.0335999997</v>
      </c>
    </row>
    <row r="1597" spans="1:8" x14ac:dyDescent="0.35">
      <c r="A1597" s="2">
        <v>1181</v>
      </c>
      <c r="B1597" s="2">
        <v>16425</v>
      </c>
      <c r="C1597" s="2">
        <f t="shared" si="144"/>
        <v>1.6425000000000001</v>
      </c>
      <c r="D1597" s="2">
        <f t="shared" si="145"/>
        <v>1394761</v>
      </c>
      <c r="E1597" s="2">
        <f t="shared" si="146"/>
        <v>1647212741</v>
      </c>
      <c r="F1597" s="2">
        <f t="shared" si="147"/>
        <v>1945358247121</v>
      </c>
      <c r="G1597" s="2">
        <f t="shared" si="148"/>
        <v>1939.7925</v>
      </c>
      <c r="H1597" s="2">
        <f t="shared" si="149"/>
        <v>2290894.9424999999</v>
      </c>
    </row>
    <row r="1598" spans="1:8" x14ac:dyDescent="0.35">
      <c r="A1598" s="2">
        <v>1181</v>
      </c>
      <c r="B1598" s="2">
        <v>11681</v>
      </c>
      <c r="C1598" s="2">
        <f t="shared" si="144"/>
        <v>1.1680999999999999</v>
      </c>
      <c r="D1598" s="2">
        <f t="shared" si="145"/>
        <v>1394761</v>
      </c>
      <c r="E1598" s="2">
        <f t="shared" si="146"/>
        <v>1647212741</v>
      </c>
      <c r="F1598" s="2">
        <f t="shared" si="147"/>
        <v>1945358247121</v>
      </c>
      <c r="G1598" s="2">
        <f t="shared" si="148"/>
        <v>1379.5260999999998</v>
      </c>
      <c r="H1598" s="2">
        <f t="shared" si="149"/>
        <v>1629220.3240999999</v>
      </c>
    </row>
    <row r="1599" spans="1:8" x14ac:dyDescent="0.35">
      <c r="A1599" s="2">
        <v>1181</v>
      </c>
      <c r="B1599" s="2">
        <v>8424</v>
      </c>
      <c r="C1599" s="2">
        <f t="shared" si="144"/>
        <v>0.84240000000000004</v>
      </c>
      <c r="D1599" s="2">
        <f t="shared" si="145"/>
        <v>1394761</v>
      </c>
      <c r="E1599" s="2">
        <f t="shared" si="146"/>
        <v>1647212741</v>
      </c>
      <c r="F1599" s="2">
        <f t="shared" si="147"/>
        <v>1945358247121</v>
      </c>
      <c r="G1599" s="2">
        <f t="shared" si="148"/>
        <v>994.87440000000004</v>
      </c>
      <c r="H1599" s="2">
        <f t="shared" si="149"/>
        <v>1174946.6664</v>
      </c>
    </row>
    <row r="1600" spans="1:8" x14ac:dyDescent="0.35">
      <c r="A1600" s="2">
        <v>1181</v>
      </c>
      <c r="B1600" s="2">
        <v>17576</v>
      </c>
      <c r="C1600" s="2">
        <f t="shared" si="144"/>
        <v>1.7576000000000001</v>
      </c>
      <c r="D1600" s="2">
        <f t="shared" si="145"/>
        <v>1394761</v>
      </c>
      <c r="E1600" s="2">
        <f t="shared" si="146"/>
        <v>1647212741</v>
      </c>
      <c r="F1600" s="2">
        <f t="shared" si="147"/>
        <v>1945358247121</v>
      </c>
      <c r="G1600" s="2">
        <f t="shared" si="148"/>
        <v>2075.7256000000002</v>
      </c>
      <c r="H1600" s="2">
        <f t="shared" si="149"/>
        <v>2451431.9336000001</v>
      </c>
    </row>
    <row r="1601" spans="1:8" x14ac:dyDescent="0.35">
      <c r="A1601" s="2">
        <v>1181</v>
      </c>
      <c r="B1601" s="2">
        <v>19481</v>
      </c>
      <c r="C1601" s="2">
        <f t="shared" si="144"/>
        <v>1.9480999999999999</v>
      </c>
      <c r="D1601" s="2">
        <f t="shared" si="145"/>
        <v>1394761</v>
      </c>
      <c r="E1601" s="2">
        <f t="shared" si="146"/>
        <v>1647212741</v>
      </c>
      <c r="F1601" s="2">
        <f t="shared" si="147"/>
        <v>1945358247121</v>
      </c>
      <c r="G1601" s="2">
        <f t="shared" si="148"/>
        <v>2300.7060999999999</v>
      </c>
      <c r="H1601" s="2">
        <f t="shared" si="149"/>
        <v>2717133.9040999999</v>
      </c>
    </row>
    <row r="1602" spans="1:8" x14ac:dyDescent="0.35">
      <c r="A1602" s="2">
        <v>1181</v>
      </c>
      <c r="B1602" s="2">
        <v>18200</v>
      </c>
      <c r="C1602" s="2">
        <f t="shared" si="144"/>
        <v>1.82</v>
      </c>
      <c r="D1602" s="2">
        <f t="shared" si="145"/>
        <v>1394761</v>
      </c>
      <c r="E1602" s="2">
        <f t="shared" si="146"/>
        <v>1647212741</v>
      </c>
      <c r="F1602" s="2">
        <f t="shared" si="147"/>
        <v>1945358247121</v>
      </c>
      <c r="G1602" s="2">
        <f t="shared" si="148"/>
        <v>2149.42</v>
      </c>
      <c r="H1602" s="2">
        <f t="shared" si="149"/>
        <v>2538465.02</v>
      </c>
    </row>
    <row r="1603" spans="1:8" x14ac:dyDescent="0.35">
      <c r="A1603" s="2">
        <v>1181</v>
      </c>
      <c r="B1603" s="2">
        <v>21259</v>
      </c>
      <c r="C1603" s="2">
        <f t="shared" ref="C1603:C1666" si="150">B1603/10000</f>
        <v>2.1259000000000001</v>
      </c>
      <c r="D1603" s="2">
        <f t="shared" ref="D1603:D1666" si="151">A1603^2</f>
        <v>1394761</v>
      </c>
      <c r="E1603" s="2">
        <f t="shared" ref="E1603:E1666" si="152">A1603^3</f>
        <v>1647212741</v>
      </c>
      <c r="F1603" s="2">
        <f t="shared" ref="F1603:F1666" si="153">A1603^4</f>
        <v>1945358247121</v>
      </c>
      <c r="G1603" s="2">
        <f t="shared" ref="G1603:G1666" si="154">A1603*C1603</f>
        <v>2510.6879000000004</v>
      </c>
      <c r="H1603" s="2">
        <f t="shared" ref="H1603:H1666" si="155">D1603*C1603</f>
        <v>2965122.4099000003</v>
      </c>
    </row>
    <row r="1604" spans="1:8" x14ac:dyDescent="0.35">
      <c r="A1604" s="2">
        <v>1181</v>
      </c>
      <c r="B1604" s="2">
        <v>18631</v>
      </c>
      <c r="C1604" s="2">
        <f t="shared" si="150"/>
        <v>1.8631</v>
      </c>
      <c r="D1604" s="2">
        <f t="shared" si="151"/>
        <v>1394761</v>
      </c>
      <c r="E1604" s="2">
        <f t="shared" si="152"/>
        <v>1647212741</v>
      </c>
      <c r="F1604" s="2">
        <f t="shared" si="153"/>
        <v>1945358247121</v>
      </c>
      <c r="G1604" s="2">
        <f t="shared" si="154"/>
        <v>2200.3211000000001</v>
      </c>
      <c r="H1604" s="2">
        <f t="shared" si="155"/>
        <v>2598579.2190999999</v>
      </c>
    </row>
    <row r="1605" spans="1:8" x14ac:dyDescent="0.35">
      <c r="A1605" s="2">
        <v>1181</v>
      </c>
      <c r="B1605" s="2">
        <v>19125</v>
      </c>
      <c r="C1605" s="2">
        <f t="shared" si="150"/>
        <v>1.9125000000000001</v>
      </c>
      <c r="D1605" s="2">
        <f t="shared" si="151"/>
        <v>1394761</v>
      </c>
      <c r="E1605" s="2">
        <f t="shared" si="152"/>
        <v>1647212741</v>
      </c>
      <c r="F1605" s="2">
        <f t="shared" si="153"/>
        <v>1945358247121</v>
      </c>
      <c r="G1605" s="2">
        <f t="shared" si="154"/>
        <v>2258.6624999999999</v>
      </c>
      <c r="H1605" s="2">
        <f t="shared" si="155"/>
        <v>2667480.4125000001</v>
      </c>
    </row>
    <row r="1606" spans="1:8" x14ac:dyDescent="0.35">
      <c r="A1606" s="2">
        <v>1181</v>
      </c>
      <c r="B1606" s="2">
        <v>18453</v>
      </c>
      <c r="C1606" s="2">
        <f t="shared" si="150"/>
        <v>1.8452999999999999</v>
      </c>
      <c r="D1606" s="2">
        <f t="shared" si="151"/>
        <v>1394761</v>
      </c>
      <c r="E1606" s="2">
        <f t="shared" si="152"/>
        <v>1647212741</v>
      </c>
      <c r="F1606" s="2">
        <f t="shared" si="153"/>
        <v>1945358247121</v>
      </c>
      <c r="G1606" s="2">
        <f t="shared" si="154"/>
        <v>2179.2993000000001</v>
      </c>
      <c r="H1606" s="2">
        <f t="shared" si="155"/>
        <v>2573752.4732999997</v>
      </c>
    </row>
    <row r="1607" spans="1:8" x14ac:dyDescent="0.35">
      <c r="A1607" s="2">
        <v>1181</v>
      </c>
      <c r="B1607" s="2">
        <v>19174</v>
      </c>
      <c r="C1607" s="2">
        <f t="shared" si="150"/>
        <v>1.9174</v>
      </c>
      <c r="D1607" s="2">
        <f t="shared" si="151"/>
        <v>1394761</v>
      </c>
      <c r="E1607" s="2">
        <f t="shared" si="152"/>
        <v>1647212741</v>
      </c>
      <c r="F1607" s="2">
        <f t="shared" si="153"/>
        <v>1945358247121</v>
      </c>
      <c r="G1607" s="2">
        <f t="shared" si="154"/>
        <v>2264.4494</v>
      </c>
      <c r="H1607" s="2">
        <f t="shared" si="155"/>
        <v>2674314.7414000002</v>
      </c>
    </row>
    <row r="1608" spans="1:8" x14ac:dyDescent="0.35">
      <c r="A1608" s="2">
        <v>1181</v>
      </c>
      <c r="B1608" s="2">
        <v>19585</v>
      </c>
      <c r="C1608" s="2">
        <f t="shared" si="150"/>
        <v>1.9584999999999999</v>
      </c>
      <c r="D1608" s="2">
        <f t="shared" si="151"/>
        <v>1394761</v>
      </c>
      <c r="E1608" s="2">
        <f t="shared" si="152"/>
        <v>1647212741</v>
      </c>
      <c r="F1608" s="2">
        <f t="shared" si="153"/>
        <v>1945358247121</v>
      </c>
      <c r="G1608" s="2">
        <f t="shared" si="154"/>
        <v>2312.9884999999999</v>
      </c>
      <c r="H1608" s="2">
        <f t="shared" si="155"/>
        <v>2731639.4184999997</v>
      </c>
    </row>
    <row r="1609" spans="1:8" x14ac:dyDescent="0.35">
      <c r="A1609" s="2">
        <v>1181</v>
      </c>
      <c r="B1609" s="2">
        <v>16946</v>
      </c>
      <c r="C1609" s="2">
        <f t="shared" si="150"/>
        <v>1.6946000000000001</v>
      </c>
      <c r="D1609" s="2">
        <f t="shared" si="151"/>
        <v>1394761</v>
      </c>
      <c r="E1609" s="2">
        <f t="shared" si="152"/>
        <v>1647212741</v>
      </c>
      <c r="F1609" s="2">
        <f t="shared" si="153"/>
        <v>1945358247121</v>
      </c>
      <c r="G1609" s="2">
        <f t="shared" si="154"/>
        <v>2001.3226000000002</v>
      </c>
      <c r="H1609" s="2">
        <f t="shared" si="155"/>
        <v>2363561.9906000001</v>
      </c>
    </row>
    <row r="1610" spans="1:8" x14ac:dyDescent="0.35">
      <c r="A1610" s="2">
        <v>1181</v>
      </c>
      <c r="B1610" s="2">
        <v>15604</v>
      </c>
      <c r="C1610" s="2">
        <f t="shared" si="150"/>
        <v>1.5604</v>
      </c>
      <c r="D1610" s="2">
        <f t="shared" si="151"/>
        <v>1394761</v>
      </c>
      <c r="E1610" s="2">
        <f t="shared" si="152"/>
        <v>1647212741</v>
      </c>
      <c r="F1610" s="2">
        <f t="shared" si="153"/>
        <v>1945358247121</v>
      </c>
      <c r="G1610" s="2">
        <f t="shared" si="154"/>
        <v>1842.8324</v>
      </c>
      <c r="H1610" s="2">
        <f t="shared" si="155"/>
        <v>2176385.0644</v>
      </c>
    </row>
    <row r="1611" spans="1:8" x14ac:dyDescent="0.35">
      <c r="A1611" s="2">
        <v>2875</v>
      </c>
      <c r="B1611" s="2">
        <v>26648</v>
      </c>
      <c r="C1611" s="2">
        <f t="shared" si="150"/>
        <v>2.6648000000000001</v>
      </c>
      <c r="D1611" s="2">
        <f t="shared" si="151"/>
        <v>8265625</v>
      </c>
      <c r="E1611" s="2">
        <f t="shared" si="152"/>
        <v>23763671875</v>
      </c>
      <c r="F1611" s="2">
        <f t="shared" si="153"/>
        <v>68320556640625</v>
      </c>
      <c r="G1611" s="2">
        <f t="shared" si="154"/>
        <v>7661.3</v>
      </c>
      <c r="H1611" s="2">
        <f t="shared" si="155"/>
        <v>22026237.5</v>
      </c>
    </row>
    <row r="1612" spans="1:8" x14ac:dyDescent="0.35">
      <c r="A1612" s="2">
        <v>2875</v>
      </c>
      <c r="B1612" s="2">
        <v>26399</v>
      </c>
      <c r="C1612" s="2">
        <f t="shared" si="150"/>
        <v>2.6398999999999999</v>
      </c>
      <c r="D1612" s="2">
        <f t="shared" si="151"/>
        <v>8265625</v>
      </c>
      <c r="E1612" s="2">
        <f t="shared" si="152"/>
        <v>23763671875</v>
      </c>
      <c r="F1612" s="2">
        <f t="shared" si="153"/>
        <v>68320556640625</v>
      </c>
      <c r="G1612" s="2">
        <f t="shared" si="154"/>
        <v>7589.7124999999996</v>
      </c>
      <c r="H1612" s="2">
        <f t="shared" si="155"/>
        <v>21820423.4375</v>
      </c>
    </row>
    <row r="1613" spans="1:8" x14ac:dyDescent="0.35">
      <c r="A1613" s="2">
        <v>2875</v>
      </c>
      <c r="B1613" s="2">
        <v>24686</v>
      </c>
      <c r="C1613" s="2">
        <f t="shared" si="150"/>
        <v>2.4685999999999999</v>
      </c>
      <c r="D1613" s="2">
        <f t="shared" si="151"/>
        <v>8265625</v>
      </c>
      <c r="E1613" s="2">
        <f t="shared" si="152"/>
        <v>23763671875</v>
      </c>
      <c r="F1613" s="2">
        <f t="shared" si="153"/>
        <v>68320556640625</v>
      </c>
      <c r="G1613" s="2">
        <f t="shared" si="154"/>
        <v>7097.2249999999995</v>
      </c>
      <c r="H1613" s="2">
        <f t="shared" si="155"/>
        <v>20404521.875</v>
      </c>
    </row>
    <row r="1614" spans="1:8" x14ac:dyDescent="0.35">
      <c r="A1614" s="2">
        <v>2875</v>
      </c>
      <c r="B1614" s="2">
        <v>26251</v>
      </c>
      <c r="C1614" s="2">
        <f t="shared" si="150"/>
        <v>2.6251000000000002</v>
      </c>
      <c r="D1614" s="2">
        <f t="shared" si="151"/>
        <v>8265625</v>
      </c>
      <c r="E1614" s="2">
        <f t="shared" si="152"/>
        <v>23763671875</v>
      </c>
      <c r="F1614" s="2">
        <f t="shared" si="153"/>
        <v>68320556640625</v>
      </c>
      <c r="G1614" s="2">
        <f t="shared" si="154"/>
        <v>7547.1625000000004</v>
      </c>
      <c r="H1614" s="2">
        <f t="shared" si="155"/>
        <v>21698092.1875</v>
      </c>
    </row>
    <row r="1615" spans="1:8" x14ac:dyDescent="0.35">
      <c r="A1615" s="2">
        <v>2875</v>
      </c>
      <c r="B1615" s="2">
        <v>27694</v>
      </c>
      <c r="C1615" s="2">
        <f t="shared" si="150"/>
        <v>2.7694000000000001</v>
      </c>
      <c r="D1615" s="2">
        <f t="shared" si="151"/>
        <v>8265625</v>
      </c>
      <c r="E1615" s="2">
        <f t="shared" si="152"/>
        <v>23763671875</v>
      </c>
      <c r="F1615" s="2">
        <f t="shared" si="153"/>
        <v>68320556640625</v>
      </c>
      <c r="G1615" s="2">
        <f t="shared" si="154"/>
        <v>7962.0250000000005</v>
      </c>
      <c r="H1615" s="2">
        <f t="shared" si="155"/>
        <v>22890821.875</v>
      </c>
    </row>
    <row r="1616" spans="1:8" x14ac:dyDescent="0.35">
      <c r="A1616" s="2">
        <v>2875</v>
      </c>
      <c r="B1616" s="2">
        <v>28178</v>
      </c>
      <c r="C1616" s="2">
        <f t="shared" si="150"/>
        <v>2.8178000000000001</v>
      </c>
      <c r="D1616" s="2">
        <f t="shared" si="151"/>
        <v>8265625</v>
      </c>
      <c r="E1616" s="2">
        <f t="shared" si="152"/>
        <v>23763671875</v>
      </c>
      <c r="F1616" s="2">
        <f t="shared" si="153"/>
        <v>68320556640625</v>
      </c>
      <c r="G1616" s="2">
        <f t="shared" si="154"/>
        <v>8101.1750000000002</v>
      </c>
      <c r="H1616" s="2">
        <f t="shared" si="155"/>
        <v>23290878.125</v>
      </c>
    </row>
    <row r="1617" spans="1:8" x14ac:dyDescent="0.35">
      <c r="A1617" s="2">
        <v>2875</v>
      </c>
      <c r="B1617" s="2">
        <v>29918</v>
      </c>
      <c r="C1617" s="2">
        <f t="shared" si="150"/>
        <v>2.9918</v>
      </c>
      <c r="D1617" s="2">
        <f t="shared" si="151"/>
        <v>8265625</v>
      </c>
      <c r="E1617" s="2">
        <f t="shared" si="152"/>
        <v>23763671875</v>
      </c>
      <c r="F1617" s="2">
        <f t="shared" si="153"/>
        <v>68320556640625</v>
      </c>
      <c r="G1617" s="2">
        <f t="shared" si="154"/>
        <v>8601.4249999999993</v>
      </c>
      <c r="H1617" s="2">
        <f t="shared" si="155"/>
        <v>24729096.875</v>
      </c>
    </row>
    <row r="1618" spans="1:8" x14ac:dyDescent="0.35">
      <c r="A1618" s="2">
        <v>2875</v>
      </c>
      <c r="B1618" s="2">
        <v>30348</v>
      </c>
      <c r="C1618" s="2">
        <f t="shared" si="150"/>
        <v>3.0348000000000002</v>
      </c>
      <c r="D1618" s="2">
        <f t="shared" si="151"/>
        <v>8265625</v>
      </c>
      <c r="E1618" s="2">
        <f t="shared" si="152"/>
        <v>23763671875</v>
      </c>
      <c r="F1618" s="2">
        <f t="shared" si="153"/>
        <v>68320556640625</v>
      </c>
      <c r="G1618" s="2">
        <f t="shared" si="154"/>
        <v>8725.0500000000011</v>
      </c>
      <c r="H1618" s="2">
        <f t="shared" si="155"/>
        <v>25084518.75</v>
      </c>
    </row>
    <row r="1619" spans="1:8" x14ac:dyDescent="0.35">
      <c r="A1619" s="2">
        <v>2875</v>
      </c>
      <c r="B1619" s="2">
        <v>30614</v>
      </c>
      <c r="C1619" s="2">
        <f t="shared" si="150"/>
        <v>3.0613999999999999</v>
      </c>
      <c r="D1619" s="2">
        <f t="shared" si="151"/>
        <v>8265625</v>
      </c>
      <c r="E1619" s="2">
        <f t="shared" si="152"/>
        <v>23763671875</v>
      </c>
      <c r="F1619" s="2">
        <f t="shared" si="153"/>
        <v>68320556640625</v>
      </c>
      <c r="G1619" s="2">
        <f t="shared" si="154"/>
        <v>8801.5249999999996</v>
      </c>
      <c r="H1619" s="2">
        <f t="shared" si="155"/>
        <v>25304384.375</v>
      </c>
    </row>
    <row r="1620" spans="1:8" x14ac:dyDescent="0.35">
      <c r="A1620" s="2">
        <v>2875</v>
      </c>
      <c r="B1620" s="2">
        <v>31619</v>
      </c>
      <c r="C1620" s="2">
        <f t="shared" si="150"/>
        <v>3.1619000000000002</v>
      </c>
      <c r="D1620" s="2">
        <f t="shared" si="151"/>
        <v>8265625</v>
      </c>
      <c r="E1620" s="2">
        <f t="shared" si="152"/>
        <v>23763671875</v>
      </c>
      <c r="F1620" s="2">
        <f t="shared" si="153"/>
        <v>68320556640625</v>
      </c>
      <c r="G1620" s="2">
        <f t="shared" si="154"/>
        <v>9090.4624999999996</v>
      </c>
      <c r="H1620" s="2">
        <f t="shared" si="155"/>
        <v>26135079.6875</v>
      </c>
    </row>
    <row r="1621" spans="1:8" x14ac:dyDescent="0.35">
      <c r="A1621" s="2">
        <v>2875</v>
      </c>
      <c r="B1621" s="2">
        <v>32510</v>
      </c>
      <c r="C1621" s="2">
        <f t="shared" si="150"/>
        <v>3.2509999999999999</v>
      </c>
      <c r="D1621" s="2">
        <f t="shared" si="151"/>
        <v>8265625</v>
      </c>
      <c r="E1621" s="2">
        <f t="shared" si="152"/>
        <v>23763671875</v>
      </c>
      <c r="F1621" s="2">
        <f t="shared" si="153"/>
        <v>68320556640625</v>
      </c>
      <c r="G1621" s="2">
        <f t="shared" si="154"/>
        <v>9346.625</v>
      </c>
      <c r="H1621" s="2">
        <f t="shared" si="155"/>
        <v>26871546.875</v>
      </c>
    </row>
    <row r="1622" spans="1:8" x14ac:dyDescent="0.35">
      <c r="A1622" s="2">
        <v>2875</v>
      </c>
      <c r="B1622" s="2">
        <v>30676</v>
      </c>
      <c r="C1622" s="2">
        <f t="shared" si="150"/>
        <v>3.0676000000000001</v>
      </c>
      <c r="D1622" s="2">
        <f t="shared" si="151"/>
        <v>8265625</v>
      </c>
      <c r="E1622" s="2">
        <f t="shared" si="152"/>
        <v>23763671875</v>
      </c>
      <c r="F1622" s="2">
        <f t="shared" si="153"/>
        <v>68320556640625</v>
      </c>
      <c r="G1622" s="2">
        <f t="shared" si="154"/>
        <v>8819.35</v>
      </c>
      <c r="H1622" s="2">
        <f t="shared" si="155"/>
        <v>25355631.25</v>
      </c>
    </row>
    <row r="1623" spans="1:8" x14ac:dyDescent="0.35">
      <c r="A1623" s="2">
        <v>2875</v>
      </c>
      <c r="B1623" s="2">
        <v>28829</v>
      </c>
      <c r="C1623" s="2">
        <f t="shared" si="150"/>
        <v>2.8828999999999998</v>
      </c>
      <c r="D1623" s="2">
        <f t="shared" si="151"/>
        <v>8265625</v>
      </c>
      <c r="E1623" s="2">
        <f t="shared" si="152"/>
        <v>23763671875</v>
      </c>
      <c r="F1623" s="2">
        <f t="shared" si="153"/>
        <v>68320556640625</v>
      </c>
      <c r="G1623" s="2">
        <f t="shared" si="154"/>
        <v>8288.3374999999996</v>
      </c>
      <c r="H1623" s="2">
        <f t="shared" si="155"/>
        <v>23828970.3125</v>
      </c>
    </row>
    <row r="1624" spans="1:8" x14ac:dyDescent="0.35">
      <c r="A1624" s="2">
        <v>2875</v>
      </c>
      <c r="B1624" s="2">
        <v>29415</v>
      </c>
      <c r="C1624" s="2">
        <f t="shared" si="150"/>
        <v>2.9415</v>
      </c>
      <c r="D1624" s="2">
        <f t="shared" si="151"/>
        <v>8265625</v>
      </c>
      <c r="E1624" s="2">
        <f t="shared" si="152"/>
        <v>23763671875</v>
      </c>
      <c r="F1624" s="2">
        <f t="shared" si="153"/>
        <v>68320556640625</v>
      </c>
      <c r="G1624" s="2">
        <f t="shared" si="154"/>
        <v>8456.8125</v>
      </c>
      <c r="H1624" s="2">
        <f t="shared" si="155"/>
        <v>24313335.9375</v>
      </c>
    </row>
    <row r="1625" spans="1:8" x14ac:dyDescent="0.35">
      <c r="A1625" s="2">
        <v>2875</v>
      </c>
      <c r="B1625" s="2">
        <v>30640</v>
      </c>
      <c r="C1625" s="2">
        <f t="shared" si="150"/>
        <v>3.0640000000000001</v>
      </c>
      <c r="D1625" s="2">
        <f t="shared" si="151"/>
        <v>8265625</v>
      </c>
      <c r="E1625" s="2">
        <f t="shared" si="152"/>
        <v>23763671875</v>
      </c>
      <c r="F1625" s="2">
        <f t="shared" si="153"/>
        <v>68320556640625</v>
      </c>
      <c r="G1625" s="2">
        <f t="shared" si="154"/>
        <v>8809</v>
      </c>
      <c r="H1625" s="2">
        <f t="shared" si="155"/>
        <v>25325875</v>
      </c>
    </row>
    <row r="1626" spans="1:8" x14ac:dyDescent="0.35">
      <c r="A1626" s="2">
        <v>2875</v>
      </c>
      <c r="B1626" s="2">
        <v>31101</v>
      </c>
      <c r="C1626" s="2">
        <f t="shared" si="150"/>
        <v>3.1101000000000001</v>
      </c>
      <c r="D1626" s="2">
        <f t="shared" si="151"/>
        <v>8265625</v>
      </c>
      <c r="E1626" s="2">
        <f t="shared" si="152"/>
        <v>23763671875</v>
      </c>
      <c r="F1626" s="2">
        <f t="shared" si="153"/>
        <v>68320556640625</v>
      </c>
      <c r="G1626" s="2">
        <f t="shared" si="154"/>
        <v>8941.5375000000004</v>
      </c>
      <c r="H1626" s="2">
        <f t="shared" si="155"/>
        <v>25706920.3125</v>
      </c>
    </row>
    <row r="1627" spans="1:8" x14ac:dyDescent="0.35">
      <c r="A1627" s="2">
        <v>2875</v>
      </c>
      <c r="B1627" s="2">
        <v>32385</v>
      </c>
      <c r="C1627" s="2">
        <f t="shared" si="150"/>
        <v>3.2385000000000002</v>
      </c>
      <c r="D1627" s="2">
        <f t="shared" si="151"/>
        <v>8265625</v>
      </c>
      <c r="E1627" s="2">
        <f t="shared" si="152"/>
        <v>23763671875</v>
      </c>
      <c r="F1627" s="2">
        <f t="shared" si="153"/>
        <v>68320556640625</v>
      </c>
      <c r="G1627" s="2">
        <f t="shared" si="154"/>
        <v>9310.6875</v>
      </c>
      <c r="H1627" s="2">
        <f t="shared" si="155"/>
        <v>26768226.5625</v>
      </c>
    </row>
    <row r="1628" spans="1:8" x14ac:dyDescent="0.35">
      <c r="A1628" s="2">
        <v>2875</v>
      </c>
      <c r="B1628" s="2">
        <v>33260</v>
      </c>
      <c r="C1628" s="2">
        <f t="shared" si="150"/>
        <v>3.3260000000000001</v>
      </c>
      <c r="D1628" s="2">
        <f t="shared" si="151"/>
        <v>8265625</v>
      </c>
      <c r="E1628" s="2">
        <f t="shared" si="152"/>
        <v>23763671875</v>
      </c>
      <c r="F1628" s="2">
        <f t="shared" si="153"/>
        <v>68320556640625</v>
      </c>
      <c r="G1628" s="2">
        <f t="shared" si="154"/>
        <v>9562.25</v>
      </c>
      <c r="H1628" s="2">
        <f t="shared" si="155"/>
        <v>27491468.75</v>
      </c>
    </row>
    <row r="1629" spans="1:8" x14ac:dyDescent="0.35">
      <c r="A1629" s="2">
        <v>2875</v>
      </c>
      <c r="B1629" s="2">
        <v>34221</v>
      </c>
      <c r="C1629" s="2">
        <f t="shared" si="150"/>
        <v>3.4220999999999999</v>
      </c>
      <c r="D1629" s="2">
        <f t="shared" si="151"/>
        <v>8265625</v>
      </c>
      <c r="E1629" s="2">
        <f t="shared" si="152"/>
        <v>23763671875</v>
      </c>
      <c r="F1629" s="2">
        <f t="shared" si="153"/>
        <v>68320556640625</v>
      </c>
      <c r="G1629" s="2">
        <f t="shared" si="154"/>
        <v>9838.5375000000004</v>
      </c>
      <c r="H1629" s="2">
        <f t="shared" si="155"/>
        <v>28285795.3125</v>
      </c>
    </row>
    <row r="1630" spans="1:8" x14ac:dyDescent="0.35">
      <c r="A1630" s="2">
        <v>2875</v>
      </c>
      <c r="B1630" s="2">
        <v>33907</v>
      </c>
      <c r="C1630" s="2">
        <f t="shared" si="150"/>
        <v>3.3906999999999998</v>
      </c>
      <c r="D1630" s="2">
        <f t="shared" si="151"/>
        <v>8265625</v>
      </c>
      <c r="E1630" s="2">
        <f t="shared" si="152"/>
        <v>23763671875</v>
      </c>
      <c r="F1630" s="2">
        <f t="shared" si="153"/>
        <v>68320556640625</v>
      </c>
      <c r="G1630" s="2">
        <f t="shared" si="154"/>
        <v>9748.2624999999989</v>
      </c>
      <c r="H1630" s="2">
        <f t="shared" si="155"/>
        <v>28026254.6875</v>
      </c>
    </row>
    <row r="1631" spans="1:8" x14ac:dyDescent="0.35">
      <c r="A1631" s="2">
        <v>2875</v>
      </c>
      <c r="B1631" s="2">
        <v>35277</v>
      </c>
      <c r="C1631" s="2">
        <f t="shared" si="150"/>
        <v>3.5276999999999998</v>
      </c>
      <c r="D1631" s="2">
        <f t="shared" si="151"/>
        <v>8265625</v>
      </c>
      <c r="E1631" s="2">
        <f t="shared" si="152"/>
        <v>23763671875</v>
      </c>
      <c r="F1631" s="2">
        <f t="shared" si="153"/>
        <v>68320556640625</v>
      </c>
      <c r="G1631" s="2">
        <f t="shared" si="154"/>
        <v>10142.137499999999</v>
      </c>
      <c r="H1631" s="2">
        <f t="shared" si="155"/>
        <v>29158645.3125</v>
      </c>
    </row>
    <row r="1632" spans="1:8" x14ac:dyDescent="0.35">
      <c r="A1632" s="2">
        <v>2875</v>
      </c>
      <c r="B1632" s="2">
        <v>35836</v>
      </c>
      <c r="C1632" s="2">
        <f t="shared" si="150"/>
        <v>3.5836000000000001</v>
      </c>
      <c r="D1632" s="2">
        <f t="shared" si="151"/>
        <v>8265625</v>
      </c>
      <c r="E1632" s="2">
        <f t="shared" si="152"/>
        <v>23763671875</v>
      </c>
      <c r="F1632" s="2">
        <f t="shared" si="153"/>
        <v>68320556640625</v>
      </c>
      <c r="G1632" s="2">
        <f t="shared" si="154"/>
        <v>10302.85</v>
      </c>
      <c r="H1632" s="2">
        <f t="shared" si="155"/>
        <v>29620693.75</v>
      </c>
    </row>
    <row r="1633" spans="1:8" x14ac:dyDescent="0.35">
      <c r="A1633" s="2">
        <v>2875</v>
      </c>
      <c r="B1633" s="2">
        <v>37205</v>
      </c>
      <c r="C1633" s="2">
        <f t="shared" si="150"/>
        <v>3.7204999999999999</v>
      </c>
      <c r="D1633" s="2">
        <f t="shared" si="151"/>
        <v>8265625</v>
      </c>
      <c r="E1633" s="2">
        <f t="shared" si="152"/>
        <v>23763671875</v>
      </c>
      <c r="F1633" s="2">
        <f t="shared" si="153"/>
        <v>68320556640625</v>
      </c>
      <c r="G1633" s="2">
        <f t="shared" si="154"/>
        <v>10696.4375</v>
      </c>
      <c r="H1633" s="2">
        <f t="shared" si="155"/>
        <v>30752257.8125</v>
      </c>
    </row>
    <row r="1634" spans="1:8" x14ac:dyDescent="0.35">
      <c r="A1634" s="2">
        <v>2875</v>
      </c>
      <c r="B1634" s="2">
        <v>36361</v>
      </c>
      <c r="C1634" s="2">
        <f t="shared" si="150"/>
        <v>3.6360999999999999</v>
      </c>
      <c r="D1634" s="2">
        <f t="shared" si="151"/>
        <v>8265625</v>
      </c>
      <c r="E1634" s="2">
        <f t="shared" si="152"/>
        <v>23763671875</v>
      </c>
      <c r="F1634" s="2">
        <f t="shared" si="153"/>
        <v>68320556640625</v>
      </c>
      <c r="G1634" s="2">
        <f t="shared" si="154"/>
        <v>10453.7875</v>
      </c>
      <c r="H1634" s="2">
        <f t="shared" si="155"/>
        <v>30054639.0625</v>
      </c>
    </row>
    <row r="1635" spans="1:8" x14ac:dyDescent="0.35">
      <c r="A1635" s="2">
        <v>2875</v>
      </c>
      <c r="B1635" s="2">
        <v>37468</v>
      </c>
      <c r="C1635" s="2">
        <f t="shared" si="150"/>
        <v>3.7467999999999999</v>
      </c>
      <c r="D1635" s="2">
        <f t="shared" si="151"/>
        <v>8265625</v>
      </c>
      <c r="E1635" s="2">
        <f t="shared" si="152"/>
        <v>23763671875</v>
      </c>
      <c r="F1635" s="2">
        <f t="shared" si="153"/>
        <v>68320556640625</v>
      </c>
      <c r="G1635" s="2">
        <f t="shared" si="154"/>
        <v>10772.05</v>
      </c>
      <c r="H1635" s="2">
        <f t="shared" si="155"/>
        <v>30969643.75</v>
      </c>
    </row>
    <row r="1636" spans="1:8" x14ac:dyDescent="0.35">
      <c r="A1636" s="2">
        <v>2875</v>
      </c>
      <c r="B1636" s="2">
        <v>37972</v>
      </c>
      <c r="C1636" s="2">
        <f t="shared" si="150"/>
        <v>3.7972000000000001</v>
      </c>
      <c r="D1636" s="2">
        <f t="shared" si="151"/>
        <v>8265625</v>
      </c>
      <c r="E1636" s="2">
        <f t="shared" si="152"/>
        <v>23763671875</v>
      </c>
      <c r="F1636" s="2">
        <f t="shared" si="153"/>
        <v>68320556640625</v>
      </c>
      <c r="G1636" s="2">
        <f t="shared" si="154"/>
        <v>10916.95</v>
      </c>
      <c r="H1636" s="2">
        <f t="shared" si="155"/>
        <v>31386231.25</v>
      </c>
    </row>
    <row r="1637" spans="1:8" x14ac:dyDescent="0.35">
      <c r="A1637" s="2">
        <v>2875</v>
      </c>
      <c r="B1637" s="2">
        <v>38763</v>
      </c>
      <c r="C1637" s="2">
        <f t="shared" si="150"/>
        <v>3.8763000000000001</v>
      </c>
      <c r="D1637" s="2">
        <f t="shared" si="151"/>
        <v>8265625</v>
      </c>
      <c r="E1637" s="2">
        <f t="shared" si="152"/>
        <v>23763671875</v>
      </c>
      <c r="F1637" s="2">
        <f t="shared" si="153"/>
        <v>68320556640625</v>
      </c>
      <c r="G1637" s="2">
        <f t="shared" si="154"/>
        <v>11144.362500000001</v>
      </c>
      <c r="H1637" s="2">
        <f t="shared" si="155"/>
        <v>32040042.1875</v>
      </c>
    </row>
    <row r="1638" spans="1:8" x14ac:dyDescent="0.35">
      <c r="A1638" s="2">
        <v>2875</v>
      </c>
      <c r="B1638" s="2">
        <v>29855</v>
      </c>
      <c r="C1638" s="2">
        <f t="shared" si="150"/>
        <v>2.9855</v>
      </c>
      <c r="D1638" s="2">
        <f t="shared" si="151"/>
        <v>8265625</v>
      </c>
      <c r="E1638" s="2">
        <f t="shared" si="152"/>
        <v>23763671875</v>
      </c>
      <c r="F1638" s="2">
        <f t="shared" si="153"/>
        <v>68320556640625</v>
      </c>
      <c r="G1638" s="2">
        <f t="shared" si="154"/>
        <v>8583.3125</v>
      </c>
      <c r="H1638" s="2">
        <f t="shared" si="155"/>
        <v>24677023.4375</v>
      </c>
    </row>
    <row r="1639" spans="1:8" x14ac:dyDescent="0.35">
      <c r="A1639" s="2">
        <v>2875</v>
      </c>
      <c r="B1639" s="2">
        <v>28551</v>
      </c>
      <c r="C1639" s="2">
        <f t="shared" si="150"/>
        <v>2.8551000000000002</v>
      </c>
      <c r="D1639" s="2">
        <f t="shared" si="151"/>
        <v>8265625</v>
      </c>
      <c r="E1639" s="2">
        <f t="shared" si="152"/>
        <v>23763671875</v>
      </c>
      <c r="F1639" s="2">
        <f t="shared" si="153"/>
        <v>68320556640625</v>
      </c>
      <c r="G1639" s="2">
        <f t="shared" si="154"/>
        <v>8208.4125000000004</v>
      </c>
      <c r="H1639" s="2">
        <f t="shared" si="155"/>
        <v>23599185.9375</v>
      </c>
    </row>
    <row r="1640" spans="1:8" x14ac:dyDescent="0.35">
      <c r="A1640" s="2">
        <v>2875</v>
      </c>
      <c r="B1640" s="2">
        <v>31807</v>
      </c>
      <c r="C1640" s="2">
        <f t="shared" si="150"/>
        <v>3.1806999999999999</v>
      </c>
      <c r="D1640" s="2">
        <f t="shared" si="151"/>
        <v>8265625</v>
      </c>
      <c r="E1640" s="2">
        <f t="shared" si="152"/>
        <v>23763671875</v>
      </c>
      <c r="F1640" s="2">
        <f t="shared" si="153"/>
        <v>68320556640625</v>
      </c>
      <c r="G1640" s="2">
        <f t="shared" si="154"/>
        <v>9144.5124999999989</v>
      </c>
      <c r="H1640" s="2">
        <f t="shared" si="155"/>
        <v>26290473.4375</v>
      </c>
    </row>
    <row r="1641" spans="1:8" x14ac:dyDescent="0.35">
      <c r="A1641" s="2">
        <v>282</v>
      </c>
      <c r="B1641" s="2">
        <v>11569</v>
      </c>
      <c r="C1641" s="2">
        <f t="shared" si="150"/>
        <v>1.1569</v>
      </c>
      <c r="D1641" s="2">
        <f t="shared" si="151"/>
        <v>79524</v>
      </c>
      <c r="E1641" s="2">
        <f t="shared" si="152"/>
        <v>22425768</v>
      </c>
      <c r="F1641" s="2">
        <f t="shared" si="153"/>
        <v>6324066576</v>
      </c>
      <c r="G1641" s="2">
        <f t="shared" si="154"/>
        <v>326.24580000000003</v>
      </c>
      <c r="H1641" s="2">
        <f t="shared" si="155"/>
        <v>92001.315600000002</v>
      </c>
    </row>
    <row r="1642" spans="1:8" x14ac:dyDescent="0.35">
      <c r="A1642" s="2">
        <v>282</v>
      </c>
      <c r="B1642" s="2">
        <v>11812</v>
      </c>
      <c r="C1642" s="2">
        <f t="shared" si="150"/>
        <v>1.1812</v>
      </c>
      <c r="D1642" s="2">
        <f t="shared" si="151"/>
        <v>79524</v>
      </c>
      <c r="E1642" s="2">
        <f t="shared" si="152"/>
        <v>22425768</v>
      </c>
      <c r="F1642" s="2">
        <f t="shared" si="153"/>
        <v>6324066576</v>
      </c>
      <c r="G1642" s="2">
        <f t="shared" si="154"/>
        <v>333.09840000000003</v>
      </c>
      <c r="H1642" s="2">
        <f t="shared" si="155"/>
        <v>93933.748800000001</v>
      </c>
    </row>
    <row r="1643" spans="1:8" x14ac:dyDescent="0.35">
      <c r="A1643" s="2">
        <v>282</v>
      </c>
      <c r="B1643" s="2">
        <v>14506</v>
      </c>
      <c r="C1643" s="2">
        <f t="shared" si="150"/>
        <v>1.4505999999999999</v>
      </c>
      <c r="D1643" s="2">
        <f t="shared" si="151"/>
        <v>79524</v>
      </c>
      <c r="E1643" s="2">
        <f t="shared" si="152"/>
        <v>22425768</v>
      </c>
      <c r="F1643" s="2">
        <f t="shared" si="153"/>
        <v>6324066576</v>
      </c>
      <c r="G1643" s="2">
        <f t="shared" si="154"/>
        <v>409.06919999999997</v>
      </c>
      <c r="H1643" s="2">
        <f t="shared" si="155"/>
        <v>115357.51439999999</v>
      </c>
    </row>
    <row r="1644" spans="1:8" x14ac:dyDescent="0.35">
      <c r="A1644" s="2">
        <v>282</v>
      </c>
      <c r="B1644" s="2">
        <v>14626</v>
      </c>
      <c r="C1644" s="2">
        <f t="shared" si="150"/>
        <v>1.4625999999999999</v>
      </c>
      <c r="D1644" s="2">
        <f t="shared" si="151"/>
        <v>79524</v>
      </c>
      <c r="E1644" s="2">
        <f t="shared" si="152"/>
        <v>22425768</v>
      </c>
      <c r="F1644" s="2">
        <f t="shared" si="153"/>
        <v>6324066576</v>
      </c>
      <c r="G1644" s="2">
        <f t="shared" si="154"/>
        <v>412.45319999999998</v>
      </c>
      <c r="H1644" s="2">
        <f t="shared" si="155"/>
        <v>116311.80239999999</v>
      </c>
    </row>
    <row r="1645" spans="1:8" x14ac:dyDescent="0.35">
      <c r="A1645" s="2">
        <v>282</v>
      </c>
      <c r="B1645" s="2">
        <v>14360</v>
      </c>
      <c r="C1645" s="2">
        <f t="shared" si="150"/>
        <v>1.4359999999999999</v>
      </c>
      <c r="D1645" s="2">
        <f t="shared" si="151"/>
        <v>79524</v>
      </c>
      <c r="E1645" s="2">
        <f t="shared" si="152"/>
        <v>22425768</v>
      </c>
      <c r="F1645" s="2">
        <f t="shared" si="153"/>
        <v>6324066576</v>
      </c>
      <c r="G1645" s="2">
        <f t="shared" si="154"/>
        <v>404.952</v>
      </c>
      <c r="H1645" s="2">
        <f t="shared" si="155"/>
        <v>114196.46399999999</v>
      </c>
    </row>
    <row r="1646" spans="1:8" x14ac:dyDescent="0.35">
      <c r="A1646" s="2">
        <v>282</v>
      </c>
      <c r="B1646" s="2">
        <v>17274</v>
      </c>
      <c r="C1646" s="2">
        <f t="shared" si="150"/>
        <v>1.7274</v>
      </c>
      <c r="D1646" s="2">
        <f t="shared" si="151"/>
        <v>79524</v>
      </c>
      <c r="E1646" s="2">
        <f t="shared" si="152"/>
        <v>22425768</v>
      </c>
      <c r="F1646" s="2">
        <f t="shared" si="153"/>
        <v>6324066576</v>
      </c>
      <c r="G1646" s="2">
        <f t="shared" si="154"/>
        <v>487.1268</v>
      </c>
      <c r="H1646" s="2">
        <f t="shared" si="155"/>
        <v>137369.75760000001</v>
      </c>
    </row>
    <row r="1647" spans="1:8" x14ac:dyDescent="0.35">
      <c r="A1647" s="2">
        <v>282</v>
      </c>
      <c r="B1647" s="2">
        <v>17583</v>
      </c>
      <c r="C1647" s="2">
        <f t="shared" si="150"/>
        <v>1.7583</v>
      </c>
      <c r="D1647" s="2">
        <f t="shared" si="151"/>
        <v>79524</v>
      </c>
      <c r="E1647" s="2">
        <f t="shared" si="152"/>
        <v>22425768</v>
      </c>
      <c r="F1647" s="2">
        <f t="shared" si="153"/>
        <v>6324066576</v>
      </c>
      <c r="G1647" s="2">
        <f t="shared" si="154"/>
        <v>495.84059999999999</v>
      </c>
      <c r="H1647" s="2">
        <f t="shared" si="155"/>
        <v>139827.04920000001</v>
      </c>
    </row>
    <row r="1648" spans="1:8" x14ac:dyDescent="0.35">
      <c r="A1648" s="2">
        <v>282</v>
      </c>
      <c r="B1648" s="2">
        <v>17350</v>
      </c>
      <c r="C1648" s="2">
        <f t="shared" si="150"/>
        <v>1.7350000000000001</v>
      </c>
      <c r="D1648" s="2">
        <f t="shared" si="151"/>
        <v>79524</v>
      </c>
      <c r="E1648" s="2">
        <f t="shared" si="152"/>
        <v>22425768</v>
      </c>
      <c r="F1648" s="2">
        <f t="shared" si="153"/>
        <v>6324066576</v>
      </c>
      <c r="G1648" s="2">
        <f t="shared" si="154"/>
        <v>489.27000000000004</v>
      </c>
      <c r="H1648" s="2">
        <f t="shared" si="155"/>
        <v>137974.14000000001</v>
      </c>
    </row>
    <row r="1649" spans="1:8" x14ac:dyDescent="0.35">
      <c r="A1649" s="2">
        <v>282</v>
      </c>
      <c r="B1649" s="2">
        <v>16518</v>
      </c>
      <c r="C1649" s="2">
        <f t="shared" si="150"/>
        <v>1.6517999999999999</v>
      </c>
      <c r="D1649" s="2">
        <f t="shared" si="151"/>
        <v>79524</v>
      </c>
      <c r="E1649" s="2">
        <f t="shared" si="152"/>
        <v>22425768</v>
      </c>
      <c r="F1649" s="2">
        <f t="shared" si="153"/>
        <v>6324066576</v>
      </c>
      <c r="G1649" s="2">
        <f t="shared" si="154"/>
        <v>465.80759999999998</v>
      </c>
      <c r="H1649" s="2">
        <f t="shared" si="155"/>
        <v>131357.7432</v>
      </c>
    </row>
    <row r="1650" spans="1:8" x14ac:dyDescent="0.35">
      <c r="A1650" s="2">
        <v>282</v>
      </c>
      <c r="B1650" s="2">
        <v>15484</v>
      </c>
      <c r="C1650" s="2">
        <f t="shared" si="150"/>
        <v>1.5484</v>
      </c>
      <c r="D1650" s="2">
        <f t="shared" si="151"/>
        <v>79524</v>
      </c>
      <c r="E1650" s="2">
        <f t="shared" si="152"/>
        <v>22425768</v>
      </c>
      <c r="F1650" s="2">
        <f t="shared" si="153"/>
        <v>6324066576</v>
      </c>
      <c r="G1650" s="2">
        <f t="shared" si="154"/>
        <v>436.64879999999999</v>
      </c>
      <c r="H1650" s="2">
        <f t="shared" si="155"/>
        <v>123134.9616</v>
      </c>
    </row>
    <row r="1651" spans="1:8" x14ac:dyDescent="0.35">
      <c r="A1651" s="2">
        <v>282</v>
      </c>
      <c r="B1651" s="2">
        <v>19140</v>
      </c>
      <c r="C1651" s="2">
        <f t="shared" si="150"/>
        <v>1.9139999999999999</v>
      </c>
      <c r="D1651" s="2">
        <f t="shared" si="151"/>
        <v>79524</v>
      </c>
      <c r="E1651" s="2">
        <f t="shared" si="152"/>
        <v>22425768</v>
      </c>
      <c r="F1651" s="2">
        <f t="shared" si="153"/>
        <v>6324066576</v>
      </c>
      <c r="G1651" s="2">
        <f t="shared" si="154"/>
        <v>539.74799999999993</v>
      </c>
      <c r="H1651" s="2">
        <f t="shared" si="155"/>
        <v>152208.93599999999</v>
      </c>
    </row>
    <row r="1652" spans="1:8" x14ac:dyDescent="0.35">
      <c r="A1652" s="2">
        <v>282</v>
      </c>
      <c r="B1652" s="2">
        <v>17554</v>
      </c>
      <c r="C1652" s="2">
        <f t="shared" si="150"/>
        <v>1.7554000000000001</v>
      </c>
      <c r="D1652" s="2">
        <f t="shared" si="151"/>
        <v>79524</v>
      </c>
      <c r="E1652" s="2">
        <f t="shared" si="152"/>
        <v>22425768</v>
      </c>
      <c r="F1652" s="2">
        <f t="shared" si="153"/>
        <v>6324066576</v>
      </c>
      <c r="G1652" s="2">
        <f t="shared" si="154"/>
        <v>495.02280000000002</v>
      </c>
      <c r="H1652" s="2">
        <f t="shared" si="155"/>
        <v>139596.4296</v>
      </c>
    </row>
    <row r="1653" spans="1:8" x14ac:dyDescent="0.35">
      <c r="A1653" s="2">
        <v>282</v>
      </c>
      <c r="B1653" s="2">
        <v>21991</v>
      </c>
      <c r="C1653" s="2">
        <f t="shared" si="150"/>
        <v>2.1991000000000001</v>
      </c>
      <c r="D1653" s="2">
        <f t="shared" si="151"/>
        <v>79524</v>
      </c>
      <c r="E1653" s="2">
        <f t="shared" si="152"/>
        <v>22425768</v>
      </c>
      <c r="F1653" s="2">
        <f t="shared" si="153"/>
        <v>6324066576</v>
      </c>
      <c r="G1653" s="2">
        <f t="shared" si="154"/>
        <v>620.14620000000002</v>
      </c>
      <c r="H1653" s="2">
        <f t="shared" si="155"/>
        <v>174881.22839999999</v>
      </c>
    </row>
    <row r="1654" spans="1:8" x14ac:dyDescent="0.35">
      <c r="A1654" s="2">
        <v>282</v>
      </c>
      <c r="B1654" s="2">
        <v>22366</v>
      </c>
      <c r="C1654" s="2">
        <f t="shared" si="150"/>
        <v>2.2366000000000001</v>
      </c>
      <c r="D1654" s="2">
        <f t="shared" si="151"/>
        <v>79524</v>
      </c>
      <c r="E1654" s="2">
        <f t="shared" si="152"/>
        <v>22425768</v>
      </c>
      <c r="F1654" s="2">
        <f t="shared" si="153"/>
        <v>6324066576</v>
      </c>
      <c r="G1654" s="2">
        <f t="shared" si="154"/>
        <v>630.72120000000007</v>
      </c>
      <c r="H1654" s="2">
        <f t="shared" si="155"/>
        <v>177863.37840000002</v>
      </c>
    </row>
    <row r="1655" spans="1:8" x14ac:dyDescent="0.35">
      <c r="A1655" s="2">
        <v>282</v>
      </c>
      <c r="B1655" s="2">
        <v>21058</v>
      </c>
      <c r="C1655" s="2">
        <f t="shared" si="150"/>
        <v>2.1057999999999999</v>
      </c>
      <c r="D1655" s="2">
        <f t="shared" si="151"/>
        <v>79524</v>
      </c>
      <c r="E1655" s="2">
        <f t="shared" si="152"/>
        <v>22425768</v>
      </c>
      <c r="F1655" s="2">
        <f t="shared" si="153"/>
        <v>6324066576</v>
      </c>
      <c r="G1655" s="2">
        <f t="shared" si="154"/>
        <v>593.8356</v>
      </c>
      <c r="H1655" s="2">
        <f t="shared" si="155"/>
        <v>167461.63920000001</v>
      </c>
    </row>
    <row r="1656" spans="1:8" x14ac:dyDescent="0.35">
      <c r="A1656" s="2">
        <v>282</v>
      </c>
      <c r="B1656" s="2">
        <v>20095</v>
      </c>
      <c r="C1656" s="2">
        <f t="shared" si="150"/>
        <v>2.0095000000000001</v>
      </c>
      <c r="D1656" s="2">
        <f t="shared" si="151"/>
        <v>79524</v>
      </c>
      <c r="E1656" s="2">
        <f t="shared" si="152"/>
        <v>22425768</v>
      </c>
      <c r="F1656" s="2">
        <f t="shared" si="153"/>
        <v>6324066576</v>
      </c>
      <c r="G1656" s="2">
        <f t="shared" si="154"/>
        <v>566.67899999999997</v>
      </c>
      <c r="H1656" s="2">
        <f t="shared" si="155"/>
        <v>159803.478</v>
      </c>
    </row>
    <row r="1657" spans="1:8" x14ac:dyDescent="0.35">
      <c r="A1657" s="2">
        <v>282</v>
      </c>
      <c r="B1657" s="2">
        <v>19439</v>
      </c>
      <c r="C1657" s="2">
        <f t="shared" si="150"/>
        <v>1.9439</v>
      </c>
      <c r="D1657" s="2">
        <f t="shared" si="151"/>
        <v>79524</v>
      </c>
      <c r="E1657" s="2">
        <f t="shared" si="152"/>
        <v>22425768</v>
      </c>
      <c r="F1657" s="2">
        <f t="shared" si="153"/>
        <v>6324066576</v>
      </c>
      <c r="G1657" s="2">
        <f t="shared" si="154"/>
        <v>548.1798</v>
      </c>
      <c r="H1657" s="2">
        <f t="shared" si="155"/>
        <v>154586.70360000001</v>
      </c>
    </row>
    <row r="1658" spans="1:8" x14ac:dyDescent="0.35">
      <c r="A1658" s="2">
        <v>282</v>
      </c>
      <c r="B1658" s="2">
        <v>22803</v>
      </c>
      <c r="C1658" s="2">
        <f t="shared" si="150"/>
        <v>2.2803</v>
      </c>
      <c r="D1658" s="2">
        <f t="shared" si="151"/>
        <v>79524</v>
      </c>
      <c r="E1658" s="2">
        <f t="shared" si="152"/>
        <v>22425768</v>
      </c>
      <c r="F1658" s="2">
        <f t="shared" si="153"/>
        <v>6324066576</v>
      </c>
      <c r="G1658" s="2">
        <f t="shared" si="154"/>
        <v>643.04459999999995</v>
      </c>
      <c r="H1658" s="2">
        <f t="shared" si="155"/>
        <v>181338.5772</v>
      </c>
    </row>
    <row r="1659" spans="1:8" x14ac:dyDescent="0.35">
      <c r="A1659" s="2">
        <v>282</v>
      </c>
      <c r="B1659" s="2">
        <v>22845</v>
      </c>
      <c r="C1659" s="2">
        <f t="shared" si="150"/>
        <v>2.2845</v>
      </c>
      <c r="D1659" s="2">
        <f t="shared" si="151"/>
        <v>79524</v>
      </c>
      <c r="E1659" s="2">
        <f t="shared" si="152"/>
        <v>22425768</v>
      </c>
      <c r="F1659" s="2">
        <f t="shared" si="153"/>
        <v>6324066576</v>
      </c>
      <c r="G1659" s="2">
        <f t="shared" si="154"/>
        <v>644.22900000000004</v>
      </c>
      <c r="H1659" s="2">
        <f t="shared" si="155"/>
        <v>181672.57800000001</v>
      </c>
    </row>
    <row r="1660" spans="1:8" x14ac:dyDescent="0.35">
      <c r="A1660" s="2">
        <v>282</v>
      </c>
      <c r="B1660" s="2">
        <v>25783</v>
      </c>
      <c r="C1660" s="2">
        <f t="shared" si="150"/>
        <v>2.5783</v>
      </c>
      <c r="D1660" s="2">
        <f t="shared" si="151"/>
        <v>79524</v>
      </c>
      <c r="E1660" s="2">
        <f t="shared" si="152"/>
        <v>22425768</v>
      </c>
      <c r="F1660" s="2">
        <f t="shared" si="153"/>
        <v>6324066576</v>
      </c>
      <c r="G1660" s="2">
        <f t="shared" si="154"/>
        <v>727.0806</v>
      </c>
      <c r="H1660" s="2">
        <f t="shared" si="155"/>
        <v>205036.7292</v>
      </c>
    </row>
    <row r="1661" spans="1:8" x14ac:dyDescent="0.35">
      <c r="A1661" s="2">
        <v>282</v>
      </c>
      <c r="B1661" s="2">
        <v>27621</v>
      </c>
      <c r="C1661" s="2">
        <f t="shared" si="150"/>
        <v>2.7621000000000002</v>
      </c>
      <c r="D1661" s="2">
        <f t="shared" si="151"/>
        <v>79524</v>
      </c>
      <c r="E1661" s="2">
        <f t="shared" si="152"/>
        <v>22425768</v>
      </c>
      <c r="F1661" s="2">
        <f t="shared" si="153"/>
        <v>6324066576</v>
      </c>
      <c r="G1661" s="2">
        <f t="shared" si="154"/>
        <v>778.9122000000001</v>
      </c>
      <c r="H1661" s="2">
        <f t="shared" si="155"/>
        <v>219653.24040000001</v>
      </c>
    </row>
    <row r="1662" spans="1:8" x14ac:dyDescent="0.35">
      <c r="A1662" s="2">
        <v>282</v>
      </c>
      <c r="B1662" s="2">
        <v>33660</v>
      </c>
      <c r="C1662" s="2">
        <f t="shared" si="150"/>
        <v>3.3660000000000001</v>
      </c>
      <c r="D1662" s="2">
        <f t="shared" si="151"/>
        <v>79524</v>
      </c>
      <c r="E1662" s="2">
        <f t="shared" si="152"/>
        <v>22425768</v>
      </c>
      <c r="F1662" s="2">
        <f t="shared" si="153"/>
        <v>6324066576</v>
      </c>
      <c r="G1662" s="2">
        <f t="shared" si="154"/>
        <v>949.21199999999999</v>
      </c>
      <c r="H1662" s="2">
        <f t="shared" si="155"/>
        <v>267677.78399999999</v>
      </c>
    </row>
    <row r="1663" spans="1:8" x14ac:dyDescent="0.35">
      <c r="A1663" s="2">
        <v>282</v>
      </c>
      <c r="B1663" s="2">
        <v>30646</v>
      </c>
      <c r="C1663" s="2">
        <f t="shared" si="150"/>
        <v>3.0646</v>
      </c>
      <c r="D1663" s="2">
        <f t="shared" si="151"/>
        <v>79524</v>
      </c>
      <c r="E1663" s="2">
        <f t="shared" si="152"/>
        <v>22425768</v>
      </c>
      <c r="F1663" s="2">
        <f t="shared" si="153"/>
        <v>6324066576</v>
      </c>
      <c r="G1663" s="2">
        <f t="shared" si="154"/>
        <v>864.21720000000005</v>
      </c>
      <c r="H1663" s="2">
        <f t="shared" si="155"/>
        <v>243709.25039999999</v>
      </c>
    </row>
    <row r="1664" spans="1:8" x14ac:dyDescent="0.35">
      <c r="A1664" s="2">
        <v>282</v>
      </c>
      <c r="B1664" s="2">
        <v>21044</v>
      </c>
      <c r="C1664" s="2">
        <f t="shared" si="150"/>
        <v>2.1044</v>
      </c>
      <c r="D1664" s="2">
        <f t="shared" si="151"/>
        <v>79524</v>
      </c>
      <c r="E1664" s="2">
        <f t="shared" si="152"/>
        <v>22425768</v>
      </c>
      <c r="F1664" s="2">
        <f t="shared" si="153"/>
        <v>6324066576</v>
      </c>
      <c r="G1664" s="2">
        <f t="shared" si="154"/>
        <v>593.44079999999997</v>
      </c>
      <c r="H1664" s="2">
        <f t="shared" si="155"/>
        <v>167350.30559999999</v>
      </c>
    </row>
    <row r="1665" spans="1:8" x14ac:dyDescent="0.35">
      <c r="A1665" s="2">
        <v>282</v>
      </c>
      <c r="B1665" s="2">
        <v>30210</v>
      </c>
      <c r="C1665" s="2">
        <f t="shared" si="150"/>
        <v>3.0209999999999999</v>
      </c>
      <c r="D1665" s="2">
        <f t="shared" si="151"/>
        <v>79524</v>
      </c>
      <c r="E1665" s="2">
        <f t="shared" si="152"/>
        <v>22425768</v>
      </c>
      <c r="F1665" s="2">
        <f t="shared" si="153"/>
        <v>6324066576</v>
      </c>
      <c r="G1665" s="2">
        <f t="shared" si="154"/>
        <v>851.92200000000003</v>
      </c>
      <c r="H1665" s="2">
        <f t="shared" si="155"/>
        <v>240242.00399999999</v>
      </c>
    </row>
    <row r="1666" spans="1:8" x14ac:dyDescent="0.35">
      <c r="A1666" s="2">
        <v>282</v>
      </c>
      <c r="B1666" s="2">
        <v>34486</v>
      </c>
      <c r="C1666" s="2">
        <f t="shared" si="150"/>
        <v>3.4485999999999999</v>
      </c>
      <c r="D1666" s="2">
        <f t="shared" si="151"/>
        <v>79524</v>
      </c>
      <c r="E1666" s="2">
        <f t="shared" si="152"/>
        <v>22425768</v>
      </c>
      <c r="F1666" s="2">
        <f t="shared" si="153"/>
        <v>6324066576</v>
      </c>
      <c r="G1666" s="2">
        <f t="shared" si="154"/>
        <v>972.50519999999995</v>
      </c>
      <c r="H1666" s="2">
        <f t="shared" si="155"/>
        <v>274246.46639999998</v>
      </c>
    </row>
    <row r="1667" spans="1:8" x14ac:dyDescent="0.35">
      <c r="A1667" s="2">
        <v>282</v>
      </c>
      <c r="B1667" s="2">
        <v>30009</v>
      </c>
      <c r="C1667" s="2">
        <f t="shared" ref="C1667:C1730" si="156">B1667/10000</f>
        <v>3.0009000000000001</v>
      </c>
      <c r="D1667" s="2">
        <f t="shared" ref="D1667:D1730" si="157">A1667^2</f>
        <v>79524</v>
      </c>
      <c r="E1667" s="2">
        <f t="shared" ref="E1667:E1730" si="158">A1667^3</f>
        <v>22425768</v>
      </c>
      <c r="F1667" s="2">
        <f t="shared" ref="F1667:F1730" si="159">A1667^4</f>
        <v>6324066576</v>
      </c>
      <c r="G1667" s="2">
        <f t="shared" ref="G1667:G1730" si="160">A1667*C1667</f>
        <v>846.25380000000007</v>
      </c>
      <c r="H1667" s="2">
        <f t="shared" ref="H1667:H1730" si="161">D1667*C1667</f>
        <v>238643.5716</v>
      </c>
    </row>
    <row r="1668" spans="1:8" x14ac:dyDescent="0.35">
      <c r="A1668" s="2">
        <v>282</v>
      </c>
      <c r="B1668" s="2">
        <v>31670</v>
      </c>
      <c r="C1668" s="2">
        <f t="shared" si="156"/>
        <v>3.1669999999999998</v>
      </c>
      <c r="D1668" s="2">
        <f t="shared" si="157"/>
        <v>79524</v>
      </c>
      <c r="E1668" s="2">
        <f t="shared" si="158"/>
        <v>22425768</v>
      </c>
      <c r="F1668" s="2">
        <f t="shared" si="159"/>
        <v>6324066576</v>
      </c>
      <c r="G1668" s="2">
        <f t="shared" si="160"/>
        <v>893.09399999999994</v>
      </c>
      <c r="H1668" s="2">
        <f t="shared" si="161"/>
        <v>251852.50799999997</v>
      </c>
    </row>
    <row r="1669" spans="1:8" x14ac:dyDescent="0.35">
      <c r="A1669" s="2">
        <v>282</v>
      </c>
      <c r="B1669" s="2">
        <v>30586</v>
      </c>
      <c r="C1669" s="2">
        <f t="shared" si="156"/>
        <v>3.0586000000000002</v>
      </c>
      <c r="D1669" s="2">
        <f t="shared" si="157"/>
        <v>79524</v>
      </c>
      <c r="E1669" s="2">
        <f t="shared" si="158"/>
        <v>22425768</v>
      </c>
      <c r="F1669" s="2">
        <f t="shared" si="159"/>
        <v>6324066576</v>
      </c>
      <c r="G1669" s="2">
        <f t="shared" si="160"/>
        <v>862.52520000000004</v>
      </c>
      <c r="H1669" s="2">
        <f t="shared" si="161"/>
        <v>243232.10640000002</v>
      </c>
    </row>
    <row r="1670" spans="1:8" x14ac:dyDescent="0.35">
      <c r="A1670" s="2">
        <v>282</v>
      </c>
      <c r="B1670" s="2">
        <v>33318</v>
      </c>
      <c r="C1670" s="2">
        <f t="shared" si="156"/>
        <v>3.3317999999999999</v>
      </c>
      <c r="D1670" s="2">
        <f t="shared" si="157"/>
        <v>79524</v>
      </c>
      <c r="E1670" s="2">
        <f t="shared" si="158"/>
        <v>22425768</v>
      </c>
      <c r="F1670" s="2">
        <f t="shared" si="159"/>
        <v>6324066576</v>
      </c>
      <c r="G1670" s="2">
        <f t="shared" si="160"/>
        <v>939.56759999999997</v>
      </c>
      <c r="H1670" s="2">
        <f t="shared" si="161"/>
        <v>264958.06319999998</v>
      </c>
    </row>
    <row r="1671" spans="1:8" x14ac:dyDescent="0.35">
      <c r="A1671" s="2">
        <v>92</v>
      </c>
      <c r="B1671" s="2">
        <v>50000</v>
      </c>
      <c r="C1671" s="2">
        <f t="shared" si="156"/>
        <v>5</v>
      </c>
      <c r="D1671" s="2">
        <f t="shared" si="157"/>
        <v>8464</v>
      </c>
      <c r="E1671" s="2">
        <f t="shared" si="158"/>
        <v>778688</v>
      </c>
      <c r="F1671" s="2">
        <f t="shared" si="159"/>
        <v>71639296</v>
      </c>
      <c r="G1671" s="2">
        <f t="shared" si="160"/>
        <v>460</v>
      </c>
      <c r="H1671" s="2">
        <f t="shared" si="161"/>
        <v>42320</v>
      </c>
    </row>
    <row r="1672" spans="1:8" x14ac:dyDescent="0.35">
      <c r="A1672" s="2">
        <v>92</v>
      </c>
      <c r="B1672" s="2">
        <v>50000</v>
      </c>
      <c r="C1672" s="2">
        <f t="shared" si="156"/>
        <v>5</v>
      </c>
      <c r="D1672" s="2">
        <f t="shared" si="157"/>
        <v>8464</v>
      </c>
      <c r="E1672" s="2">
        <f t="shared" si="158"/>
        <v>778688</v>
      </c>
      <c r="F1672" s="2">
        <f t="shared" si="159"/>
        <v>71639296</v>
      </c>
      <c r="G1672" s="2">
        <f t="shared" si="160"/>
        <v>460</v>
      </c>
      <c r="H1672" s="2">
        <f t="shared" si="161"/>
        <v>42320</v>
      </c>
    </row>
    <row r="1673" spans="1:8" x14ac:dyDescent="0.35">
      <c r="A1673" s="2">
        <v>92</v>
      </c>
      <c r="B1673" s="2">
        <v>46856</v>
      </c>
      <c r="C1673" s="2">
        <f t="shared" si="156"/>
        <v>4.6856</v>
      </c>
      <c r="D1673" s="2">
        <f t="shared" si="157"/>
        <v>8464</v>
      </c>
      <c r="E1673" s="2">
        <f t="shared" si="158"/>
        <v>778688</v>
      </c>
      <c r="F1673" s="2">
        <f t="shared" si="159"/>
        <v>71639296</v>
      </c>
      <c r="G1673" s="2">
        <f t="shared" si="160"/>
        <v>431.0752</v>
      </c>
      <c r="H1673" s="2">
        <f t="shared" si="161"/>
        <v>39658.918400000002</v>
      </c>
    </row>
    <row r="1674" spans="1:8" x14ac:dyDescent="0.35">
      <c r="A1674" s="2">
        <v>92</v>
      </c>
      <c r="B1674" s="2">
        <v>40342</v>
      </c>
      <c r="C1674" s="2">
        <f t="shared" si="156"/>
        <v>4.0342000000000002</v>
      </c>
      <c r="D1674" s="2">
        <f t="shared" si="157"/>
        <v>8464</v>
      </c>
      <c r="E1674" s="2">
        <f t="shared" si="158"/>
        <v>778688</v>
      </c>
      <c r="F1674" s="2">
        <f t="shared" si="159"/>
        <v>71639296</v>
      </c>
      <c r="G1674" s="2">
        <f t="shared" si="160"/>
        <v>371.14640000000003</v>
      </c>
      <c r="H1674" s="2">
        <f t="shared" si="161"/>
        <v>34145.468800000002</v>
      </c>
    </row>
    <row r="1675" spans="1:8" x14ac:dyDescent="0.35">
      <c r="A1675" s="2">
        <v>92</v>
      </c>
      <c r="B1675" s="2">
        <v>33307</v>
      </c>
      <c r="C1675" s="2">
        <f t="shared" si="156"/>
        <v>3.3307000000000002</v>
      </c>
      <c r="D1675" s="2">
        <f t="shared" si="157"/>
        <v>8464</v>
      </c>
      <c r="E1675" s="2">
        <f t="shared" si="158"/>
        <v>778688</v>
      </c>
      <c r="F1675" s="2">
        <f t="shared" si="159"/>
        <v>71639296</v>
      </c>
      <c r="G1675" s="2">
        <f t="shared" si="160"/>
        <v>306.42439999999999</v>
      </c>
      <c r="H1675" s="2">
        <f t="shared" si="161"/>
        <v>28191.044800000003</v>
      </c>
    </row>
    <row r="1676" spans="1:8" x14ac:dyDescent="0.35">
      <c r="A1676" s="2">
        <v>92</v>
      </c>
      <c r="B1676" s="2">
        <v>28127</v>
      </c>
      <c r="C1676" s="2">
        <f t="shared" si="156"/>
        <v>2.8127</v>
      </c>
      <c r="D1676" s="2">
        <f t="shared" si="157"/>
        <v>8464</v>
      </c>
      <c r="E1676" s="2">
        <f t="shared" si="158"/>
        <v>778688</v>
      </c>
      <c r="F1676" s="2">
        <f t="shared" si="159"/>
        <v>71639296</v>
      </c>
      <c r="G1676" s="2">
        <f t="shared" si="160"/>
        <v>258.76839999999999</v>
      </c>
      <c r="H1676" s="2">
        <f t="shared" si="161"/>
        <v>23806.692800000001</v>
      </c>
    </row>
    <row r="1677" spans="1:8" x14ac:dyDescent="0.35">
      <c r="A1677" s="2">
        <v>92</v>
      </c>
      <c r="B1677" s="2">
        <v>39870</v>
      </c>
      <c r="C1677" s="2">
        <f t="shared" si="156"/>
        <v>3.9870000000000001</v>
      </c>
      <c r="D1677" s="2">
        <f t="shared" si="157"/>
        <v>8464</v>
      </c>
      <c r="E1677" s="2">
        <f t="shared" si="158"/>
        <v>778688</v>
      </c>
      <c r="F1677" s="2">
        <f t="shared" si="159"/>
        <v>71639296</v>
      </c>
      <c r="G1677" s="2">
        <f t="shared" si="160"/>
        <v>366.80400000000003</v>
      </c>
      <c r="H1677" s="2">
        <f t="shared" si="161"/>
        <v>33745.968000000001</v>
      </c>
    </row>
    <row r="1678" spans="1:8" x14ac:dyDescent="0.35">
      <c r="A1678" s="2">
        <v>92</v>
      </c>
      <c r="B1678" s="2">
        <v>32860</v>
      </c>
      <c r="C1678" s="2">
        <f t="shared" si="156"/>
        <v>3.286</v>
      </c>
      <c r="D1678" s="2">
        <f t="shared" si="157"/>
        <v>8464</v>
      </c>
      <c r="E1678" s="2">
        <f t="shared" si="158"/>
        <v>778688</v>
      </c>
      <c r="F1678" s="2">
        <f t="shared" si="159"/>
        <v>71639296</v>
      </c>
      <c r="G1678" s="2">
        <f t="shared" si="160"/>
        <v>302.31200000000001</v>
      </c>
      <c r="H1678" s="2">
        <f t="shared" si="161"/>
        <v>27812.704000000002</v>
      </c>
    </row>
    <row r="1679" spans="1:8" x14ac:dyDescent="0.35">
      <c r="A1679" s="2">
        <v>92</v>
      </c>
      <c r="B1679" s="2">
        <v>27399</v>
      </c>
      <c r="C1679" s="2">
        <f t="shared" si="156"/>
        <v>2.7399</v>
      </c>
      <c r="D1679" s="2">
        <f t="shared" si="157"/>
        <v>8464</v>
      </c>
      <c r="E1679" s="2">
        <f t="shared" si="158"/>
        <v>778688</v>
      </c>
      <c r="F1679" s="2">
        <f t="shared" si="159"/>
        <v>71639296</v>
      </c>
      <c r="G1679" s="2">
        <f t="shared" si="160"/>
        <v>252.07079999999999</v>
      </c>
      <c r="H1679" s="2">
        <f t="shared" si="161"/>
        <v>23190.513599999998</v>
      </c>
    </row>
    <row r="1680" spans="1:8" x14ac:dyDescent="0.35">
      <c r="A1680" s="2">
        <v>92</v>
      </c>
      <c r="B1680" s="2">
        <v>39360</v>
      </c>
      <c r="C1680" s="2">
        <f t="shared" si="156"/>
        <v>3.9359999999999999</v>
      </c>
      <c r="D1680" s="2">
        <f t="shared" si="157"/>
        <v>8464</v>
      </c>
      <c r="E1680" s="2">
        <f t="shared" si="158"/>
        <v>778688</v>
      </c>
      <c r="F1680" s="2">
        <f t="shared" si="159"/>
        <v>71639296</v>
      </c>
      <c r="G1680" s="2">
        <f t="shared" si="160"/>
        <v>362.11199999999997</v>
      </c>
      <c r="H1680" s="2">
        <f t="shared" si="161"/>
        <v>33314.303999999996</v>
      </c>
    </row>
    <row r="1681" spans="1:8" x14ac:dyDescent="0.35">
      <c r="A1681" s="2">
        <v>92</v>
      </c>
      <c r="B1681" s="2">
        <v>38306</v>
      </c>
      <c r="C1681" s="2">
        <f t="shared" si="156"/>
        <v>3.8306</v>
      </c>
      <c r="D1681" s="2">
        <f t="shared" si="157"/>
        <v>8464</v>
      </c>
      <c r="E1681" s="2">
        <f t="shared" si="158"/>
        <v>778688</v>
      </c>
      <c r="F1681" s="2">
        <f t="shared" si="159"/>
        <v>71639296</v>
      </c>
      <c r="G1681" s="2">
        <f t="shared" si="160"/>
        <v>352.41520000000003</v>
      </c>
      <c r="H1681" s="2">
        <f t="shared" si="161"/>
        <v>32422.198400000001</v>
      </c>
    </row>
    <row r="1682" spans="1:8" x14ac:dyDescent="0.35">
      <c r="A1682" s="2">
        <v>92</v>
      </c>
      <c r="B1682" s="2">
        <v>37189</v>
      </c>
      <c r="C1682" s="2">
        <f t="shared" si="156"/>
        <v>3.7189000000000001</v>
      </c>
      <c r="D1682" s="2">
        <f t="shared" si="157"/>
        <v>8464</v>
      </c>
      <c r="E1682" s="2">
        <f t="shared" si="158"/>
        <v>778688</v>
      </c>
      <c r="F1682" s="2">
        <f t="shared" si="159"/>
        <v>71639296</v>
      </c>
      <c r="G1682" s="2">
        <f t="shared" si="160"/>
        <v>342.1388</v>
      </c>
      <c r="H1682" s="2">
        <f t="shared" si="161"/>
        <v>31476.7696</v>
      </c>
    </row>
    <row r="1683" spans="1:8" x14ac:dyDescent="0.35">
      <c r="A1683" s="2">
        <v>92</v>
      </c>
      <c r="B1683" s="2">
        <v>40598</v>
      </c>
      <c r="C1683" s="2">
        <f t="shared" si="156"/>
        <v>4.0598000000000001</v>
      </c>
      <c r="D1683" s="2">
        <f t="shared" si="157"/>
        <v>8464</v>
      </c>
      <c r="E1683" s="2">
        <f t="shared" si="158"/>
        <v>778688</v>
      </c>
      <c r="F1683" s="2">
        <f t="shared" si="159"/>
        <v>71639296</v>
      </c>
      <c r="G1683" s="2">
        <f t="shared" si="160"/>
        <v>373.5016</v>
      </c>
      <c r="H1683" s="2">
        <f t="shared" si="161"/>
        <v>34362.147199999999</v>
      </c>
    </row>
    <row r="1684" spans="1:8" x14ac:dyDescent="0.35">
      <c r="A1684" s="2">
        <v>92</v>
      </c>
      <c r="B1684" s="2">
        <v>39680</v>
      </c>
      <c r="C1684" s="2">
        <f t="shared" si="156"/>
        <v>3.968</v>
      </c>
      <c r="D1684" s="2">
        <f t="shared" si="157"/>
        <v>8464</v>
      </c>
      <c r="E1684" s="2">
        <f t="shared" si="158"/>
        <v>778688</v>
      </c>
      <c r="F1684" s="2">
        <f t="shared" si="159"/>
        <v>71639296</v>
      </c>
      <c r="G1684" s="2">
        <f t="shared" si="160"/>
        <v>365.05599999999998</v>
      </c>
      <c r="H1684" s="2">
        <f t="shared" si="161"/>
        <v>33585.152000000002</v>
      </c>
    </row>
    <row r="1685" spans="1:8" x14ac:dyDescent="0.35">
      <c r="A1685" s="2">
        <v>92</v>
      </c>
      <c r="B1685" s="2">
        <v>42373</v>
      </c>
      <c r="C1685" s="2">
        <f t="shared" si="156"/>
        <v>4.2373000000000003</v>
      </c>
      <c r="D1685" s="2">
        <f t="shared" si="157"/>
        <v>8464</v>
      </c>
      <c r="E1685" s="2">
        <f t="shared" si="158"/>
        <v>778688</v>
      </c>
      <c r="F1685" s="2">
        <f t="shared" si="159"/>
        <v>71639296</v>
      </c>
      <c r="G1685" s="2">
        <f t="shared" si="160"/>
        <v>389.83160000000004</v>
      </c>
      <c r="H1685" s="2">
        <f t="shared" si="161"/>
        <v>35864.5072</v>
      </c>
    </row>
    <row r="1686" spans="1:8" x14ac:dyDescent="0.35">
      <c r="A1686" s="2">
        <v>92</v>
      </c>
      <c r="B1686" s="2">
        <v>45266</v>
      </c>
      <c r="C1686" s="2">
        <f t="shared" si="156"/>
        <v>4.5266000000000002</v>
      </c>
      <c r="D1686" s="2">
        <f t="shared" si="157"/>
        <v>8464</v>
      </c>
      <c r="E1686" s="2">
        <f t="shared" si="158"/>
        <v>778688</v>
      </c>
      <c r="F1686" s="2">
        <f t="shared" si="159"/>
        <v>71639296</v>
      </c>
      <c r="G1686" s="2">
        <f t="shared" si="160"/>
        <v>416.44720000000001</v>
      </c>
      <c r="H1686" s="2">
        <f t="shared" si="161"/>
        <v>38313.142400000004</v>
      </c>
    </row>
    <row r="1687" spans="1:8" x14ac:dyDescent="0.35">
      <c r="A1687" s="2">
        <v>92</v>
      </c>
      <c r="B1687" s="2">
        <v>45602</v>
      </c>
      <c r="C1687" s="2">
        <f t="shared" si="156"/>
        <v>4.5602</v>
      </c>
      <c r="D1687" s="2">
        <f t="shared" si="157"/>
        <v>8464</v>
      </c>
      <c r="E1687" s="2">
        <f t="shared" si="158"/>
        <v>778688</v>
      </c>
      <c r="F1687" s="2">
        <f t="shared" si="159"/>
        <v>71639296</v>
      </c>
      <c r="G1687" s="2">
        <f t="shared" si="160"/>
        <v>419.53840000000002</v>
      </c>
      <c r="H1687" s="2">
        <f t="shared" si="161"/>
        <v>38597.532800000001</v>
      </c>
    </row>
    <row r="1688" spans="1:8" x14ac:dyDescent="0.35">
      <c r="A1688" s="2">
        <v>92</v>
      </c>
      <c r="B1688" s="2">
        <v>46995</v>
      </c>
      <c r="C1688" s="2">
        <f t="shared" si="156"/>
        <v>4.6994999999999996</v>
      </c>
      <c r="D1688" s="2">
        <f t="shared" si="157"/>
        <v>8464</v>
      </c>
      <c r="E1688" s="2">
        <f t="shared" si="158"/>
        <v>778688</v>
      </c>
      <c r="F1688" s="2">
        <f t="shared" si="159"/>
        <v>71639296</v>
      </c>
      <c r="G1688" s="2">
        <f t="shared" si="160"/>
        <v>432.35399999999998</v>
      </c>
      <c r="H1688" s="2">
        <f t="shared" si="161"/>
        <v>39776.567999999999</v>
      </c>
    </row>
    <row r="1689" spans="1:8" x14ac:dyDescent="0.35">
      <c r="A1689" s="2">
        <v>92</v>
      </c>
      <c r="B1689" s="2">
        <v>38919</v>
      </c>
      <c r="C1689" s="2">
        <f t="shared" si="156"/>
        <v>3.8919000000000001</v>
      </c>
      <c r="D1689" s="2">
        <f t="shared" si="157"/>
        <v>8464</v>
      </c>
      <c r="E1689" s="2">
        <f t="shared" si="158"/>
        <v>778688</v>
      </c>
      <c r="F1689" s="2">
        <f t="shared" si="159"/>
        <v>71639296</v>
      </c>
      <c r="G1689" s="2">
        <f t="shared" si="160"/>
        <v>358.0548</v>
      </c>
      <c r="H1689" s="2">
        <f t="shared" si="161"/>
        <v>32941.041600000004</v>
      </c>
    </row>
    <row r="1690" spans="1:8" x14ac:dyDescent="0.35">
      <c r="A1690" s="2">
        <v>92</v>
      </c>
      <c r="B1690" s="2">
        <v>44809</v>
      </c>
      <c r="C1690" s="2">
        <f t="shared" si="156"/>
        <v>4.4809000000000001</v>
      </c>
      <c r="D1690" s="2">
        <f t="shared" si="157"/>
        <v>8464</v>
      </c>
      <c r="E1690" s="2">
        <f t="shared" si="158"/>
        <v>778688</v>
      </c>
      <c r="F1690" s="2">
        <f t="shared" si="159"/>
        <v>71639296</v>
      </c>
      <c r="G1690" s="2">
        <f t="shared" si="160"/>
        <v>412.24279999999999</v>
      </c>
      <c r="H1690" s="2">
        <f t="shared" si="161"/>
        <v>37926.337599999999</v>
      </c>
    </row>
    <row r="1691" spans="1:8" x14ac:dyDescent="0.35">
      <c r="A1691" s="2">
        <v>92</v>
      </c>
      <c r="B1691" s="2">
        <v>47221</v>
      </c>
      <c r="C1691" s="2">
        <f t="shared" si="156"/>
        <v>4.7221000000000002</v>
      </c>
      <c r="D1691" s="2">
        <f t="shared" si="157"/>
        <v>8464</v>
      </c>
      <c r="E1691" s="2">
        <f t="shared" si="158"/>
        <v>778688</v>
      </c>
      <c r="F1691" s="2">
        <f t="shared" si="159"/>
        <v>71639296</v>
      </c>
      <c r="G1691" s="2">
        <f t="shared" si="160"/>
        <v>434.4332</v>
      </c>
      <c r="H1691" s="2">
        <f t="shared" si="161"/>
        <v>39967.854400000004</v>
      </c>
    </row>
    <row r="1692" spans="1:8" x14ac:dyDescent="0.35">
      <c r="A1692" s="2">
        <v>92</v>
      </c>
      <c r="B1692" s="2">
        <v>47631</v>
      </c>
      <c r="C1692" s="2">
        <f t="shared" si="156"/>
        <v>4.7630999999999997</v>
      </c>
      <c r="D1692" s="2">
        <f t="shared" si="157"/>
        <v>8464</v>
      </c>
      <c r="E1692" s="2">
        <f t="shared" si="158"/>
        <v>778688</v>
      </c>
      <c r="F1692" s="2">
        <f t="shared" si="159"/>
        <v>71639296</v>
      </c>
      <c r="G1692" s="2">
        <f t="shared" si="160"/>
        <v>438.20519999999999</v>
      </c>
      <c r="H1692" s="2">
        <f t="shared" si="161"/>
        <v>40314.878399999994</v>
      </c>
    </row>
    <row r="1693" spans="1:8" x14ac:dyDescent="0.35">
      <c r="A1693" s="2">
        <v>92</v>
      </c>
      <c r="B1693" s="2">
        <v>39894</v>
      </c>
      <c r="C1693" s="2">
        <f t="shared" si="156"/>
        <v>3.9893999999999998</v>
      </c>
      <c r="D1693" s="2">
        <f t="shared" si="157"/>
        <v>8464</v>
      </c>
      <c r="E1693" s="2">
        <f t="shared" si="158"/>
        <v>778688</v>
      </c>
      <c r="F1693" s="2">
        <f t="shared" si="159"/>
        <v>71639296</v>
      </c>
      <c r="G1693" s="2">
        <f t="shared" si="160"/>
        <v>367.02479999999997</v>
      </c>
      <c r="H1693" s="2">
        <f t="shared" si="161"/>
        <v>33766.281600000002</v>
      </c>
    </row>
    <row r="1694" spans="1:8" x14ac:dyDescent="0.35">
      <c r="A1694" s="2">
        <v>92</v>
      </c>
      <c r="B1694" s="2">
        <v>52310</v>
      </c>
      <c r="C1694" s="2">
        <f t="shared" si="156"/>
        <v>5.2309999999999999</v>
      </c>
      <c r="D1694" s="2">
        <f t="shared" si="157"/>
        <v>8464</v>
      </c>
      <c r="E1694" s="2">
        <f t="shared" si="158"/>
        <v>778688</v>
      </c>
      <c r="F1694" s="2">
        <f t="shared" si="159"/>
        <v>71639296</v>
      </c>
      <c r="G1694" s="2">
        <f t="shared" si="160"/>
        <v>481.25200000000001</v>
      </c>
      <c r="H1694" s="2">
        <f t="shared" si="161"/>
        <v>44275.184000000001</v>
      </c>
    </row>
    <row r="1695" spans="1:8" x14ac:dyDescent="0.35">
      <c r="A1695" s="2">
        <v>92</v>
      </c>
      <c r="B1695" s="2">
        <v>50958</v>
      </c>
      <c r="C1695" s="2">
        <f t="shared" si="156"/>
        <v>5.0957999999999997</v>
      </c>
      <c r="D1695" s="2">
        <f t="shared" si="157"/>
        <v>8464</v>
      </c>
      <c r="E1695" s="2">
        <f t="shared" si="158"/>
        <v>778688</v>
      </c>
      <c r="F1695" s="2">
        <f t="shared" si="159"/>
        <v>71639296</v>
      </c>
      <c r="G1695" s="2">
        <f t="shared" si="160"/>
        <v>468.81359999999995</v>
      </c>
      <c r="H1695" s="2">
        <f t="shared" si="161"/>
        <v>43130.851199999997</v>
      </c>
    </row>
    <row r="1696" spans="1:8" x14ac:dyDescent="0.35">
      <c r="A1696" s="2">
        <v>92</v>
      </c>
      <c r="B1696" s="2">
        <v>49788</v>
      </c>
      <c r="C1696" s="2">
        <f t="shared" si="156"/>
        <v>4.9787999999999997</v>
      </c>
      <c r="D1696" s="2">
        <f t="shared" si="157"/>
        <v>8464</v>
      </c>
      <c r="E1696" s="2">
        <f t="shared" si="158"/>
        <v>778688</v>
      </c>
      <c r="F1696" s="2">
        <f t="shared" si="159"/>
        <v>71639296</v>
      </c>
      <c r="G1696" s="2">
        <f t="shared" si="160"/>
        <v>458.04959999999994</v>
      </c>
      <c r="H1696" s="2">
        <f t="shared" si="161"/>
        <v>42140.563199999997</v>
      </c>
    </row>
    <row r="1697" spans="1:8" x14ac:dyDescent="0.35">
      <c r="A1697" s="2">
        <v>92</v>
      </c>
      <c r="B1697" s="2">
        <v>49522</v>
      </c>
      <c r="C1697" s="2">
        <f t="shared" si="156"/>
        <v>4.9522000000000004</v>
      </c>
      <c r="D1697" s="2">
        <f t="shared" si="157"/>
        <v>8464</v>
      </c>
      <c r="E1697" s="2">
        <f t="shared" si="158"/>
        <v>778688</v>
      </c>
      <c r="F1697" s="2">
        <f t="shared" si="159"/>
        <v>71639296</v>
      </c>
      <c r="G1697" s="2">
        <f t="shared" si="160"/>
        <v>455.60240000000005</v>
      </c>
      <c r="H1697" s="2">
        <f t="shared" si="161"/>
        <v>41915.4208</v>
      </c>
    </row>
    <row r="1698" spans="1:8" x14ac:dyDescent="0.35">
      <c r="A1698" s="2">
        <v>92</v>
      </c>
      <c r="B1698" s="2">
        <v>51348</v>
      </c>
      <c r="C1698" s="2">
        <f t="shared" si="156"/>
        <v>5.1348000000000003</v>
      </c>
      <c r="D1698" s="2">
        <f t="shared" si="157"/>
        <v>8464</v>
      </c>
      <c r="E1698" s="2">
        <f t="shared" si="158"/>
        <v>778688</v>
      </c>
      <c r="F1698" s="2">
        <f t="shared" si="159"/>
        <v>71639296</v>
      </c>
      <c r="G1698" s="2">
        <f t="shared" si="160"/>
        <v>472.40160000000003</v>
      </c>
      <c r="H1698" s="2">
        <f t="shared" si="161"/>
        <v>43460.947200000002</v>
      </c>
    </row>
    <row r="1699" spans="1:8" x14ac:dyDescent="0.35">
      <c r="A1699" s="2">
        <v>92</v>
      </c>
      <c r="B1699" s="2">
        <v>51557</v>
      </c>
      <c r="C1699" s="2">
        <f t="shared" si="156"/>
        <v>5.1557000000000004</v>
      </c>
      <c r="D1699" s="2">
        <f t="shared" si="157"/>
        <v>8464</v>
      </c>
      <c r="E1699" s="2">
        <f t="shared" si="158"/>
        <v>778688</v>
      </c>
      <c r="F1699" s="2">
        <f t="shared" si="159"/>
        <v>71639296</v>
      </c>
      <c r="G1699" s="2">
        <f t="shared" si="160"/>
        <v>474.32440000000003</v>
      </c>
      <c r="H1699" s="2">
        <f t="shared" si="161"/>
        <v>43637.844800000006</v>
      </c>
    </row>
    <row r="1700" spans="1:8" x14ac:dyDescent="0.35">
      <c r="A1700" s="2">
        <v>92</v>
      </c>
      <c r="B1700" s="2">
        <v>52528</v>
      </c>
      <c r="C1700" s="2">
        <f t="shared" si="156"/>
        <v>5.2527999999999997</v>
      </c>
      <c r="D1700" s="2">
        <f t="shared" si="157"/>
        <v>8464</v>
      </c>
      <c r="E1700" s="2">
        <f t="shared" si="158"/>
        <v>778688</v>
      </c>
      <c r="F1700" s="2">
        <f t="shared" si="159"/>
        <v>71639296</v>
      </c>
      <c r="G1700" s="2">
        <f t="shared" si="160"/>
        <v>483.25759999999997</v>
      </c>
      <c r="H1700" s="2">
        <f t="shared" si="161"/>
        <v>44459.699199999995</v>
      </c>
    </row>
    <row r="1701" spans="1:8" x14ac:dyDescent="0.35">
      <c r="A1701" s="2">
        <v>2041</v>
      </c>
      <c r="B1701" s="2">
        <v>45000</v>
      </c>
      <c r="C1701" s="2">
        <f t="shared" si="156"/>
        <v>4.5</v>
      </c>
      <c r="D1701" s="2">
        <f t="shared" si="157"/>
        <v>4165681</v>
      </c>
      <c r="E1701" s="2">
        <f t="shared" si="158"/>
        <v>8502154921</v>
      </c>
      <c r="F1701" s="2">
        <f t="shared" si="159"/>
        <v>17352898193761</v>
      </c>
      <c r="G1701" s="2">
        <f t="shared" si="160"/>
        <v>9184.5</v>
      </c>
      <c r="H1701" s="2">
        <f t="shared" si="161"/>
        <v>18745564.5</v>
      </c>
    </row>
    <row r="1702" spans="1:8" x14ac:dyDescent="0.35">
      <c r="A1702" s="2">
        <v>2041</v>
      </c>
      <c r="B1702" s="2">
        <v>54688</v>
      </c>
      <c r="C1702" s="2">
        <f t="shared" si="156"/>
        <v>5.4687999999999999</v>
      </c>
      <c r="D1702" s="2">
        <f t="shared" si="157"/>
        <v>4165681</v>
      </c>
      <c r="E1702" s="2">
        <f t="shared" si="158"/>
        <v>8502154921</v>
      </c>
      <c r="F1702" s="2">
        <f t="shared" si="159"/>
        <v>17352898193761</v>
      </c>
      <c r="G1702" s="2">
        <f t="shared" si="160"/>
        <v>11161.8208</v>
      </c>
      <c r="H1702" s="2">
        <f t="shared" si="161"/>
        <v>22781276.252799999</v>
      </c>
    </row>
    <row r="1703" spans="1:8" x14ac:dyDescent="0.35">
      <c r="A1703" s="2">
        <v>2041</v>
      </c>
      <c r="B1703" s="2">
        <v>28571</v>
      </c>
      <c r="C1703" s="2">
        <f t="shared" si="156"/>
        <v>2.8571</v>
      </c>
      <c r="D1703" s="2">
        <f t="shared" si="157"/>
        <v>4165681</v>
      </c>
      <c r="E1703" s="2">
        <f t="shared" si="158"/>
        <v>8502154921</v>
      </c>
      <c r="F1703" s="2">
        <f t="shared" si="159"/>
        <v>17352898193761</v>
      </c>
      <c r="G1703" s="2">
        <f t="shared" si="160"/>
        <v>5831.3410999999996</v>
      </c>
      <c r="H1703" s="2">
        <f t="shared" si="161"/>
        <v>11901767.1851</v>
      </c>
    </row>
    <row r="1704" spans="1:8" x14ac:dyDescent="0.35">
      <c r="A1704" s="2">
        <v>2041</v>
      </c>
      <c r="B1704" s="2">
        <v>40000</v>
      </c>
      <c r="C1704" s="2">
        <f t="shared" si="156"/>
        <v>4</v>
      </c>
      <c r="D1704" s="2">
        <f t="shared" si="157"/>
        <v>4165681</v>
      </c>
      <c r="E1704" s="2">
        <f t="shared" si="158"/>
        <v>8502154921</v>
      </c>
      <c r="F1704" s="2">
        <f t="shared" si="159"/>
        <v>17352898193761</v>
      </c>
      <c r="G1704" s="2">
        <f t="shared" si="160"/>
        <v>8164</v>
      </c>
      <c r="H1704" s="2">
        <f t="shared" si="161"/>
        <v>16662724</v>
      </c>
    </row>
    <row r="1705" spans="1:8" x14ac:dyDescent="0.35">
      <c r="A1705" s="2">
        <v>2041</v>
      </c>
      <c r="B1705" s="2">
        <v>63333</v>
      </c>
      <c r="C1705" s="2">
        <f t="shared" si="156"/>
        <v>6.3333000000000004</v>
      </c>
      <c r="D1705" s="2">
        <f t="shared" si="157"/>
        <v>4165681</v>
      </c>
      <c r="E1705" s="2">
        <f t="shared" si="158"/>
        <v>8502154921</v>
      </c>
      <c r="F1705" s="2">
        <f t="shared" si="159"/>
        <v>17352898193761</v>
      </c>
      <c r="G1705" s="2">
        <f t="shared" si="160"/>
        <v>12926.265300000001</v>
      </c>
      <c r="H1705" s="2">
        <f t="shared" si="161"/>
        <v>26382507.477300003</v>
      </c>
    </row>
    <row r="1706" spans="1:8" x14ac:dyDescent="0.35">
      <c r="A1706" s="2">
        <v>2041</v>
      </c>
      <c r="B1706" s="2">
        <v>50000</v>
      </c>
      <c r="C1706" s="2">
        <f t="shared" si="156"/>
        <v>5</v>
      </c>
      <c r="D1706" s="2">
        <f t="shared" si="157"/>
        <v>4165681</v>
      </c>
      <c r="E1706" s="2">
        <f t="shared" si="158"/>
        <v>8502154921</v>
      </c>
      <c r="F1706" s="2">
        <f t="shared" si="159"/>
        <v>17352898193761</v>
      </c>
      <c r="G1706" s="2">
        <f t="shared" si="160"/>
        <v>10205</v>
      </c>
      <c r="H1706" s="2">
        <f t="shared" si="161"/>
        <v>20828405</v>
      </c>
    </row>
    <row r="1707" spans="1:8" x14ac:dyDescent="0.35">
      <c r="A1707" s="2">
        <v>2041</v>
      </c>
      <c r="B1707" s="2">
        <v>50000</v>
      </c>
      <c r="C1707" s="2">
        <f t="shared" si="156"/>
        <v>5</v>
      </c>
      <c r="D1707" s="2">
        <f t="shared" si="157"/>
        <v>4165681</v>
      </c>
      <c r="E1707" s="2">
        <f t="shared" si="158"/>
        <v>8502154921</v>
      </c>
      <c r="F1707" s="2">
        <f t="shared" si="159"/>
        <v>17352898193761</v>
      </c>
      <c r="G1707" s="2">
        <f t="shared" si="160"/>
        <v>10205</v>
      </c>
      <c r="H1707" s="2">
        <f t="shared" si="161"/>
        <v>20828405</v>
      </c>
    </row>
    <row r="1708" spans="1:8" x14ac:dyDescent="0.35">
      <c r="A1708" s="2">
        <v>2041</v>
      </c>
      <c r="B1708" s="2">
        <v>30688</v>
      </c>
      <c r="C1708" s="2">
        <f t="shared" si="156"/>
        <v>3.0688</v>
      </c>
      <c r="D1708" s="2">
        <f t="shared" si="157"/>
        <v>4165681</v>
      </c>
      <c r="E1708" s="2">
        <f t="shared" si="158"/>
        <v>8502154921</v>
      </c>
      <c r="F1708" s="2">
        <f t="shared" si="159"/>
        <v>17352898193761</v>
      </c>
      <c r="G1708" s="2">
        <f t="shared" si="160"/>
        <v>6263.4207999999999</v>
      </c>
      <c r="H1708" s="2">
        <f t="shared" si="161"/>
        <v>12783641.8528</v>
      </c>
    </row>
    <row r="1709" spans="1:8" x14ac:dyDescent="0.35">
      <c r="A1709" s="2">
        <v>2041</v>
      </c>
      <c r="B1709" s="2">
        <v>29513</v>
      </c>
      <c r="C1709" s="2">
        <f t="shared" si="156"/>
        <v>2.9512999999999998</v>
      </c>
      <c r="D1709" s="2">
        <f t="shared" si="157"/>
        <v>4165681</v>
      </c>
      <c r="E1709" s="2">
        <f t="shared" si="158"/>
        <v>8502154921</v>
      </c>
      <c r="F1709" s="2">
        <f t="shared" si="159"/>
        <v>17352898193761</v>
      </c>
      <c r="G1709" s="2">
        <f t="shared" si="160"/>
        <v>6023.6032999999998</v>
      </c>
      <c r="H1709" s="2">
        <f t="shared" si="161"/>
        <v>12294174.335299999</v>
      </c>
    </row>
    <row r="1710" spans="1:8" x14ac:dyDescent="0.35">
      <c r="A1710" s="2">
        <v>2041</v>
      </c>
      <c r="B1710" s="2">
        <v>28354</v>
      </c>
      <c r="C1710" s="2">
        <f t="shared" si="156"/>
        <v>2.8353999999999999</v>
      </c>
      <c r="D1710" s="2">
        <f t="shared" si="157"/>
        <v>4165681</v>
      </c>
      <c r="E1710" s="2">
        <f t="shared" si="158"/>
        <v>8502154921</v>
      </c>
      <c r="F1710" s="2">
        <f t="shared" si="159"/>
        <v>17352898193761</v>
      </c>
      <c r="G1710" s="2">
        <f t="shared" si="160"/>
        <v>5787.0514000000003</v>
      </c>
      <c r="H1710" s="2">
        <f t="shared" si="161"/>
        <v>11811371.907399999</v>
      </c>
    </row>
    <row r="1711" spans="1:8" x14ac:dyDescent="0.35">
      <c r="A1711" s="2">
        <v>2041</v>
      </c>
      <c r="B1711" s="2">
        <v>26333</v>
      </c>
      <c r="C1711" s="2">
        <f t="shared" si="156"/>
        <v>2.6333000000000002</v>
      </c>
      <c r="D1711" s="2">
        <f t="shared" si="157"/>
        <v>4165681</v>
      </c>
      <c r="E1711" s="2">
        <f t="shared" si="158"/>
        <v>8502154921</v>
      </c>
      <c r="F1711" s="2">
        <f t="shared" si="159"/>
        <v>17352898193761</v>
      </c>
      <c r="G1711" s="2">
        <f t="shared" si="160"/>
        <v>5374.5653000000002</v>
      </c>
      <c r="H1711" s="2">
        <f t="shared" si="161"/>
        <v>10969487.7773</v>
      </c>
    </row>
    <row r="1712" spans="1:8" x14ac:dyDescent="0.35">
      <c r="A1712" s="2">
        <v>2041</v>
      </c>
      <c r="B1712" s="2">
        <v>26893</v>
      </c>
      <c r="C1712" s="2">
        <f t="shared" si="156"/>
        <v>2.6892999999999998</v>
      </c>
      <c r="D1712" s="2">
        <f t="shared" si="157"/>
        <v>4165681</v>
      </c>
      <c r="E1712" s="2">
        <f t="shared" si="158"/>
        <v>8502154921</v>
      </c>
      <c r="F1712" s="2">
        <f t="shared" si="159"/>
        <v>17352898193761</v>
      </c>
      <c r="G1712" s="2">
        <f t="shared" si="160"/>
        <v>5488.8612999999996</v>
      </c>
      <c r="H1712" s="2">
        <f t="shared" si="161"/>
        <v>11202765.913299998</v>
      </c>
    </row>
    <row r="1713" spans="1:8" x14ac:dyDescent="0.35">
      <c r="A1713" s="2">
        <v>2041</v>
      </c>
      <c r="B1713" s="2">
        <v>21250</v>
      </c>
      <c r="C1713" s="2">
        <f t="shared" si="156"/>
        <v>2.125</v>
      </c>
      <c r="D1713" s="2">
        <f t="shared" si="157"/>
        <v>4165681</v>
      </c>
      <c r="E1713" s="2">
        <f t="shared" si="158"/>
        <v>8502154921</v>
      </c>
      <c r="F1713" s="2">
        <f t="shared" si="159"/>
        <v>17352898193761</v>
      </c>
      <c r="G1713" s="2">
        <f t="shared" si="160"/>
        <v>4337.125</v>
      </c>
      <c r="H1713" s="2">
        <f t="shared" si="161"/>
        <v>8852072.125</v>
      </c>
    </row>
    <row r="1714" spans="1:8" x14ac:dyDescent="0.35">
      <c r="A1714" s="2">
        <v>2041</v>
      </c>
      <c r="B1714" s="2">
        <v>28786</v>
      </c>
      <c r="C1714" s="2">
        <f t="shared" si="156"/>
        <v>2.8786</v>
      </c>
      <c r="D1714" s="2">
        <f t="shared" si="157"/>
        <v>4165681</v>
      </c>
      <c r="E1714" s="2">
        <f t="shared" si="158"/>
        <v>8502154921</v>
      </c>
      <c r="F1714" s="2">
        <f t="shared" si="159"/>
        <v>17352898193761</v>
      </c>
      <c r="G1714" s="2">
        <f t="shared" si="160"/>
        <v>5875.2226000000001</v>
      </c>
      <c r="H1714" s="2">
        <f t="shared" si="161"/>
        <v>11991329.3266</v>
      </c>
    </row>
    <row r="1715" spans="1:8" x14ac:dyDescent="0.35">
      <c r="A1715" s="2">
        <v>2041</v>
      </c>
      <c r="B1715" s="2">
        <v>19324</v>
      </c>
      <c r="C1715" s="2">
        <f t="shared" si="156"/>
        <v>1.9323999999999999</v>
      </c>
      <c r="D1715" s="2">
        <f t="shared" si="157"/>
        <v>4165681</v>
      </c>
      <c r="E1715" s="2">
        <f t="shared" si="158"/>
        <v>8502154921</v>
      </c>
      <c r="F1715" s="2">
        <f t="shared" si="159"/>
        <v>17352898193761</v>
      </c>
      <c r="G1715" s="2">
        <f t="shared" si="160"/>
        <v>3944.0283999999997</v>
      </c>
      <c r="H1715" s="2">
        <f t="shared" si="161"/>
        <v>8049761.9643999999</v>
      </c>
    </row>
    <row r="1716" spans="1:8" x14ac:dyDescent="0.35">
      <c r="A1716" s="2">
        <v>2041</v>
      </c>
      <c r="B1716" s="2">
        <v>21863</v>
      </c>
      <c r="C1716" s="2">
        <f t="shared" si="156"/>
        <v>2.1863000000000001</v>
      </c>
      <c r="D1716" s="2">
        <f t="shared" si="157"/>
        <v>4165681</v>
      </c>
      <c r="E1716" s="2">
        <f t="shared" si="158"/>
        <v>8502154921</v>
      </c>
      <c r="F1716" s="2">
        <f t="shared" si="159"/>
        <v>17352898193761</v>
      </c>
      <c r="G1716" s="2">
        <f t="shared" si="160"/>
        <v>4462.2383</v>
      </c>
      <c r="H1716" s="2">
        <f t="shared" si="161"/>
        <v>9107428.3703000005</v>
      </c>
    </row>
    <row r="1717" spans="1:8" x14ac:dyDescent="0.35">
      <c r="A1717" s="2">
        <v>758</v>
      </c>
      <c r="B1717" s="2">
        <v>37305</v>
      </c>
      <c r="C1717" s="2">
        <f t="shared" si="156"/>
        <v>3.7305000000000001</v>
      </c>
      <c r="D1717" s="2">
        <f t="shared" si="157"/>
        <v>574564</v>
      </c>
      <c r="E1717" s="2">
        <f t="shared" si="158"/>
        <v>435519512</v>
      </c>
      <c r="F1717" s="2">
        <f t="shared" si="159"/>
        <v>330123790096</v>
      </c>
      <c r="G1717" s="2">
        <f t="shared" si="160"/>
        <v>2827.7190000000001</v>
      </c>
      <c r="H1717" s="2">
        <f t="shared" si="161"/>
        <v>2143411.0019999999</v>
      </c>
    </row>
    <row r="1718" spans="1:8" x14ac:dyDescent="0.35">
      <c r="A1718" s="2">
        <v>758</v>
      </c>
      <c r="B1718" s="2">
        <v>34595</v>
      </c>
      <c r="C1718" s="2">
        <f t="shared" si="156"/>
        <v>3.4594999999999998</v>
      </c>
      <c r="D1718" s="2">
        <f t="shared" si="157"/>
        <v>574564</v>
      </c>
      <c r="E1718" s="2">
        <f t="shared" si="158"/>
        <v>435519512</v>
      </c>
      <c r="F1718" s="2">
        <f t="shared" si="159"/>
        <v>330123790096</v>
      </c>
      <c r="G1718" s="2">
        <f t="shared" si="160"/>
        <v>2622.3009999999999</v>
      </c>
      <c r="H1718" s="2">
        <f t="shared" si="161"/>
        <v>1987704.1579999998</v>
      </c>
    </row>
    <row r="1719" spans="1:8" x14ac:dyDescent="0.35">
      <c r="A1719" s="2">
        <v>758</v>
      </c>
      <c r="B1719" s="2">
        <v>38175</v>
      </c>
      <c r="C1719" s="2">
        <f t="shared" si="156"/>
        <v>3.8174999999999999</v>
      </c>
      <c r="D1719" s="2">
        <f t="shared" si="157"/>
        <v>574564</v>
      </c>
      <c r="E1719" s="2">
        <f t="shared" si="158"/>
        <v>435519512</v>
      </c>
      <c r="F1719" s="2">
        <f t="shared" si="159"/>
        <v>330123790096</v>
      </c>
      <c r="G1719" s="2">
        <f t="shared" si="160"/>
        <v>2893.665</v>
      </c>
      <c r="H1719" s="2">
        <f t="shared" si="161"/>
        <v>2193398.0699999998</v>
      </c>
    </row>
    <row r="1720" spans="1:8" x14ac:dyDescent="0.35">
      <c r="A1720" s="2">
        <v>758</v>
      </c>
      <c r="B1720" s="2">
        <v>34803</v>
      </c>
      <c r="C1720" s="2">
        <f t="shared" si="156"/>
        <v>3.4803000000000002</v>
      </c>
      <c r="D1720" s="2">
        <f t="shared" si="157"/>
        <v>574564</v>
      </c>
      <c r="E1720" s="2">
        <f t="shared" si="158"/>
        <v>435519512</v>
      </c>
      <c r="F1720" s="2">
        <f t="shared" si="159"/>
        <v>330123790096</v>
      </c>
      <c r="G1720" s="2">
        <f t="shared" si="160"/>
        <v>2638.0673999999999</v>
      </c>
      <c r="H1720" s="2">
        <f t="shared" si="161"/>
        <v>1999655.0892</v>
      </c>
    </row>
    <row r="1721" spans="1:8" x14ac:dyDescent="0.35">
      <c r="A1721" s="2">
        <v>758</v>
      </c>
      <c r="B1721" s="2">
        <v>37418</v>
      </c>
      <c r="C1721" s="2">
        <f t="shared" si="156"/>
        <v>3.7418</v>
      </c>
      <c r="D1721" s="2">
        <f t="shared" si="157"/>
        <v>574564</v>
      </c>
      <c r="E1721" s="2">
        <f t="shared" si="158"/>
        <v>435519512</v>
      </c>
      <c r="F1721" s="2">
        <f t="shared" si="159"/>
        <v>330123790096</v>
      </c>
      <c r="G1721" s="2">
        <f t="shared" si="160"/>
        <v>2836.2844</v>
      </c>
      <c r="H1721" s="2">
        <f t="shared" si="161"/>
        <v>2149903.5751999998</v>
      </c>
    </row>
    <row r="1722" spans="1:8" x14ac:dyDescent="0.35">
      <c r="A1722" s="2">
        <v>758</v>
      </c>
      <c r="B1722" s="2">
        <v>40954</v>
      </c>
      <c r="C1722" s="2">
        <f t="shared" si="156"/>
        <v>4.0953999999999997</v>
      </c>
      <c r="D1722" s="2">
        <f t="shared" si="157"/>
        <v>574564</v>
      </c>
      <c r="E1722" s="2">
        <f t="shared" si="158"/>
        <v>435519512</v>
      </c>
      <c r="F1722" s="2">
        <f t="shared" si="159"/>
        <v>330123790096</v>
      </c>
      <c r="G1722" s="2">
        <f t="shared" si="160"/>
        <v>3104.3131999999996</v>
      </c>
      <c r="H1722" s="2">
        <f t="shared" si="161"/>
        <v>2353069.4055999997</v>
      </c>
    </row>
    <row r="1723" spans="1:8" x14ac:dyDescent="0.35">
      <c r="A1723" s="2">
        <v>758</v>
      </c>
      <c r="B1723" s="2">
        <v>43577</v>
      </c>
      <c r="C1723" s="2">
        <f t="shared" si="156"/>
        <v>4.3577000000000004</v>
      </c>
      <c r="D1723" s="2">
        <f t="shared" si="157"/>
        <v>574564</v>
      </c>
      <c r="E1723" s="2">
        <f t="shared" si="158"/>
        <v>435519512</v>
      </c>
      <c r="F1723" s="2">
        <f t="shared" si="159"/>
        <v>330123790096</v>
      </c>
      <c r="G1723" s="2">
        <f t="shared" si="160"/>
        <v>3303.1366000000003</v>
      </c>
      <c r="H1723" s="2">
        <f t="shared" si="161"/>
        <v>2503777.5428000004</v>
      </c>
    </row>
    <row r="1724" spans="1:8" x14ac:dyDescent="0.35">
      <c r="A1724" s="2">
        <v>758</v>
      </c>
      <c r="B1724" s="2">
        <v>48725</v>
      </c>
      <c r="C1724" s="2">
        <f t="shared" si="156"/>
        <v>4.8724999999999996</v>
      </c>
      <c r="D1724" s="2">
        <f t="shared" si="157"/>
        <v>574564</v>
      </c>
      <c r="E1724" s="2">
        <f t="shared" si="158"/>
        <v>435519512</v>
      </c>
      <c r="F1724" s="2">
        <f t="shared" si="159"/>
        <v>330123790096</v>
      </c>
      <c r="G1724" s="2">
        <f t="shared" si="160"/>
        <v>3693.3549999999996</v>
      </c>
      <c r="H1724" s="2">
        <f t="shared" si="161"/>
        <v>2799563.09</v>
      </c>
    </row>
    <row r="1725" spans="1:8" x14ac:dyDescent="0.35">
      <c r="A1725" s="2">
        <v>758</v>
      </c>
      <c r="B1725" s="2">
        <v>42555</v>
      </c>
      <c r="C1725" s="2">
        <f t="shared" si="156"/>
        <v>4.2554999999999996</v>
      </c>
      <c r="D1725" s="2">
        <f t="shared" si="157"/>
        <v>574564</v>
      </c>
      <c r="E1725" s="2">
        <f t="shared" si="158"/>
        <v>435519512</v>
      </c>
      <c r="F1725" s="2">
        <f t="shared" si="159"/>
        <v>330123790096</v>
      </c>
      <c r="G1725" s="2">
        <f t="shared" si="160"/>
        <v>3225.6689999999999</v>
      </c>
      <c r="H1725" s="2">
        <f t="shared" si="161"/>
        <v>2445057.102</v>
      </c>
    </row>
    <row r="1726" spans="1:8" x14ac:dyDescent="0.35">
      <c r="A1726" s="2">
        <v>758</v>
      </c>
      <c r="B1726" s="2">
        <v>46792</v>
      </c>
      <c r="C1726" s="2">
        <f t="shared" si="156"/>
        <v>4.6791999999999998</v>
      </c>
      <c r="D1726" s="2">
        <f t="shared" si="157"/>
        <v>574564</v>
      </c>
      <c r="E1726" s="2">
        <f t="shared" si="158"/>
        <v>435519512</v>
      </c>
      <c r="F1726" s="2">
        <f t="shared" si="159"/>
        <v>330123790096</v>
      </c>
      <c r="G1726" s="2">
        <f t="shared" si="160"/>
        <v>3546.8335999999999</v>
      </c>
      <c r="H1726" s="2">
        <f t="shared" si="161"/>
        <v>2688499.8687999998</v>
      </c>
    </row>
    <row r="1727" spans="1:8" x14ac:dyDescent="0.35">
      <c r="A1727" s="2">
        <v>758</v>
      </c>
      <c r="B1727" s="2">
        <v>45412</v>
      </c>
      <c r="C1727" s="2">
        <f t="shared" si="156"/>
        <v>4.5411999999999999</v>
      </c>
      <c r="D1727" s="2">
        <f t="shared" si="157"/>
        <v>574564</v>
      </c>
      <c r="E1727" s="2">
        <f t="shared" si="158"/>
        <v>435519512</v>
      </c>
      <c r="F1727" s="2">
        <f t="shared" si="159"/>
        <v>330123790096</v>
      </c>
      <c r="G1727" s="2">
        <f t="shared" si="160"/>
        <v>3442.2296000000001</v>
      </c>
      <c r="H1727" s="2">
        <f t="shared" si="161"/>
        <v>2609210.0367999999</v>
      </c>
    </row>
    <row r="1728" spans="1:8" x14ac:dyDescent="0.35">
      <c r="A1728" s="2">
        <v>758</v>
      </c>
      <c r="B1728" s="2">
        <v>41365</v>
      </c>
      <c r="C1728" s="2">
        <f t="shared" si="156"/>
        <v>4.1364999999999998</v>
      </c>
      <c r="D1728" s="2">
        <f t="shared" si="157"/>
        <v>574564</v>
      </c>
      <c r="E1728" s="2">
        <f t="shared" si="158"/>
        <v>435519512</v>
      </c>
      <c r="F1728" s="2">
        <f t="shared" si="159"/>
        <v>330123790096</v>
      </c>
      <c r="G1728" s="2">
        <f t="shared" si="160"/>
        <v>3135.4670000000001</v>
      </c>
      <c r="H1728" s="2">
        <f t="shared" si="161"/>
        <v>2376683.986</v>
      </c>
    </row>
    <row r="1729" spans="1:8" x14ac:dyDescent="0.35">
      <c r="A1729" s="2">
        <v>758</v>
      </c>
      <c r="B1729" s="2">
        <v>45108</v>
      </c>
      <c r="C1729" s="2">
        <f t="shared" si="156"/>
        <v>4.5107999999999997</v>
      </c>
      <c r="D1729" s="2">
        <f t="shared" si="157"/>
        <v>574564</v>
      </c>
      <c r="E1729" s="2">
        <f t="shared" si="158"/>
        <v>435519512</v>
      </c>
      <c r="F1729" s="2">
        <f t="shared" si="159"/>
        <v>330123790096</v>
      </c>
      <c r="G1729" s="2">
        <f t="shared" si="160"/>
        <v>3419.1863999999996</v>
      </c>
      <c r="H1729" s="2">
        <f t="shared" si="161"/>
        <v>2591743.2911999999</v>
      </c>
    </row>
    <row r="1730" spans="1:8" x14ac:dyDescent="0.35">
      <c r="A1730" s="2">
        <v>758</v>
      </c>
      <c r="B1730" s="2">
        <v>47762</v>
      </c>
      <c r="C1730" s="2">
        <f t="shared" si="156"/>
        <v>4.7762000000000002</v>
      </c>
      <c r="D1730" s="2">
        <f t="shared" si="157"/>
        <v>574564</v>
      </c>
      <c r="E1730" s="2">
        <f t="shared" si="158"/>
        <v>435519512</v>
      </c>
      <c r="F1730" s="2">
        <f t="shared" si="159"/>
        <v>330123790096</v>
      </c>
      <c r="G1730" s="2">
        <f t="shared" si="160"/>
        <v>3620.3596000000002</v>
      </c>
      <c r="H1730" s="2">
        <f t="shared" si="161"/>
        <v>2744232.5767999999</v>
      </c>
    </row>
    <row r="1731" spans="1:8" x14ac:dyDescent="0.35">
      <c r="A1731" s="2">
        <v>758</v>
      </c>
      <c r="B1731" s="2">
        <v>41805</v>
      </c>
      <c r="C1731" s="2">
        <f t="shared" ref="C1731:C1794" si="162">B1731/10000</f>
        <v>4.1805000000000003</v>
      </c>
      <c r="D1731" s="2">
        <f t="shared" ref="D1731:D1794" si="163">A1731^2</f>
        <v>574564</v>
      </c>
      <c r="E1731" s="2">
        <f t="shared" ref="E1731:E1794" si="164">A1731^3</f>
        <v>435519512</v>
      </c>
      <c r="F1731" s="2">
        <f t="shared" ref="F1731:F1794" si="165">A1731^4</f>
        <v>330123790096</v>
      </c>
      <c r="G1731" s="2">
        <f t="shared" ref="G1731:G1794" si="166">A1731*C1731</f>
        <v>3168.8190000000004</v>
      </c>
      <c r="H1731" s="2">
        <f t="shared" ref="H1731:H1794" si="167">D1731*C1731</f>
        <v>2401964.8020000001</v>
      </c>
    </row>
    <row r="1732" spans="1:8" x14ac:dyDescent="0.35">
      <c r="A1732" s="2">
        <v>758</v>
      </c>
      <c r="B1732" s="2">
        <v>42576</v>
      </c>
      <c r="C1732" s="2">
        <f t="shared" si="162"/>
        <v>4.2576000000000001</v>
      </c>
      <c r="D1732" s="2">
        <f t="shared" si="163"/>
        <v>574564</v>
      </c>
      <c r="E1732" s="2">
        <f t="shared" si="164"/>
        <v>435519512</v>
      </c>
      <c r="F1732" s="2">
        <f t="shared" si="165"/>
        <v>330123790096</v>
      </c>
      <c r="G1732" s="2">
        <f t="shared" si="166"/>
        <v>3227.2608</v>
      </c>
      <c r="H1732" s="2">
        <f t="shared" si="167"/>
        <v>2446263.6864</v>
      </c>
    </row>
    <row r="1733" spans="1:8" x14ac:dyDescent="0.35">
      <c r="A1733" s="2">
        <v>758</v>
      </c>
      <c r="B1733" s="2">
        <v>45027</v>
      </c>
      <c r="C1733" s="2">
        <f t="shared" si="162"/>
        <v>4.5026999999999999</v>
      </c>
      <c r="D1733" s="2">
        <f t="shared" si="163"/>
        <v>574564</v>
      </c>
      <c r="E1733" s="2">
        <f t="shared" si="164"/>
        <v>435519512</v>
      </c>
      <c r="F1733" s="2">
        <f t="shared" si="165"/>
        <v>330123790096</v>
      </c>
      <c r="G1733" s="2">
        <f t="shared" si="166"/>
        <v>3413.0466000000001</v>
      </c>
      <c r="H1733" s="2">
        <f t="shared" si="167"/>
        <v>2587089.3227999997</v>
      </c>
    </row>
    <row r="1734" spans="1:8" x14ac:dyDescent="0.35">
      <c r="A1734" s="2">
        <v>758</v>
      </c>
      <c r="B1734" s="2">
        <v>44631</v>
      </c>
      <c r="C1734" s="2">
        <f t="shared" si="162"/>
        <v>4.4630999999999998</v>
      </c>
      <c r="D1734" s="2">
        <f t="shared" si="163"/>
        <v>574564</v>
      </c>
      <c r="E1734" s="2">
        <f t="shared" si="164"/>
        <v>435519512</v>
      </c>
      <c r="F1734" s="2">
        <f t="shared" si="165"/>
        <v>330123790096</v>
      </c>
      <c r="G1734" s="2">
        <f t="shared" si="166"/>
        <v>3383.0297999999998</v>
      </c>
      <c r="H1734" s="2">
        <f t="shared" si="167"/>
        <v>2564336.5883999998</v>
      </c>
    </row>
    <row r="1735" spans="1:8" x14ac:dyDescent="0.35">
      <c r="A1735" s="2">
        <v>758</v>
      </c>
      <c r="B1735" s="2">
        <v>50653</v>
      </c>
      <c r="C1735" s="2">
        <f t="shared" si="162"/>
        <v>5.0652999999999997</v>
      </c>
      <c r="D1735" s="2">
        <f t="shared" si="163"/>
        <v>574564</v>
      </c>
      <c r="E1735" s="2">
        <f t="shared" si="164"/>
        <v>435519512</v>
      </c>
      <c r="F1735" s="2">
        <f t="shared" si="165"/>
        <v>330123790096</v>
      </c>
      <c r="G1735" s="2">
        <f t="shared" si="166"/>
        <v>3839.4973999999997</v>
      </c>
      <c r="H1735" s="2">
        <f t="shared" si="167"/>
        <v>2910339.0291999998</v>
      </c>
    </row>
    <row r="1736" spans="1:8" x14ac:dyDescent="0.35">
      <c r="A1736" s="2">
        <v>758</v>
      </c>
      <c r="B1736" s="2">
        <v>47857</v>
      </c>
      <c r="C1736" s="2">
        <f t="shared" si="162"/>
        <v>4.7857000000000003</v>
      </c>
      <c r="D1736" s="2">
        <f t="shared" si="163"/>
        <v>574564</v>
      </c>
      <c r="E1736" s="2">
        <f t="shared" si="164"/>
        <v>435519512</v>
      </c>
      <c r="F1736" s="2">
        <f t="shared" si="165"/>
        <v>330123790096</v>
      </c>
      <c r="G1736" s="2">
        <f t="shared" si="166"/>
        <v>3627.5606000000002</v>
      </c>
      <c r="H1736" s="2">
        <f t="shared" si="167"/>
        <v>2749690.9348000004</v>
      </c>
    </row>
    <row r="1737" spans="1:8" x14ac:dyDescent="0.35">
      <c r="A1737" s="2">
        <v>758</v>
      </c>
      <c r="B1737" s="2">
        <v>41536</v>
      </c>
      <c r="C1737" s="2">
        <f t="shared" si="162"/>
        <v>4.1536</v>
      </c>
      <c r="D1737" s="2">
        <f t="shared" si="163"/>
        <v>574564</v>
      </c>
      <c r="E1737" s="2">
        <f t="shared" si="164"/>
        <v>435519512</v>
      </c>
      <c r="F1737" s="2">
        <f t="shared" si="165"/>
        <v>330123790096</v>
      </c>
      <c r="G1737" s="2">
        <f t="shared" si="166"/>
        <v>3148.4288000000001</v>
      </c>
      <c r="H1737" s="2">
        <f t="shared" si="167"/>
        <v>2386509.0304</v>
      </c>
    </row>
    <row r="1738" spans="1:8" x14ac:dyDescent="0.35">
      <c r="A1738" s="2">
        <v>758</v>
      </c>
      <c r="B1738" s="2">
        <v>44619</v>
      </c>
      <c r="C1738" s="2">
        <f t="shared" si="162"/>
        <v>4.4619</v>
      </c>
      <c r="D1738" s="2">
        <f t="shared" si="163"/>
        <v>574564</v>
      </c>
      <c r="E1738" s="2">
        <f t="shared" si="164"/>
        <v>435519512</v>
      </c>
      <c r="F1738" s="2">
        <f t="shared" si="165"/>
        <v>330123790096</v>
      </c>
      <c r="G1738" s="2">
        <f t="shared" si="166"/>
        <v>3382.1201999999998</v>
      </c>
      <c r="H1738" s="2">
        <f t="shared" si="167"/>
        <v>2563647.1115999999</v>
      </c>
    </row>
    <row r="1739" spans="1:8" x14ac:dyDescent="0.35">
      <c r="A1739" s="2">
        <v>758</v>
      </c>
      <c r="B1739" s="2">
        <v>48502</v>
      </c>
      <c r="C1739" s="2">
        <f t="shared" si="162"/>
        <v>4.8502000000000001</v>
      </c>
      <c r="D1739" s="2">
        <f t="shared" si="163"/>
        <v>574564</v>
      </c>
      <c r="E1739" s="2">
        <f t="shared" si="164"/>
        <v>435519512</v>
      </c>
      <c r="F1739" s="2">
        <f t="shared" si="165"/>
        <v>330123790096</v>
      </c>
      <c r="G1739" s="2">
        <f t="shared" si="166"/>
        <v>3676.4515999999999</v>
      </c>
      <c r="H1739" s="2">
        <f t="shared" si="167"/>
        <v>2786750.3128</v>
      </c>
    </row>
    <row r="1740" spans="1:8" x14ac:dyDescent="0.35">
      <c r="A1740" s="2">
        <v>758</v>
      </c>
      <c r="B1740" s="2">
        <v>51901</v>
      </c>
      <c r="C1740" s="2">
        <f t="shared" si="162"/>
        <v>5.1901000000000002</v>
      </c>
      <c r="D1740" s="2">
        <f t="shared" si="163"/>
        <v>574564</v>
      </c>
      <c r="E1740" s="2">
        <f t="shared" si="164"/>
        <v>435519512</v>
      </c>
      <c r="F1740" s="2">
        <f t="shared" si="165"/>
        <v>330123790096</v>
      </c>
      <c r="G1740" s="2">
        <f t="shared" si="166"/>
        <v>3934.0958000000001</v>
      </c>
      <c r="H1740" s="2">
        <f t="shared" si="167"/>
        <v>2982044.6164000002</v>
      </c>
    </row>
    <row r="1741" spans="1:8" x14ac:dyDescent="0.35">
      <c r="A1741" s="2">
        <v>758</v>
      </c>
      <c r="B1741" s="2">
        <v>50962</v>
      </c>
      <c r="C1741" s="2">
        <f t="shared" si="162"/>
        <v>5.0961999999999996</v>
      </c>
      <c r="D1741" s="2">
        <f t="shared" si="163"/>
        <v>574564</v>
      </c>
      <c r="E1741" s="2">
        <f t="shared" si="164"/>
        <v>435519512</v>
      </c>
      <c r="F1741" s="2">
        <f t="shared" si="165"/>
        <v>330123790096</v>
      </c>
      <c r="G1741" s="2">
        <f t="shared" si="166"/>
        <v>3862.9195999999997</v>
      </c>
      <c r="H1741" s="2">
        <f t="shared" si="167"/>
        <v>2928093.0567999999</v>
      </c>
    </row>
    <row r="1742" spans="1:8" x14ac:dyDescent="0.35">
      <c r="A1742" s="2">
        <v>758</v>
      </c>
      <c r="B1742" s="2">
        <v>56231</v>
      </c>
      <c r="C1742" s="2">
        <f t="shared" si="162"/>
        <v>5.6231</v>
      </c>
      <c r="D1742" s="2">
        <f t="shared" si="163"/>
        <v>574564</v>
      </c>
      <c r="E1742" s="2">
        <f t="shared" si="164"/>
        <v>435519512</v>
      </c>
      <c r="F1742" s="2">
        <f t="shared" si="165"/>
        <v>330123790096</v>
      </c>
      <c r="G1742" s="2">
        <f t="shared" si="166"/>
        <v>4262.3098</v>
      </c>
      <c r="H1742" s="2">
        <f t="shared" si="167"/>
        <v>3230830.8284</v>
      </c>
    </row>
    <row r="1743" spans="1:8" x14ac:dyDescent="0.35">
      <c r="A1743" s="2">
        <v>758</v>
      </c>
      <c r="B1743" s="2">
        <v>54252</v>
      </c>
      <c r="C1743" s="2">
        <f t="shared" si="162"/>
        <v>5.4252000000000002</v>
      </c>
      <c r="D1743" s="2">
        <f t="shared" si="163"/>
        <v>574564</v>
      </c>
      <c r="E1743" s="2">
        <f t="shared" si="164"/>
        <v>435519512</v>
      </c>
      <c r="F1743" s="2">
        <f t="shared" si="165"/>
        <v>330123790096</v>
      </c>
      <c r="G1743" s="2">
        <f t="shared" si="166"/>
        <v>4112.3015999999998</v>
      </c>
      <c r="H1743" s="2">
        <f t="shared" si="167"/>
        <v>3117124.6128000002</v>
      </c>
    </row>
    <row r="1744" spans="1:8" x14ac:dyDescent="0.35">
      <c r="A1744" s="2">
        <v>758</v>
      </c>
      <c r="B1744" s="2">
        <v>57122</v>
      </c>
      <c r="C1744" s="2">
        <f t="shared" si="162"/>
        <v>5.7122000000000002</v>
      </c>
      <c r="D1744" s="2">
        <f t="shared" si="163"/>
        <v>574564</v>
      </c>
      <c r="E1744" s="2">
        <f t="shared" si="164"/>
        <v>435519512</v>
      </c>
      <c r="F1744" s="2">
        <f t="shared" si="165"/>
        <v>330123790096</v>
      </c>
      <c r="G1744" s="2">
        <f t="shared" si="166"/>
        <v>4329.8476000000001</v>
      </c>
      <c r="H1744" s="2">
        <f t="shared" si="167"/>
        <v>3282024.4808</v>
      </c>
    </row>
    <row r="1745" spans="1:8" x14ac:dyDescent="0.35">
      <c r="A1745" s="2">
        <v>758</v>
      </c>
      <c r="B1745" s="2">
        <v>58079</v>
      </c>
      <c r="C1745" s="2">
        <f t="shared" si="162"/>
        <v>5.8079000000000001</v>
      </c>
      <c r="D1745" s="2">
        <f t="shared" si="163"/>
        <v>574564</v>
      </c>
      <c r="E1745" s="2">
        <f t="shared" si="164"/>
        <v>435519512</v>
      </c>
      <c r="F1745" s="2">
        <f t="shared" si="165"/>
        <v>330123790096</v>
      </c>
      <c r="G1745" s="2">
        <f t="shared" si="166"/>
        <v>4402.3882000000003</v>
      </c>
      <c r="H1745" s="2">
        <f t="shared" si="167"/>
        <v>3337010.2556000003</v>
      </c>
    </row>
    <row r="1746" spans="1:8" x14ac:dyDescent="0.35">
      <c r="A1746" s="2">
        <v>758</v>
      </c>
      <c r="B1746" s="2">
        <v>61346</v>
      </c>
      <c r="C1746" s="2">
        <f t="shared" si="162"/>
        <v>6.1345999999999998</v>
      </c>
      <c r="D1746" s="2">
        <f t="shared" si="163"/>
        <v>574564</v>
      </c>
      <c r="E1746" s="2">
        <f t="shared" si="164"/>
        <v>435519512</v>
      </c>
      <c r="F1746" s="2">
        <f t="shared" si="165"/>
        <v>330123790096</v>
      </c>
      <c r="G1746" s="2">
        <f t="shared" si="166"/>
        <v>4650.0267999999996</v>
      </c>
      <c r="H1746" s="2">
        <f t="shared" si="167"/>
        <v>3524720.3144</v>
      </c>
    </row>
    <row r="1747" spans="1:8" x14ac:dyDescent="0.35">
      <c r="A1747" s="2">
        <v>346</v>
      </c>
      <c r="B1747" s="2">
        <v>28833</v>
      </c>
      <c r="C1747" s="2">
        <f t="shared" si="162"/>
        <v>2.8833000000000002</v>
      </c>
      <c r="D1747" s="2">
        <f t="shared" si="163"/>
        <v>119716</v>
      </c>
      <c r="E1747" s="2">
        <f t="shared" si="164"/>
        <v>41421736</v>
      </c>
      <c r="F1747" s="2">
        <f t="shared" si="165"/>
        <v>14331920656</v>
      </c>
      <c r="G1747" s="2">
        <f t="shared" si="166"/>
        <v>997.62180000000012</v>
      </c>
      <c r="H1747" s="2">
        <f t="shared" si="167"/>
        <v>345177.14280000003</v>
      </c>
    </row>
    <row r="1748" spans="1:8" x14ac:dyDescent="0.35">
      <c r="A1748" s="2">
        <v>346</v>
      </c>
      <c r="B1748" s="2">
        <v>45511</v>
      </c>
      <c r="C1748" s="2">
        <f t="shared" si="162"/>
        <v>4.5510999999999999</v>
      </c>
      <c r="D1748" s="2">
        <f t="shared" si="163"/>
        <v>119716</v>
      </c>
      <c r="E1748" s="2">
        <f t="shared" si="164"/>
        <v>41421736</v>
      </c>
      <c r="F1748" s="2">
        <f t="shared" si="165"/>
        <v>14331920656</v>
      </c>
      <c r="G1748" s="2">
        <f t="shared" si="166"/>
        <v>1574.6805999999999</v>
      </c>
      <c r="H1748" s="2">
        <f t="shared" si="167"/>
        <v>544839.48759999999</v>
      </c>
    </row>
    <row r="1749" spans="1:8" x14ac:dyDescent="0.35">
      <c r="A1749" s="2">
        <v>346</v>
      </c>
      <c r="B1749" s="2">
        <v>55000</v>
      </c>
      <c r="C1749" s="2">
        <f t="shared" si="162"/>
        <v>5.5</v>
      </c>
      <c r="D1749" s="2">
        <f t="shared" si="163"/>
        <v>119716</v>
      </c>
      <c r="E1749" s="2">
        <f t="shared" si="164"/>
        <v>41421736</v>
      </c>
      <c r="F1749" s="2">
        <f t="shared" si="165"/>
        <v>14331920656</v>
      </c>
      <c r="G1749" s="2">
        <f t="shared" si="166"/>
        <v>1903</v>
      </c>
      <c r="H1749" s="2">
        <f t="shared" si="167"/>
        <v>658438</v>
      </c>
    </row>
    <row r="1750" spans="1:8" x14ac:dyDescent="0.35">
      <c r="A1750" s="2">
        <v>346</v>
      </c>
      <c r="B1750" s="2">
        <v>63000</v>
      </c>
      <c r="C1750" s="2">
        <f t="shared" si="162"/>
        <v>6.3</v>
      </c>
      <c r="D1750" s="2">
        <f t="shared" si="163"/>
        <v>119716</v>
      </c>
      <c r="E1750" s="2">
        <f t="shared" si="164"/>
        <v>41421736</v>
      </c>
      <c r="F1750" s="2">
        <f t="shared" si="165"/>
        <v>14331920656</v>
      </c>
      <c r="G1750" s="2">
        <f t="shared" si="166"/>
        <v>2179.7999999999997</v>
      </c>
      <c r="H1750" s="2">
        <f t="shared" si="167"/>
        <v>754210.79999999993</v>
      </c>
    </row>
    <row r="1751" spans="1:8" x14ac:dyDescent="0.35">
      <c r="A1751" s="2">
        <v>346</v>
      </c>
      <c r="B1751" s="2">
        <v>41750</v>
      </c>
      <c r="C1751" s="2">
        <f t="shared" si="162"/>
        <v>4.1749999999999998</v>
      </c>
      <c r="D1751" s="2">
        <f t="shared" si="163"/>
        <v>119716</v>
      </c>
      <c r="E1751" s="2">
        <f t="shared" si="164"/>
        <v>41421736</v>
      </c>
      <c r="F1751" s="2">
        <f t="shared" si="165"/>
        <v>14331920656</v>
      </c>
      <c r="G1751" s="2">
        <f t="shared" si="166"/>
        <v>1444.55</v>
      </c>
      <c r="H1751" s="2">
        <f t="shared" si="167"/>
        <v>499814.3</v>
      </c>
    </row>
    <row r="1752" spans="1:8" x14ac:dyDescent="0.35">
      <c r="A1752" s="2">
        <v>346</v>
      </c>
      <c r="B1752" s="2">
        <v>38406</v>
      </c>
      <c r="C1752" s="2">
        <f t="shared" si="162"/>
        <v>3.8405999999999998</v>
      </c>
      <c r="D1752" s="2">
        <f t="shared" si="163"/>
        <v>119716</v>
      </c>
      <c r="E1752" s="2">
        <f t="shared" si="164"/>
        <v>41421736</v>
      </c>
      <c r="F1752" s="2">
        <f t="shared" si="165"/>
        <v>14331920656</v>
      </c>
      <c r="G1752" s="2">
        <f t="shared" si="166"/>
        <v>1328.8475999999998</v>
      </c>
      <c r="H1752" s="2">
        <f t="shared" si="167"/>
        <v>459781.2696</v>
      </c>
    </row>
    <row r="1753" spans="1:8" x14ac:dyDescent="0.35">
      <c r="A1753" s="2">
        <v>346</v>
      </c>
      <c r="B1753" s="2">
        <v>30694</v>
      </c>
      <c r="C1753" s="2">
        <f t="shared" si="162"/>
        <v>3.0693999999999999</v>
      </c>
      <c r="D1753" s="2">
        <f t="shared" si="163"/>
        <v>119716</v>
      </c>
      <c r="E1753" s="2">
        <f t="shared" si="164"/>
        <v>41421736</v>
      </c>
      <c r="F1753" s="2">
        <f t="shared" si="165"/>
        <v>14331920656</v>
      </c>
      <c r="G1753" s="2">
        <f t="shared" si="166"/>
        <v>1062.0124000000001</v>
      </c>
      <c r="H1753" s="2">
        <f t="shared" si="167"/>
        <v>367456.2904</v>
      </c>
    </row>
    <row r="1754" spans="1:8" x14ac:dyDescent="0.35">
      <c r="A1754" s="2">
        <v>346</v>
      </c>
      <c r="B1754" s="2">
        <v>50000</v>
      </c>
      <c r="C1754" s="2">
        <f t="shared" si="162"/>
        <v>5</v>
      </c>
      <c r="D1754" s="2">
        <f t="shared" si="163"/>
        <v>119716</v>
      </c>
      <c r="E1754" s="2">
        <f t="shared" si="164"/>
        <v>41421736</v>
      </c>
      <c r="F1754" s="2">
        <f t="shared" si="165"/>
        <v>14331920656</v>
      </c>
      <c r="G1754" s="2">
        <f t="shared" si="166"/>
        <v>1730</v>
      </c>
      <c r="H1754" s="2">
        <f t="shared" si="167"/>
        <v>598580</v>
      </c>
    </row>
    <row r="1755" spans="1:8" x14ac:dyDescent="0.35">
      <c r="A1755" s="2">
        <v>346</v>
      </c>
      <c r="B1755" s="2">
        <v>65000</v>
      </c>
      <c r="C1755" s="2">
        <f t="shared" si="162"/>
        <v>6.5</v>
      </c>
      <c r="D1755" s="2">
        <f t="shared" si="163"/>
        <v>119716</v>
      </c>
      <c r="E1755" s="2">
        <f t="shared" si="164"/>
        <v>41421736</v>
      </c>
      <c r="F1755" s="2">
        <f t="shared" si="165"/>
        <v>14331920656</v>
      </c>
      <c r="G1755" s="2">
        <f t="shared" si="166"/>
        <v>2249</v>
      </c>
      <c r="H1755" s="2">
        <f t="shared" si="167"/>
        <v>778154</v>
      </c>
    </row>
    <row r="1756" spans="1:8" x14ac:dyDescent="0.35">
      <c r="A1756" s="2">
        <v>346</v>
      </c>
      <c r="B1756" s="2">
        <v>49571</v>
      </c>
      <c r="C1756" s="2">
        <f t="shared" si="162"/>
        <v>4.9570999999999996</v>
      </c>
      <c r="D1756" s="2">
        <f t="shared" si="163"/>
        <v>119716</v>
      </c>
      <c r="E1756" s="2">
        <f t="shared" si="164"/>
        <v>41421736</v>
      </c>
      <c r="F1756" s="2">
        <f t="shared" si="165"/>
        <v>14331920656</v>
      </c>
      <c r="G1756" s="2">
        <f t="shared" si="166"/>
        <v>1715.1565999999998</v>
      </c>
      <c r="H1756" s="2">
        <f t="shared" si="167"/>
        <v>593444.18359999999</v>
      </c>
    </row>
    <row r="1757" spans="1:8" x14ac:dyDescent="0.35">
      <c r="A1757" s="2">
        <v>346</v>
      </c>
      <c r="B1757" s="2">
        <v>58000</v>
      </c>
      <c r="C1757" s="2">
        <f t="shared" si="162"/>
        <v>5.8</v>
      </c>
      <c r="D1757" s="2">
        <f t="shared" si="163"/>
        <v>119716</v>
      </c>
      <c r="E1757" s="2">
        <f t="shared" si="164"/>
        <v>41421736</v>
      </c>
      <c r="F1757" s="2">
        <f t="shared" si="165"/>
        <v>14331920656</v>
      </c>
      <c r="G1757" s="2">
        <f t="shared" si="166"/>
        <v>2006.8</v>
      </c>
      <c r="H1757" s="2">
        <f t="shared" si="167"/>
        <v>694352.79999999993</v>
      </c>
    </row>
    <row r="1758" spans="1:8" x14ac:dyDescent="0.35">
      <c r="A1758" s="2">
        <v>346</v>
      </c>
      <c r="B1758" s="2">
        <v>37256</v>
      </c>
      <c r="C1758" s="2">
        <f t="shared" si="162"/>
        <v>3.7256</v>
      </c>
      <c r="D1758" s="2">
        <f t="shared" si="163"/>
        <v>119716</v>
      </c>
      <c r="E1758" s="2">
        <f t="shared" si="164"/>
        <v>41421736</v>
      </c>
      <c r="F1758" s="2">
        <f t="shared" si="165"/>
        <v>14331920656</v>
      </c>
      <c r="G1758" s="2">
        <f t="shared" si="166"/>
        <v>1289.0576000000001</v>
      </c>
      <c r="H1758" s="2">
        <f t="shared" si="167"/>
        <v>446013.92959999997</v>
      </c>
    </row>
    <row r="1759" spans="1:8" x14ac:dyDescent="0.35">
      <c r="A1759" s="2">
        <v>346</v>
      </c>
      <c r="B1759" s="2">
        <v>54108</v>
      </c>
      <c r="C1759" s="2">
        <f t="shared" si="162"/>
        <v>5.4108000000000001</v>
      </c>
      <c r="D1759" s="2">
        <f t="shared" si="163"/>
        <v>119716</v>
      </c>
      <c r="E1759" s="2">
        <f t="shared" si="164"/>
        <v>41421736</v>
      </c>
      <c r="F1759" s="2">
        <f t="shared" si="165"/>
        <v>14331920656</v>
      </c>
      <c r="G1759" s="2">
        <f t="shared" si="166"/>
        <v>1872.1368</v>
      </c>
      <c r="H1759" s="2">
        <f t="shared" si="167"/>
        <v>647759.33279999997</v>
      </c>
    </row>
    <row r="1760" spans="1:8" x14ac:dyDescent="0.35">
      <c r="A1760" s="2">
        <v>346</v>
      </c>
      <c r="B1760" s="2">
        <v>45000</v>
      </c>
      <c r="C1760" s="2">
        <f t="shared" si="162"/>
        <v>4.5</v>
      </c>
      <c r="D1760" s="2">
        <f t="shared" si="163"/>
        <v>119716</v>
      </c>
      <c r="E1760" s="2">
        <f t="shared" si="164"/>
        <v>41421736</v>
      </c>
      <c r="F1760" s="2">
        <f t="shared" si="165"/>
        <v>14331920656</v>
      </c>
      <c r="G1760" s="2">
        <f t="shared" si="166"/>
        <v>1557</v>
      </c>
      <c r="H1760" s="2">
        <f t="shared" si="167"/>
        <v>538722</v>
      </c>
    </row>
    <row r="1761" spans="1:8" x14ac:dyDescent="0.35">
      <c r="A1761" s="2">
        <v>346</v>
      </c>
      <c r="B1761" s="2">
        <v>45000</v>
      </c>
      <c r="C1761" s="2">
        <f t="shared" si="162"/>
        <v>4.5</v>
      </c>
      <c r="D1761" s="2">
        <f t="shared" si="163"/>
        <v>119716</v>
      </c>
      <c r="E1761" s="2">
        <f t="shared" si="164"/>
        <v>41421736</v>
      </c>
      <c r="F1761" s="2">
        <f t="shared" si="165"/>
        <v>14331920656</v>
      </c>
      <c r="G1761" s="2">
        <f t="shared" si="166"/>
        <v>1557</v>
      </c>
      <c r="H1761" s="2">
        <f t="shared" si="167"/>
        <v>538722</v>
      </c>
    </row>
    <row r="1762" spans="1:8" x14ac:dyDescent="0.35">
      <c r="A1762" s="2">
        <v>346</v>
      </c>
      <c r="B1762" s="2">
        <v>52773</v>
      </c>
      <c r="C1762" s="2">
        <f t="shared" si="162"/>
        <v>5.2773000000000003</v>
      </c>
      <c r="D1762" s="2">
        <f t="shared" si="163"/>
        <v>119716</v>
      </c>
      <c r="E1762" s="2">
        <f t="shared" si="164"/>
        <v>41421736</v>
      </c>
      <c r="F1762" s="2">
        <f t="shared" si="165"/>
        <v>14331920656</v>
      </c>
      <c r="G1762" s="2">
        <f t="shared" si="166"/>
        <v>1825.9458000000002</v>
      </c>
      <c r="H1762" s="2">
        <f t="shared" si="167"/>
        <v>631777.24680000008</v>
      </c>
    </row>
    <row r="1763" spans="1:8" x14ac:dyDescent="0.35">
      <c r="A1763" s="2">
        <v>346</v>
      </c>
      <c r="B1763" s="2">
        <v>41453</v>
      </c>
      <c r="C1763" s="2">
        <f t="shared" si="162"/>
        <v>4.1452999999999998</v>
      </c>
      <c r="D1763" s="2">
        <f t="shared" si="163"/>
        <v>119716</v>
      </c>
      <c r="E1763" s="2">
        <f t="shared" si="164"/>
        <v>41421736</v>
      </c>
      <c r="F1763" s="2">
        <f t="shared" si="165"/>
        <v>14331920656</v>
      </c>
      <c r="G1763" s="2">
        <f t="shared" si="166"/>
        <v>1434.2737999999999</v>
      </c>
      <c r="H1763" s="2">
        <f t="shared" si="167"/>
        <v>496258.73479999998</v>
      </c>
    </row>
    <row r="1764" spans="1:8" x14ac:dyDescent="0.35">
      <c r="A1764" s="2">
        <v>346</v>
      </c>
      <c r="B1764" s="2">
        <v>67045</v>
      </c>
      <c r="C1764" s="2">
        <f t="shared" si="162"/>
        <v>6.7045000000000003</v>
      </c>
      <c r="D1764" s="2">
        <f t="shared" si="163"/>
        <v>119716</v>
      </c>
      <c r="E1764" s="2">
        <f t="shared" si="164"/>
        <v>41421736</v>
      </c>
      <c r="F1764" s="2">
        <f t="shared" si="165"/>
        <v>14331920656</v>
      </c>
      <c r="G1764" s="2">
        <f t="shared" si="166"/>
        <v>2319.7570000000001</v>
      </c>
      <c r="H1764" s="2">
        <f t="shared" si="167"/>
        <v>802635.92200000002</v>
      </c>
    </row>
    <row r="1765" spans="1:8" x14ac:dyDescent="0.35">
      <c r="A1765" s="2">
        <v>346</v>
      </c>
      <c r="B1765" s="2">
        <v>68000</v>
      </c>
      <c r="C1765" s="2">
        <f t="shared" si="162"/>
        <v>6.8</v>
      </c>
      <c r="D1765" s="2">
        <f t="shared" si="163"/>
        <v>119716</v>
      </c>
      <c r="E1765" s="2">
        <f t="shared" si="164"/>
        <v>41421736</v>
      </c>
      <c r="F1765" s="2">
        <f t="shared" si="165"/>
        <v>14331920656</v>
      </c>
      <c r="G1765" s="2">
        <f t="shared" si="166"/>
        <v>2352.7999999999997</v>
      </c>
      <c r="H1765" s="2">
        <f t="shared" si="167"/>
        <v>814068.79999999993</v>
      </c>
    </row>
    <row r="1766" spans="1:8" x14ac:dyDescent="0.35">
      <c r="A1766" s="2">
        <v>346</v>
      </c>
      <c r="B1766" s="2">
        <v>68000</v>
      </c>
      <c r="C1766" s="2">
        <f t="shared" si="162"/>
        <v>6.8</v>
      </c>
      <c r="D1766" s="2">
        <f t="shared" si="163"/>
        <v>119716</v>
      </c>
      <c r="E1766" s="2">
        <f t="shared" si="164"/>
        <v>41421736</v>
      </c>
      <c r="F1766" s="2">
        <f t="shared" si="165"/>
        <v>14331920656</v>
      </c>
      <c r="G1766" s="2">
        <f t="shared" si="166"/>
        <v>2352.7999999999997</v>
      </c>
      <c r="H1766" s="2">
        <f t="shared" si="167"/>
        <v>814068.79999999993</v>
      </c>
    </row>
    <row r="1767" spans="1:8" x14ac:dyDescent="0.35">
      <c r="A1767" s="2">
        <v>346</v>
      </c>
      <c r="B1767" s="2">
        <v>73667</v>
      </c>
      <c r="C1767" s="2">
        <f t="shared" si="162"/>
        <v>7.3666999999999998</v>
      </c>
      <c r="D1767" s="2">
        <f t="shared" si="163"/>
        <v>119716</v>
      </c>
      <c r="E1767" s="2">
        <f t="shared" si="164"/>
        <v>41421736</v>
      </c>
      <c r="F1767" s="2">
        <f t="shared" si="165"/>
        <v>14331920656</v>
      </c>
      <c r="G1767" s="2">
        <f t="shared" si="166"/>
        <v>2548.8782000000001</v>
      </c>
      <c r="H1767" s="2">
        <f t="shared" si="167"/>
        <v>881911.85719999997</v>
      </c>
    </row>
    <row r="1768" spans="1:8" x14ac:dyDescent="0.35">
      <c r="A1768" s="2">
        <v>346</v>
      </c>
      <c r="B1768" s="2">
        <v>69563</v>
      </c>
      <c r="C1768" s="2">
        <f t="shared" si="162"/>
        <v>6.9562999999999997</v>
      </c>
      <c r="D1768" s="2">
        <f t="shared" si="163"/>
        <v>119716</v>
      </c>
      <c r="E1768" s="2">
        <f t="shared" si="164"/>
        <v>41421736</v>
      </c>
      <c r="F1768" s="2">
        <f t="shared" si="165"/>
        <v>14331920656</v>
      </c>
      <c r="G1768" s="2">
        <f t="shared" si="166"/>
        <v>2406.8797999999997</v>
      </c>
      <c r="H1768" s="2">
        <f t="shared" si="167"/>
        <v>832780.41079999995</v>
      </c>
    </row>
    <row r="1769" spans="1:8" x14ac:dyDescent="0.35">
      <c r="A1769" s="2">
        <v>346</v>
      </c>
      <c r="B1769" s="2">
        <v>64154</v>
      </c>
      <c r="C1769" s="2">
        <f t="shared" si="162"/>
        <v>6.4154</v>
      </c>
      <c r="D1769" s="2">
        <f t="shared" si="163"/>
        <v>119716</v>
      </c>
      <c r="E1769" s="2">
        <f t="shared" si="164"/>
        <v>41421736</v>
      </c>
      <c r="F1769" s="2">
        <f t="shared" si="165"/>
        <v>14331920656</v>
      </c>
      <c r="G1769" s="2">
        <f t="shared" si="166"/>
        <v>2219.7284</v>
      </c>
      <c r="H1769" s="2">
        <f t="shared" si="167"/>
        <v>768026.02639999997</v>
      </c>
    </row>
    <row r="1770" spans="1:8" x14ac:dyDescent="0.35">
      <c r="A1770" s="2">
        <v>346</v>
      </c>
      <c r="B1770" s="2">
        <v>68270</v>
      </c>
      <c r="C1770" s="2">
        <f t="shared" si="162"/>
        <v>6.827</v>
      </c>
      <c r="D1770" s="2">
        <f t="shared" si="163"/>
        <v>119716</v>
      </c>
      <c r="E1770" s="2">
        <f t="shared" si="164"/>
        <v>41421736</v>
      </c>
      <c r="F1770" s="2">
        <f t="shared" si="165"/>
        <v>14331920656</v>
      </c>
      <c r="G1770" s="2">
        <f t="shared" si="166"/>
        <v>2362.1419999999998</v>
      </c>
      <c r="H1770" s="2">
        <f t="shared" si="167"/>
        <v>817301.13199999998</v>
      </c>
    </row>
    <row r="1771" spans="1:8" x14ac:dyDescent="0.35">
      <c r="A1771" s="2">
        <v>346</v>
      </c>
      <c r="B1771" s="2">
        <v>70236</v>
      </c>
      <c r="C1771" s="2">
        <f t="shared" si="162"/>
        <v>7.0236000000000001</v>
      </c>
      <c r="D1771" s="2">
        <f t="shared" si="163"/>
        <v>119716</v>
      </c>
      <c r="E1771" s="2">
        <f t="shared" si="164"/>
        <v>41421736</v>
      </c>
      <c r="F1771" s="2">
        <f t="shared" si="165"/>
        <v>14331920656</v>
      </c>
      <c r="G1771" s="2">
        <f t="shared" si="166"/>
        <v>2430.1655999999998</v>
      </c>
      <c r="H1771" s="2">
        <f t="shared" si="167"/>
        <v>840837.29760000005</v>
      </c>
    </row>
    <row r="1772" spans="1:8" x14ac:dyDescent="0.35">
      <c r="A1772" s="2">
        <v>346</v>
      </c>
      <c r="B1772" s="2">
        <v>76015</v>
      </c>
      <c r="C1772" s="2">
        <f t="shared" si="162"/>
        <v>7.6014999999999997</v>
      </c>
      <c r="D1772" s="2">
        <f t="shared" si="163"/>
        <v>119716</v>
      </c>
      <c r="E1772" s="2">
        <f t="shared" si="164"/>
        <v>41421736</v>
      </c>
      <c r="F1772" s="2">
        <f t="shared" si="165"/>
        <v>14331920656</v>
      </c>
      <c r="G1772" s="2">
        <f t="shared" si="166"/>
        <v>2630.1189999999997</v>
      </c>
      <c r="H1772" s="2">
        <f t="shared" si="167"/>
        <v>910021.174</v>
      </c>
    </row>
    <row r="1773" spans="1:8" x14ac:dyDescent="0.35">
      <c r="A1773" s="2">
        <v>346</v>
      </c>
      <c r="B1773" s="2">
        <v>75433</v>
      </c>
      <c r="C1773" s="2">
        <f t="shared" si="162"/>
        <v>7.5433000000000003</v>
      </c>
      <c r="D1773" s="2">
        <f t="shared" si="163"/>
        <v>119716</v>
      </c>
      <c r="E1773" s="2">
        <f t="shared" si="164"/>
        <v>41421736</v>
      </c>
      <c r="F1773" s="2">
        <f t="shared" si="165"/>
        <v>14331920656</v>
      </c>
      <c r="G1773" s="2">
        <f t="shared" si="166"/>
        <v>2609.9818</v>
      </c>
      <c r="H1773" s="2">
        <f t="shared" si="167"/>
        <v>903053.70280000009</v>
      </c>
    </row>
    <row r="1774" spans="1:8" x14ac:dyDescent="0.35">
      <c r="A1774" s="2">
        <v>346</v>
      </c>
      <c r="B1774" s="2">
        <v>75000</v>
      </c>
      <c r="C1774" s="2">
        <f t="shared" si="162"/>
        <v>7.5</v>
      </c>
      <c r="D1774" s="2">
        <f t="shared" si="163"/>
        <v>119716</v>
      </c>
      <c r="E1774" s="2">
        <f t="shared" si="164"/>
        <v>41421736</v>
      </c>
      <c r="F1774" s="2">
        <f t="shared" si="165"/>
        <v>14331920656</v>
      </c>
      <c r="G1774" s="2">
        <f t="shared" si="166"/>
        <v>2595</v>
      </c>
      <c r="H1774" s="2">
        <f t="shared" si="167"/>
        <v>897870</v>
      </c>
    </row>
    <row r="1775" spans="1:8" x14ac:dyDescent="0.35">
      <c r="A1775" s="2">
        <v>346</v>
      </c>
      <c r="B1775" s="2">
        <v>76173</v>
      </c>
      <c r="C1775" s="2">
        <f t="shared" si="162"/>
        <v>7.6173000000000002</v>
      </c>
      <c r="D1775" s="2">
        <f t="shared" si="163"/>
        <v>119716</v>
      </c>
      <c r="E1775" s="2">
        <f t="shared" si="164"/>
        <v>41421736</v>
      </c>
      <c r="F1775" s="2">
        <f t="shared" si="165"/>
        <v>14331920656</v>
      </c>
      <c r="G1775" s="2">
        <f t="shared" si="166"/>
        <v>2635.5857999999998</v>
      </c>
      <c r="H1775" s="2">
        <f t="shared" si="167"/>
        <v>911912.68680000002</v>
      </c>
    </row>
    <row r="1776" spans="1:8" x14ac:dyDescent="0.35">
      <c r="A1776" s="2">
        <v>346</v>
      </c>
      <c r="B1776" s="2">
        <v>70881</v>
      </c>
      <c r="C1776" s="2">
        <f t="shared" si="162"/>
        <v>7.0880999999999998</v>
      </c>
      <c r="D1776" s="2">
        <f t="shared" si="163"/>
        <v>119716</v>
      </c>
      <c r="E1776" s="2">
        <f t="shared" si="164"/>
        <v>41421736</v>
      </c>
      <c r="F1776" s="2">
        <f t="shared" si="165"/>
        <v>14331920656</v>
      </c>
      <c r="G1776" s="2">
        <f t="shared" si="166"/>
        <v>2452.4825999999998</v>
      </c>
      <c r="H1776" s="2">
        <f t="shared" si="167"/>
        <v>848558.97959999996</v>
      </c>
    </row>
    <row r="1777" spans="1:8" x14ac:dyDescent="0.35">
      <c r="A1777" s="2">
        <v>1032</v>
      </c>
      <c r="B1777" s="2">
        <v>8600</v>
      </c>
      <c r="C1777" s="2">
        <f t="shared" si="162"/>
        <v>0.86</v>
      </c>
      <c r="D1777" s="2">
        <f t="shared" si="163"/>
        <v>1065024</v>
      </c>
      <c r="E1777" s="2">
        <f t="shared" si="164"/>
        <v>1099104768</v>
      </c>
      <c r="F1777" s="2">
        <f t="shared" si="165"/>
        <v>1134276120576</v>
      </c>
      <c r="G1777" s="2">
        <f t="shared" si="166"/>
        <v>887.52</v>
      </c>
      <c r="H1777" s="2">
        <f t="shared" si="167"/>
        <v>915920.64</v>
      </c>
    </row>
    <row r="1778" spans="1:8" x14ac:dyDescent="0.35">
      <c r="A1778" s="2">
        <v>1032</v>
      </c>
      <c r="B1778" s="2">
        <v>9300</v>
      </c>
      <c r="C1778" s="2">
        <f t="shared" si="162"/>
        <v>0.93</v>
      </c>
      <c r="D1778" s="2">
        <f t="shared" si="163"/>
        <v>1065024</v>
      </c>
      <c r="E1778" s="2">
        <f t="shared" si="164"/>
        <v>1099104768</v>
      </c>
      <c r="F1778" s="2">
        <f t="shared" si="165"/>
        <v>1134276120576</v>
      </c>
      <c r="G1778" s="2">
        <f t="shared" si="166"/>
        <v>959.7600000000001</v>
      </c>
      <c r="H1778" s="2">
        <f t="shared" si="167"/>
        <v>990472.32000000007</v>
      </c>
    </row>
    <row r="1779" spans="1:8" x14ac:dyDescent="0.35">
      <c r="A1779" s="2">
        <v>1032</v>
      </c>
      <c r="B1779" s="2">
        <v>8571</v>
      </c>
      <c r="C1779" s="2">
        <f t="shared" si="162"/>
        <v>0.85709999999999997</v>
      </c>
      <c r="D1779" s="2">
        <f t="shared" si="163"/>
        <v>1065024</v>
      </c>
      <c r="E1779" s="2">
        <f t="shared" si="164"/>
        <v>1099104768</v>
      </c>
      <c r="F1779" s="2">
        <f t="shared" si="165"/>
        <v>1134276120576</v>
      </c>
      <c r="G1779" s="2">
        <f t="shared" si="166"/>
        <v>884.52719999999999</v>
      </c>
      <c r="H1779" s="2">
        <f t="shared" si="167"/>
        <v>912832.07039999997</v>
      </c>
    </row>
    <row r="1780" spans="1:8" x14ac:dyDescent="0.35">
      <c r="A1780" s="2">
        <v>1032</v>
      </c>
      <c r="B1780" s="2">
        <v>8636</v>
      </c>
      <c r="C1780" s="2">
        <f t="shared" si="162"/>
        <v>0.86360000000000003</v>
      </c>
      <c r="D1780" s="2">
        <f t="shared" si="163"/>
        <v>1065024</v>
      </c>
      <c r="E1780" s="2">
        <f t="shared" si="164"/>
        <v>1099104768</v>
      </c>
      <c r="F1780" s="2">
        <f t="shared" si="165"/>
        <v>1134276120576</v>
      </c>
      <c r="G1780" s="2">
        <f t="shared" si="166"/>
        <v>891.23520000000008</v>
      </c>
      <c r="H1780" s="2">
        <f t="shared" si="167"/>
        <v>919754.72640000004</v>
      </c>
    </row>
    <row r="1781" spans="1:8" x14ac:dyDescent="0.35">
      <c r="A1781" s="2">
        <v>1032</v>
      </c>
      <c r="B1781" s="2">
        <v>8747</v>
      </c>
      <c r="C1781" s="2">
        <f t="shared" si="162"/>
        <v>0.87470000000000003</v>
      </c>
      <c r="D1781" s="2">
        <f t="shared" si="163"/>
        <v>1065024</v>
      </c>
      <c r="E1781" s="2">
        <f t="shared" si="164"/>
        <v>1099104768</v>
      </c>
      <c r="F1781" s="2">
        <f t="shared" si="165"/>
        <v>1134276120576</v>
      </c>
      <c r="G1781" s="2">
        <f t="shared" si="166"/>
        <v>902.69040000000007</v>
      </c>
      <c r="H1781" s="2">
        <f t="shared" si="167"/>
        <v>931576.49280000001</v>
      </c>
    </row>
    <row r="1782" spans="1:8" x14ac:dyDescent="0.35">
      <c r="A1782" s="2">
        <v>1032</v>
      </c>
      <c r="B1782" s="2">
        <v>5290</v>
      </c>
      <c r="C1782" s="2">
        <f t="shared" si="162"/>
        <v>0.52900000000000003</v>
      </c>
      <c r="D1782" s="2">
        <f t="shared" si="163"/>
        <v>1065024</v>
      </c>
      <c r="E1782" s="2">
        <f t="shared" si="164"/>
        <v>1099104768</v>
      </c>
      <c r="F1782" s="2">
        <f t="shared" si="165"/>
        <v>1134276120576</v>
      </c>
      <c r="G1782" s="2">
        <f t="shared" si="166"/>
        <v>545.928</v>
      </c>
      <c r="H1782" s="2">
        <f t="shared" si="167"/>
        <v>563397.696</v>
      </c>
    </row>
    <row r="1783" spans="1:8" x14ac:dyDescent="0.35">
      <c r="A1783" s="2">
        <v>1032</v>
      </c>
      <c r="B1783" s="2">
        <v>2988</v>
      </c>
      <c r="C1783" s="2">
        <f t="shared" si="162"/>
        <v>0.29880000000000001</v>
      </c>
      <c r="D1783" s="2">
        <f t="shared" si="163"/>
        <v>1065024</v>
      </c>
      <c r="E1783" s="2">
        <f t="shared" si="164"/>
        <v>1099104768</v>
      </c>
      <c r="F1783" s="2">
        <f t="shared" si="165"/>
        <v>1134276120576</v>
      </c>
      <c r="G1783" s="2">
        <f t="shared" si="166"/>
        <v>308.36160000000001</v>
      </c>
      <c r="H1783" s="2">
        <f t="shared" si="167"/>
        <v>318229.17119999998</v>
      </c>
    </row>
    <row r="1784" spans="1:8" x14ac:dyDescent="0.35">
      <c r="A1784" s="2">
        <v>1032</v>
      </c>
      <c r="B1784" s="2">
        <v>6225</v>
      </c>
      <c r="C1784" s="2">
        <f t="shared" si="162"/>
        <v>0.62250000000000005</v>
      </c>
      <c r="D1784" s="2">
        <f t="shared" si="163"/>
        <v>1065024</v>
      </c>
      <c r="E1784" s="2">
        <f t="shared" si="164"/>
        <v>1099104768</v>
      </c>
      <c r="F1784" s="2">
        <f t="shared" si="165"/>
        <v>1134276120576</v>
      </c>
      <c r="G1784" s="2">
        <f t="shared" si="166"/>
        <v>642.42000000000007</v>
      </c>
      <c r="H1784" s="2">
        <f t="shared" si="167"/>
        <v>662977.44000000006</v>
      </c>
    </row>
    <row r="1785" spans="1:8" x14ac:dyDescent="0.35">
      <c r="A1785" s="2">
        <v>1032</v>
      </c>
      <c r="B1785" s="2">
        <v>8345</v>
      </c>
      <c r="C1785" s="2">
        <f t="shared" si="162"/>
        <v>0.83450000000000002</v>
      </c>
      <c r="D1785" s="2">
        <f t="shared" si="163"/>
        <v>1065024</v>
      </c>
      <c r="E1785" s="2">
        <f t="shared" si="164"/>
        <v>1099104768</v>
      </c>
      <c r="F1785" s="2">
        <f t="shared" si="165"/>
        <v>1134276120576</v>
      </c>
      <c r="G1785" s="2">
        <f t="shared" si="166"/>
        <v>861.20400000000006</v>
      </c>
      <c r="H1785" s="2">
        <f t="shared" si="167"/>
        <v>888762.52800000005</v>
      </c>
    </row>
    <row r="1786" spans="1:8" x14ac:dyDescent="0.35">
      <c r="A1786" s="2">
        <v>1032</v>
      </c>
      <c r="B1786" s="2">
        <v>8717</v>
      </c>
      <c r="C1786" s="2">
        <f t="shared" si="162"/>
        <v>0.87170000000000003</v>
      </c>
      <c r="D1786" s="2">
        <f t="shared" si="163"/>
        <v>1065024</v>
      </c>
      <c r="E1786" s="2">
        <f t="shared" si="164"/>
        <v>1099104768</v>
      </c>
      <c r="F1786" s="2">
        <f t="shared" si="165"/>
        <v>1134276120576</v>
      </c>
      <c r="G1786" s="2">
        <f t="shared" si="166"/>
        <v>899.59440000000006</v>
      </c>
      <c r="H1786" s="2">
        <f t="shared" si="167"/>
        <v>928381.42080000008</v>
      </c>
    </row>
    <row r="1787" spans="1:8" x14ac:dyDescent="0.35">
      <c r="A1787" s="2">
        <v>1032</v>
      </c>
      <c r="B1787" s="2">
        <v>9653</v>
      </c>
      <c r="C1787" s="2">
        <f t="shared" si="162"/>
        <v>0.96530000000000005</v>
      </c>
      <c r="D1787" s="2">
        <f t="shared" si="163"/>
        <v>1065024</v>
      </c>
      <c r="E1787" s="2">
        <f t="shared" si="164"/>
        <v>1099104768</v>
      </c>
      <c r="F1787" s="2">
        <f t="shared" si="165"/>
        <v>1134276120576</v>
      </c>
      <c r="G1787" s="2">
        <f t="shared" si="166"/>
        <v>996.18960000000004</v>
      </c>
      <c r="H1787" s="2">
        <f t="shared" si="167"/>
        <v>1028067.6672</v>
      </c>
    </row>
    <row r="1788" spans="1:8" x14ac:dyDescent="0.35">
      <c r="A1788" s="2">
        <v>1032</v>
      </c>
      <c r="B1788" s="2">
        <v>10904</v>
      </c>
      <c r="C1788" s="2">
        <f t="shared" si="162"/>
        <v>1.0904</v>
      </c>
      <c r="D1788" s="2">
        <f t="shared" si="163"/>
        <v>1065024</v>
      </c>
      <c r="E1788" s="2">
        <f t="shared" si="164"/>
        <v>1099104768</v>
      </c>
      <c r="F1788" s="2">
        <f t="shared" si="165"/>
        <v>1134276120576</v>
      </c>
      <c r="G1788" s="2">
        <f t="shared" si="166"/>
        <v>1125.2927999999999</v>
      </c>
      <c r="H1788" s="2">
        <f t="shared" si="167"/>
        <v>1161302.1696000001</v>
      </c>
    </row>
    <row r="1789" spans="1:8" x14ac:dyDescent="0.35">
      <c r="A1789" s="2">
        <v>1032</v>
      </c>
      <c r="B1789" s="2">
        <v>10552</v>
      </c>
      <c r="C1789" s="2">
        <f t="shared" si="162"/>
        <v>1.0551999999999999</v>
      </c>
      <c r="D1789" s="2">
        <f t="shared" si="163"/>
        <v>1065024</v>
      </c>
      <c r="E1789" s="2">
        <f t="shared" si="164"/>
        <v>1099104768</v>
      </c>
      <c r="F1789" s="2">
        <f t="shared" si="165"/>
        <v>1134276120576</v>
      </c>
      <c r="G1789" s="2">
        <f t="shared" si="166"/>
        <v>1088.9664</v>
      </c>
      <c r="H1789" s="2">
        <f t="shared" si="167"/>
        <v>1123813.3247999998</v>
      </c>
    </row>
    <row r="1790" spans="1:8" x14ac:dyDescent="0.35">
      <c r="A1790" s="2">
        <v>1032</v>
      </c>
      <c r="B1790" s="2">
        <v>10000</v>
      </c>
      <c r="C1790" s="2">
        <f t="shared" si="162"/>
        <v>1</v>
      </c>
      <c r="D1790" s="2">
        <f t="shared" si="163"/>
        <v>1065024</v>
      </c>
      <c r="E1790" s="2">
        <f t="shared" si="164"/>
        <v>1099104768</v>
      </c>
      <c r="F1790" s="2">
        <f t="shared" si="165"/>
        <v>1134276120576</v>
      </c>
      <c r="G1790" s="2">
        <f t="shared" si="166"/>
        <v>1032</v>
      </c>
      <c r="H1790" s="2">
        <f t="shared" si="167"/>
        <v>1065024</v>
      </c>
    </row>
    <row r="1791" spans="1:8" x14ac:dyDescent="0.35">
      <c r="A1791" s="2">
        <v>1032</v>
      </c>
      <c r="B1791" s="2">
        <v>9816</v>
      </c>
      <c r="C1791" s="2">
        <f t="shared" si="162"/>
        <v>0.98160000000000003</v>
      </c>
      <c r="D1791" s="2">
        <f t="shared" si="163"/>
        <v>1065024</v>
      </c>
      <c r="E1791" s="2">
        <f t="shared" si="164"/>
        <v>1099104768</v>
      </c>
      <c r="F1791" s="2">
        <f t="shared" si="165"/>
        <v>1134276120576</v>
      </c>
      <c r="G1791" s="2">
        <f t="shared" si="166"/>
        <v>1013.0112</v>
      </c>
      <c r="H1791" s="2">
        <f t="shared" si="167"/>
        <v>1045427.5584</v>
      </c>
    </row>
    <row r="1792" spans="1:8" x14ac:dyDescent="0.35">
      <c r="A1792" s="2">
        <v>1032</v>
      </c>
      <c r="B1792" s="2">
        <v>9582</v>
      </c>
      <c r="C1792" s="2">
        <f t="shared" si="162"/>
        <v>0.95820000000000005</v>
      </c>
      <c r="D1792" s="2">
        <f t="shared" si="163"/>
        <v>1065024</v>
      </c>
      <c r="E1792" s="2">
        <f t="shared" si="164"/>
        <v>1099104768</v>
      </c>
      <c r="F1792" s="2">
        <f t="shared" si="165"/>
        <v>1134276120576</v>
      </c>
      <c r="G1792" s="2">
        <f t="shared" si="166"/>
        <v>988.86240000000009</v>
      </c>
      <c r="H1792" s="2">
        <f t="shared" si="167"/>
        <v>1020505.9968000001</v>
      </c>
    </row>
    <row r="1793" spans="1:8" x14ac:dyDescent="0.35">
      <c r="A1793" s="2">
        <v>1032</v>
      </c>
      <c r="B1793" s="2">
        <v>2789</v>
      </c>
      <c r="C1793" s="2">
        <f t="shared" si="162"/>
        <v>0.27889999999999998</v>
      </c>
      <c r="D1793" s="2">
        <f t="shared" si="163"/>
        <v>1065024</v>
      </c>
      <c r="E1793" s="2">
        <f t="shared" si="164"/>
        <v>1099104768</v>
      </c>
      <c r="F1793" s="2">
        <f t="shared" si="165"/>
        <v>1134276120576</v>
      </c>
      <c r="G1793" s="2">
        <f t="shared" si="166"/>
        <v>287.82479999999998</v>
      </c>
      <c r="H1793" s="2">
        <f t="shared" si="167"/>
        <v>297035.1936</v>
      </c>
    </row>
    <row r="1794" spans="1:8" x14ac:dyDescent="0.35">
      <c r="A1794" s="2">
        <v>1032</v>
      </c>
      <c r="B1794" s="2">
        <v>9604</v>
      </c>
      <c r="C1794" s="2">
        <f t="shared" si="162"/>
        <v>0.96040000000000003</v>
      </c>
      <c r="D1794" s="2">
        <f t="shared" si="163"/>
        <v>1065024</v>
      </c>
      <c r="E1794" s="2">
        <f t="shared" si="164"/>
        <v>1099104768</v>
      </c>
      <c r="F1794" s="2">
        <f t="shared" si="165"/>
        <v>1134276120576</v>
      </c>
      <c r="G1794" s="2">
        <f t="shared" si="166"/>
        <v>991.13280000000009</v>
      </c>
      <c r="H1794" s="2">
        <f t="shared" si="167"/>
        <v>1022849.0496</v>
      </c>
    </row>
    <row r="1795" spans="1:8" x14ac:dyDescent="0.35">
      <c r="A1795" s="2">
        <v>1032</v>
      </c>
      <c r="B1795" s="2">
        <v>2034</v>
      </c>
      <c r="C1795" s="2">
        <f t="shared" ref="C1795:C1858" si="168">B1795/10000</f>
        <v>0.2034</v>
      </c>
      <c r="D1795" s="2">
        <f t="shared" ref="D1795:D1858" si="169">A1795^2</f>
        <v>1065024</v>
      </c>
      <c r="E1795" s="2">
        <f t="shared" ref="E1795:E1858" si="170">A1795^3</f>
        <v>1099104768</v>
      </c>
      <c r="F1795" s="2">
        <f t="shared" ref="F1795:F1858" si="171">A1795^4</f>
        <v>1134276120576</v>
      </c>
      <c r="G1795" s="2">
        <f t="shared" ref="G1795:G1858" si="172">A1795*C1795</f>
        <v>209.90879999999999</v>
      </c>
      <c r="H1795" s="2">
        <f t="shared" ref="H1795:H1858" si="173">D1795*C1795</f>
        <v>216625.88159999999</v>
      </c>
    </row>
    <row r="1796" spans="1:8" x14ac:dyDescent="0.35">
      <c r="A1796" s="2">
        <v>1032</v>
      </c>
      <c r="B1796" s="2">
        <v>2729</v>
      </c>
      <c r="C1796" s="2">
        <f t="shared" si="168"/>
        <v>0.27289999999999998</v>
      </c>
      <c r="D1796" s="2">
        <f t="shared" si="169"/>
        <v>1065024</v>
      </c>
      <c r="E1796" s="2">
        <f t="shared" si="170"/>
        <v>1099104768</v>
      </c>
      <c r="F1796" s="2">
        <f t="shared" si="171"/>
        <v>1134276120576</v>
      </c>
      <c r="G1796" s="2">
        <f t="shared" si="172"/>
        <v>281.63279999999997</v>
      </c>
      <c r="H1796" s="2">
        <f t="shared" si="173"/>
        <v>290645.04959999997</v>
      </c>
    </row>
    <row r="1797" spans="1:8" x14ac:dyDescent="0.35">
      <c r="A1797" s="2">
        <v>1032</v>
      </c>
      <c r="B1797" s="2">
        <v>2845</v>
      </c>
      <c r="C1797" s="2">
        <f t="shared" si="168"/>
        <v>0.28449999999999998</v>
      </c>
      <c r="D1797" s="2">
        <f t="shared" si="169"/>
        <v>1065024</v>
      </c>
      <c r="E1797" s="2">
        <f t="shared" si="170"/>
        <v>1099104768</v>
      </c>
      <c r="F1797" s="2">
        <f t="shared" si="171"/>
        <v>1134276120576</v>
      </c>
      <c r="G1797" s="2">
        <f t="shared" si="172"/>
        <v>293.60399999999998</v>
      </c>
      <c r="H1797" s="2">
        <f t="shared" si="173"/>
        <v>302999.32799999998</v>
      </c>
    </row>
    <row r="1798" spans="1:8" x14ac:dyDescent="0.35">
      <c r="A1798" s="2">
        <v>1032</v>
      </c>
      <c r="B1798" s="2">
        <v>2836</v>
      </c>
      <c r="C1798" s="2">
        <f t="shared" si="168"/>
        <v>0.28360000000000002</v>
      </c>
      <c r="D1798" s="2">
        <f t="shared" si="169"/>
        <v>1065024</v>
      </c>
      <c r="E1798" s="2">
        <f t="shared" si="170"/>
        <v>1099104768</v>
      </c>
      <c r="F1798" s="2">
        <f t="shared" si="171"/>
        <v>1134276120576</v>
      </c>
      <c r="G1798" s="2">
        <f t="shared" si="172"/>
        <v>292.67520000000002</v>
      </c>
      <c r="H1798" s="2">
        <f t="shared" si="173"/>
        <v>302040.8064</v>
      </c>
    </row>
    <row r="1799" spans="1:8" x14ac:dyDescent="0.35">
      <c r="A1799" s="2">
        <v>1032</v>
      </c>
      <c r="B1799" s="2">
        <v>9835</v>
      </c>
      <c r="C1799" s="2">
        <f t="shared" si="168"/>
        <v>0.98350000000000004</v>
      </c>
      <c r="D1799" s="2">
        <f t="shared" si="169"/>
        <v>1065024</v>
      </c>
      <c r="E1799" s="2">
        <f t="shared" si="170"/>
        <v>1099104768</v>
      </c>
      <c r="F1799" s="2">
        <f t="shared" si="171"/>
        <v>1134276120576</v>
      </c>
      <c r="G1799" s="2">
        <f t="shared" si="172"/>
        <v>1014.9720000000001</v>
      </c>
      <c r="H1799" s="2">
        <f t="shared" si="173"/>
        <v>1047451.1040000001</v>
      </c>
    </row>
    <row r="1800" spans="1:8" x14ac:dyDescent="0.35">
      <c r="A1800" s="2">
        <v>1032</v>
      </c>
      <c r="B1800" s="2">
        <v>11365</v>
      </c>
      <c r="C1800" s="2">
        <f t="shared" si="168"/>
        <v>1.1365000000000001</v>
      </c>
      <c r="D1800" s="2">
        <f t="shared" si="169"/>
        <v>1065024</v>
      </c>
      <c r="E1800" s="2">
        <f t="shared" si="170"/>
        <v>1099104768</v>
      </c>
      <c r="F1800" s="2">
        <f t="shared" si="171"/>
        <v>1134276120576</v>
      </c>
      <c r="G1800" s="2">
        <f t="shared" si="172"/>
        <v>1172.8680000000002</v>
      </c>
      <c r="H1800" s="2">
        <f t="shared" si="173"/>
        <v>1210399.7760000001</v>
      </c>
    </row>
    <row r="1801" spans="1:8" x14ac:dyDescent="0.35">
      <c r="A1801" s="2">
        <v>1032</v>
      </c>
      <c r="B1801" s="2">
        <v>11366</v>
      </c>
      <c r="C1801" s="2">
        <f t="shared" si="168"/>
        <v>1.1366000000000001</v>
      </c>
      <c r="D1801" s="2">
        <f t="shared" si="169"/>
        <v>1065024</v>
      </c>
      <c r="E1801" s="2">
        <f t="shared" si="170"/>
        <v>1099104768</v>
      </c>
      <c r="F1801" s="2">
        <f t="shared" si="171"/>
        <v>1134276120576</v>
      </c>
      <c r="G1801" s="2">
        <f t="shared" si="172"/>
        <v>1172.9712</v>
      </c>
      <c r="H1801" s="2">
        <f t="shared" si="173"/>
        <v>1210506.2784</v>
      </c>
    </row>
    <row r="1802" spans="1:8" x14ac:dyDescent="0.35">
      <c r="A1802" s="2">
        <v>1032</v>
      </c>
      <c r="B1802" s="2">
        <v>5589</v>
      </c>
      <c r="C1802" s="2">
        <f t="shared" si="168"/>
        <v>0.55889999999999995</v>
      </c>
      <c r="D1802" s="2">
        <f t="shared" si="169"/>
        <v>1065024</v>
      </c>
      <c r="E1802" s="2">
        <f t="shared" si="170"/>
        <v>1099104768</v>
      </c>
      <c r="F1802" s="2">
        <f t="shared" si="171"/>
        <v>1134276120576</v>
      </c>
      <c r="G1802" s="2">
        <f t="shared" si="172"/>
        <v>576.7847999999999</v>
      </c>
      <c r="H1802" s="2">
        <f t="shared" si="173"/>
        <v>595241.91359999997</v>
      </c>
    </row>
    <row r="1803" spans="1:8" x14ac:dyDescent="0.35">
      <c r="A1803" s="2">
        <v>1032</v>
      </c>
      <c r="B1803" s="2">
        <v>2824</v>
      </c>
      <c r="C1803" s="2">
        <f t="shared" si="168"/>
        <v>0.28239999999999998</v>
      </c>
      <c r="D1803" s="2">
        <f t="shared" si="169"/>
        <v>1065024</v>
      </c>
      <c r="E1803" s="2">
        <f t="shared" si="170"/>
        <v>1099104768</v>
      </c>
      <c r="F1803" s="2">
        <f t="shared" si="171"/>
        <v>1134276120576</v>
      </c>
      <c r="G1803" s="2">
        <f t="shared" si="172"/>
        <v>291.43680000000001</v>
      </c>
      <c r="H1803" s="2">
        <f t="shared" si="173"/>
        <v>300762.77759999997</v>
      </c>
    </row>
    <row r="1804" spans="1:8" x14ac:dyDescent="0.35">
      <c r="A1804" s="2">
        <v>1032</v>
      </c>
      <c r="B1804" s="2">
        <v>4137</v>
      </c>
      <c r="C1804" s="2">
        <f t="shared" si="168"/>
        <v>0.41370000000000001</v>
      </c>
      <c r="D1804" s="2">
        <f t="shared" si="169"/>
        <v>1065024</v>
      </c>
      <c r="E1804" s="2">
        <f t="shared" si="170"/>
        <v>1099104768</v>
      </c>
      <c r="F1804" s="2">
        <f t="shared" si="171"/>
        <v>1134276120576</v>
      </c>
      <c r="G1804" s="2">
        <f t="shared" si="172"/>
        <v>426.9384</v>
      </c>
      <c r="H1804" s="2">
        <f t="shared" si="173"/>
        <v>440600.42879999999</v>
      </c>
    </row>
    <row r="1805" spans="1:8" x14ac:dyDescent="0.35">
      <c r="A1805" s="2">
        <v>1032</v>
      </c>
      <c r="B1805" s="2">
        <v>5458</v>
      </c>
      <c r="C1805" s="2">
        <f t="shared" si="168"/>
        <v>0.54579999999999995</v>
      </c>
      <c r="D1805" s="2">
        <f t="shared" si="169"/>
        <v>1065024</v>
      </c>
      <c r="E1805" s="2">
        <f t="shared" si="170"/>
        <v>1099104768</v>
      </c>
      <c r="F1805" s="2">
        <f t="shared" si="171"/>
        <v>1134276120576</v>
      </c>
      <c r="G1805" s="2">
        <f t="shared" si="172"/>
        <v>563.26559999999995</v>
      </c>
      <c r="H1805" s="2">
        <f t="shared" si="173"/>
        <v>581290.09919999994</v>
      </c>
    </row>
    <row r="1806" spans="1:8" x14ac:dyDescent="0.35">
      <c r="A1806" s="2">
        <v>1032</v>
      </c>
      <c r="B1806" s="2">
        <v>6037</v>
      </c>
      <c r="C1806" s="2">
        <f t="shared" si="168"/>
        <v>0.60370000000000001</v>
      </c>
      <c r="D1806" s="2">
        <f t="shared" si="169"/>
        <v>1065024</v>
      </c>
      <c r="E1806" s="2">
        <f t="shared" si="170"/>
        <v>1099104768</v>
      </c>
      <c r="F1806" s="2">
        <f t="shared" si="171"/>
        <v>1134276120576</v>
      </c>
      <c r="G1806" s="2">
        <f t="shared" si="172"/>
        <v>623.01840000000004</v>
      </c>
      <c r="H1806" s="2">
        <f t="shared" si="173"/>
        <v>642954.98880000005</v>
      </c>
    </row>
    <row r="1807" spans="1:8" x14ac:dyDescent="0.35">
      <c r="A1807" s="2">
        <v>2091</v>
      </c>
      <c r="B1807" s="2">
        <v>30718</v>
      </c>
      <c r="C1807" s="2">
        <f t="shared" si="168"/>
        <v>3.0718000000000001</v>
      </c>
      <c r="D1807" s="2">
        <f t="shared" si="169"/>
        <v>4372281</v>
      </c>
      <c r="E1807" s="2">
        <f t="shared" si="170"/>
        <v>9142439571</v>
      </c>
      <c r="F1807" s="2">
        <f t="shared" si="171"/>
        <v>19116841142961</v>
      </c>
      <c r="G1807" s="2">
        <f t="shared" si="172"/>
        <v>6423.1338000000005</v>
      </c>
      <c r="H1807" s="2">
        <f t="shared" si="173"/>
        <v>13430772.775800001</v>
      </c>
    </row>
    <row r="1808" spans="1:8" x14ac:dyDescent="0.35">
      <c r="A1808" s="2">
        <v>2091</v>
      </c>
      <c r="B1808" s="2">
        <v>30279</v>
      </c>
      <c r="C1808" s="2">
        <f t="shared" si="168"/>
        <v>3.0278999999999998</v>
      </c>
      <c r="D1808" s="2">
        <f t="shared" si="169"/>
        <v>4372281</v>
      </c>
      <c r="E1808" s="2">
        <f t="shared" si="170"/>
        <v>9142439571</v>
      </c>
      <c r="F1808" s="2">
        <f t="shared" si="171"/>
        <v>19116841142961</v>
      </c>
      <c r="G1808" s="2">
        <f t="shared" si="172"/>
        <v>6331.3388999999997</v>
      </c>
      <c r="H1808" s="2">
        <f t="shared" si="173"/>
        <v>13238829.639899999</v>
      </c>
    </row>
    <row r="1809" spans="1:8" x14ac:dyDescent="0.35">
      <c r="A1809" s="2">
        <v>2091</v>
      </c>
      <c r="B1809" s="2">
        <v>30424</v>
      </c>
      <c r="C1809" s="2">
        <f t="shared" si="168"/>
        <v>3.0424000000000002</v>
      </c>
      <c r="D1809" s="2">
        <f t="shared" si="169"/>
        <v>4372281</v>
      </c>
      <c r="E1809" s="2">
        <f t="shared" si="170"/>
        <v>9142439571</v>
      </c>
      <c r="F1809" s="2">
        <f t="shared" si="171"/>
        <v>19116841142961</v>
      </c>
      <c r="G1809" s="2">
        <f t="shared" si="172"/>
        <v>6361.6584000000003</v>
      </c>
      <c r="H1809" s="2">
        <f t="shared" si="173"/>
        <v>13302227.714400001</v>
      </c>
    </row>
    <row r="1810" spans="1:8" x14ac:dyDescent="0.35">
      <c r="A1810" s="2">
        <v>2091</v>
      </c>
      <c r="B1810" s="2">
        <v>29174</v>
      </c>
      <c r="C1810" s="2">
        <f t="shared" si="168"/>
        <v>2.9174000000000002</v>
      </c>
      <c r="D1810" s="2">
        <f t="shared" si="169"/>
        <v>4372281</v>
      </c>
      <c r="E1810" s="2">
        <f t="shared" si="170"/>
        <v>9142439571</v>
      </c>
      <c r="F1810" s="2">
        <f t="shared" si="171"/>
        <v>19116841142961</v>
      </c>
      <c r="G1810" s="2">
        <f t="shared" si="172"/>
        <v>6100.2834000000003</v>
      </c>
      <c r="H1810" s="2">
        <f t="shared" si="173"/>
        <v>12755692.589400001</v>
      </c>
    </row>
    <row r="1811" spans="1:8" x14ac:dyDescent="0.35">
      <c r="A1811" s="2">
        <v>2091</v>
      </c>
      <c r="B1811" s="2">
        <v>29353</v>
      </c>
      <c r="C1811" s="2">
        <f t="shared" si="168"/>
        <v>2.9352999999999998</v>
      </c>
      <c r="D1811" s="2">
        <f t="shared" si="169"/>
        <v>4372281</v>
      </c>
      <c r="E1811" s="2">
        <f t="shared" si="170"/>
        <v>9142439571</v>
      </c>
      <c r="F1811" s="2">
        <f t="shared" si="171"/>
        <v>19116841142961</v>
      </c>
      <c r="G1811" s="2">
        <f t="shared" si="172"/>
        <v>6137.7122999999992</v>
      </c>
      <c r="H1811" s="2">
        <f t="shared" si="173"/>
        <v>12833956.419299999</v>
      </c>
    </row>
    <row r="1812" spans="1:8" x14ac:dyDescent="0.35">
      <c r="A1812" s="2">
        <v>2091</v>
      </c>
      <c r="B1812" s="2">
        <v>28400</v>
      </c>
      <c r="C1812" s="2">
        <f t="shared" si="168"/>
        <v>2.84</v>
      </c>
      <c r="D1812" s="2">
        <f t="shared" si="169"/>
        <v>4372281</v>
      </c>
      <c r="E1812" s="2">
        <f t="shared" si="170"/>
        <v>9142439571</v>
      </c>
      <c r="F1812" s="2">
        <f t="shared" si="171"/>
        <v>19116841142961</v>
      </c>
      <c r="G1812" s="2">
        <f t="shared" si="172"/>
        <v>5938.44</v>
      </c>
      <c r="H1812" s="2">
        <f t="shared" si="173"/>
        <v>12417278.039999999</v>
      </c>
    </row>
    <row r="1813" spans="1:8" x14ac:dyDescent="0.35">
      <c r="A1813" s="2">
        <v>2091</v>
      </c>
      <c r="B1813" s="2">
        <v>28882</v>
      </c>
      <c r="C1813" s="2">
        <f t="shared" si="168"/>
        <v>2.8881999999999999</v>
      </c>
      <c r="D1813" s="2">
        <f t="shared" si="169"/>
        <v>4372281</v>
      </c>
      <c r="E1813" s="2">
        <f t="shared" si="170"/>
        <v>9142439571</v>
      </c>
      <c r="F1813" s="2">
        <f t="shared" si="171"/>
        <v>19116841142961</v>
      </c>
      <c r="G1813" s="2">
        <f t="shared" si="172"/>
        <v>6039.2262000000001</v>
      </c>
      <c r="H1813" s="2">
        <f t="shared" si="173"/>
        <v>12628021.984199999</v>
      </c>
    </row>
    <row r="1814" spans="1:8" x14ac:dyDescent="0.35">
      <c r="A1814" s="2">
        <v>2091</v>
      </c>
      <c r="B1814" s="2">
        <v>30063</v>
      </c>
      <c r="C1814" s="2">
        <f t="shared" si="168"/>
        <v>3.0063</v>
      </c>
      <c r="D1814" s="2">
        <f t="shared" si="169"/>
        <v>4372281</v>
      </c>
      <c r="E1814" s="2">
        <f t="shared" si="170"/>
        <v>9142439571</v>
      </c>
      <c r="F1814" s="2">
        <f t="shared" si="171"/>
        <v>19116841142961</v>
      </c>
      <c r="G1814" s="2">
        <f t="shared" si="172"/>
        <v>6286.1733000000004</v>
      </c>
      <c r="H1814" s="2">
        <f t="shared" si="173"/>
        <v>13144388.370300001</v>
      </c>
    </row>
    <row r="1815" spans="1:8" x14ac:dyDescent="0.35">
      <c r="A1815" s="2">
        <v>2091</v>
      </c>
      <c r="B1815" s="2">
        <v>31182</v>
      </c>
      <c r="C1815" s="2">
        <f t="shared" si="168"/>
        <v>3.1181999999999999</v>
      </c>
      <c r="D1815" s="2">
        <f t="shared" si="169"/>
        <v>4372281</v>
      </c>
      <c r="E1815" s="2">
        <f t="shared" si="170"/>
        <v>9142439571</v>
      </c>
      <c r="F1815" s="2">
        <f t="shared" si="171"/>
        <v>19116841142961</v>
      </c>
      <c r="G1815" s="2">
        <f t="shared" si="172"/>
        <v>6520.1561999999994</v>
      </c>
      <c r="H1815" s="2">
        <f t="shared" si="173"/>
        <v>13633646.6142</v>
      </c>
    </row>
    <row r="1816" spans="1:8" x14ac:dyDescent="0.35">
      <c r="A1816" s="2">
        <v>2091</v>
      </c>
      <c r="B1816" s="2">
        <v>29290</v>
      </c>
      <c r="C1816" s="2">
        <f t="shared" si="168"/>
        <v>2.9289999999999998</v>
      </c>
      <c r="D1816" s="2">
        <f t="shared" si="169"/>
        <v>4372281</v>
      </c>
      <c r="E1816" s="2">
        <f t="shared" si="170"/>
        <v>9142439571</v>
      </c>
      <c r="F1816" s="2">
        <f t="shared" si="171"/>
        <v>19116841142961</v>
      </c>
      <c r="G1816" s="2">
        <f t="shared" si="172"/>
        <v>6124.5389999999998</v>
      </c>
      <c r="H1816" s="2">
        <f t="shared" si="173"/>
        <v>12806411.048999999</v>
      </c>
    </row>
    <row r="1817" spans="1:8" x14ac:dyDescent="0.35">
      <c r="A1817" s="2">
        <v>2091</v>
      </c>
      <c r="B1817" s="2">
        <v>30159</v>
      </c>
      <c r="C1817" s="2">
        <f t="shared" si="168"/>
        <v>3.0158999999999998</v>
      </c>
      <c r="D1817" s="2">
        <f t="shared" si="169"/>
        <v>4372281</v>
      </c>
      <c r="E1817" s="2">
        <f t="shared" si="170"/>
        <v>9142439571</v>
      </c>
      <c r="F1817" s="2">
        <f t="shared" si="171"/>
        <v>19116841142961</v>
      </c>
      <c r="G1817" s="2">
        <f t="shared" si="172"/>
        <v>6306.2468999999992</v>
      </c>
      <c r="H1817" s="2">
        <f t="shared" si="173"/>
        <v>13186362.267899999</v>
      </c>
    </row>
    <row r="1818" spans="1:8" x14ac:dyDescent="0.35">
      <c r="A1818" s="2">
        <v>2091</v>
      </c>
      <c r="B1818" s="2">
        <v>30308</v>
      </c>
      <c r="C1818" s="2">
        <f t="shared" si="168"/>
        <v>3.0308000000000002</v>
      </c>
      <c r="D1818" s="2">
        <f t="shared" si="169"/>
        <v>4372281</v>
      </c>
      <c r="E1818" s="2">
        <f t="shared" si="170"/>
        <v>9142439571</v>
      </c>
      <c r="F1818" s="2">
        <f t="shared" si="171"/>
        <v>19116841142961</v>
      </c>
      <c r="G1818" s="2">
        <f t="shared" si="172"/>
        <v>6337.4028000000008</v>
      </c>
      <c r="H1818" s="2">
        <f t="shared" si="173"/>
        <v>13251509.254800001</v>
      </c>
    </row>
    <row r="1819" spans="1:8" x14ac:dyDescent="0.35">
      <c r="A1819" s="2">
        <v>2091</v>
      </c>
      <c r="B1819" s="2">
        <v>30793</v>
      </c>
      <c r="C1819" s="2">
        <f t="shared" si="168"/>
        <v>3.0792999999999999</v>
      </c>
      <c r="D1819" s="2">
        <f t="shared" si="169"/>
        <v>4372281</v>
      </c>
      <c r="E1819" s="2">
        <f t="shared" si="170"/>
        <v>9142439571</v>
      </c>
      <c r="F1819" s="2">
        <f t="shared" si="171"/>
        <v>19116841142961</v>
      </c>
      <c r="G1819" s="2">
        <f t="shared" si="172"/>
        <v>6438.8162999999995</v>
      </c>
      <c r="H1819" s="2">
        <f t="shared" si="173"/>
        <v>13463564.883299999</v>
      </c>
    </row>
    <row r="1820" spans="1:8" x14ac:dyDescent="0.35">
      <c r="A1820" s="2">
        <v>2091</v>
      </c>
      <c r="B1820" s="2">
        <v>32405</v>
      </c>
      <c r="C1820" s="2">
        <f t="shared" si="168"/>
        <v>3.2404999999999999</v>
      </c>
      <c r="D1820" s="2">
        <f t="shared" si="169"/>
        <v>4372281</v>
      </c>
      <c r="E1820" s="2">
        <f t="shared" si="170"/>
        <v>9142439571</v>
      </c>
      <c r="F1820" s="2">
        <f t="shared" si="171"/>
        <v>19116841142961</v>
      </c>
      <c r="G1820" s="2">
        <f t="shared" si="172"/>
        <v>6775.8855000000003</v>
      </c>
      <c r="H1820" s="2">
        <f t="shared" si="173"/>
        <v>14168376.580499999</v>
      </c>
    </row>
    <row r="1821" spans="1:8" x14ac:dyDescent="0.35">
      <c r="A1821" s="2">
        <v>2091</v>
      </c>
      <c r="B1821" s="2">
        <v>33301</v>
      </c>
      <c r="C1821" s="2">
        <f t="shared" si="168"/>
        <v>3.3300999999999998</v>
      </c>
      <c r="D1821" s="2">
        <f t="shared" si="169"/>
        <v>4372281</v>
      </c>
      <c r="E1821" s="2">
        <f t="shared" si="170"/>
        <v>9142439571</v>
      </c>
      <c r="F1821" s="2">
        <f t="shared" si="171"/>
        <v>19116841142961</v>
      </c>
      <c r="G1821" s="2">
        <f t="shared" si="172"/>
        <v>6963.2390999999998</v>
      </c>
      <c r="H1821" s="2">
        <f t="shared" si="173"/>
        <v>14560132.958099999</v>
      </c>
    </row>
    <row r="1822" spans="1:8" x14ac:dyDescent="0.35">
      <c r="A1822" s="2">
        <v>2091</v>
      </c>
      <c r="B1822" s="2">
        <v>33639</v>
      </c>
      <c r="C1822" s="2">
        <f t="shared" si="168"/>
        <v>3.3639000000000001</v>
      </c>
      <c r="D1822" s="2">
        <f t="shared" si="169"/>
        <v>4372281</v>
      </c>
      <c r="E1822" s="2">
        <f t="shared" si="170"/>
        <v>9142439571</v>
      </c>
      <c r="F1822" s="2">
        <f t="shared" si="171"/>
        <v>19116841142961</v>
      </c>
      <c r="G1822" s="2">
        <f t="shared" si="172"/>
        <v>7033.9149000000007</v>
      </c>
      <c r="H1822" s="2">
        <f t="shared" si="173"/>
        <v>14707916.0559</v>
      </c>
    </row>
    <row r="1823" spans="1:8" x14ac:dyDescent="0.35">
      <c r="A1823" s="2">
        <v>2091</v>
      </c>
      <c r="B1823" s="2">
        <v>33655</v>
      </c>
      <c r="C1823" s="2">
        <f t="shared" si="168"/>
        <v>3.3654999999999999</v>
      </c>
      <c r="D1823" s="2">
        <f t="shared" si="169"/>
        <v>4372281</v>
      </c>
      <c r="E1823" s="2">
        <f t="shared" si="170"/>
        <v>9142439571</v>
      </c>
      <c r="F1823" s="2">
        <f t="shared" si="171"/>
        <v>19116841142961</v>
      </c>
      <c r="G1823" s="2">
        <f t="shared" si="172"/>
        <v>7037.2605000000003</v>
      </c>
      <c r="H1823" s="2">
        <f t="shared" si="173"/>
        <v>14714911.705499999</v>
      </c>
    </row>
    <row r="1824" spans="1:8" x14ac:dyDescent="0.35">
      <c r="A1824" s="2">
        <v>2091</v>
      </c>
      <c r="B1824" s="2">
        <v>35785</v>
      </c>
      <c r="C1824" s="2">
        <f t="shared" si="168"/>
        <v>3.5785</v>
      </c>
      <c r="D1824" s="2">
        <f t="shared" si="169"/>
        <v>4372281</v>
      </c>
      <c r="E1824" s="2">
        <f t="shared" si="170"/>
        <v>9142439571</v>
      </c>
      <c r="F1824" s="2">
        <f t="shared" si="171"/>
        <v>19116841142961</v>
      </c>
      <c r="G1824" s="2">
        <f t="shared" si="172"/>
        <v>7482.6435000000001</v>
      </c>
      <c r="H1824" s="2">
        <f t="shared" si="173"/>
        <v>15646207.558499999</v>
      </c>
    </row>
    <row r="1825" spans="1:8" x14ac:dyDescent="0.35">
      <c r="A1825" s="2">
        <v>2091</v>
      </c>
      <c r="B1825" s="2">
        <v>36899</v>
      </c>
      <c r="C1825" s="2">
        <f t="shared" si="168"/>
        <v>3.6899000000000002</v>
      </c>
      <c r="D1825" s="2">
        <f t="shared" si="169"/>
        <v>4372281</v>
      </c>
      <c r="E1825" s="2">
        <f t="shared" si="170"/>
        <v>9142439571</v>
      </c>
      <c r="F1825" s="2">
        <f t="shared" si="171"/>
        <v>19116841142961</v>
      </c>
      <c r="G1825" s="2">
        <f t="shared" si="172"/>
        <v>7715.5808999999999</v>
      </c>
      <c r="H1825" s="2">
        <f t="shared" si="173"/>
        <v>16133279.661900001</v>
      </c>
    </row>
    <row r="1826" spans="1:8" x14ac:dyDescent="0.35">
      <c r="A1826" s="2">
        <v>2091</v>
      </c>
      <c r="B1826" s="2">
        <v>37694</v>
      </c>
      <c r="C1826" s="2">
        <f t="shared" si="168"/>
        <v>3.7694000000000001</v>
      </c>
      <c r="D1826" s="2">
        <f t="shared" si="169"/>
        <v>4372281</v>
      </c>
      <c r="E1826" s="2">
        <f t="shared" si="170"/>
        <v>9142439571</v>
      </c>
      <c r="F1826" s="2">
        <f t="shared" si="171"/>
        <v>19116841142961</v>
      </c>
      <c r="G1826" s="2">
        <f t="shared" si="172"/>
        <v>7881.8154000000004</v>
      </c>
      <c r="H1826" s="2">
        <f t="shared" si="173"/>
        <v>16480876.001399999</v>
      </c>
    </row>
    <row r="1827" spans="1:8" x14ac:dyDescent="0.35">
      <c r="A1827" s="2">
        <v>2091</v>
      </c>
      <c r="B1827" s="2">
        <v>38639</v>
      </c>
      <c r="C1827" s="2">
        <f t="shared" si="168"/>
        <v>3.8639000000000001</v>
      </c>
      <c r="D1827" s="2">
        <f t="shared" si="169"/>
        <v>4372281</v>
      </c>
      <c r="E1827" s="2">
        <f t="shared" si="170"/>
        <v>9142439571</v>
      </c>
      <c r="F1827" s="2">
        <f t="shared" si="171"/>
        <v>19116841142961</v>
      </c>
      <c r="G1827" s="2">
        <f t="shared" si="172"/>
        <v>8079.4149000000007</v>
      </c>
      <c r="H1827" s="2">
        <f t="shared" si="173"/>
        <v>16894056.5559</v>
      </c>
    </row>
    <row r="1828" spans="1:8" x14ac:dyDescent="0.35">
      <c r="A1828" s="2">
        <v>2091</v>
      </c>
      <c r="B1828" s="2">
        <v>39688</v>
      </c>
      <c r="C1828" s="2">
        <f t="shared" si="168"/>
        <v>3.9687999999999999</v>
      </c>
      <c r="D1828" s="2">
        <f t="shared" si="169"/>
        <v>4372281</v>
      </c>
      <c r="E1828" s="2">
        <f t="shared" si="170"/>
        <v>9142439571</v>
      </c>
      <c r="F1828" s="2">
        <f t="shared" si="171"/>
        <v>19116841142961</v>
      </c>
      <c r="G1828" s="2">
        <f t="shared" si="172"/>
        <v>8298.7608</v>
      </c>
      <c r="H1828" s="2">
        <f t="shared" si="173"/>
        <v>17352708.832800001</v>
      </c>
    </row>
    <row r="1829" spans="1:8" x14ac:dyDescent="0.35">
      <c r="A1829" s="2">
        <v>2091</v>
      </c>
      <c r="B1829" s="2">
        <v>39917</v>
      </c>
      <c r="C1829" s="2">
        <f t="shared" si="168"/>
        <v>3.9916999999999998</v>
      </c>
      <c r="D1829" s="2">
        <f t="shared" si="169"/>
        <v>4372281</v>
      </c>
      <c r="E1829" s="2">
        <f t="shared" si="170"/>
        <v>9142439571</v>
      </c>
      <c r="F1829" s="2">
        <f t="shared" si="171"/>
        <v>19116841142961</v>
      </c>
      <c r="G1829" s="2">
        <f t="shared" si="172"/>
        <v>8346.6446999999989</v>
      </c>
      <c r="H1829" s="2">
        <f t="shared" si="173"/>
        <v>17452834.067699999</v>
      </c>
    </row>
    <row r="1830" spans="1:8" x14ac:dyDescent="0.35">
      <c r="A1830" s="2">
        <v>2091</v>
      </c>
      <c r="B1830" s="2">
        <v>40026</v>
      </c>
      <c r="C1830" s="2">
        <f t="shared" si="168"/>
        <v>4.0026000000000002</v>
      </c>
      <c r="D1830" s="2">
        <f t="shared" si="169"/>
        <v>4372281</v>
      </c>
      <c r="E1830" s="2">
        <f t="shared" si="170"/>
        <v>9142439571</v>
      </c>
      <c r="F1830" s="2">
        <f t="shared" si="171"/>
        <v>19116841142961</v>
      </c>
      <c r="G1830" s="2">
        <f t="shared" si="172"/>
        <v>8369.4366000000009</v>
      </c>
      <c r="H1830" s="2">
        <f t="shared" si="173"/>
        <v>17500491.930600002</v>
      </c>
    </row>
    <row r="1831" spans="1:8" x14ac:dyDescent="0.35">
      <c r="A1831" s="2">
        <v>2091</v>
      </c>
      <c r="B1831" s="2">
        <v>37733</v>
      </c>
      <c r="C1831" s="2">
        <f t="shared" si="168"/>
        <v>3.7732999999999999</v>
      </c>
      <c r="D1831" s="2">
        <f t="shared" si="169"/>
        <v>4372281</v>
      </c>
      <c r="E1831" s="2">
        <f t="shared" si="170"/>
        <v>9142439571</v>
      </c>
      <c r="F1831" s="2">
        <f t="shared" si="171"/>
        <v>19116841142961</v>
      </c>
      <c r="G1831" s="2">
        <f t="shared" si="172"/>
        <v>7889.9703</v>
      </c>
      <c r="H1831" s="2">
        <f t="shared" si="173"/>
        <v>16497927.897299999</v>
      </c>
    </row>
    <row r="1832" spans="1:8" x14ac:dyDescent="0.35">
      <c r="A1832" s="2">
        <v>2091</v>
      </c>
      <c r="B1832" s="2">
        <v>37512</v>
      </c>
      <c r="C1832" s="2">
        <f t="shared" si="168"/>
        <v>3.7511999999999999</v>
      </c>
      <c r="D1832" s="2">
        <f t="shared" si="169"/>
        <v>4372281</v>
      </c>
      <c r="E1832" s="2">
        <f t="shared" si="170"/>
        <v>9142439571</v>
      </c>
      <c r="F1832" s="2">
        <f t="shared" si="171"/>
        <v>19116841142961</v>
      </c>
      <c r="G1832" s="2">
        <f t="shared" si="172"/>
        <v>7843.7591999999995</v>
      </c>
      <c r="H1832" s="2">
        <f t="shared" si="173"/>
        <v>16401300.487199999</v>
      </c>
    </row>
    <row r="1833" spans="1:8" x14ac:dyDescent="0.35">
      <c r="A1833" s="2">
        <v>2091</v>
      </c>
      <c r="B1833" s="2">
        <v>37930</v>
      </c>
      <c r="C1833" s="2">
        <f t="shared" si="168"/>
        <v>3.7930000000000001</v>
      </c>
      <c r="D1833" s="2">
        <f t="shared" si="169"/>
        <v>4372281</v>
      </c>
      <c r="E1833" s="2">
        <f t="shared" si="170"/>
        <v>9142439571</v>
      </c>
      <c r="F1833" s="2">
        <f t="shared" si="171"/>
        <v>19116841142961</v>
      </c>
      <c r="G1833" s="2">
        <f t="shared" si="172"/>
        <v>7931.1630000000005</v>
      </c>
      <c r="H1833" s="2">
        <f t="shared" si="173"/>
        <v>16584061.833000001</v>
      </c>
    </row>
    <row r="1834" spans="1:8" x14ac:dyDescent="0.35">
      <c r="A1834" s="2">
        <v>2091</v>
      </c>
      <c r="B1834" s="2">
        <v>38464</v>
      </c>
      <c r="C1834" s="2">
        <f t="shared" si="168"/>
        <v>3.8464</v>
      </c>
      <c r="D1834" s="2">
        <f t="shared" si="169"/>
        <v>4372281</v>
      </c>
      <c r="E1834" s="2">
        <f t="shared" si="170"/>
        <v>9142439571</v>
      </c>
      <c r="F1834" s="2">
        <f t="shared" si="171"/>
        <v>19116841142961</v>
      </c>
      <c r="G1834" s="2">
        <f t="shared" si="172"/>
        <v>8042.8224</v>
      </c>
      <c r="H1834" s="2">
        <f t="shared" si="173"/>
        <v>16817541.6384</v>
      </c>
    </row>
    <row r="1835" spans="1:8" x14ac:dyDescent="0.35">
      <c r="A1835" s="2">
        <v>2091</v>
      </c>
      <c r="B1835" s="2">
        <v>38718</v>
      </c>
      <c r="C1835" s="2">
        <f t="shared" si="168"/>
        <v>3.8717999999999999</v>
      </c>
      <c r="D1835" s="2">
        <f t="shared" si="169"/>
        <v>4372281</v>
      </c>
      <c r="E1835" s="2">
        <f t="shared" si="170"/>
        <v>9142439571</v>
      </c>
      <c r="F1835" s="2">
        <f t="shared" si="171"/>
        <v>19116841142961</v>
      </c>
      <c r="G1835" s="2">
        <f t="shared" si="172"/>
        <v>8095.9337999999998</v>
      </c>
      <c r="H1835" s="2">
        <f t="shared" si="173"/>
        <v>16928597.575799998</v>
      </c>
    </row>
    <row r="1836" spans="1:8" x14ac:dyDescent="0.35">
      <c r="A1836" s="2">
        <v>2091</v>
      </c>
      <c r="B1836" s="2">
        <v>38181</v>
      </c>
      <c r="C1836" s="2">
        <f t="shared" si="168"/>
        <v>3.8180999999999998</v>
      </c>
      <c r="D1836" s="2">
        <f t="shared" si="169"/>
        <v>4372281</v>
      </c>
      <c r="E1836" s="2">
        <f t="shared" si="170"/>
        <v>9142439571</v>
      </c>
      <c r="F1836" s="2">
        <f t="shared" si="171"/>
        <v>19116841142961</v>
      </c>
      <c r="G1836" s="2">
        <f t="shared" si="172"/>
        <v>7983.6470999999992</v>
      </c>
      <c r="H1836" s="2">
        <f t="shared" si="173"/>
        <v>16693806.086099999</v>
      </c>
    </row>
    <row r="1837" spans="1:8" x14ac:dyDescent="0.35">
      <c r="A1837" s="2">
        <v>1500</v>
      </c>
      <c r="B1837" s="2">
        <v>20161</v>
      </c>
      <c r="C1837" s="2">
        <f t="shared" si="168"/>
        <v>2.0160999999999998</v>
      </c>
      <c r="D1837" s="2">
        <f t="shared" si="169"/>
        <v>2250000</v>
      </c>
      <c r="E1837" s="2">
        <f t="shared" si="170"/>
        <v>3375000000</v>
      </c>
      <c r="F1837" s="2">
        <f t="shared" si="171"/>
        <v>5062500000000</v>
      </c>
      <c r="G1837" s="2">
        <f t="shared" si="172"/>
        <v>3024.1499999999996</v>
      </c>
      <c r="H1837" s="2">
        <f t="shared" si="173"/>
        <v>4536224.9999999991</v>
      </c>
    </row>
    <row r="1838" spans="1:8" x14ac:dyDescent="0.35">
      <c r="A1838" s="2">
        <v>1500</v>
      </c>
      <c r="B1838" s="2">
        <v>17790</v>
      </c>
      <c r="C1838" s="2">
        <f t="shared" si="168"/>
        <v>1.7789999999999999</v>
      </c>
      <c r="D1838" s="2">
        <f t="shared" si="169"/>
        <v>2250000</v>
      </c>
      <c r="E1838" s="2">
        <f t="shared" si="170"/>
        <v>3375000000</v>
      </c>
      <c r="F1838" s="2">
        <f t="shared" si="171"/>
        <v>5062500000000</v>
      </c>
      <c r="G1838" s="2">
        <f t="shared" si="172"/>
        <v>2668.5</v>
      </c>
      <c r="H1838" s="2">
        <f t="shared" si="173"/>
        <v>4002750</v>
      </c>
    </row>
    <row r="1839" spans="1:8" x14ac:dyDescent="0.35">
      <c r="A1839" s="2">
        <v>1500</v>
      </c>
      <c r="B1839" s="2">
        <v>20950</v>
      </c>
      <c r="C1839" s="2">
        <f t="shared" si="168"/>
        <v>2.0950000000000002</v>
      </c>
      <c r="D1839" s="2">
        <f t="shared" si="169"/>
        <v>2250000</v>
      </c>
      <c r="E1839" s="2">
        <f t="shared" si="170"/>
        <v>3375000000</v>
      </c>
      <c r="F1839" s="2">
        <f t="shared" si="171"/>
        <v>5062500000000</v>
      </c>
      <c r="G1839" s="2">
        <f t="shared" si="172"/>
        <v>3142.5000000000005</v>
      </c>
      <c r="H1839" s="2">
        <f t="shared" si="173"/>
        <v>4713750</v>
      </c>
    </row>
    <row r="1840" spans="1:8" x14ac:dyDescent="0.35">
      <c r="A1840" s="2">
        <v>1500</v>
      </c>
      <c r="B1840" s="2">
        <v>23657</v>
      </c>
      <c r="C1840" s="2">
        <f t="shared" si="168"/>
        <v>2.3656999999999999</v>
      </c>
      <c r="D1840" s="2">
        <f t="shared" si="169"/>
        <v>2250000</v>
      </c>
      <c r="E1840" s="2">
        <f t="shared" si="170"/>
        <v>3375000000</v>
      </c>
      <c r="F1840" s="2">
        <f t="shared" si="171"/>
        <v>5062500000000</v>
      </c>
      <c r="G1840" s="2">
        <f t="shared" si="172"/>
        <v>3548.5499999999997</v>
      </c>
      <c r="H1840" s="2">
        <f t="shared" si="173"/>
        <v>5322825</v>
      </c>
    </row>
    <row r="1841" spans="1:8" x14ac:dyDescent="0.35">
      <c r="A1841" s="2">
        <v>1500</v>
      </c>
      <c r="B1841" s="2">
        <v>24067</v>
      </c>
      <c r="C1841" s="2">
        <f t="shared" si="168"/>
        <v>2.4066999999999998</v>
      </c>
      <c r="D1841" s="2">
        <f t="shared" si="169"/>
        <v>2250000</v>
      </c>
      <c r="E1841" s="2">
        <f t="shared" si="170"/>
        <v>3375000000</v>
      </c>
      <c r="F1841" s="2">
        <f t="shared" si="171"/>
        <v>5062500000000</v>
      </c>
      <c r="G1841" s="2">
        <f t="shared" si="172"/>
        <v>3610.0499999999997</v>
      </c>
      <c r="H1841" s="2">
        <f t="shared" si="173"/>
        <v>5415075</v>
      </c>
    </row>
    <row r="1842" spans="1:8" x14ac:dyDescent="0.35">
      <c r="A1842" s="2">
        <v>1500</v>
      </c>
      <c r="B1842" s="2">
        <v>22826</v>
      </c>
      <c r="C1842" s="2">
        <f t="shared" si="168"/>
        <v>2.2826</v>
      </c>
      <c r="D1842" s="2">
        <f t="shared" si="169"/>
        <v>2250000</v>
      </c>
      <c r="E1842" s="2">
        <f t="shared" si="170"/>
        <v>3375000000</v>
      </c>
      <c r="F1842" s="2">
        <f t="shared" si="171"/>
        <v>5062500000000</v>
      </c>
      <c r="G1842" s="2">
        <f t="shared" si="172"/>
        <v>3423.9</v>
      </c>
      <c r="H1842" s="2">
        <f t="shared" si="173"/>
        <v>5135850</v>
      </c>
    </row>
    <row r="1843" spans="1:8" x14ac:dyDescent="0.35">
      <c r="A1843" s="2">
        <v>1500</v>
      </c>
      <c r="B1843" s="2">
        <v>20481</v>
      </c>
      <c r="C1843" s="2">
        <f t="shared" si="168"/>
        <v>2.0480999999999998</v>
      </c>
      <c r="D1843" s="2">
        <f t="shared" si="169"/>
        <v>2250000</v>
      </c>
      <c r="E1843" s="2">
        <f t="shared" si="170"/>
        <v>3375000000</v>
      </c>
      <c r="F1843" s="2">
        <f t="shared" si="171"/>
        <v>5062500000000</v>
      </c>
      <c r="G1843" s="2">
        <f t="shared" si="172"/>
        <v>3072.1499999999996</v>
      </c>
      <c r="H1843" s="2">
        <f t="shared" si="173"/>
        <v>4608225</v>
      </c>
    </row>
    <row r="1844" spans="1:8" x14ac:dyDescent="0.35">
      <c r="A1844" s="2">
        <v>1500</v>
      </c>
      <c r="B1844" s="2">
        <v>24100</v>
      </c>
      <c r="C1844" s="2">
        <f t="shared" si="168"/>
        <v>2.41</v>
      </c>
      <c r="D1844" s="2">
        <f t="shared" si="169"/>
        <v>2250000</v>
      </c>
      <c r="E1844" s="2">
        <f t="shared" si="170"/>
        <v>3375000000</v>
      </c>
      <c r="F1844" s="2">
        <f t="shared" si="171"/>
        <v>5062500000000</v>
      </c>
      <c r="G1844" s="2">
        <f t="shared" si="172"/>
        <v>3615</v>
      </c>
      <c r="H1844" s="2">
        <f t="shared" si="173"/>
        <v>5422500</v>
      </c>
    </row>
    <row r="1845" spans="1:8" x14ac:dyDescent="0.35">
      <c r="A1845" s="2">
        <v>1500</v>
      </c>
      <c r="B1845" s="2">
        <v>21237</v>
      </c>
      <c r="C1845" s="2">
        <f t="shared" si="168"/>
        <v>2.1236999999999999</v>
      </c>
      <c r="D1845" s="2">
        <f t="shared" si="169"/>
        <v>2250000</v>
      </c>
      <c r="E1845" s="2">
        <f t="shared" si="170"/>
        <v>3375000000</v>
      </c>
      <c r="F1845" s="2">
        <f t="shared" si="171"/>
        <v>5062500000000</v>
      </c>
      <c r="G1845" s="2">
        <f t="shared" si="172"/>
        <v>3185.5499999999997</v>
      </c>
      <c r="H1845" s="2">
        <f t="shared" si="173"/>
        <v>4778325</v>
      </c>
    </row>
    <row r="1846" spans="1:8" x14ac:dyDescent="0.35">
      <c r="A1846" s="2">
        <v>1500</v>
      </c>
      <c r="B1846" s="2">
        <v>23910</v>
      </c>
      <c r="C1846" s="2">
        <f t="shared" si="168"/>
        <v>2.391</v>
      </c>
      <c r="D1846" s="2">
        <f t="shared" si="169"/>
        <v>2250000</v>
      </c>
      <c r="E1846" s="2">
        <f t="shared" si="170"/>
        <v>3375000000</v>
      </c>
      <c r="F1846" s="2">
        <f t="shared" si="171"/>
        <v>5062500000000</v>
      </c>
      <c r="G1846" s="2">
        <f t="shared" si="172"/>
        <v>3586.5</v>
      </c>
      <c r="H1846" s="2">
        <f t="shared" si="173"/>
        <v>5379750</v>
      </c>
    </row>
    <row r="1847" spans="1:8" x14ac:dyDescent="0.35">
      <c r="A1847" s="2">
        <v>1500</v>
      </c>
      <c r="B1847" s="2">
        <v>24554</v>
      </c>
      <c r="C1847" s="2">
        <f t="shared" si="168"/>
        <v>2.4554</v>
      </c>
      <c r="D1847" s="2">
        <f t="shared" si="169"/>
        <v>2250000</v>
      </c>
      <c r="E1847" s="2">
        <f t="shared" si="170"/>
        <v>3375000000</v>
      </c>
      <c r="F1847" s="2">
        <f t="shared" si="171"/>
        <v>5062500000000</v>
      </c>
      <c r="G1847" s="2">
        <f t="shared" si="172"/>
        <v>3683.1</v>
      </c>
      <c r="H1847" s="2">
        <f t="shared" si="173"/>
        <v>5524650</v>
      </c>
    </row>
    <row r="1848" spans="1:8" x14ac:dyDescent="0.35">
      <c r="A1848" s="2">
        <v>1500</v>
      </c>
      <c r="B1848" s="2">
        <v>24170</v>
      </c>
      <c r="C1848" s="2">
        <f t="shared" si="168"/>
        <v>2.4169999999999998</v>
      </c>
      <c r="D1848" s="2">
        <f t="shared" si="169"/>
        <v>2250000</v>
      </c>
      <c r="E1848" s="2">
        <f t="shared" si="170"/>
        <v>3375000000</v>
      </c>
      <c r="F1848" s="2">
        <f t="shared" si="171"/>
        <v>5062500000000</v>
      </c>
      <c r="G1848" s="2">
        <f t="shared" si="172"/>
        <v>3625.4999999999995</v>
      </c>
      <c r="H1848" s="2">
        <f t="shared" si="173"/>
        <v>5438250</v>
      </c>
    </row>
    <row r="1849" spans="1:8" x14ac:dyDescent="0.35">
      <c r="A1849" s="2">
        <v>1500</v>
      </c>
      <c r="B1849" s="2">
        <v>24434</v>
      </c>
      <c r="C1849" s="2">
        <f t="shared" si="168"/>
        <v>2.4434</v>
      </c>
      <c r="D1849" s="2">
        <f t="shared" si="169"/>
        <v>2250000</v>
      </c>
      <c r="E1849" s="2">
        <f t="shared" si="170"/>
        <v>3375000000</v>
      </c>
      <c r="F1849" s="2">
        <f t="shared" si="171"/>
        <v>5062500000000</v>
      </c>
      <c r="G1849" s="2">
        <f t="shared" si="172"/>
        <v>3665.1</v>
      </c>
      <c r="H1849" s="2">
        <f t="shared" si="173"/>
        <v>5497650</v>
      </c>
    </row>
    <row r="1850" spans="1:8" x14ac:dyDescent="0.35">
      <c r="A1850" s="2">
        <v>1500</v>
      </c>
      <c r="B1850" s="2">
        <v>24722</v>
      </c>
      <c r="C1850" s="2">
        <f t="shared" si="168"/>
        <v>2.4722</v>
      </c>
      <c r="D1850" s="2">
        <f t="shared" si="169"/>
        <v>2250000</v>
      </c>
      <c r="E1850" s="2">
        <f t="shared" si="170"/>
        <v>3375000000</v>
      </c>
      <c r="F1850" s="2">
        <f t="shared" si="171"/>
        <v>5062500000000</v>
      </c>
      <c r="G1850" s="2">
        <f t="shared" si="172"/>
        <v>3708.2999999999997</v>
      </c>
      <c r="H1850" s="2">
        <f t="shared" si="173"/>
        <v>5562450</v>
      </c>
    </row>
    <row r="1851" spans="1:8" x14ac:dyDescent="0.35">
      <c r="A1851" s="2">
        <v>1500</v>
      </c>
      <c r="B1851" s="2">
        <v>27028</v>
      </c>
      <c r="C1851" s="2">
        <f t="shared" si="168"/>
        <v>2.7027999999999999</v>
      </c>
      <c r="D1851" s="2">
        <f t="shared" si="169"/>
        <v>2250000</v>
      </c>
      <c r="E1851" s="2">
        <f t="shared" si="170"/>
        <v>3375000000</v>
      </c>
      <c r="F1851" s="2">
        <f t="shared" si="171"/>
        <v>5062500000000</v>
      </c>
      <c r="G1851" s="2">
        <f t="shared" si="172"/>
        <v>4054.2</v>
      </c>
      <c r="H1851" s="2">
        <f t="shared" si="173"/>
        <v>6081300</v>
      </c>
    </row>
    <row r="1852" spans="1:8" x14ac:dyDescent="0.35">
      <c r="A1852" s="2">
        <v>1500</v>
      </c>
      <c r="B1852" s="2">
        <v>27454</v>
      </c>
      <c r="C1852" s="2">
        <f t="shared" si="168"/>
        <v>2.7454000000000001</v>
      </c>
      <c r="D1852" s="2">
        <f t="shared" si="169"/>
        <v>2250000</v>
      </c>
      <c r="E1852" s="2">
        <f t="shared" si="170"/>
        <v>3375000000</v>
      </c>
      <c r="F1852" s="2">
        <f t="shared" si="171"/>
        <v>5062500000000</v>
      </c>
      <c r="G1852" s="2">
        <f t="shared" si="172"/>
        <v>4118.1000000000004</v>
      </c>
      <c r="H1852" s="2">
        <f t="shared" si="173"/>
        <v>6177150</v>
      </c>
    </row>
    <row r="1853" spans="1:8" x14ac:dyDescent="0.35">
      <c r="A1853" s="2">
        <v>1500</v>
      </c>
      <c r="B1853" s="2">
        <v>26754</v>
      </c>
      <c r="C1853" s="2">
        <f t="shared" si="168"/>
        <v>2.6753999999999998</v>
      </c>
      <c r="D1853" s="2">
        <f t="shared" si="169"/>
        <v>2250000</v>
      </c>
      <c r="E1853" s="2">
        <f t="shared" si="170"/>
        <v>3375000000</v>
      </c>
      <c r="F1853" s="2">
        <f t="shared" si="171"/>
        <v>5062500000000</v>
      </c>
      <c r="G1853" s="2">
        <f t="shared" si="172"/>
        <v>4013.0999999999995</v>
      </c>
      <c r="H1853" s="2">
        <f t="shared" si="173"/>
        <v>6019649.9999999991</v>
      </c>
    </row>
    <row r="1854" spans="1:8" x14ac:dyDescent="0.35">
      <c r="A1854" s="2">
        <v>1500</v>
      </c>
      <c r="B1854" s="2">
        <v>28573</v>
      </c>
      <c r="C1854" s="2">
        <f t="shared" si="168"/>
        <v>2.8573</v>
      </c>
      <c r="D1854" s="2">
        <f t="shared" si="169"/>
        <v>2250000</v>
      </c>
      <c r="E1854" s="2">
        <f t="shared" si="170"/>
        <v>3375000000</v>
      </c>
      <c r="F1854" s="2">
        <f t="shared" si="171"/>
        <v>5062500000000</v>
      </c>
      <c r="G1854" s="2">
        <f t="shared" si="172"/>
        <v>4285.95</v>
      </c>
      <c r="H1854" s="2">
        <f t="shared" si="173"/>
        <v>6428925</v>
      </c>
    </row>
    <row r="1855" spans="1:8" x14ac:dyDescent="0.35">
      <c r="A1855" s="2">
        <v>1500</v>
      </c>
      <c r="B1855" s="2">
        <v>27825</v>
      </c>
      <c r="C1855" s="2">
        <f t="shared" si="168"/>
        <v>2.7825000000000002</v>
      </c>
      <c r="D1855" s="2">
        <f t="shared" si="169"/>
        <v>2250000</v>
      </c>
      <c r="E1855" s="2">
        <f t="shared" si="170"/>
        <v>3375000000</v>
      </c>
      <c r="F1855" s="2">
        <f t="shared" si="171"/>
        <v>5062500000000</v>
      </c>
      <c r="G1855" s="2">
        <f t="shared" si="172"/>
        <v>4173.75</v>
      </c>
      <c r="H1855" s="2">
        <f t="shared" si="173"/>
        <v>6260625</v>
      </c>
    </row>
    <row r="1856" spans="1:8" x14ac:dyDescent="0.35">
      <c r="A1856" s="2">
        <v>1500</v>
      </c>
      <c r="B1856" s="2">
        <v>27166</v>
      </c>
      <c r="C1856" s="2">
        <f t="shared" si="168"/>
        <v>2.7166000000000001</v>
      </c>
      <c r="D1856" s="2">
        <f t="shared" si="169"/>
        <v>2250000</v>
      </c>
      <c r="E1856" s="2">
        <f t="shared" si="170"/>
        <v>3375000000</v>
      </c>
      <c r="F1856" s="2">
        <f t="shared" si="171"/>
        <v>5062500000000</v>
      </c>
      <c r="G1856" s="2">
        <f t="shared" si="172"/>
        <v>4074.9</v>
      </c>
      <c r="H1856" s="2">
        <f t="shared" si="173"/>
        <v>6112350</v>
      </c>
    </row>
    <row r="1857" spans="1:8" x14ac:dyDescent="0.35">
      <c r="A1857" s="2">
        <v>1500</v>
      </c>
      <c r="B1857" s="2">
        <v>25570</v>
      </c>
      <c r="C1857" s="2">
        <f t="shared" si="168"/>
        <v>2.5569999999999999</v>
      </c>
      <c r="D1857" s="2">
        <f t="shared" si="169"/>
        <v>2250000</v>
      </c>
      <c r="E1857" s="2">
        <f t="shared" si="170"/>
        <v>3375000000</v>
      </c>
      <c r="F1857" s="2">
        <f t="shared" si="171"/>
        <v>5062500000000</v>
      </c>
      <c r="G1857" s="2">
        <f t="shared" si="172"/>
        <v>3835.5</v>
      </c>
      <c r="H1857" s="2">
        <f t="shared" si="173"/>
        <v>5753250</v>
      </c>
    </row>
    <row r="1858" spans="1:8" x14ac:dyDescent="0.35">
      <c r="A1858" s="2">
        <v>1500</v>
      </c>
      <c r="B1858" s="2">
        <v>27750</v>
      </c>
      <c r="C1858" s="2">
        <f t="shared" si="168"/>
        <v>2.7749999999999999</v>
      </c>
      <c r="D1858" s="2">
        <f t="shared" si="169"/>
        <v>2250000</v>
      </c>
      <c r="E1858" s="2">
        <f t="shared" si="170"/>
        <v>3375000000</v>
      </c>
      <c r="F1858" s="2">
        <f t="shared" si="171"/>
        <v>5062500000000</v>
      </c>
      <c r="G1858" s="2">
        <f t="shared" si="172"/>
        <v>4162.5</v>
      </c>
      <c r="H1858" s="2">
        <f t="shared" si="173"/>
        <v>6243750</v>
      </c>
    </row>
    <row r="1859" spans="1:8" x14ac:dyDescent="0.35">
      <c r="A1859" s="2">
        <v>1500</v>
      </c>
      <c r="B1859" s="2">
        <v>29074</v>
      </c>
      <c r="C1859" s="2">
        <f t="shared" ref="C1859:C1922" si="174">B1859/10000</f>
        <v>2.9074</v>
      </c>
      <c r="D1859" s="2">
        <f t="shared" ref="D1859:D1922" si="175">A1859^2</f>
        <v>2250000</v>
      </c>
      <c r="E1859" s="2">
        <f t="shared" ref="E1859:E1922" si="176">A1859^3</f>
        <v>3375000000</v>
      </c>
      <c r="F1859" s="2">
        <f t="shared" ref="F1859:F1922" si="177">A1859^4</f>
        <v>5062500000000</v>
      </c>
      <c r="G1859" s="2">
        <f t="shared" ref="G1859:G1922" si="178">A1859*C1859</f>
        <v>4361.1000000000004</v>
      </c>
      <c r="H1859" s="2">
        <f t="shared" ref="H1859:H1922" si="179">D1859*C1859</f>
        <v>6541650</v>
      </c>
    </row>
    <row r="1860" spans="1:8" x14ac:dyDescent="0.35">
      <c r="A1860" s="2">
        <v>1500</v>
      </c>
      <c r="B1860" s="2">
        <v>27164</v>
      </c>
      <c r="C1860" s="2">
        <f t="shared" si="174"/>
        <v>2.7164000000000001</v>
      </c>
      <c r="D1860" s="2">
        <f t="shared" si="175"/>
        <v>2250000</v>
      </c>
      <c r="E1860" s="2">
        <f t="shared" si="176"/>
        <v>3375000000</v>
      </c>
      <c r="F1860" s="2">
        <f t="shared" si="177"/>
        <v>5062500000000</v>
      </c>
      <c r="G1860" s="2">
        <f t="shared" si="178"/>
        <v>4074.6000000000004</v>
      </c>
      <c r="H1860" s="2">
        <f t="shared" si="179"/>
        <v>6111900</v>
      </c>
    </row>
    <row r="1861" spans="1:8" x14ac:dyDescent="0.35">
      <c r="A1861" s="2">
        <v>1500</v>
      </c>
      <c r="B1861" s="2">
        <v>29805</v>
      </c>
      <c r="C1861" s="2">
        <f t="shared" si="174"/>
        <v>2.9805000000000001</v>
      </c>
      <c r="D1861" s="2">
        <f t="shared" si="175"/>
        <v>2250000</v>
      </c>
      <c r="E1861" s="2">
        <f t="shared" si="176"/>
        <v>3375000000</v>
      </c>
      <c r="F1861" s="2">
        <f t="shared" si="177"/>
        <v>5062500000000</v>
      </c>
      <c r="G1861" s="2">
        <f t="shared" si="178"/>
        <v>4470.75</v>
      </c>
      <c r="H1861" s="2">
        <f t="shared" si="179"/>
        <v>6706125</v>
      </c>
    </row>
    <row r="1862" spans="1:8" x14ac:dyDescent="0.35">
      <c r="A1862" s="2">
        <v>1500</v>
      </c>
      <c r="B1862" s="2">
        <v>33120</v>
      </c>
      <c r="C1862" s="2">
        <f t="shared" si="174"/>
        <v>3.3119999999999998</v>
      </c>
      <c r="D1862" s="2">
        <f t="shared" si="175"/>
        <v>2250000</v>
      </c>
      <c r="E1862" s="2">
        <f t="shared" si="176"/>
        <v>3375000000</v>
      </c>
      <c r="F1862" s="2">
        <f t="shared" si="177"/>
        <v>5062500000000</v>
      </c>
      <c r="G1862" s="2">
        <f t="shared" si="178"/>
        <v>4968</v>
      </c>
      <c r="H1862" s="2">
        <f t="shared" si="179"/>
        <v>7452000</v>
      </c>
    </row>
    <row r="1863" spans="1:8" x14ac:dyDescent="0.35">
      <c r="A1863" s="2">
        <v>1500</v>
      </c>
      <c r="B1863" s="2">
        <v>31709</v>
      </c>
      <c r="C1863" s="2">
        <f t="shared" si="174"/>
        <v>3.1709000000000001</v>
      </c>
      <c r="D1863" s="2">
        <f t="shared" si="175"/>
        <v>2250000</v>
      </c>
      <c r="E1863" s="2">
        <f t="shared" si="176"/>
        <v>3375000000</v>
      </c>
      <c r="F1863" s="2">
        <f t="shared" si="177"/>
        <v>5062500000000</v>
      </c>
      <c r="G1863" s="2">
        <f t="shared" si="178"/>
        <v>4756.3500000000004</v>
      </c>
      <c r="H1863" s="2">
        <f t="shared" si="179"/>
        <v>7134525</v>
      </c>
    </row>
    <row r="1864" spans="1:8" x14ac:dyDescent="0.35">
      <c r="A1864" s="2">
        <v>1500</v>
      </c>
      <c r="B1864" s="2">
        <v>33942</v>
      </c>
      <c r="C1864" s="2">
        <f t="shared" si="174"/>
        <v>3.3942000000000001</v>
      </c>
      <c r="D1864" s="2">
        <f t="shared" si="175"/>
        <v>2250000</v>
      </c>
      <c r="E1864" s="2">
        <f t="shared" si="176"/>
        <v>3375000000</v>
      </c>
      <c r="F1864" s="2">
        <f t="shared" si="177"/>
        <v>5062500000000</v>
      </c>
      <c r="G1864" s="2">
        <f t="shared" si="178"/>
        <v>5091.3</v>
      </c>
      <c r="H1864" s="2">
        <f t="shared" si="179"/>
        <v>7636950</v>
      </c>
    </row>
    <row r="1865" spans="1:8" x14ac:dyDescent="0.35">
      <c r="A1865" s="2">
        <v>1500</v>
      </c>
      <c r="B1865" s="2">
        <v>33596</v>
      </c>
      <c r="C1865" s="2">
        <f t="shared" si="174"/>
        <v>3.3595999999999999</v>
      </c>
      <c r="D1865" s="2">
        <f t="shared" si="175"/>
        <v>2250000</v>
      </c>
      <c r="E1865" s="2">
        <f t="shared" si="176"/>
        <v>3375000000</v>
      </c>
      <c r="F1865" s="2">
        <f t="shared" si="177"/>
        <v>5062500000000</v>
      </c>
      <c r="G1865" s="2">
        <f t="shared" si="178"/>
        <v>5039.3999999999996</v>
      </c>
      <c r="H1865" s="2">
        <f t="shared" si="179"/>
        <v>7559100</v>
      </c>
    </row>
    <row r="1866" spans="1:8" x14ac:dyDescent="0.35">
      <c r="A1866" s="2">
        <v>1500</v>
      </c>
      <c r="B1866" s="2">
        <v>31543</v>
      </c>
      <c r="C1866" s="2">
        <f t="shared" si="174"/>
        <v>3.1543000000000001</v>
      </c>
      <c r="D1866" s="2">
        <f t="shared" si="175"/>
        <v>2250000</v>
      </c>
      <c r="E1866" s="2">
        <f t="shared" si="176"/>
        <v>3375000000</v>
      </c>
      <c r="F1866" s="2">
        <f t="shared" si="177"/>
        <v>5062500000000</v>
      </c>
      <c r="G1866" s="2">
        <f t="shared" si="178"/>
        <v>4731.45</v>
      </c>
      <c r="H1866" s="2">
        <f t="shared" si="179"/>
        <v>7097175</v>
      </c>
    </row>
    <row r="1867" spans="1:8" x14ac:dyDescent="0.35">
      <c r="A1867" s="2">
        <v>2280</v>
      </c>
      <c r="B1867" s="2">
        <v>35284</v>
      </c>
      <c r="C1867" s="2">
        <f t="shared" si="174"/>
        <v>3.5284</v>
      </c>
      <c r="D1867" s="2">
        <f t="shared" si="175"/>
        <v>5198400</v>
      </c>
      <c r="E1867" s="2">
        <f t="shared" si="176"/>
        <v>11852352000</v>
      </c>
      <c r="F1867" s="2">
        <f t="shared" si="177"/>
        <v>27023362560000</v>
      </c>
      <c r="G1867" s="2">
        <f t="shared" si="178"/>
        <v>8044.7520000000004</v>
      </c>
      <c r="H1867" s="2">
        <f t="shared" si="179"/>
        <v>18342034.559999999</v>
      </c>
    </row>
    <row r="1868" spans="1:8" x14ac:dyDescent="0.35">
      <c r="A1868" s="2">
        <v>2280</v>
      </c>
      <c r="B1868" s="2">
        <v>30530</v>
      </c>
      <c r="C1868" s="2">
        <f t="shared" si="174"/>
        <v>3.0529999999999999</v>
      </c>
      <c r="D1868" s="2">
        <f t="shared" si="175"/>
        <v>5198400</v>
      </c>
      <c r="E1868" s="2">
        <f t="shared" si="176"/>
        <v>11852352000</v>
      </c>
      <c r="F1868" s="2">
        <f t="shared" si="177"/>
        <v>27023362560000</v>
      </c>
      <c r="G1868" s="2">
        <f t="shared" si="178"/>
        <v>6960.84</v>
      </c>
      <c r="H1868" s="2">
        <f t="shared" si="179"/>
        <v>15870715.199999999</v>
      </c>
    </row>
    <row r="1869" spans="1:8" x14ac:dyDescent="0.35">
      <c r="A1869" s="2">
        <v>2280</v>
      </c>
      <c r="B1869" s="2">
        <v>32883</v>
      </c>
      <c r="C1869" s="2">
        <f t="shared" si="174"/>
        <v>3.2883</v>
      </c>
      <c r="D1869" s="2">
        <f t="shared" si="175"/>
        <v>5198400</v>
      </c>
      <c r="E1869" s="2">
        <f t="shared" si="176"/>
        <v>11852352000</v>
      </c>
      <c r="F1869" s="2">
        <f t="shared" si="177"/>
        <v>27023362560000</v>
      </c>
      <c r="G1869" s="2">
        <f t="shared" si="178"/>
        <v>7497.3239999999996</v>
      </c>
      <c r="H1869" s="2">
        <f t="shared" si="179"/>
        <v>17093898.719999999</v>
      </c>
    </row>
    <row r="1870" spans="1:8" x14ac:dyDescent="0.35">
      <c r="A1870" s="2">
        <v>2280</v>
      </c>
      <c r="B1870" s="2">
        <v>26374</v>
      </c>
      <c r="C1870" s="2">
        <f t="shared" si="174"/>
        <v>2.6374</v>
      </c>
      <c r="D1870" s="2">
        <f t="shared" si="175"/>
        <v>5198400</v>
      </c>
      <c r="E1870" s="2">
        <f t="shared" si="176"/>
        <v>11852352000</v>
      </c>
      <c r="F1870" s="2">
        <f t="shared" si="177"/>
        <v>27023362560000</v>
      </c>
      <c r="G1870" s="2">
        <f t="shared" si="178"/>
        <v>6013.2719999999999</v>
      </c>
      <c r="H1870" s="2">
        <f t="shared" si="179"/>
        <v>13710260.16</v>
      </c>
    </row>
    <row r="1871" spans="1:8" x14ac:dyDescent="0.35">
      <c r="A1871" s="2">
        <v>2280</v>
      </c>
      <c r="B1871" s="2">
        <v>26326</v>
      </c>
      <c r="C1871" s="2">
        <f t="shared" si="174"/>
        <v>2.6326000000000001</v>
      </c>
      <c r="D1871" s="2">
        <f t="shared" si="175"/>
        <v>5198400</v>
      </c>
      <c r="E1871" s="2">
        <f t="shared" si="176"/>
        <v>11852352000</v>
      </c>
      <c r="F1871" s="2">
        <f t="shared" si="177"/>
        <v>27023362560000</v>
      </c>
      <c r="G1871" s="2">
        <f t="shared" si="178"/>
        <v>6002.3280000000004</v>
      </c>
      <c r="H1871" s="2">
        <f t="shared" si="179"/>
        <v>13685307.84</v>
      </c>
    </row>
    <row r="1872" spans="1:8" x14ac:dyDescent="0.35">
      <c r="A1872" s="2">
        <v>2280</v>
      </c>
      <c r="B1872" s="2">
        <v>32527</v>
      </c>
      <c r="C1872" s="2">
        <f t="shared" si="174"/>
        <v>3.2526999999999999</v>
      </c>
      <c r="D1872" s="2">
        <f t="shared" si="175"/>
        <v>5198400</v>
      </c>
      <c r="E1872" s="2">
        <f t="shared" si="176"/>
        <v>11852352000</v>
      </c>
      <c r="F1872" s="2">
        <f t="shared" si="177"/>
        <v>27023362560000</v>
      </c>
      <c r="G1872" s="2">
        <f t="shared" si="178"/>
        <v>7416.1559999999999</v>
      </c>
      <c r="H1872" s="2">
        <f t="shared" si="179"/>
        <v>16908835.68</v>
      </c>
    </row>
    <row r="1873" spans="1:8" x14ac:dyDescent="0.35">
      <c r="A1873" s="2">
        <v>2280</v>
      </c>
      <c r="B1873" s="2">
        <v>29255</v>
      </c>
      <c r="C1873" s="2">
        <f t="shared" si="174"/>
        <v>2.9255</v>
      </c>
      <c r="D1873" s="2">
        <f t="shared" si="175"/>
        <v>5198400</v>
      </c>
      <c r="E1873" s="2">
        <f t="shared" si="176"/>
        <v>11852352000</v>
      </c>
      <c r="F1873" s="2">
        <f t="shared" si="177"/>
        <v>27023362560000</v>
      </c>
      <c r="G1873" s="2">
        <f t="shared" si="178"/>
        <v>6670.14</v>
      </c>
      <c r="H1873" s="2">
        <f t="shared" si="179"/>
        <v>15207919.199999999</v>
      </c>
    </row>
    <row r="1874" spans="1:8" x14ac:dyDescent="0.35">
      <c r="A1874" s="2">
        <v>2280</v>
      </c>
      <c r="B1874" s="2">
        <v>35450</v>
      </c>
      <c r="C1874" s="2">
        <f t="shared" si="174"/>
        <v>3.5449999999999999</v>
      </c>
      <c r="D1874" s="2">
        <f t="shared" si="175"/>
        <v>5198400</v>
      </c>
      <c r="E1874" s="2">
        <f t="shared" si="176"/>
        <v>11852352000</v>
      </c>
      <c r="F1874" s="2">
        <f t="shared" si="177"/>
        <v>27023362560000</v>
      </c>
      <c r="G1874" s="2">
        <f t="shared" si="178"/>
        <v>8082.5999999999995</v>
      </c>
      <c r="H1874" s="2">
        <f t="shared" si="179"/>
        <v>18428328</v>
      </c>
    </row>
    <row r="1875" spans="1:8" x14ac:dyDescent="0.35">
      <c r="A1875" s="2">
        <v>2280</v>
      </c>
      <c r="B1875" s="2">
        <v>32528</v>
      </c>
      <c r="C1875" s="2">
        <f t="shared" si="174"/>
        <v>3.2528000000000001</v>
      </c>
      <c r="D1875" s="2">
        <f t="shared" si="175"/>
        <v>5198400</v>
      </c>
      <c r="E1875" s="2">
        <f t="shared" si="176"/>
        <v>11852352000</v>
      </c>
      <c r="F1875" s="2">
        <f t="shared" si="177"/>
        <v>27023362560000</v>
      </c>
      <c r="G1875" s="2">
        <f t="shared" si="178"/>
        <v>7416.384</v>
      </c>
      <c r="H1875" s="2">
        <f t="shared" si="179"/>
        <v>16909355.52</v>
      </c>
    </row>
    <row r="1876" spans="1:8" x14ac:dyDescent="0.35">
      <c r="A1876" s="2">
        <v>2280</v>
      </c>
      <c r="B1876" s="2">
        <v>37084</v>
      </c>
      <c r="C1876" s="2">
        <f t="shared" si="174"/>
        <v>3.7084000000000001</v>
      </c>
      <c r="D1876" s="2">
        <f t="shared" si="175"/>
        <v>5198400</v>
      </c>
      <c r="E1876" s="2">
        <f t="shared" si="176"/>
        <v>11852352000</v>
      </c>
      <c r="F1876" s="2">
        <f t="shared" si="177"/>
        <v>27023362560000</v>
      </c>
      <c r="G1876" s="2">
        <f t="shared" si="178"/>
        <v>8455.152</v>
      </c>
      <c r="H1876" s="2">
        <f t="shared" si="179"/>
        <v>19277746.560000002</v>
      </c>
    </row>
    <row r="1877" spans="1:8" x14ac:dyDescent="0.35">
      <c r="A1877" s="2">
        <v>2280</v>
      </c>
      <c r="B1877" s="2">
        <v>34195</v>
      </c>
      <c r="C1877" s="2">
        <f t="shared" si="174"/>
        <v>3.4195000000000002</v>
      </c>
      <c r="D1877" s="2">
        <f t="shared" si="175"/>
        <v>5198400</v>
      </c>
      <c r="E1877" s="2">
        <f t="shared" si="176"/>
        <v>11852352000</v>
      </c>
      <c r="F1877" s="2">
        <f t="shared" si="177"/>
        <v>27023362560000</v>
      </c>
      <c r="G1877" s="2">
        <f t="shared" si="178"/>
        <v>7796.46</v>
      </c>
      <c r="H1877" s="2">
        <f t="shared" si="179"/>
        <v>17775928.800000001</v>
      </c>
    </row>
    <row r="1878" spans="1:8" x14ac:dyDescent="0.35">
      <c r="A1878" s="2">
        <v>2280</v>
      </c>
      <c r="B1878" s="2">
        <v>34389</v>
      </c>
      <c r="C1878" s="2">
        <f t="shared" si="174"/>
        <v>3.4388999999999998</v>
      </c>
      <c r="D1878" s="2">
        <f t="shared" si="175"/>
        <v>5198400</v>
      </c>
      <c r="E1878" s="2">
        <f t="shared" si="176"/>
        <v>11852352000</v>
      </c>
      <c r="F1878" s="2">
        <f t="shared" si="177"/>
        <v>27023362560000</v>
      </c>
      <c r="G1878" s="2">
        <f t="shared" si="178"/>
        <v>7840.692</v>
      </c>
      <c r="H1878" s="2">
        <f t="shared" si="179"/>
        <v>17876777.759999998</v>
      </c>
    </row>
    <row r="1879" spans="1:8" x14ac:dyDescent="0.35">
      <c r="A1879" s="2">
        <v>2280</v>
      </c>
      <c r="B1879" s="2">
        <v>34730</v>
      </c>
      <c r="C1879" s="2">
        <f t="shared" si="174"/>
        <v>3.4729999999999999</v>
      </c>
      <c r="D1879" s="2">
        <f t="shared" si="175"/>
        <v>5198400</v>
      </c>
      <c r="E1879" s="2">
        <f t="shared" si="176"/>
        <v>11852352000</v>
      </c>
      <c r="F1879" s="2">
        <f t="shared" si="177"/>
        <v>27023362560000</v>
      </c>
      <c r="G1879" s="2">
        <f t="shared" si="178"/>
        <v>7918.44</v>
      </c>
      <c r="H1879" s="2">
        <f t="shared" si="179"/>
        <v>18054043.199999999</v>
      </c>
    </row>
    <row r="1880" spans="1:8" x14ac:dyDescent="0.35">
      <c r="A1880" s="2">
        <v>2280</v>
      </c>
      <c r="B1880" s="2">
        <v>36568</v>
      </c>
      <c r="C1880" s="2">
        <f t="shared" si="174"/>
        <v>3.6568000000000001</v>
      </c>
      <c r="D1880" s="2">
        <f t="shared" si="175"/>
        <v>5198400</v>
      </c>
      <c r="E1880" s="2">
        <f t="shared" si="176"/>
        <v>11852352000</v>
      </c>
      <c r="F1880" s="2">
        <f t="shared" si="177"/>
        <v>27023362560000</v>
      </c>
      <c r="G1880" s="2">
        <f t="shared" si="178"/>
        <v>8337.5040000000008</v>
      </c>
      <c r="H1880" s="2">
        <f t="shared" si="179"/>
        <v>19009509.120000001</v>
      </c>
    </row>
    <row r="1881" spans="1:8" x14ac:dyDescent="0.35">
      <c r="A1881" s="2">
        <v>2280</v>
      </c>
      <c r="B1881" s="2">
        <v>31201</v>
      </c>
      <c r="C1881" s="2">
        <f t="shared" si="174"/>
        <v>3.1200999999999999</v>
      </c>
      <c r="D1881" s="2">
        <f t="shared" si="175"/>
        <v>5198400</v>
      </c>
      <c r="E1881" s="2">
        <f t="shared" si="176"/>
        <v>11852352000</v>
      </c>
      <c r="F1881" s="2">
        <f t="shared" si="177"/>
        <v>27023362560000</v>
      </c>
      <c r="G1881" s="2">
        <f t="shared" si="178"/>
        <v>7113.8279999999995</v>
      </c>
      <c r="H1881" s="2">
        <f t="shared" si="179"/>
        <v>16219527.84</v>
      </c>
    </row>
    <row r="1882" spans="1:8" x14ac:dyDescent="0.35">
      <c r="A1882" s="2">
        <v>2280</v>
      </c>
      <c r="B1882" s="2">
        <v>29281</v>
      </c>
      <c r="C1882" s="2">
        <f t="shared" si="174"/>
        <v>2.9281000000000001</v>
      </c>
      <c r="D1882" s="2">
        <f t="shared" si="175"/>
        <v>5198400</v>
      </c>
      <c r="E1882" s="2">
        <f t="shared" si="176"/>
        <v>11852352000</v>
      </c>
      <c r="F1882" s="2">
        <f t="shared" si="177"/>
        <v>27023362560000</v>
      </c>
      <c r="G1882" s="2">
        <f t="shared" si="178"/>
        <v>6676.0680000000002</v>
      </c>
      <c r="H1882" s="2">
        <f t="shared" si="179"/>
        <v>15221435.040000001</v>
      </c>
    </row>
    <row r="1883" spans="1:8" x14ac:dyDescent="0.35">
      <c r="A1883" s="2">
        <v>2280</v>
      </c>
      <c r="B1883" s="2">
        <v>31853</v>
      </c>
      <c r="C1883" s="2">
        <f t="shared" si="174"/>
        <v>3.1852999999999998</v>
      </c>
      <c r="D1883" s="2">
        <f t="shared" si="175"/>
        <v>5198400</v>
      </c>
      <c r="E1883" s="2">
        <f t="shared" si="176"/>
        <v>11852352000</v>
      </c>
      <c r="F1883" s="2">
        <f t="shared" si="177"/>
        <v>27023362560000</v>
      </c>
      <c r="G1883" s="2">
        <f t="shared" si="178"/>
        <v>7262.4839999999995</v>
      </c>
      <c r="H1883" s="2">
        <f t="shared" si="179"/>
        <v>16558463.52</v>
      </c>
    </row>
    <row r="1884" spans="1:8" x14ac:dyDescent="0.35">
      <c r="A1884" s="2">
        <v>2280</v>
      </c>
      <c r="B1884" s="2">
        <v>35103</v>
      </c>
      <c r="C1884" s="2">
        <f t="shared" si="174"/>
        <v>3.5103</v>
      </c>
      <c r="D1884" s="2">
        <f t="shared" si="175"/>
        <v>5198400</v>
      </c>
      <c r="E1884" s="2">
        <f t="shared" si="176"/>
        <v>11852352000</v>
      </c>
      <c r="F1884" s="2">
        <f t="shared" si="177"/>
        <v>27023362560000</v>
      </c>
      <c r="G1884" s="2">
        <f t="shared" si="178"/>
        <v>8003.4840000000004</v>
      </c>
      <c r="H1884" s="2">
        <f t="shared" si="179"/>
        <v>18247943.52</v>
      </c>
    </row>
    <row r="1885" spans="1:8" x14ac:dyDescent="0.35">
      <c r="A1885" s="2">
        <v>2280</v>
      </c>
      <c r="B1885" s="2">
        <v>33106</v>
      </c>
      <c r="C1885" s="2">
        <f t="shared" si="174"/>
        <v>3.3106</v>
      </c>
      <c r="D1885" s="2">
        <f t="shared" si="175"/>
        <v>5198400</v>
      </c>
      <c r="E1885" s="2">
        <f t="shared" si="176"/>
        <v>11852352000</v>
      </c>
      <c r="F1885" s="2">
        <f t="shared" si="177"/>
        <v>27023362560000</v>
      </c>
      <c r="G1885" s="2">
        <f t="shared" si="178"/>
        <v>7548.1679999999997</v>
      </c>
      <c r="H1885" s="2">
        <f t="shared" si="179"/>
        <v>17209823.039999999</v>
      </c>
    </row>
    <row r="1886" spans="1:8" x14ac:dyDescent="0.35">
      <c r="A1886" s="2">
        <v>2280</v>
      </c>
      <c r="B1886" s="2">
        <v>36392</v>
      </c>
      <c r="C1886" s="2">
        <f t="shared" si="174"/>
        <v>3.6392000000000002</v>
      </c>
      <c r="D1886" s="2">
        <f t="shared" si="175"/>
        <v>5198400</v>
      </c>
      <c r="E1886" s="2">
        <f t="shared" si="176"/>
        <v>11852352000</v>
      </c>
      <c r="F1886" s="2">
        <f t="shared" si="177"/>
        <v>27023362560000</v>
      </c>
      <c r="G1886" s="2">
        <f t="shared" si="178"/>
        <v>8297.3760000000002</v>
      </c>
      <c r="H1886" s="2">
        <f t="shared" si="179"/>
        <v>18918017.280000001</v>
      </c>
    </row>
    <row r="1887" spans="1:8" x14ac:dyDescent="0.35">
      <c r="A1887" s="2">
        <v>2280</v>
      </c>
      <c r="B1887" s="2">
        <v>39482</v>
      </c>
      <c r="C1887" s="2">
        <f t="shared" si="174"/>
        <v>3.9481999999999999</v>
      </c>
      <c r="D1887" s="2">
        <f t="shared" si="175"/>
        <v>5198400</v>
      </c>
      <c r="E1887" s="2">
        <f t="shared" si="176"/>
        <v>11852352000</v>
      </c>
      <c r="F1887" s="2">
        <f t="shared" si="177"/>
        <v>27023362560000</v>
      </c>
      <c r="G1887" s="2">
        <f t="shared" si="178"/>
        <v>9001.8960000000006</v>
      </c>
      <c r="H1887" s="2">
        <f t="shared" si="179"/>
        <v>20524322.879999999</v>
      </c>
    </row>
    <row r="1888" spans="1:8" x14ac:dyDescent="0.35">
      <c r="A1888" s="2">
        <v>2280</v>
      </c>
      <c r="B1888" s="2">
        <v>40055</v>
      </c>
      <c r="C1888" s="2">
        <f t="shared" si="174"/>
        <v>4.0054999999999996</v>
      </c>
      <c r="D1888" s="2">
        <f t="shared" si="175"/>
        <v>5198400</v>
      </c>
      <c r="E1888" s="2">
        <f t="shared" si="176"/>
        <v>11852352000</v>
      </c>
      <c r="F1888" s="2">
        <f t="shared" si="177"/>
        <v>27023362560000</v>
      </c>
      <c r="G1888" s="2">
        <f t="shared" si="178"/>
        <v>9132.5399999999991</v>
      </c>
      <c r="H1888" s="2">
        <f t="shared" si="179"/>
        <v>20822191.199999999</v>
      </c>
    </row>
    <row r="1889" spans="1:8" x14ac:dyDescent="0.35">
      <c r="A1889" s="2">
        <v>2280</v>
      </c>
      <c r="B1889" s="2">
        <v>45355</v>
      </c>
      <c r="C1889" s="2">
        <f t="shared" si="174"/>
        <v>4.5354999999999999</v>
      </c>
      <c r="D1889" s="2">
        <f t="shared" si="175"/>
        <v>5198400</v>
      </c>
      <c r="E1889" s="2">
        <f t="shared" si="176"/>
        <v>11852352000</v>
      </c>
      <c r="F1889" s="2">
        <f t="shared" si="177"/>
        <v>27023362560000</v>
      </c>
      <c r="G1889" s="2">
        <f t="shared" si="178"/>
        <v>10340.94</v>
      </c>
      <c r="H1889" s="2">
        <f t="shared" si="179"/>
        <v>23577343.199999999</v>
      </c>
    </row>
    <row r="1890" spans="1:8" x14ac:dyDescent="0.35">
      <c r="A1890" s="2">
        <v>2280</v>
      </c>
      <c r="B1890" s="2">
        <v>51406</v>
      </c>
      <c r="C1890" s="2">
        <f t="shared" si="174"/>
        <v>5.1406000000000001</v>
      </c>
      <c r="D1890" s="2">
        <f t="shared" si="175"/>
        <v>5198400</v>
      </c>
      <c r="E1890" s="2">
        <f t="shared" si="176"/>
        <v>11852352000</v>
      </c>
      <c r="F1890" s="2">
        <f t="shared" si="177"/>
        <v>27023362560000</v>
      </c>
      <c r="G1890" s="2">
        <f t="shared" si="178"/>
        <v>11720.567999999999</v>
      </c>
      <c r="H1890" s="2">
        <f t="shared" si="179"/>
        <v>26722895.039999999</v>
      </c>
    </row>
    <row r="1891" spans="1:8" x14ac:dyDescent="0.35">
      <c r="A1891" s="2">
        <v>2280</v>
      </c>
      <c r="B1891" s="2">
        <v>41177</v>
      </c>
      <c r="C1891" s="2">
        <f t="shared" si="174"/>
        <v>4.1177000000000001</v>
      </c>
      <c r="D1891" s="2">
        <f t="shared" si="175"/>
        <v>5198400</v>
      </c>
      <c r="E1891" s="2">
        <f t="shared" si="176"/>
        <v>11852352000</v>
      </c>
      <c r="F1891" s="2">
        <f t="shared" si="177"/>
        <v>27023362560000</v>
      </c>
      <c r="G1891" s="2">
        <f t="shared" si="178"/>
        <v>9388.3559999999998</v>
      </c>
      <c r="H1891" s="2">
        <f t="shared" si="179"/>
        <v>21405451.68</v>
      </c>
    </row>
    <row r="1892" spans="1:8" x14ac:dyDescent="0.35">
      <c r="A1892" s="2">
        <v>2280</v>
      </c>
      <c r="B1892" s="2">
        <v>37753</v>
      </c>
      <c r="C1892" s="2">
        <f t="shared" si="174"/>
        <v>3.7753000000000001</v>
      </c>
      <c r="D1892" s="2">
        <f t="shared" si="175"/>
        <v>5198400</v>
      </c>
      <c r="E1892" s="2">
        <f t="shared" si="176"/>
        <v>11852352000</v>
      </c>
      <c r="F1892" s="2">
        <f t="shared" si="177"/>
        <v>27023362560000</v>
      </c>
      <c r="G1892" s="2">
        <f t="shared" si="178"/>
        <v>8607.6840000000011</v>
      </c>
      <c r="H1892" s="2">
        <f t="shared" si="179"/>
        <v>19625519.52</v>
      </c>
    </row>
    <row r="1893" spans="1:8" x14ac:dyDescent="0.35">
      <c r="A1893" s="2">
        <v>2280</v>
      </c>
      <c r="B1893" s="2">
        <v>49680</v>
      </c>
      <c r="C1893" s="2">
        <f t="shared" si="174"/>
        <v>4.968</v>
      </c>
      <c r="D1893" s="2">
        <f t="shared" si="175"/>
        <v>5198400</v>
      </c>
      <c r="E1893" s="2">
        <f t="shared" si="176"/>
        <v>11852352000</v>
      </c>
      <c r="F1893" s="2">
        <f t="shared" si="177"/>
        <v>27023362560000</v>
      </c>
      <c r="G1893" s="2">
        <f t="shared" si="178"/>
        <v>11327.039999999999</v>
      </c>
      <c r="H1893" s="2">
        <f t="shared" si="179"/>
        <v>25825651.199999999</v>
      </c>
    </row>
    <row r="1894" spans="1:8" x14ac:dyDescent="0.35">
      <c r="A1894" s="2">
        <v>2280</v>
      </c>
      <c r="B1894" s="2">
        <v>55764</v>
      </c>
      <c r="C1894" s="2">
        <f t="shared" si="174"/>
        <v>5.5763999999999996</v>
      </c>
      <c r="D1894" s="2">
        <f t="shared" si="175"/>
        <v>5198400</v>
      </c>
      <c r="E1894" s="2">
        <f t="shared" si="176"/>
        <v>11852352000</v>
      </c>
      <c r="F1894" s="2">
        <f t="shared" si="177"/>
        <v>27023362560000</v>
      </c>
      <c r="G1894" s="2">
        <f t="shared" si="178"/>
        <v>12714.191999999999</v>
      </c>
      <c r="H1894" s="2">
        <f t="shared" si="179"/>
        <v>28988357.759999998</v>
      </c>
    </row>
    <row r="1895" spans="1:8" x14ac:dyDescent="0.35">
      <c r="A1895" s="2">
        <v>2280</v>
      </c>
      <c r="B1895" s="2">
        <v>56648</v>
      </c>
      <c r="C1895" s="2">
        <f t="shared" si="174"/>
        <v>5.6647999999999996</v>
      </c>
      <c r="D1895" s="2">
        <f t="shared" si="175"/>
        <v>5198400</v>
      </c>
      <c r="E1895" s="2">
        <f t="shared" si="176"/>
        <v>11852352000</v>
      </c>
      <c r="F1895" s="2">
        <f t="shared" si="177"/>
        <v>27023362560000</v>
      </c>
      <c r="G1895" s="2">
        <f t="shared" si="178"/>
        <v>12915.743999999999</v>
      </c>
      <c r="H1895" s="2">
        <f t="shared" si="179"/>
        <v>29447896.319999997</v>
      </c>
    </row>
    <row r="1896" spans="1:8" x14ac:dyDescent="0.35">
      <c r="A1896" s="2">
        <v>2280</v>
      </c>
      <c r="B1896" s="2">
        <v>50217</v>
      </c>
      <c r="C1896" s="2">
        <f t="shared" si="174"/>
        <v>5.0217000000000001</v>
      </c>
      <c r="D1896" s="2">
        <f t="shared" si="175"/>
        <v>5198400</v>
      </c>
      <c r="E1896" s="2">
        <f t="shared" si="176"/>
        <v>11852352000</v>
      </c>
      <c r="F1896" s="2">
        <f t="shared" si="177"/>
        <v>27023362560000</v>
      </c>
      <c r="G1896" s="2">
        <f t="shared" si="178"/>
        <v>11449.476000000001</v>
      </c>
      <c r="H1896" s="2">
        <f t="shared" si="179"/>
        <v>26104805.280000001</v>
      </c>
    </row>
    <row r="1897" spans="1:8" x14ac:dyDescent="0.35">
      <c r="A1897" s="2">
        <v>151</v>
      </c>
      <c r="B1897" s="2">
        <v>27524</v>
      </c>
      <c r="C1897" s="2">
        <f t="shared" si="174"/>
        <v>2.7524000000000002</v>
      </c>
      <c r="D1897" s="2">
        <f t="shared" si="175"/>
        <v>22801</v>
      </c>
      <c r="E1897" s="2">
        <f t="shared" si="176"/>
        <v>3442951</v>
      </c>
      <c r="F1897" s="2">
        <f t="shared" si="177"/>
        <v>519885601</v>
      </c>
      <c r="G1897" s="2">
        <f t="shared" si="178"/>
        <v>415.61240000000004</v>
      </c>
      <c r="H1897" s="2">
        <f t="shared" si="179"/>
        <v>62757.472400000006</v>
      </c>
    </row>
    <row r="1898" spans="1:8" x14ac:dyDescent="0.35">
      <c r="A1898" s="2">
        <v>151</v>
      </c>
      <c r="B1898" s="2">
        <v>27283</v>
      </c>
      <c r="C1898" s="2">
        <f t="shared" si="174"/>
        <v>2.7282999999999999</v>
      </c>
      <c r="D1898" s="2">
        <f t="shared" si="175"/>
        <v>22801</v>
      </c>
      <c r="E1898" s="2">
        <f t="shared" si="176"/>
        <v>3442951</v>
      </c>
      <c r="F1898" s="2">
        <f t="shared" si="177"/>
        <v>519885601</v>
      </c>
      <c r="G1898" s="2">
        <f t="shared" si="178"/>
        <v>411.97329999999999</v>
      </c>
      <c r="H1898" s="2">
        <f t="shared" si="179"/>
        <v>62207.9683</v>
      </c>
    </row>
    <row r="1899" spans="1:8" x14ac:dyDescent="0.35">
      <c r="A1899" s="2">
        <v>151</v>
      </c>
      <c r="B1899" s="2">
        <v>24498</v>
      </c>
      <c r="C1899" s="2">
        <f t="shared" si="174"/>
        <v>2.4498000000000002</v>
      </c>
      <c r="D1899" s="2">
        <f t="shared" si="175"/>
        <v>22801</v>
      </c>
      <c r="E1899" s="2">
        <f t="shared" si="176"/>
        <v>3442951</v>
      </c>
      <c r="F1899" s="2">
        <f t="shared" si="177"/>
        <v>519885601</v>
      </c>
      <c r="G1899" s="2">
        <f t="shared" si="178"/>
        <v>369.91980000000001</v>
      </c>
      <c r="H1899" s="2">
        <f t="shared" si="179"/>
        <v>55857.889800000004</v>
      </c>
    </row>
    <row r="1900" spans="1:8" x14ac:dyDescent="0.35">
      <c r="A1900" s="2">
        <v>151</v>
      </c>
      <c r="B1900" s="2">
        <v>34147</v>
      </c>
      <c r="C1900" s="2">
        <f t="shared" si="174"/>
        <v>3.4146999999999998</v>
      </c>
      <c r="D1900" s="2">
        <f t="shared" si="175"/>
        <v>22801</v>
      </c>
      <c r="E1900" s="2">
        <f t="shared" si="176"/>
        <v>3442951</v>
      </c>
      <c r="F1900" s="2">
        <f t="shared" si="177"/>
        <v>519885601</v>
      </c>
      <c r="G1900" s="2">
        <f t="shared" si="178"/>
        <v>515.61969999999997</v>
      </c>
      <c r="H1900" s="2">
        <f t="shared" si="179"/>
        <v>77858.574699999997</v>
      </c>
    </row>
    <row r="1901" spans="1:8" x14ac:dyDescent="0.35">
      <c r="A1901" s="2">
        <v>151</v>
      </c>
      <c r="B1901" s="2">
        <v>31432</v>
      </c>
      <c r="C1901" s="2">
        <f t="shared" si="174"/>
        <v>3.1432000000000002</v>
      </c>
      <c r="D1901" s="2">
        <f t="shared" si="175"/>
        <v>22801</v>
      </c>
      <c r="E1901" s="2">
        <f t="shared" si="176"/>
        <v>3442951</v>
      </c>
      <c r="F1901" s="2">
        <f t="shared" si="177"/>
        <v>519885601</v>
      </c>
      <c r="G1901" s="2">
        <f t="shared" si="178"/>
        <v>474.62320000000005</v>
      </c>
      <c r="H1901" s="2">
        <f t="shared" si="179"/>
        <v>71668.103199999998</v>
      </c>
    </row>
    <row r="1902" spans="1:8" x14ac:dyDescent="0.35">
      <c r="A1902" s="2">
        <v>151</v>
      </c>
      <c r="B1902" s="2">
        <v>35605</v>
      </c>
      <c r="C1902" s="2">
        <f t="shared" si="174"/>
        <v>3.5605000000000002</v>
      </c>
      <c r="D1902" s="2">
        <f t="shared" si="175"/>
        <v>22801</v>
      </c>
      <c r="E1902" s="2">
        <f t="shared" si="176"/>
        <v>3442951</v>
      </c>
      <c r="F1902" s="2">
        <f t="shared" si="177"/>
        <v>519885601</v>
      </c>
      <c r="G1902" s="2">
        <f t="shared" si="178"/>
        <v>537.63549999999998</v>
      </c>
      <c r="H1902" s="2">
        <f t="shared" si="179"/>
        <v>81182.960500000001</v>
      </c>
    </row>
    <row r="1903" spans="1:8" x14ac:dyDescent="0.35">
      <c r="A1903" s="2">
        <v>151</v>
      </c>
      <c r="B1903" s="2">
        <v>32828</v>
      </c>
      <c r="C1903" s="2">
        <f t="shared" si="174"/>
        <v>3.2827999999999999</v>
      </c>
      <c r="D1903" s="2">
        <f t="shared" si="175"/>
        <v>22801</v>
      </c>
      <c r="E1903" s="2">
        <f t="shared" si="176"/>
        <v>3442951</v>
      </c>
      <c r="F1903" s="2">
        <f t="shared" si="177"/>
        <v>519885601</v>
      </c>
      <c r="G1903" s="2">
        <f t="shared" si="178"/>
        <v>495.70279999999997</v>
      </c>
      <c r="H1903" s="2">
        <f t="shared" si="179"/>
        <v>74851.122799999997</v>
      </c>
    </row>
    <row r="1904" spans="1:8" x14ac:dyDescent="0.35">
      <c r="A1904" s="2">
        <v>151</v>
      </c>
      <c r="B1904" s="2">
        <v>26233</v>
      </c>
      <c r="C1904" s="2">
        <f t="shared" si="174"/>
        <v>2.6233</v>
      </c>
      <c r="D1904" s="2">
        <f t="shared" si="175"/>
        <v>22801</v>
      </c>
      <c r="E1904" s="2">
        <f t="shared" si="176"/>
        <v>3442951</v>
      </c>
      <c r="F1904" s="2">
        <f t="shared" si="177"/>
        <v>519885601</v>
      </c>
      <c r="G1904" s="2">
        <f t="shared" si="178"/>
        <v>396.11829999999998</v>
      </c>
      <c r="H1904" s="2">
        <f t="shared" si="179"/>
        <v>59813.863299999997</v>
      </c>
    </row>
    <row r="1905" spans="1:8" x14ac:dyDescent="0.35">
      <c r="A1905" s="2">
        <v>151</v>
      </c>
      <c r="B1905" s="2">
        <v>22143</v>
      </c>
      <c r="C1905" s="2">
        <f t="shared" si="174"/>
        <v>2.2143000000000002</v>
      </c>
      <c r="D1905" s="2">
        <f t="shared" si="175"/>
        <v>22801</v>
      </c>
      <c r="E1905" s="2">
        <f t="shared" si="176"/>
        <v>3442951</v>
      </c>
      <c r="F1905" s="2">
        <f t="shared" si="177"/>
        <v>519885601</v>
      </c>
      <c r="G1905" s="2">
        <f t="shared" si="178"/>
        <v>334.35930000000002</v>
      </c>
      <c r="H1905" s="2">
        <f t="shared" si="179"/>
        <v>50488.254300000001</v>
      </c>
    </row>
    <row r="1906" spans="1:8" x14ac:dyDescent="0.35">
      <c r="A1906" s="2">
        <v>151</v>
      </c>
      <c r="B1906" s="2">
        <v>24286</v>
      </c>
      <c r="C1906" s="2">
        <f t="shared" si="174"/>
        <v>2.4285999999999999</v>
      </c>
      <c r="D1906" s="2">
        <f t="shared" si="175"/>
        <v>22801</v>
      </c>
      <c r="E1906" s="2">
        <f t="shared" si="176"/>
        <v>3442951</v>
      </c>
      <c r="F1906" s="2">
        <f t="shared" si="177"/>
        <v>519885601</v>
      </c>
      <c r="G1906" s="2">
        <f t="shared" si="178"/>
        <v>366.71859999999998</v>
      </c>
      <c r="H1906" s="2">
        <f t="shared" si="179"/>
        <v>55374.508599999994</v>
      </c>
    </row>
    <row r="1907" spans="1:8" x14ac:dyDescent="0.35">
      <c r="A1907" s="2">
        <v>151</v>
      </c>
      <c r="B1907" s="2">
        <v>16254</v>
      </c>
      <c r="C1907" s="2">
        <f t="shared" si="174"/>
        <v>1.6254</v>
      </c>
      <c r="D1907" s="2">
        <f t="shared" si="175"/>
        <v>22801</v>
      </c>
      <c r="E1907" s="2">
        <f t="shared" si="176"/>
        <v>3442951</v>
      </c>
      <c r="F1907" s="2">
        <f t="shared" si="177"/>
        <v>519885601</v>
      </c>
      <c r="G1907" s="2">
        <f t="shared" si="178"/>
        <v>245.43539999999999</v>
      </c>
      <c r="H1907" s="2">
        <f t="shared" si="179"/>
        <v>37060.7454</v>
      </c>
    </row>
    <row r="1908" spans="1:8" x14ac:dyDescent="0.35">
      <c r="A1908" s="2">
        <v>151</v>
      </c>
      <c r="B1908" s="2">
        <v>20244</v>
      </c>
      <c r="C1908" s="2">
        <f t="shared" si="174"/>
        <v>2.0244</v>
      </c>
      <c r="D1908" s="2">
        <f t="shared" si="175"/>
        <v>22801</v>
      </c>
      <c r="E1908" s="2">
        <f t="shared" si="176"/>
        <v>3442951</v>
      </c>
      <c r="F1908" s="2">
        <f t="shared" si="177"/>
        <v>519885601</v>
      </c>
      <c r="G1908" s="2">
        <f t="shared" si="178"/>
        <v>305.68439999999998</v>
      </c>
      <c r="H1908" s="2">
        <f t="shared" si="179"/>
        <v>46158.344400000002</v>
      </c>
    </row>
    <row r="1909" spans="1:8" x14ac:dyDescent="0.35">
      <c r="A1909" s="2">
        <v>151</v>
      </c>
      <c r="B1909" s="2">
        <v>29100</v>
      </c>
      <c r="C1909" s="2">
        <f t="shared" si="174"/>
        <v>2.91</v>
      </c>
      <c r="D1909" s="2">
        <f t="shared" si="175"/>
        <v>22801</v>
      </c>
      <c r="E1909" s="2">
        <f t="shared" si="176"/>
        <v>3442951</v>
      </c>
      <c r="F1909" s="2">
        <f t="shared" si="177"/>
        <v>519885601</v>
      </c>
      <c r="G1909" s="2">
        <f t="shared" si="178"/>
        <v>439.41</v>
      </c>
      <c r="H1909" s="2">
        <f t="shared" si="179"/>
        <v>66350.91</v>
      </c>
    </row>
    <row r="1910" spans="1:8" x14ac:dyDescent="0.35">
      <c r="A1910" s="2">
        <v>151</v>
      </c>
      <c r="B1910" s="2">
        <v>41112</v>
      </c>
      <c r="C1910" s="2">
        <f t="shared" si="174"/>
        <v>4.1112000000000002</v>
      </c>
      <c r="D1910" s="2">
        <f t="shared" si="175"/>
        <v>22801</v>
      </c>
      <c r="E1910" s="2">
        <f t="shared" si="176"/>
        <v>3442951</v>
      </c>
      <c r="F1910" s="2">
        <f t="shared" si="177"/>
        <v>519885601</v>
      </c>
      <c r="G1910" s="2">
        <f t="shared" si="178"/>
        <v>620.7912</v>
      </c>
      <c r="H1910" s="2">
        <f t="shared" si="179"/>
        <v>93739.4712</v>
      </c>
    </row>
    <row r="1911" spans="1:8" x14ac:dyDescent="0.35">
      <c r="A1911" s="2">
        <v>151</v>
      </c>
      <c r="B1911" s="2">
        <v>27479</v>
      </c>
      <c r="C1911" s="2">
        <f t="shared" si="174"/>
        <v>2.7479</v>
      </c>
      <c r="D1911" s="2">
        <f t="shared" si="175"/>
        <v>22801</v>
      </c>
      <c r="E1911" s="2">
        <f t="shared" si="176"/>
        <v>3442951</v>
      </c>
      <c r="F1911" s="2">
        <f t="shared" si="177"/>
        <v>519885601</v>
      </c>
      <c r="G1911" s="2">
        <f t="shared" si="178"/>
        <v>414.93290000000002</v>
      </c>
      <c r="H1911" s="2">
        <f t="shared" si="179"/>
        <v>62654.867899999997</v>
      </c>
    </row>
    <row r="1912" spans="1:8" x14ac:dyDescent="0.35">
      <c r="A1912" s="2">
        <v>151</v>
      </c>
      <c r="B1912" s="2">
        <v>27565</v>
      </c>
      <c r="C1912" s="2">
        <f t="shared" si="174"/>
        <v>2.7565</v>
      </c>
      <c r="D1912" s="2">
        <f t="shared" si="175"/>
        <v>22801</v>
      </c>
      <c r="E1912" s="2">
        <f t="shared" si="176"/>
        <v>3442951</v>
      </c>
      <c r="F1912" s="2">
        <f t="shared" si="177"/>
        <v>519885601</v>
      </c>
      <c r="G1912" s="2">
        <f t="shared" si="178"/>
        <v>416.23149999999998</v>
      </c>
      <c r="H1912" s="2">
        <f t="shared" si="179"/>
        <v>62850.9565</v>
      </c>
    </row>
    <row r="1913" spans="1:8" x14ac:dyDescent="0.35">
      <c r="A1913" s="2">
        <v>151</v>
      </c>
      <c r="B1913" s="2">
        <v>31638</v>
      </c>
      <c r="C1913" s="2">
        <f t="shared" si="174"/>
        <v>3.1638000000000002</v>
      </c>
      <c r="D1913" s="2">
        <f t="shared" si="175"/>
        <v>22801</v>
      </c>
      <c r="E1913" s="2">
        <f t="shared" si="176"/>
        <v>3442951</v>
      </c>
      <c r="F1913" s="2">
        <f t="shared" si="177"/>
        <v>519885601</v>
      </c>
      <c r="G1913" s="2">
        <f t="shared" si="178"/>
        <v>477.73380000000003</v>
      </c>
      <c r="H1913" s="2">
        <f t="shared" si="179"/>
        <v>72137.803800000009</v>
      </c>
    </row>
    <row r="1914" spans="1:8" x14ac:dyDescent="0.35">
      <c r="A1914" s="2">
        <v>151</v>
      </c>
      <c r="B1914" s="2">
        <v>30949</v>
      </c>
      <c r="C1914" s="2">
        <f t="shared" si="174"/>
        <v>3.0949</v>
      </c>
      <c r="D1914" s="2">
        <f t="shared" si="175"/>
        <v>22801</v>
      </c>
      <c r="E1914" s="2">
        <f t="shared" si="176"/>
        <v>3442951</v>
      </c>
      <c r="F1914" s="2">
        <f t="shared" si="177"/>
        <v>519885601</v>
      </c>
      <c r="G1914" s="2">
        <f t="shared" si="178"/>
        <v>467.32990000000001</v>
      </c>
      <c r="H1914" s="2">
        <f t="shared" si="179"/>
        <v>70566.814899999998</v>
      </c>
    </row>
    <row r="1915" spans="1:8" x14ac:dyDescent="0.35">
      <c r="A1915" s="2">
        <v>151</v>
      </c>
      <c r="B1915" s="2">
        <v>38290</v>
      </c>
      <c r="C1915" s="2">
        <f t="shared" si="174"/>
        <v>3.8290000000000002</v>
      </c>
      <c r="D1915" s="2">
        <f t="shared" si="175"/>
        <v>22801</v>
      </c>
      <c r="E1915" s="2">
        <f t="shared" si="176"/>
        <v>3442951</v>
      </c>
      <c r="F1915" s="2">
        <f t="shared" si="177"/>
        <v>519885601</v>
      </c>
      <c r="G1915" s="2">
        <f t="shared" si="178"/>
        <v>578.17899999999997</v>
      </c>
      <c r="H1915" s="2">
        <f t="shared" si="179"/>
        <v>87305.02900000001</v>
      </c>
    </row>
    <row r="1916" spans="1:8" x14ac:dyDescent="0.35">
      <c r="A1916" s="2">
        <v>151</v>
      </c>
      <c r="B1916" s="2">
        <v>36637</v>
      </c>
      <c r="C1916" s="2">
        <f t="shared" si="174"/>
        <v>3.6637</v>
      </c>
      <c r="D1916" s="2">
        <f t="shared" si="175"/>
        <v>22801</v>
      </c>
      <c r="E1916" s="2">
        <f t="shared" si="176"/>
        <v>3442951</v>
      </c>
      <c r="F1916" s="2">
        <f t="shared" si="177"/>
        <v>519885601</v>
      </c>
      <c r="G1916" s="2">
        <f t="shared" si="178"/>
        <v>553.21870000000001</v>
      </c>
      <c r="H1916" s="2">
        <f t="shared" si="179"/>
        <v>83536.023700000005</v>
      </c>
    </row>
    <row r="1917" spans="1:8" x14ac:dyDescent="0.35">
      <c r="A1917" s="2">
        <v>151</v>
      </c>
      <c r="B1917" s="2">
        <v>35900</v>
      </c>
      <c r="C1917" s="2">
        <f t="shared" si="174"/>
        <v>3.59</v>
      </c>
      <c r="D1917" s="2">
        <f t="shared" si="175"/>
        <v>22801</v>
      </c>
      <c r="E1917" s="2">
        <f t="shared" si="176"/>
        <v>3442951</v>
      </c>
      <c r="F1917" s="2">
        <f t="shared" si="177"/>
        <v>519885601</v>
      </c>
      <c r="G1917" s="2">
        <f t="shared" si="178"/>
        <v>542.09</v>
      </c>
      <c r="H1917" s="2">
        <f t="shared" si="179"/>
        <v>81855.59</v>
      </c>
    </row>
    <row r="1918" spans="1:8" x14ac:dyDescent="0.35">
      <c r="A1918" s="2">
        <v>151</v>
      </c>
      <c r="B1918" s="2">
        <v>38110</v>
      </c>
      <c r="C1918" s="2">
        <f t="shared" si="174"/>
        <v>3.8109999999999999</v>
      </c>
      <c r="D1918" s="2">
        <f t="shared" si="175"/>
        <v>22801</v>
      </c>
      <c r="E1918" s="2">
        <f t="shared" si="176"/>
        <v>3442951</v>
      </c>
      <c r="F1918" s="2">
        <f t="shared" si="177"/>
        <v>519885601</v>
      </c>
      <c r="G1918" s="2">
        <f t="shared" si="178"/>
        <v>575.46100000000001</v>
      </c>
      <c r="H1918" s="2">
        <f t="shared" si="179"/>
        <v>86894.611000000004</v>
      </c>
    </row>
    <row r="1919" spans="1:8" x14ac:dyDescent="0.35">
      <c r="A1919" s="2">
        <v>151</v>
      </c>
      <c r="B1919" s="2">
        <v>43571</v>
      </c>
      <c r="C1919" s="2">
        <f t="shared" si="174"/>
        <v>4.3571</v>
      </c>
      <c r="D1919" s="2">
        <f t="shared" si="175"/>
        <v>22801</v>
      </c>
      <c r="E1919" s="2">
        <f t="shared" si="176"/>
        <v>3442951</v>
      </c>
      <c r="F1919" s="2">
        <f t="shared" si="177"/>
        <v>519885601</v>
      </c>
      <c r="G1919" s="2">
        <f t="shared" si="178"/>
        <v>657.9221</v>
      </c>
      <c r="H1919" s="2">
        <f t="shared" si="179"/>
        <v>99346.237099999998</v>
      </c>
    </row>
    <row r="1920" spans="1:8" x14ac:dyDescent="0.35">
      <c r="A1920" s="2">
        <v>151</v>
      </c>
      <c r="B1920" s="2">
        <v>54407</v>
      </c>
      <c r="C1920" s="2">
        <f t="shared" si="174"/>
        <v>5.4406999999999996</v>
      </c>
      <c r="D1920" s="2">
        <f t="shared" si="175"/>
        <v>22801</v>
      </c>
      <c r="E1920" s="2">
        <f t="shared" si="176"/>
        <v>3442951</v>
      </c>
      <c r="F1920" s="2">
        <f t="shared" si="177"/>
        <v>519885601</v>
      </c>
      <c r="G1920" s="2">
        <f t="shared" si="178"/>
        <v>821.5456999999999</v>
      </c>
      <c r="H1920" s="2">
        <f t="shared" si="179"/>
        <v>124053.4007</v>
      </c>
    </row>
    <row r="1921" spans="1:8" x14ac:dyDescent="0.35">
      <c r="A1921" s="2">
        <v>151</v>
      </c>
      <c r="B1921" s="2">
        <v>54739</v>
      </c>
      <c r="C1921" s="2">
        <f t="shared" si="174"/>
        <v>5.4739000000000004</v>
      </c>
      <c r="D1921" s="2">
        <f t="shared" si="175"/>
        <v>22801</v>
      </c>
      <c r="E1921" s="2">
        <f t="shared" si="176"/>
        <v>3442951</v>
      </c>
      <c r="F1921" s="2">
        <f t="shared" si="177"/>
        <v>519885601</v>
      </c>
      <c r="G1921" s="2">
        <f t="shared" si="178"/>
        <v>826.55890000000011</v>
      </c>
      <c r="H1921" s="2">
        <f t="shared" si="179"/>
        <v>124810.39390000001</v>
      </c>
    </row>
    <row r="1922" spans="1:8" x14ac:dyDescent="0.35">
      <c r="A1922" s="2">
        <v>151</v>
      </c>
      <c r="B1922" s="2">
        <v>57490</v>
      </c>
      <c r="C1922" s="2">
        <f t="shared" si="174"/>
        <v>5.7489999999999997</v>
      </c>
      <c r="D1922" s="2">
        <f t="shared" si="175"/>
        <v>22801</v>
      </c>
      <c r="E1922" s="2">
        <f t="shared" si="176"/>
        <v>3442951</v>
      </c>
      <c r="F1922" s="2">
        <f t="shared" si="177"/>
        <v>519885601</v>
      </c>
      <c r="G1922" s="2">
        <f t="shared" si="178"/>
        <v>868.09899999999993</v>
      </c>
      <c r="H1922" s="2">
        <f t="shared" si="179"/>
        <v>131082.94899999999</v>
      </c>
    </row>
    <row r="1923" spans="1:8" x14ac:dyDescent="0.35">
      <c r="A1923" s="2">
        <v>151</v>
      </c>
      <c r="B1923" s="2">
        <v>62834</v>
      </c>
      <c r="C1923" s="2">
        <f t="shared" ref="C1923:C1986" si="180">B1923/10000</f>
        <v>6.2834000000000003</v>
      </c>
      <c r="D1923" s="2">
        <f t="shared" ref="D1923:D1986" si="181">A1923^2</f>
        <v>22801</v>
      </c>
      <c r="E1923" s="2">
        <f t="shared" ref="E1923:E1986" si="182">A1923^3</f>
        <v>3442951</v>
      </c>
      <c r="F1923" s="2">
        <f t="shared" ref="F1923:F1986" si="183">A1923^4</f>
        <v>519885601</v>
      </c>
      <c r="G1923" s="2">
        <f t="shared" ref="G1923:G1986" si="184">A1923*C1923</f>
        <v>948.79340000000002</v>
      </c>
      <c r="H1923" s="2">
        <f t="shared" ref="H1923:H1986" si="185">D1923*C1923</f>
        <v>143267.8034</v>
      </c>
    </row>
    <row r="1924" spans="1:8" x14ac:dyDescent="0.35">
      <c r="A1924" s="2">
        <v>151</v>
      </c>
      <c r="B1924" s="2">
        <v>61350</v>
      </c>
      <c r="C1924" s="2">
        <f t="shared" si="180"/>
        <v>6.1349999999999998</v>
      </c>
      <c r="D1924" s="2">
        <f t="shared" si="181"/>
        <v>22801</v>
      </c>
      <c r="E1924" s="2">
        <f t="shared" si="182"/>
        <v>3442951</v>
      </c>
      <c r="F1924" s="2">
        <f t="shared" si="183"/>
        <v>519885601</v>
      </c>
      <c r="G1924" s="2">
        <f t="shared" si="184"/>
        <v>926.38499999999999</v>
      </c>
      <c r="H1924" s="2">
        <f t="shared" si="185"/>
        <v>139884.13500000001</v>
      </c>
    </row>
    <row r="1925" spans="1:8" x14ac:dyDescent="0.35">
      <c r="A1925" s="2">
        <v>151</v>
      </c>
      <c r="B1925" s="2">
        <v>44383</v>
      </c>
      <c r="C1925" s="2">
        <f t="shared" si="180"/>
        <v>4.4382999999999999</v>
      </c>
      <c r="D1925" s="2">
        <f t="shared" si="181"/>
        <v>22801</v>
      </c>
      <c r="E1925" s="2">
        <f t="shared" si="182"/>
        <v>3442951</v>
      </c>
      <c r="F1925" s="2">
        <f t="shared" si="183"/>
        <v>519885601</v>
      </c>
      <c r="G1925" s="2">
        <f t="shared" si="184"/>
        <v>670.18330000000003</v>
      </c>
      <c r="H1925" s="2">
        <f t="shared" si="185"/>
        <v>101197.6783</v>
      </c>
    </row>
    <row r="1926" spans="1:8" x14ac:dyDescent="0.35">
      <c r="A1926" s="2">
        <v>151</v>
      </c>
      <c r="B1926" s="2">
        <v>26372</v>
      </c>
      <c r="C1926" s="2">
        <f t="shared" si="180"/>
        <v>2.6372</v>
      </c>
      <c r="D1926" s="2">
        <f t="shared" si="181"/>
        <v>22801</v>
      </c>
      <c r="E1926" s="2">
        <f t="shared" si="182"/>
        <v>3442951</v>
      </c>
      <c r="F1926" s="2">
        <f t="shared" si="183"/>
        <v>519885601</v>
      </c>
      <c r="G1926" s="2">
        <f t="shared" si="184"/>
        <v>398.21719999999999</v>
      </c>
      <c r="H1926" s="2">
        <f t="shared" si="185"/>
        <v>60130.797200000001</v>
      </c>
    </row>
    <row r="1927" spans="1:8" x14ac:dyDescent="0.35">
      <c r="A1927" s="2">
        <v>1150</v>
      </c>
      <c r="B1927" s="2">
        <v>21343</v>
      </c>
      <c r="C1927" s="2">
        <f t="shared" si="180"/>
        <v>2.1343000000000001</v>
      </c>
      <c r="D1927" s="2">
        <f t="shared" si="181"/>
        <v>1322500</v>
      </c>
      <c r="E1927" s="2">
        <f t="shared" si="182"/>
        <v>1520875000</v>
      </c>
      <c r="F1927" s="2">
        <f t="shared" si="183"/>
        <v>1749006250000</v>
      </c>
      <c r="G1927" s="2">
        <f t="shared" si="184"/>
        <v>2454.4450000000002</v>
      </c>
      <c r="H1927" s="2">
        <f t="shared" si="185"/>
        <v>2822611.75</v>
      </c>
    </row>
    <row r="1928" spans="1:8" x14ac:dyDescent="0.35">
      <c r="A1928" s="2">
        <v>1150</v>
      </c>
      <c r="B1928" s="2">
        <v>20233</v>
      </c>
      <c r="C1928" s="2">
        <f t="shared" si="180"/>
        <v>2.0232999999999999</v>
      </c>
      <c r="D1928" s="2">
        <f t="shared" si="181"/>
        <v>1322500</v>
      </c>
      <c r="E1928" s="2">
        <f t="shared" si="182"/>
        <v>1520875000</v>
      </c>
      <c r="F1928" s="2">
        <f t="shared" si="183"/>
        <v>1749006250000</v>
      </c>
      <c r="G1928" s="2">
        <f t="shared" si="184"/>
        <v>2326.7950000000001</v>
      </c>
      <c r="H1928" s="2">
        <f t="shared" si="185"/>
        <v>2675814.25</v>
      </c>
    </row>
    <row r="1929" spans="1:8" x14ac:dyDescent="0.35">
      <c r="A1929" s="2">
        <v>1150</v>
      </c>
      <c r="B1929" s="2">
        <v>23893</v>
      </c>
      <c r="C1929" s="2">
        <f t="shared" si="180"/>
        <v>2.3893</v>
      </c>
      <c r="D1929" s="2">
        <f t="shared" si="181"/>
        <v>1322500</v>
      </c>
      <c r="E1929" s="2">
        <f t="shared" si="182"/>
        <v>1520875000</v>
      </c>
      <c r="F1929" s="2">
        <f t="shared" si="183"/>
        <v>1749006250000</v>
      </c>
      <c r="G1929" s="2">
        <f t="shared" si="184"/>
        <v>2747.6950000000002</v>
      </c>
      <c r="H1929" s="2">
        <f t="shared" si="185"/>
        <v>3159849.25</v>
      </c>
    </row>
    <row r="1930" spans="1:8" x14ac:dyDescent="0.35">
      <c r="A1930" s="2">
        <v>1150</v>
      </c>
      <c r="B1930" s="2">
        <v>19994</v>
      </c>
      <c r="C1930" s="2">
        <f t="shared" si="180"/>
        <v>1.9994000000000001</v>
      </c>
      <c r="D1930" s="2">
        <f t="shared" si="181"/>
        <v>1322500</v>
      </c>
      <c r="E1930" s="2">
        <f t="shared" si="182"/>
        <v>1520875000</v>
      </c>
      <c r="F1930" s="2">
        <f t="shared" si="183"/>
        <v>1749006250000</v>
      </c>
      <c r="G1930" s="2">
        <f t="shared" si="184"/>
        <v>2299.31</v>
      </c>
      <c r="H1930" s="2">
        <f t="shared" si="185"/>
        <v>2644206.5</v>
      </c>
    </row>
    <row r="1931" spans="1:8" x14ac:dyDescent="0.35">
      <c r="A1931" s="2">
        <v>1150</v>
      </c>
      <c r="B1931" s="2">
        <v>20695</v>
      </c>
      <c r="C1931" s="2">
        <f t="shared" si="180"/>
        <v>2.0695000000000001</v>
      </c>
      <c r="D1931" s="2">
        <f t="shared" si="181"/>
        <v>1322500</v>
      </c>
      <c r="E1931" s="2">
        <f t="shared" si="182"/>
        <v>1520875000</v>
      </c>
      <c r="F1931" s="2">
        <f t="shared" si="183"/>
        <v>1749006250000</v>
      </c>
      <c r="G1931" s="2">
        <f t="shared" si="184"/>
        <v>2379.9250000000002</v>
      </c>
      <c r="H1931" s="2">
        <f t="shared" si="185"/>
        <v>2736913.75</v>
      </c>
    </row>
    <row r="1932" spans="1:8" x14ac:dyDescent="0.35">
      <c r="A1932" s="2">
        <v>1150</v>
      </c>
      <c r="B1932" s="2">
        <v>19528</v>
      </c>
      <c r="C1932" s="2">
        <f t="shared" si="180"/>
        <v>1.9528000000000001</v>
      </c>
      <c r="D1932" s="2">
        <f t="shared" si="181"/>
        <v>1322500</v>
      </c>
      <c r="E1932" s="2">
        <f t="shared" si="182"/>
        <v>1520875000</v>
      </c>
      <c r="F1932" s="2">
        <f t="shared" si="183"/>
        <v>1749006250000</v>
      </c>
      <c r="G1932" s="2">
        <f t="shared" si="184"/>
        <v>2245.7200000000003</v>
      </c>
      <c r="H1932" s="2">
        <f t="shared" si="185"/>
        <v>2582578</v>
      </c>
    </row>
    <row r="1933" spans="1:8" x14ac:dyDescent="0.35">
      <c r="A1933" s="2">
        <v>1150</v>
      </c>
      <c r="B1933" s="2">
        <v>19591</v>
      </c>
      <c r="C1933" s="2">
        <f t="shared" si="180"/>
        <v>1.9591000000000001</v>
      </c>
      <c r="D1933" s="2">
        <f t="shared" si="181"/>
        <v>1322500</v>
      </c>
      <c r="E1933" s="2">
        <f t="shared" si="182"/>
        <v>1520875000</v>
      </c>
      <c r="F1933" s="2">
        <f t="shared" si="183"/>
        <v>1749006250000</v>
      </c>
      <c r="G1933" s="2">
        <f t="shared" si="184"/>
        <v>2252.9650000000001</v>
      </c>
      <c r="H1933" s="2">
        <f t="shared" si="185"/>
        <v>2590909.75</v>
      </c>
    </row>
    <row r="1934" spans="1:8" x14ac:dyDescent="0.35">
      <c r="A1934" s="2">
        <v>1150</v>
      </c>
      <c r="B1934" s="2">
        <v>19597</v>
      </c>
      <c r="C1934" s="2">
        <f t="shared" si="180"/>
        <v>1.9597</v>
      </c>
      <c r="D1934" s="2">
        <f t="shared" si="181"/>
        <v>1322500</v>
      </c>
      <c r="E1934" s="2">
        <f t="shared" si="182"/>
        <v>1520875000</v>
      </c>
      <c r="F1934" s="2">
        <f t="shared" si="183"/>
        <v>1749006250000</v>
      </c>
      <c r="G1934" s="2">
        <f t="shared" si="184"/>
        <v>2253.6550000000002</v>
      </c>
      <c r="H1934" s="2">
        <f t="shared" si="185"/>
        <v>2591703.25</v>
      </c>
    </row>
    <row r="1935" spans="1:8" x14ac:dyDescent="0.35">
      <c r="A1935" s="2">
        <v>1150</v>
      </c>
      <c r="B1935" s="2">
        <v>14160</v>
      </c>
      <c r="C1935" s="2">
        <f t="shared" si="180"/>
        <v>1.4159999999999999</v>
      </c>
      <c r="D1935" s="2">
        <f t="shared" si="181"/>
        <v>1322500</v>
      </c>
      <c r="E1935" s="2">
        <f t="shared" si="182"/>
        <v>1520875000</v>
      </c>
      <c r="F1935" s="2">
        <f t="shared" si="183"/>
        <v>1749006250000</v>
      </c>
      <c r="G1935" s="2">
        <f t="shared" si="184"/>
        <v>1628.3999999999999</v>
      </c>
      <c r="H1935" s="2">
        <f t="shared" si="185"/>
        <v>1872660</v>
      </c>
    </row>
    <row r="1936" spans="1:8" x14ac:dyDescent="0.35">
      <c r="A1936" s="2">
        <v>1150</v>
      </c>
      <c r="B1936" s="2">
        <v>16258</v>
      </c>
      <c r="C1936" s="2">
        <f t="shared" si="180"/>
        <v>1.6257999999999999</v>
      </c>
      <c r="D1936" s="2">
        <f t="shared" si="181"/>
        <v>1322500</v>
      </c>
      <c r="E1936" s="2">
        <f t="shared" si="182"/>
        <v>1520875000</v>
      </c>
      <c r="F1936" s="2">
        <f t="shared" si="183"/>
        <v>1749006250000</v>
      </c>
      <c r="G1936" s="2">
        <f t="shared" si="184"/>
        <v>1869.6699999999998</v>
      </c>
      <c r="H1936" s="2">
        <f t="shared" si="185"/>
        <v>2150120.5</v>
      </c>
    </row>
    <row r="1937" spans="1:8" x14ac:dyDescent="0.35">
      <c r="A1937" s="2">
        <v>1150</v>
      </c>
      <c r="B1937" s="2">
        <v>17498</v>
      </c>
      <c r="C1937" s="2">
        <f t="shared" si="180"/>
        <v>1.7498</v>
      </c>
      <c r="D1937" s="2">
        <f t="shared" si="181"/>
        <v>1322500</v>
      </c>
      <c r="E1937" s="2">
        <f t="shared" si="182"/>
        <v>1520875000</v>
      </c>
      <c r="F1937" s="2">
        <f t="shared" si="183"/>
        <v>1749006250000</v>
      </c>
      <c r="G1937" s="2">
        <f t="shared" si="184"/>
        <v>2012.27</v>
      </c>
      <c r="H1937" s="2">
        <f t="shared" si="185"/>
        <v>2314110.5</v>
      </c>
    </row>
    <row r="1938" spans="1:8" x14ac:dyDescent="0.35">
      <c r="A1938" s="2">
        <v>1150</v>
      </c>
      <c r="B1938" s="2">
        <v>15957</v>
      </c>
      <c r="C1938" s="2">
        <f t="shared" si="180"/>
        <v>1.5956999999999999</v>
      </c>
      <c r="D1938" s="2">
        <f t="shared" si="181"/>
        <v>1322500</v>
      </c>
      <c r="E1938" s="2">
        <f t="shared" si="182"/>
        <v>1520875000</v>
      </c>
      <c r="F1938" s="2">
        <f t="shared" si="183"/>
        <v>1749006250000</v>
      </c>
      <c r="G1938" s="2">
        <f t="shared" si="184"/>
        <v>1835.0549999999998</v>
      </c>
      <c r="H1938" s="2">
        <f t="shared" si="185"/>
        <v>2110313.25</v>
      </c>
    </row>
    <row r="1939" spans="1:8" x14ac:dyDescent="0.35">
      <c r="A1939" s="2">
        <v>1150</v>
      </c>
      <c r="B1939" s="2">
        <v>16023</v>
      </c>
      <c r="C1939" s="2">
        <f t="shared" si="180"/>
        <v>1.6023000000000001</v>
      </c>
      <c r="D1939" s="2">
        <f t="shared" si="181"/>
        <v>1322500</v>
      </c>
      <c r="E1939" s="2">
        <f t="shared" si="182"/>
        <v>1520875000</v>
      </c>
      <c r="F1939" s="2">
        <f t="shared" si="183"/>
        <v>1749006250000</v>
      </c>
      <c r="G1939" s="2">
        <f t="shared" si="184"/>
        <v>1842.645</v>
      </c>
      <c r="H1939" s="2">
        <f t="shared" si="185"/>
        <v>2119041.75</v>
      </c>
    </row>
    <row r="1940" spans="1:8" x14ac:dyDescent="0.35">
      <c r="A1940" s="2">
        <v>1150</v>
      </c>
      <c r="B1940" s="2">
        <v>14957</v>
      </c>
      <c r="C1940" s="2">
        <f t="shared" si="180"/>
        <v>1.4957</v>
      </c>
      <c r="D1940" s="2">
        <f t="shared" si="181"/>
        <v>1322500</v>
      </c>
      <c r="E1940" s="2">
        <f t="shared" si="182"/>
        <v>1520875000</v>
      </c>
      <c r="F1940" s="2">
        <f t="shared" si="183"/>
        <v>1749006250000</v>
      </c>
      <c r="G1940" s="2">
        <f t="shared" si="184"/>
        <v>1720.0550000000001</v>
      </c>
      <c r="H1940" s="2">
        <f t="shared" si="185"/>
        <v>1978063.25</v>
      </c>
    </row>
    <row r="1941" spans="1:8" x14ac:dyDescent="0.35">
      <c r="A1941" s="2">
        <v>1150</v>
      </c>
      <c r="B1941" s="2">
        <v>14998</v>
      </c>
      <c r="C1941" s="2">
        <f t="shared" si="180"/>
        <v>1.4998</v>
      </c>
      <c r="D1941" s="2">
        <f t="shared" si="181"/>
        <v>1322500</v>
      </c>
      <c r="E1941" s="2">
        <f t="shared" si="182"/>
        <v>1520875000</v>
      </c>
      <c r="F1941" s="2">
        <f t="shared" si="183"/>
        <v>1749006250000</v>
      </c>
      <c r="G1941" s="2">
        <f t="shared" si="184"/>
        <v>1724.77</v>
      </c>
      <c r="H1941" s="2">
        <f t="shared" si="185"/>
        <v>1983485.5</v>
      </c>
    </row>
    <row r="1942" spans="1:8" x14ac:dyDescent="0.35">
      <c r="A1942" s="2">
        <v>1150</v>
      </c>
      <c r="B1942" s="2">
        <v>13000</v>
      </c>
      <c r="C1942" s="2">
        <f t="shared" si="180"/>
        <v>1.3</v>
      </c>
      <c r="D1942" s="2">
        <f t="shared" si="181"/>
        <v>1322500</v>
      </c>
      <c r="E1942" s="2">
        <f t="shared" si="182"/>
        <v>1520875000</v>
      </c>
      <c r="F1942" s="2">
        <f t="shared" si="183"/>
        <v>1749006250000</v>
      </c>
      <c r="G1942" s="2">
        <f t="shared" si="184"/>
        <v>1495</v>
      </c>
      <c r="H1942" s="2">
        <f t="shared" si="185"/>
        <v>1719250</v>
      </c>
    </row>
    <row r="1943" spans="1:8" x14ac:dyDescent="0.35">
      <c r="A1943" s="2">
        <v>1150</v>
      </c>
      <c r="B1943" s="2">
        <v>13400</v>
      </c>
      <c r="C1943" s="2">
        <f t="shared" si="180"/>
        <v>1.34</v>
      </c>
      <c r="D1943" s="2">
        <f t="shared" si="181"/>
        <v>1322500</v>
      </c>
      <c r="E1943" s="2">
        <f t="shared" si="182"/>
        <v>1520875000</v>
      </c>
      <c r="F1943" s="2">
        <f t="shared" si="183"/>
        <v>1749006250000</v>
      </c>
      <c r="G1943" s="2">
        <f t="shared" si="184"/>
        <v>1541</v>
      </c>
      <c r="H1943" s="2">
        <f t="shared" si="185"/>
        <v>1772150</v>
      </c>
    </row>
    <row r="1944" spans="1:8" x14ac:dyDescent="0.35">
      <c r="A1944" s="2">
        <v>1150</v>
      </c>
      <c r="B1944" s="2">
        <v>14199</v>
      </c>
      <c r="C1944" s="2">
        <f t="shared" si="180"/>
        <v>1.4198999999999999</v>
      </c>
      <c r="D1944" s="2">
        <f t="shared" si="181"/>
        <v>1322500</v>
      </c>
      <c r="E1944" s="2">
        <f t="shared" si="182"/>
        <v>1520875000</v>
      </c>
      <c r="F1944" s="2">
        <f t="shared" si="183"/>
        <v>1749006250000</v>
      </c>
      <c r="G1944" s="2">
        <f t="shared" si="184"/>
        <v>1632.885</v>
      </c>
      <c r="H1944" s="2">
        <f t="shared" si="185"/>
        <v>1877817.75</v>
      </c>
    </row>
    <row r="1945" spans="1:8" x14ac:dyDescent="0.35">
      <c r="A1945" s="2">
        <v>1150</v>
      </c>
      <c r="B1945" s="2">
        <v>14302</v>
      </c>
      <c r="C1945" s="2">
        <f t="shared" si="180"/>
        <v>1.4301999999999999</v>
      </c>
      <c r="D1945" s="2">
        <f t="shared" si="181"/>
        <v>1322500</v>
      </c>
      <c r="E1945" s="2">
        <f t="shared" si="182"/>
        <v>1520875000</v>
      </c>
      <c r="F1945" s="2">
        <f t="shared" si="183"/>
        <v>1749006250000</v>
      </c>
      <c r="G1945" s="2">
        <f t="shared" si="184"/>
        <v>1644.7299999999998</v>
      </c>
      <c r="H1945" s="2">
        <f t="shared" si="185"/>
        <v>1891439.5</v>
      </c>
    </row>
    <row r="1946" spans="1:8" x14ac:dyDescent="0.35">
      <c r="A1946" s="2">
        <v>1150</v>
      </c>
      <c r="B1946" s="2">
        <v>14833</v>
      </c>
      <c r="C1946" s="2">
        <f t="shared" si="180"/>
        <v>1.4833000000000001</v>
      </c>
      <c r="D1946" s="2">
        <f t="shared" si="181"/>
        <v>1322500</v>
      </c>
      <c r="E1946" s="2">
        <f t="shared" si="182"/>
        <v>1520875000</v>
      </c>
      <c r="F1946" s="2">
        <f t="shared" si="183"/>
        <v>1749006250000</v>
      </c>
      <c r="G1946" s="2">
        <f t="shared" si="184"/>
        <v>1705.7950000000001</v>
      </c>
      <c r="H1946" s="2">
        <f t="shared" si="185"/>
        <v>1961664.25</v>
      </c>
    </row>
    <row r="1947" spans="1:8" x14ac:dyDescent="0.35">
      <c r="A1947" s="2">
        <v>1150</v>
      </c>
      <c r="B1947" s="2">
        <v>12999</v>
      </c>
      <c r="C1947" s="2">
        <f t="shared" si="180"/>
        <v>1.2999000000000001</v>
      </c>
      <c r="D1947" s="2">
        <f t="shared" si="181"/>
        <v>1322500</v>
      </c>
      <c r="E1947" s="2">
        <f t="shared" si="182"/>
        <v>1520875000</v>
      </c>
      <c r="F1947" s="2">
        <f t="shared" si="183"/>
        <v>1749006250000</v>
      </c>
      <c r="G1947" s="2">
        <f t="shared" si="184"/>
        <v>1494.885</v>
      </c>
      <c r="H1947" s="2">
        <f t="shared" si="185"/>
        <v>1719117.75</v>
      </c>
    </row>
    <row r="1948" spans="1:8" x14ac:dyDescent="0.35">
      <c r="A1948" s="2">
        <v>1150</v>
      </c>
      <c r="B1948" s="2">
        <v>17544</v>
      </c>
      <c r="C1948" s="2">
        <f t="shared" si="180"/>
        <v>1.7544</v>
      </c>
      <c r="D1948" s="2">
        <f t="shared" si="181"/>
        <v>1322500</v>
      </c>
      <c r="E1948" s="2">
        <f t="shared" si="182"/>
        <v>1520875000</v>
      </c>
      <c r="F1948" s="2">
        <f t="shared" si="183"/>
        <v>1749006250000</v>
      </c>
      <c r="G1948" s="2">
        <f t="shared" si="184"/>
        <v>2017.56</v>
      </c>
      <c r="H1948" s="2">
        <f t="shared" si="185"/>
        <v>2320194</v>
      </c>
    </row>
    <row r="1949" spans="1:8" x14ac:dyDescent="0.35">
      <c r="A1949" s="2">
        <v>1150</v>
      </c>
      <c r="B1949" s="2">
        <v>19306</v>
      </c>
      <c r="C1949" s="2">
        <f t="shared" si="180"/>
        <v>1.9306000000000001</v>
      </c>
      <c r="D1949" s="2">
        <f t="shared" si="181"/>
        <v>1322500</v>
      </c>
      <c r="E1949" s="2">
        <f t="shared" si="182"/>
        <v>1520875000</v>
      </c>
      <c r="F1949" s="2">
        <f t="shared" si="183"/>
        <v>1749006250000</v>
      </c>
      <c r="G1949" s="2">
        <f t="shared" si="184"/>
        <v>2220.19</v>
      </c>
      <c r="H1949" s="2">
        <f t="shared" si="185"/>
        <v>2553218.5</v>
      </c>
    </row>
    <row r="1950" spans="1:8" x14ac:dyDescent="0.35">
      <c r="A1950" s="2">
        <v>1150</v>
      </c>
      <c r="B1950" s="2">
        <v>18386</v>
      </c>
      <c r="C1950" s="2">
        <f t="shared" si="180"/>
        <v>1.8386</v>
      </c>
      <c r="D1950" s="2">
        <f t="shared" si="181"/>
        <v>1322500</v>
      </c>
      <c r="E1950" s="2">
        <f t="shared" si="182"/>
        <v>1520875000</v>
      </c>
      <c r="F1950" s="2">
        <f t="shared" si="183"/>
        <v>1749006250000</v>
      </c>
      <c r="G1950" s="2">
        <f t="shared" si="184"/>
        <v>2114.39</v>
      </c>
      <c r="H1950" s="2">
        <f t="shared" si="185"/>
        <v>2431548.5</v>
      </c>
    </row>
    <row r="1951" spans="1:8" x14ac:dyDescent="0.35">
      <c r="A1951" s="2">
        <v>1150</v>
      </c>
      <c r="B1951" s="2">
        <v>20325</v>
      </c>
      <c r="C1951" s="2">
        <f t="shared" si="180"/>
        <v>2.0325000000000002</v>
      </c>
      <c r="D1951" s="2">
        <f t="shared" si="181"/>
        <v>1322500</v>
      </c>
      <c r="E1951" s="2">
        <f t="shared" si="182"/>
        <v>1520875000</v>
      </c>
      <c r="F1951" s="2">
        <f t="shared" si="183"/>
        <v>1749006250000</v>
      </c>
      <c r="G1951" s="2">
        <f t="shared" si="184"/>
        <v>2337.375</v>
      </c>
      <c r="H1951" s="2">
        <f t="shared" si="185"/>
        <v>2687981.2500000005</v>
      </c>
    </row>
    <row r="1952" spans="1:8" x14ac:dyDescent="0.35">
      <c r="A1952" s="2">
        <v>1150</v>
      </c>
      <c r="B1952" s="2">
        <v>18971</v>
      </c>
      <c r="C1952" s="2">
        <f t="shared" si="180"/>
        <v>1.8971</v>
      </c>
      <c r="D1952" s="2">
        <f t="shared" si="181"/>
        <v>1322500</v>
      </c>
      <c r="E1952" s="2">
        <f t="shared" si="182"/>
        <v>1520875000</v>
      </c>
      <c r="F1952" s="2">
        <f t="shared" si="183"/>
        <v>1749006250000</v>
      </c>
      <c r="G1952" s="2">
        <f t="shared" si="184"/>
        <v>2181.665</v>
      </c>
      <c r="H1952" s="2">
        <f t="shared" si="185"/>
        <v>2508914.75</v>
      </c>
    </row>
    <row r="1953" spans="1:8" x14ac:dyDescent="0.35">
      <c r="A1953" s="2">
        <v>1150</v>
      </c>
      <c r="B1953" s="2">
        <v>16454</v>
      </c>
      <c r="C1953" s="2">
        <f t="shared" si="180"/>
        <v>1.6454</v>
      </c>
      <c r="D1953" s="2">
        <f t="shared" si="181"/>
        <v>1322500</v>
      </c>
      <c r="E1953" s="2">
        <f t="shared" si="182"/>
        <v>1520875000</v>
      </c>
      <c r="F1953" s="2">
        <f t="shared" si="183"/>
        <v>1749006250000</v>
      </c>
      <c r="G1953" s="2">
        <f t="shared" si="184"/>
        <v>1892.21</v>
      </c>
      <c r="H1953" s="2">
        <f t="shared" si="185"/>
        <v>2176041.5</v>
      </c>
    </row>
    <row r="1954" spans="1:8" x14ac:dyDescent="0.35">
      <c r="A1954" s="2">
        <v>1150</v>
      </c>
      <c r="B1954" s="2">
        <v>19478</v>
      </c>
      <c r="C1954" s="2">
        <f t="shared" si="180"/>
        <v>1.9478</v>
      </c>
      <c r="D1954" s="2">
        <f t="shared" si="181"/>
        <v>1322500</v>
      </c>
      <c r="E1954" s="2">
        <f t="shared" si="182"/>
        <v>1520875000</v>
      </c>
      <c r="F1954" s="2">
        <f t="shared" si="183"/>
        <v>1749006250000</v>
      </c>
      <c r="G1954" s="2">
        <f t="shared" si="184"/>
        <v>2239.9699999999998</v>
      </c>
      <c r="H1954" s="2">
        <f t="shared" si="185"/>
        <v>2575965.5</v>
      </c>
    </row>
    <row r="1955" spans="1:8" x14ac:dyDescent="0.35">
      <c r="A1955" s="2">
        <v>1150</v>
      </c>
      <c r="B1955" s="2">
        <v>20042</v>
      </c>
      <c r="C1955" s="2">
        <f t="shared" si="180"/>
        <v>2.0042</v>
      </c>
      <c r="D1955" s="2">
        <f t="shared" si="181"/>
        <v>1322500</v>
      </c>
      <c r="E1955" s="2">
        <f t="shared" si="182"/>
        <v>1520875000</v>
      </c>
      <c r="F1955" s="2">
        <f t="shared" si="183"/>
        <v>1749006250000</v>
      </c>
      <c r="G1955" s="2">
        <f t="shared" si="184"/>
        <v>2304.83</v>
      </c>
      <c r="H1955" s="2">
        <f t="shared" si="185"/>
        <v>2650554.5</v>
      </c>
    </row>
    <row r="1956" spans="1:8" x14ac:dyDescent="0.35">
      <c r="A1956" s="2">
        <v>1150</v>
      </c>
      <c r="B1956" s="2">
        <v>20265</v>
      </c>
      <c r="C1956" s="2">
        <f t="shared" si="180"/>
        <v>2.0265</v>
      </c>
      <c r="D1956" s="2">
        <f t="shared" si="181"/>
        <v>1322500</v>
      </c>
      <c r="E1956" s="2">
        <f t="shared" si="182"/>
        <v>1520875000</v>
      </c>
      <c r="F1956" s="2">
        <f t="shared" si="183"/>
        <v>1749006250000</v>
      </c>
      <c r="G1956" s="2">
        <f t="shared" si="184"/>
        <v>2330.4749999999999</v>
      </c>
      <c r="H1956" s="2">
        <f t="shared" si="185"/>
        <v>2680046.25</v>
      </c>
    </row>
    <row r="1957" spans="1:8" x14ac:dyDescent="0.35">
      <c r="A1957" s="2">
        <v>494</v>
      </c>
      <c r="B1957" s="2">
        <v>23499</v>
      </c>
      <c r="C1957" s="2">
        <f t="shared" si="180"/>
        <v>2.3498999999999999</v>
      </c>
      <c r="D1957" s="2">
        <f t="shared" si="181"/>
        <v>244036</v>
      </c>
      <c r="E1957" s="2">
        <f t="shared" si="182"/>
        <v>120553784</v>
      </c>
      <c r="F1957" s="2">
        <f t="shared" si="183"/>
        <v>59553569296</v>
      </c>
      <c r="G1957" s="2">
        <f t="shared" si="184"/>
        <v>1160.8506</v>
      </c>
      <c r="H1957" s="2">
        <f t="shared" si="185"/>
        <v>573460.19640000002</v>
      </c>
    </row>
    <row r="1958" spans="1:8" x14ac:dyDescent="0.35">
      <c r="A1958" s="2">
        <v>494</v>
      </c>
      <c r="B1958" s="2">
        <v>25320</v>
      </c>
      <c r="C1958" s="2">
        <f t="shared" si="180"/>
        <v>2.532</v>
      </c>
      <c r="D1958" s="2">
        <f t="shared" si="181"/>
        <v>244036</v>
      </c>
      <c r="E1958" s="2">
        <f t="shared" si="182"/>
        <v>120553784</v>
      </c>
      <c r="F1958" s="2">
        <f t="shared" si="183"/>
        <v>59553569296</v>
      </c>
      <c r="G1958" s="2">
        <f t="shared" si="184"/>
        <v>1250.808</v>
      </c>
      <c r="H1958" s="2">
        <f t="shared" si="185"/>
        <v>617899.152</v>
      </c>
    </row>
    <row r="1959" spans="1:8" x14ac:dyDescent="0.35">
      <c r="A1959" s="2">
        <v>494</v>
      </c>
      <c r="B1959" s="2">
        <v>24765</v>
      </c>
      <c r="C1959" s="2">
        <f t="shared" si="180"/>
        <v>2.4765000000000001</v>
      </c>
      <c r="D1959" s="2">
        <f t="shared" si="181"/>
        <v>244036</v>
      </c>
      <c r="E1959" s="2">
        <f t="shared" si="182"/>
        <v>120553784</v>
      </c>
      <c r="F1959" s="2">
        <f t="shared" si="183"/>
        <v>59553569296</v>
      </c>
      <c r="G1959" s="2">
        <f t="shared" si="184"/>
        <v>1223.3910000000001</v>
      </c>
      <c r="H1959" s="2">
        <f t="shared" si="185"/>
        <v>604355.15399999998</v>
      </c>
    </row>
    <row r="1960" spans="1:8" x14ac:dyDescent="0.35">
      <c r="A1960" s="2">
        <v>494</v>
      </c>
      <c r="B1960" s="2">
        <v>22925</v>
      </c>
      <c r="C1960" s="2">
        <f t="shared" si="180"/>
        <v>2.2925</v>
      </c>
      <c r="D1960" s="2">
        <f t="shared" si="181"/>
        <v>244036</v>
      </c>
      <c r="E1960" s="2">
        <f t="shared" si="182"/>
        <v>120553784</v>
      </c>
      <c r="F1960" s="2">
        <f t="shared" si="183"/>
        <v>59553569296</v>
      </c>
      <c r="G1960" s="2">
        <f t="shared" si="184"/>
        <v>1132.4949999999999</v>
      </c>
      <c r="H1960" s="2">
        <f t="shared" si="185"/>
        <v>559452.53</v>
      </c>
    </row>
    <row r="1961" spans="1:8" x14ac:dyDescent="0.35">
      <c r="A1961" s="2">
        <v>494</v>
      </c>
      <c r="B1961" s="2">
        <v>23151</v>
      </c>
      <c r="C1961" s="2">
        <f t="shared" si="180"/>
        <v>2.3151000000000002</v>
      </c>
      <c r="D1961" s="2">
        <f t="shared" si="181"/>
        <v>244036</v>
      </c>
      <c r="E1961" s="2">
        <f t="shared" si="182"/>
        <v>120553784</v>
      </c>
      <c r="F1961" s="2">
        <f t="shared" si="183"/>
        <v>59553569296</v>
      </c>
      <c r="G1961" s="2">
        <f t="shared" si="184"/>
        <v>1143.6594</v>
      </c>
      <c r="H1961" s="2">
        <f t="shared" si="185"/>
        <v>564967.74360000005</v>
      </c>
    </row>
    <row r="1962" spans="1:8" x14ac:dyDescent="0.35">
      <c r="A1962" s="2">
        <v>494</v>
      </c>
      <c r="B1962" s="2">
        <v>23199</v>
      </c>
      <c r="C1962" s="2">
        <f t="shared" si="180"/>
        <v>2.3199000000000001</v>
      </c>
      <c r="D1962" s="2">
        <f t="shared" si="181"/>
        <v>244036</v>
      </c>
      <c r="E1962" s="2">
        <f t="shared" si="182"/>
        <v>120553784</v>
      </c>
      <c r="F1962" s="2">
        <f t="shared" si="183"/>
        <v>59553569296</v>
      </c>
      <c r="G1962" s="2">
        <f t="shared" si="184"/>
        <v>1146.0306</v>
      </c>
      <c r="H1962" s="2">
        <f t="shared" si="185"/>
        <v>566139.11640000006</v>
      </c>
    </row>
    <row r="1963" spans="1:8" x14ac:dyDescent="0.35">
      <c r="A1963" s="2">
        <v>494</v>
      </c>
      <c r="B1963" s="2">
        <v>23686</v>
      </c>
      <c r="C1963" s="2">
        <f t="shared" si="180"/>
        <v>2.3685999999999998</v>
      </c>
      <c r="D1963" s="2">
        <f t="shared" si="181"/>
        <v>244036</v>
      </c>
      <c r="E1963" s="2">
        <f t="shared" si="182"/>
        <v>120553784</v>
      </c>
      <c r="F1963" s="2">
        <f t="shared" si="183"/>
        <v>59553569296</v>
      </c>
      <c r="G1963" s="2">
        <f t="shared" si="184"/>
        <v>1170.0883999999999</v>
      </c>
      <c r="H1963" s="2">
        <f t="shared" si="185"/>
        <v>578023.66959999991</v>
      </c>
    </row>
    <row r="1964" spans="1:8" x14ac:dyDescent="0.35">
      <c r="A1964" s="2">
        <v>494</v>
      </c>
      <c r="B1964" s="2">
        <v>27397</v>
      </c>
      <c r="C1964" s="2">
        <f t="shared" si="180"/>
        <v>2.7397</v>
      </c>
      <c r="D1964" s="2">
        <f t="shared" si="181"/>
        <v>244036</v>
      </c>
      <c r="E1964" s="2">
        <f t="shared" si="182"/>
        <v>120553784</v>
      </c>
      <c r="F1964" s="2">
        <f t="shared" si="183"/>
        <v>59553569296</v>
      </c>
      <c r="G1964" s="2">
        <f t="shared" si="184"/>
        <v>1353.4118000000001</v>
      </c>
      <c r="H1964" s="2">
        <f t="shared" si="185"/>
        <v>668585.42920000001</v>
      </c>
    </row>
    <row r="1965" spans="1:8" x14ac:dyDescent="0.35">
      <c r="A1965" s="2">
        <v>494</v>
      </c>
      <c r="B1965" s="2">
        <v>24333</v>
      </c>
      <c r="C1965" s="2">
        <f t="shared" si="180"/>
        <v>2.4333</v>
      </c>
      <c r="D1965" s="2">
        <f t="shared" si="181"/>
        <v>244036</v>
      </c>
      <c r="E1965" s="2">
        <f t="shared" si="182"/>
        <v>120553784</v>
      </c>
      <c r="F1965" s="2">
        <f t="shared" si="183"/>
        <v>59553569296</v>
      </c>
      <c r="G1965" s="2">
        <f t="shared" si="184"/>
        <v>1202.0501999999999</v>
      </c>
      <c r="H1965" s="2">
        <f t="shared" si="185"/>
        <v>593812.79879999999</v>
      </c>
    </row>
    <row r="1966" spans="1:8" x14ac:dyDescent="0.35">
      <c r="A1966" s="2">
        <v>494</v>
      </c>
      <c r="B1966" s="2">
        <v>27522</v>
      </c>
      <c r="C1966" s="2">
        <f t="shared" si="180"/>
        <v>2.7522000000000002</v>
      </c>
      <c r="D1966" s="2">
        <f t="shared" si="181"/>
        <v>244036</v>
      </c>
      <c r="E1966" s="2">
        <f t="shared" si="182"/>
        <v>120553784</v>
      </c>
      <c r="F1966" s="2">
        <f t="shared" si="183"/>
        <v>59553569296</v>
      </c>
      <c r="G1966" s="2">
        <f t="shared" si="184"/>
        <v>1359.5868</v>
      </c>
      <c r="H1966" s="2">
        <f t="shared" si="185"/>
        <v>671635.87920000008</v>
      </c>
    </row>
    <row r="1967" spans="1:8" x14ac:dyDescent="0.35">
      <c r="A1967" s="2">
        <v>494</v>
      </c>
      <c r="B1967" s="2">
        <v>28685</v>
      </c>
      <c r="C1967" s="2">
        <f t="shared" si="180"/>
        <v>2.8685</v>
      </c>
      <c r="D1967" s="2">
        <f t="shared" si="181"/>
        <v>244036</v>
      </c>
      <c r="E1967" s="2">
        <f t="shared" si="182"/>
        <v>120553784</v>
      </c>
      <c r="F1967" s="2">
        <f t="shared" si="183"/>
        <v>59553569296</v>
      </c>
      <c r="G1967" s="2">
        <f t="shared" si="184"/>
        <v>1417.039</v>
      </c>
      <c r="H1967" s="2">
        <f t="shared" si="185"/>
        <v>700017.26600000006</v>
      </c>
    </row>
    <row r="1968" spans="1:8" x14ac:dyDescent="0.35">
      <c r="A1968" s="2">
        <v>494</v>
      </c>
      <c r="B1968" s="2">
        <v>28048</v>
      </c>
      <c r="C1968" s="2">
        <f t="shared" si="180"/>
        <v>2.8048000000000002</v>
      </c>
      <c r="D1968" s="2">
        <f t="shared" si="181"/>
        <v>244036</v>
      </c>
      <c r="E1968" s="2">
        <f t="shared" si="182"/>
        <v>120553784</v>
      </c>
      <c r="F1968" s="2">
        <f t="shared" si="183"/>
        <v>59553569296</v>
      </c>
      <c r="G1968" s="2">
        <f t="shared" si="184"/>
        <v>1385.5712000000001</v>
      </c>
      <c r="H1968" s="2">
        <f t="shared" si="185"/>
        <v>684472.17280000006</v>
      </c>
    </row>
    <row r="1969" spans="1:8" x14ac:dyDescent="0.35">
      <c r="A1969" s="2">
        <v>494</v>
      </c>
      <c r="B1969" s="2">
        <v>28930</v>
      </c>
      <c r="C1969" s="2">
        <f t="shared" si="180"/>
        <v>2.8929999999999998</v>
      </c>
      <c r="D1969" s="2">
        <f t="shared" si="181"/>
        <v>244036</v>
      </c>
      <c r="E1969" s="2">
        <f t="shared" si="182"/>
        <v>120553784</v>
      </c>
      <c r="F1969" s="2">
        <f t="shared" si="183"/>
        <v>59553569296</v>
      </c>
      <c r="G1969" s="2">
        <f t="shared" si="184"/>
        <v>1429.1419999999998</v>
      </c>
      <c r="H1969" s="2">
        <f t="shared" si="185"/>
        <v>705996.14799999993</v>
      </c>
    </row>
    <row r="1970" spans="1:8" x14ac:dyDescent="0.35">
      <c r="A1970" s="2">
        <v>494</v>
      </c>
      <c r="B1970" s="2">
        <v>30744</v>
      </c>
      <c r="C1970" s="2">
        <f t="shared" si="180"/>
        <v>3.0743999999999998</v>
      </c>
      <c r="D1970" s="2">
        <f t="shared" si="181"/>
        <v>244036</v>
      </c>
      <c r="E1970" s="2">
        <f t="shared" si="182"/>
        <v>120553784</v>
      </c>
      <c r="F1970" s="2">
        <f t="shared" si="183"/>
        <v>59553569296</v>
      </c>
      <c r="G1970" s="2">
        <f t="shared" si="184"/>
        <v>1518.7536</v>
      </c>
      <c r="H1970" s="2">
        <f t="shared" si="185"/>
        <v>750264.27839999995</v>
      </c>
    </row>
    <row r="1971" spans="1:8" x14ac:dyDescent="0.35">
      <c r="A1971" s="2">
        <v>494</v>
      </c>
      <c r="B1971" s="2">
        <v>30312</v>
      </c>
      <c r="C1971" s="2">
        <f t="shared" si="180"/>
        <v>3.0312000000000001</v>
      </c>
      <c r="D1971" s="2">
        <f t="shared" si="181"/>
        <v>244036</v>
      </c>
      <c r="E1971" s="2">
        <f t="shared" si="182"/>
        <v>120553784</v>
      </c>
      <c r="F1971" s="2">
        <f t="shared" si="183"/>
        <v>59553569296</v>
      </c>
      <c r="G1971" s="2">
        <f t="shared" si="184"/>
        <v>1497.4128000000001</v>
      </c>
      <c r="H1971" s="2">
        <f t="shared" si="185"/>
        <v>739721.92320000008</v>
      </c>
    </row>
    <row r="1972" spans="1:8" x14ac:dyDescent="0.35">
      <c r="A1972" s="2">
        <v>494</v>
      </c>
      <c r="B1972" s="2">
        <v>27542</v>
      </c>
      <c r="C1972" s="2">
        <f t="shared" si="180"/>
        <v>2.7542</v>
      </c>
      <c r="D1972" s="2">
        <f t="shared" si="181"/>
        <v>244036</v>
      </c>
      <c r="E1972" s="2">
        <f t="shared" si="182"/>
        <v>120553784</v>
      </c>
      <c r="F1972" s="2">
        <f t="shared" si="183"/>
        <v>59553569296</v>
      </c>
      <c r="G1972" s="2">
        <f t="shared" si="184"/>
        <v>1360.5748000000001</v>
      </c>
      <c r="H1972" s="2">
        <f t="shared" si="185"/>
        <v>672123.95120000001</v>
      </c>
    </row>
    <row r="1973" spans="1:8" x14ac:dyDescent="0.35">
      <c r="A1973" s="2">
        <v>494</v>
      </c>
      <c r="B1973" s="2">
        <v>30192</v>
      </c>
      <c r="C1973" s="2">
        <f t="shared" si="180"/>
        <v>3.0192000000000001</v>
      </c>
      <c r="D1973" s="2">
        <f t="shared" si="181"/>
        <v>244036</v>
      </c>
      <c r="E1973" s="2">
        <f t="shared" si="182"/>
        <v>120553784</v>
      </c>
      <c r="F1973" s="2">
        <f t="shared" si="183"/>
        <v>59553569296</v>
      </c>
      <c r="G1973" s="2">
        <f t="shared" si="184"/>
        <v>1491.4848</v>
      </c>
      <c r="H1973" s="2">
        <f t="shared" si="185"/>
        <v>736793.49120000005</v>
      </c>
    </row>
    <row r="1974" spans="1:8" x14ac:dyDescent="0.35">
      <c r="A1974" s="2">
        <v>494</v>
      </c>
      <c r="B1974" s="2">
        <v>29914</v>
      </c>
      <c r="C1974" s="2">
        <f t="shared" si="180"/>
        <v>2.9914000000000001</v>
      </c>
      <c r="D1974" s="2">
        <f t="shared" si="181"/>
        <v>244036</v>
      </c>
      <c r="E1974" s="2">
        <f t="shared" si="182"/>
        <v>120553784</v>
      </c>
      <c r="F1974" s="2">
        <f t="shared" si="183"/>
        <v>59553569296</v>
      </c>
      <c r="G1974" s="2">
        <f t="shared" si="184"/>
        <v>1477.7516000000001</v>
      </c>
      <c r="H1974" s="2">
        <f t="shared" si="185"/>
        <v>730009.29040000006</v>
      </c>
    </row>
    <row r="1975" spans="1:8" x14ac:dyDescent="0.35">
      <c r="A1975" s="2">
        <v>494</v>
      </c>
      <c r="B1975" s="2">
        <v>31742</v>
      </c>
      <c r="C1975" s="2">
        <f t="shared" si="180"/>
        <v>3.1741999999999999</v>
      </c>
      <c r="D1975" s="2">
        <f t="shared" si="181"/>
        <v>244036</v>
      </c>
      <c r="E1975" s="2">
        <f t="shared" si="182"/>
        <v>120553784</v>
      </c>
      <c r="F1975" s="2">
        <f t="shared" si="183"/>
        <v>59553569296</v>
      </c>
      <c r="G1975" s="2">
        <f t="shared" si="184"/>
        <v>1568.0547999999999</v>
      </c>
      <c r="H1975" s="2">
        <f t="shared" si="185"/>
        <v>774619.07120000001</v>
      </c>
    </row>
    <row r="1976" spans="1:8" x14ac:dyDescent="0.35">
      <c r="A1976" s="2">
        <v>494</v>
      </c>
      <c r="B1976" s="2">
        <v>31604</v>
      </c>
      <c r="C1976" s="2">
        <f t="shared" si="180"/>
        <v>3.1604000000000001</v>
      </c>
      <c r="D1976" s="2">
        <f t="shared" si="181"/>
        <v>244036</v>
      </c>
      <c r="E1976" s="2">
        <f t="shared" si="182"/>
        <v>120553784</v>
      </c>
      <c r="F1976" s="2">
        <f t="shared" si="183"/>
        <v>59553569296</v>
      </c>
      <c r="G1976" s="2">
        <f t="shared" si="184"/>
        <v>1561.2376000000002</v>
      </c>
      <c r="H1976" s="2">
        <f t="shared" si="185"/>
        <v>771251.37439999997</v>
      </c>
    </row>
    <row r="1977" spans="1:8" x14ac:dyDescent="0.35">
      <c r="A1977" s="2">
        <v>494</v>
      </c>
      <c r="B1977" s="2">
        <v>33176</v>
      </c>
      <c r="C1977" s="2">
        <f t="shared" si="180"/>
        <v>3.3176000000000001</v>
      </c>
      <c r="D1977" s="2">
        <f t="shared" si="181"/>
        <v>244036</v>
      </c>
      <c r="E1977" s="2">
        <f t="shared" si="182"/>
        <v>120553784</v>
      </c>
      <c r="F1977" s="2">
        <f t="shared" si="183"/>
        <v>59553569296</v>
      </c>
      <c r="G1977" s="2">
        <f t="shared" si="184"/>
        <v>1638.8944000000001</v>
      </c>
      <c r="H1977" s="2">
        <f t="shared" si="185"/>
        <v>809613.83360000001</v>
      </c>
    </row>
    <row r="1978" spans="1:8" x14ac:dyDescent="0.35">
      <c r="A1978" s="2">
        <v>494</v>
      </c>
      <c r="B1978" s="2">
        <v>35199</v>
      </c>
      <c r="C1978" s="2">
        <f t="shared" si="180"/>
        <v>3.5198999999999998</v>
      </c>
      <c r="D1978" s="2">
        <f t="shared" si="181"/>
        <v>244036</v>
      </c>
      <c r="E1978" s="2">
        <f t="shared" si="182"/>
        <v>120553784</v>
      </c>
      <c r="F1978" s="2">
        <f t="shared" si="183"/>
        <v>59553569296</v>
      </c>
      <c r="G1978" s="2">
        <f t="shared" si="184"/>
        <v>1738.8306</v>
      </c>
      <c r="H1978" s="2">
        <f t="shared" si="185"/>
        <v>858982.31640000001</v>
      </c>
    </row>
    <row r="1979" spans="1:8" x14ac:dyDescent="0.35">
      <c r="A1979" s="2">
        <v>494</v>
      </c>
      <c r="B1979" s="2">
        <v>35809</v>
      </c>
      <c r="C1979" s="2">
        <f t="shared" si="180"/>
        <v>3.5809000000000002</v>
      </c>
      <c r="D1979" s="2">
        <f t="shared" si="181"/>
        <v>244036</v>
      </c>
      <c r="E1979" s="2">
        <f t="shared" si="182"/>
        <v>120553784</v>
      </c>
      <c r="F1979" s="2">
        <f t="shared" si="183"/>
        <v>59553569296</v>
      </c>
      <c r="G1979" s="2">
        <f t="shared" si="184"/>
        <v>1768.9646</v>
      </c>
      <c r="H1979" s="2">
        <f t="shared" si="185"/>
        <v>873868.51240000001</v>
      </c>
    </row>
    <row r="1980" spans="1:8" x14ac:dyDescent="0.35">
      <c r="A1980" s="2">
        <v>494</v>
      </c>
      <c r="B1980" s="2">
        <v>30588</v>
      </c>
      <c r="C1980" s="2">
        <f t="shared" si="180"/>
        <v>3.0588000000000002</v>
      </c>
      <c r="D1980" s="2">
        <f t="shared" si="181"/>
        <v>244036</v>
      </c>
      <c r="E1980" s="2">
        <f t="shared" si="182"/>
        <v>120553784</v>
      </c>
      <c r="F1980" s="2">
        <f t="shared" si="183"/>
        <v>59553569296</v>
      </c>
      <c r="G1980" s="2">
        <f t="shared" si="184"/>
        <v>1511.0472000000002</v>
      </c>
      <c r="H1980" s="2">
        <f t="shared" si="185"/>
        <v>746457.31680000003</v>
      </c>
    </row>
    <row r="1981" spans="1:8" x14ac:dyDescent="0.35">
      <c r="A1981" s="2">
        <v>494</v>
      </c>
      <c r="B1981" s="2">
        <v>35939</v>
      </c>
      <c r="C1981" s="2">
        <f t="shared" si="180"/>
        <v>3.5939000000000001</v>
      </c>
      <c r="D1981" s="2">
        <f t="shared" si="181"/>
        <v>244036</v>
      </c>
      <c r="E1981" s="2">
        <f t="shared" si="182"/>
        <v>120553784</v>
      </c>
      <c r="F1981" s="2">
        <f t="shared" si="183"/>
        <v>59553569296</v>
      </c>
      <c r="G1981" s="2">
        <f t="shared" si="184"/>
        <v>1775.3866</v>
      </c>
      <c r="H1981" s="2">
        <f t="shared" si="185"/>
        <v>877040.9804</v>
      </c>
    </row>
    <row r="1982" spans="1:8" x14ac:dyDescent="0.35">
      <c r="A1982" s="2">
        <v>494</v>
      </c>
      <c r="B1982" s="2">
        <v>35966</v>
      </c>
      <c r="C1982" s="2">
        <f t="shared" si="180"/>
        <v>3.5966</v>
      </c>
      <c r="D1982" s="2">
        <f t="shared" si="181"/>
        <v>244036</v>
      </c>
      <c r="E1982" s="2">
        <f t="shared" si="182"/>
        <v>120553784</v>
      </c>
      <c r="F1982" s="2">
        <f t="shared" si="183"/>
        <v>59553569296</v>
      </c>
      <c r="G1982" s="2">
        <f t="shared" si="184"/>
        <v>1776.7203999999999</v>
      </c>
      <c r="H1982" s="2">
        <f t="shared" si="185"/>
        <v>877699.87760000001</v>
      </c>
    </row>
    <row r="1983" spans="1:8" x14ac:dyDescent="0.35">
      <c r="A1983" s="2">
        <v>494</v>
      </c>
      <c r="B1983" s="2">
        <v>37528</v>
      </c>
      <c r="C1983" s="2">
        <f t="shared" si="180"/>
        <v>3.7528000000000001</v>
      </c>
      <c r="D1983" s="2">
        <f t="shared" si="181"/>
        <v>244036</v>
      </c>
      <c r="E1983" s="2">
        <f t="shared" si="182"/>
        <v>120553784</v>
      </c>
      <c r="F1983" s="2">
        <f t="shared" si="183"/>
        <v>59553569296</v>
      </c>
      <c r="G1983" s="2">
        <f t="shared" si="184"/>
        <v>1853.8832</v>
      </c>
      <c r="H1983" s="2">
        <f t="shared" si="185"/>
        <v>915818.30080000008</v>
      </c>
    </row>
    <row r="1984" spans="1:8" x14ac:dyDescent="0.35">
      <c r="A1984" s="2">
        <v>494</v>
      </c>
      <c r="B1984" s="2">
        <v>36339</v>
      </c>
      <c r="C1984" s="2">
        <f t="shared" si="180"/>
        <v>3.6339000000000001</v>
      </c>
      <c r="D1984" s="2">
        <f t="shared" si="181"/>
        <v>244036</v>
      </c>
      <c r="E1984" s="2">
        <f t="shared" si="182"/>
        <v>120553784</v>
      </c>
      <c r="F1984" s="2">
        <f t="shared" si="183"/>
        <v>59553569296</v>
      </c>
      <c r="G1984" s="2">
        <f t="shared" si="184"/>
        <v>1795.1466</v>
      </c>
      <c r="H1984" s="2">
        <f t="shared" si="185"/>
        <v>886802.42040000006</v>
      </c>
    </row>
    <row r="1985" spans="1:8" x14ac:dyDescent="0.35">
      <c r="A1985" s="2">
        <v>494</v>
      </c>
      <c r="B1985" s="2">
        <v>37240</v>
      </c>
      <c r="C1985" s="2">
        <f t="shared" si="180"/>
        <v>3.7240000000000002</v>
      </c>
      <c r="D1985" s="2">
        <f t="shared" si="181"/>
        <v>244036</v>
      </c>
      <c r="E1985" s="2">
        <f t="shared" si="182"/>
        <v>120553784</v>
      </c>
      <c r="F1985" s="2">
        <f t="shared" si="183"/>
        <v>59553569296</v>
      </c>
      <c r="G1985" s="2">
        <f t="shared" si="184"/>
        <v>1839.6560000000002</v>
      </c>
      <c r="H1985" s="2">
        <f t="shared" si="185"/>
        <v>908790.06400000001</v>
      </c>
    </row>
    <row r="1986" spans="1:8" x14ac:dyDescent="0.35">
      <c r="A1986" s="2">
        <v>494</v>
      </c>
      <c r="B1986" s="2">
        <v>37649</v>
      </c>
      <c r="C1986" s="2">
        <f t="shared" si="180"/>
        <v>3.7648999999999999</v>
      </c>
      <c r="D1986" s="2">
        <f t="shared" si="181"/>
        <v>244036</v>
      </c>
      <c r="E1986" s="2">
        <f t="shared" si="182"/>
        <v>120553784</v>
      </c>
      <c r="F1986" s="2">
        <f t="shared" si="183"/>
        <v>59553569296</v>
      </c>
      <c r="G1986" s="2">
        <f t="shared" si="184"/>
        <v>1859.8606</v>
      </c>
      <c r="H1986" s="2">
        <f t="shared" si="185"/>
        <v>918771.13639999996</v>
      </c>
    </row>
    <row r="1987" spans="1:8" x14ac:dyDescent="0.35">
      <c r="A1987" s="2">
        <v>2928</v>
      </c>
      <c r="B1987" s="2">
        <v>20648</v>
      </c>
      <c r="C1987" s="2">
        <f t="shared" ref="C1987:C2050" si="186">B1987/10000</f>
        <v>2.0648</v>
      </c>
      <c r="D1987" s="2">
        <f t="shared" ref="D1987:D2050" si="187">A1987^2</f>
        <v>8573184</v>
      </c>
      <c r="E1987" s="2">
        <f t="shared" ref="E1987:E2050" si="188">A1987^3</f>
        <v>25102282752</v>
      </c>
      <c r="F1987" s="2">
        <f t="shared" ref="F1987:F2050" si="189">A1987^4</f>
        <v>73499483897856</v>
      </c>
      <c r="G1987" s="2">
        <f t="shared" ref="G1987:G2050" si="190">A1987*C1987</f>
        <v>6045.7344000000003</v>
      </c>
      <c r="H1987" s="2">
        <f t="shared" ref="H1987:H2050" si="191">D1987*C1987</f>
        <v>17701910.323199999</v>
      </c>
    </row>
    <row r="1988" spans="1:8" x14ac:dyDescent="0.35">
      <c r="A1988" s="2">
        <v>2928</v>
      </c>
      <c r="B1988" s="2">
        <v>20925</v>
      </c>
      <c r="C1988" s="2">
        <f t="shared" si="186"/>
        <v>2.0924999999999998</v>
      </c>
      <c r="D1988" s="2">
        <f t="shared" si="187"/>
        <v>8573184</v>
      </c>
      <c r="E1988" s="2">
        <f t="shared" si="188"/>
        <v>25102282752</v>
      </c>
      <c r="F1988" s="2">
        <f t="shared" si="189"/>
        <v>73499483897856</v>
      </c>
      <c r="G1988" s="2">
        <f t="shared" si="190"/>
        <v>6126.8399999999992</v>
      </c>
      <c r="H1988" s="2">
        <f t="shared" si="191"/>
        <v>17939387.52</v>
      </c>
    </row>
    <row r="1989" spans="1:8" x14ac:dyDescent="0.35">
      <c r="A1989" s="2">
        <v>2928</v>
      </c>
      <c r="B1989" s="2">
        <v>21712</v>
      </c>
      <c r="C1989" s="2">
        <f t="shared" si="186"/>
        <v>2.1711999999999998</v>
      </c>
      <c r="D1989" s="2">
        <f t="shared" si="187"/>
        <v>8573184</v>
      </c>
      <c r="E1989" s="2">
        <f t="shared" si="188"/>
        <v>25102282752</v>
      </c>
      <c r="F1989" s="2">
        <f t="shared" si="189"/>
        <v>73499483897856</v>
      </c>
      <c r="G1989" s="2">
        <f t="shared" si="190"/>
        <v>6357.2735999999995</v>
      </c>
      <c r="H1989" s="2">
        <f t="shared" si="191"/>
        <v>18614097.100799996</v>
      </c>
    </row>
    <row r="1990" spans="1:8" x14ac:dyDescent="0.35">
      <c r="A1990" s="2">
        <v>2928</v>
      </c>
      <c r="B1990" s="2">
        <v>23565</v>
      </c>
      <c r="C1990" s="2">
        <f t="shared" si="186"/>
        <v>2.3565</v>
      </c>
      <c r="D1990" s="2">
        <f t="shared" si="187"/>
        <v>8573184</v>
      </c>
      <c r="E1990" s="2">
        <f t="shared" si="188"/>
        <v>25102282752</v>
      </c>
      <c r="F1990" s="2">
        <f t="shared" si="189"/>
        <v>73499483897856</v>
      </c>
      <c r="G1990" s="2">
        <f t="shared" si="190"/>
        <v>6899.8320000000003</v>
      </c>
      <c r="H1990" s="2">
        <f t="shared" si="191"/>
        <v>20202708.096000001</v>
      </c>
    </row>
    <row r="1991" spans="1:8" x14ac:dyDescent="0.35">
      <c r="A1991" s="2">
        <v>2928</v>
      </c>
      <c r="B1991" s="2">
        <v>22600</v>
      </c>
      <c r="C1991" s="2">
        <f t="shared" si="186"/>
        <v>2.2599999999999998</v>
      </c>
      <c r="D1991" s="2">
        <f t="shared" si="187"/>
        <v>8573184</v>
      </c>
      <c r="E1991" s="2">
        <f t="shared" si="188"/>
        <v>25102282752</v>
      </c>
      <c r="F1991" s="2">
        <f t="shared" si="189"/>
        <v>73499483897856</v>
      </c>
      <c r="G1991" s="2">
        <f t="shared" si="190"/>
        <v>6617.28</v>
      </c>
      <c r="H1991" s="2">
        <f t="shared" si="191"/>
        <v>19375395.84</v>
      </c>
    </row>
    <row r="1992" spans="1:8" x14ac:dyDescent="0.35">
      <c r="A1992" s="2">
        <v>2928</v>
      </c>
      <c r="B1992" s="2">
        <v>20940</v>
      </c>
      <c r="C1992" s="2">
        <f t="shared" si="186"/>
        <v>2.0939999999999999</v>
      </c>
      <c r="D1992" s="2">
        <f t="shared" si="187"/>
        <v>8573184</v>
      </c>
      <c r="E1992" s="2">
        <f t="shared" si="188"/>
        <v>25102282752</v>
      </c>
      <c r="F1992" s="2">
        <f t="shared" si="189"/>
        <v>73499483897856</v>
      </c>
      <c r="G1992" s="2">
        <f t="shared" si="190"/>
        <v>6131.232</v>
      </c>
      <c r="H1992" s="2">
        <f t="shared" si="191"/>
        <v>17952247.296</v>
      </c>
    </row>
    <row r="1993" spans="1:8" x14ac:dyDescent="0.35">
      <c r="A1993" s="2">
        <v>2928</v>
      </c>
      <c r="B1993" s="2">
        <v>21316</v>
      </c>
      <c r="C1993" s="2">
        <f t="shared" si="186"/>
        <v>2.1316000000000002</v>
      </c>
      <c r="D1993" s="2">
        <f t="shared" si="187"/>
        <v>8573184</v>
      </c>
      <c r="E1993" s="2">
        <f t="shared" si="188"/>
        <v>25102282752</v>
      </c>
      <c r="F1993" s="2">
        <f t="shared" si="189"/>
        <v>73499483897856</v>
      </c>
      <c r="G1993" s="2">
        <f t="shared" si="190"/>
        <v>6241.3248000000003</v>
      </c>
      <c r="H1993" s="2">
        <f t="shared" si="191"/>
        <v>18274599.014400002</v>
      </c>
    </row>
    <row r="1994" spans="1:8" x14ac:dyDescent="0.35">
      <c r="A1994" s="2">
        <v>2928</v>
      </c>
      <c r="B1994" s="2">
        <v>22460</v>
      </c>
      <c r="C1994" s="2">
        <f t="shared" si="186"/>
        <v>2.246</v>
      </c>
      <c r="D1994" s="2">
        <f t="shared" si="187"/>
        <v>8573184</v>
      </c>
      <c r="E1994" s="2">
        <f t="shared" si="188"/>
        <v>25102282752</v>
      </c>
      <c r="F1994" s="2">
        <f t="shared" si="189"/>
        <v>73499483897856</v>
      </c>
      <c r="G1994" s="2">
        <f t="shared" si="190"/>
        <v>6576.2879999999996</v>
      </c>
      <c r="H1994" s="2">
        <f t="shared" si="191"/>
        <v>19255371.263999999</v>
      </c>
    </row>
    <row r="1995" spans="1:8" x14ac:dyDescent="0.35">
      <c r="A1995" s="2">
        <v>2928</v>
      </c>
      <c r="B1995" s="2">
        <v>22921</v>
      </c>
      <c r="C1995" s="2">
        <f t="shared" si="186"/>
        <v>2.2921</v>
      </c>
      <c r="D1995" s="2">
        <f t="shared" si="187"/>
        <v>8573184</v>
      </c>
      <c r="E1995" s="2">
        <f t="shared" si="188"/>
        <v>25102282752</v>
      </c>
      <c r="F1995" s="2">
        <f t="shared" si="189"/>
        <v>73499483897856</v>
      </c>
      <c r="G1995" s="2">
        <f t="shared" si="190"/>
        <v>6711.2687999999998</v>
      </c>
      <c r="H1995" s="2">
        <f t="shared" si="191"/>
        <v>19650595.046399999</v>
      </c>
    </row>
    <row r="1996" spans="1:8" x14ac:dyDescent="0.35">
      <c r="A1996" s="2">
        <v>2928</v>
      </c>
      <c r="B1996" s="2">
        <v>22413</v>
      </c>
      <c r="C1996" s="2">
        <f t="shared" si="186"/>
        <v>2.2412999999999998</v>
      </c>
      <c r="D1996" s="2">
        <f t="shared" si="187"/>
        <v>8573184</v>
      </c>
      <c r="E1996" s="2">
        <f t="shared" si="188"/>
        <v>25102282752</v>
      </c>
      <c r="F1996" s="2">
        <f t="shared" si="189"/>
        <v>73499483897856</v>
      </c>
      <c r="G1996" s="2">
        <f t="shared" si="190"/>
        <v>6562.5263999999997</v>
      </c>
      <c r="H1996" s="2">
        <f t="shared" si="191"/>
        <v>19215077.299199998</v>
      </c>
    </row>
    <row r="1997" spans="1:8" x14ac:dyDescent="0.35">
      <c r="A1997" s="2">
        <v>2928</v>
      </c>
      <c r="B1997" s="2">
        <v>24683</v>
      </c>
      <c r="C1997" s="2">
        <f t="shared" si="186"/>
        <v>2.4683000000000002</v>
      </c>
      <c r="D1997" s="2">
        <f t="shared" si="187"/>
        <v>8573184</v>
      </c>
      <c r="E1997" s="2">
        <f t="shared" si="188"/>
        <v>25102282752</v>
      </c>
      <c r="F1997" s="2">
        <f t="shared" si="189"/>
        <v>73499483897856</v>
      </c>
      <c r="G1997" s="2">
        <f t="shared" si="190"/>
        <v>7227.1824000000006</v>
      </c>
      <c r="H1997" s="2">
        <f t="shared" si="191"/>
        <v>21161190.067200001</v>
      </c>
    </row>
    <row r="1998" spans="1:8" x14ac:dyDescent="0.35">
      <c r="A1998" s="2">
        <v>2928</v>
      </c>
      <c r="B1998" s="2">
        <v>22046</v>
      </c>
      <c r="C1998" s="2">
        <f t="shared" si="186"/>
        <v>2.2046000000000001</v>
      </c>
      <c r="D1998" s="2">
        <f t="shared" si="187"/>
        <v>8573184</v>
      </c>
      <c r="E1998" s="2">
        <f t="shared" si="188"/>
        <v>25102282752</v>
      </c>
      <c r="F1998" s="2">
        <f t="shared" si="189"/>
        <v>73499483897856</v>
      </c>
      <c r="G1998" s="2">
        <f t="shared" si="190"/>
        <v>6455.0688</v>
      </c>
      <c r="H1998" s="2">
        <f t="shared" si="191"/>
        <v>18900441.446400002</v>
      </c>
    </row>
    <row r="1999" spans="1:8" x14ac:dyDescent="0.35">
      <c r="A1999" s="2">
        <v>2928</v>
      </c>
      <c r="B1999" s="2">
        <v>26337</v>
      </c>
      <c r="C1999" s="2">
        <f t="shared" si="186"/>
        <v>2.6337000000000002</v>
      </c>
      <c r="D1999" s="2">
        <f t="shared" si="187"/>
        <v>8573184</v>
      </c>
      <c r="E1999" s="2">
        <f t="shared" si="188"/>
        <v>25102282752</v>
      </c>
      <c r="F1999" s="2">
        <f t="shared" si="189"/>
        <v>73499483897856</v>
      </c>
      <c r="G1999" s="2">
        <f t="shared" si="190"/>
        <v>7711.4736000000003</v>
      </c>
      <c r="H1999" s="2">
        <f t="shared" si="191"/>
        <v>22579194.700800002</v>
      </c>
    </row>
    <row r="2000" spans="1:8" x14ac:dyDescent="0.35">
      <c r="A2000" s="2">
        <v>2928</v>
      </c>
      <c r="B2000" s="2">
        <v>28776</v>
      </c>
      <c r="C2000" s="2">
        <f t="shared" si="186"/>
        <v>2.8776000000000002</v>
      </c>
      <c r="D2000" s="2">
        <f t="shared" si="187"/>
        <v>8573184</v>
      </c>
      <c r="E2000" s="2">
        <f t="shared" si="188"/>
        <v>25102282752</v>
      </c>
      <c r="F2000" s="2">
        <f t="shared" si="189"/>
        <v>73499483897856</v>
      </c>
      <c r="G2000" s="2">
        <f t="shared" si="190"/>
        <v>8425.6128000000008</v>
      </c>
      <c r="H2000" s="2">
        <f t="shared" si="191"/>
        <v>24670194.2784</v>
      </c>
    </row>
    <row r="2001" spans="1:8" x14ac:dyDescent="0.35">
      <c r="A2001" s="2">
        <v>2928</v>
      </c>
      <c r="B2001" s="2">
        <v>26600</v>
      </c>
      <c r="C2001" s="2">
        <f t="shared" si="186"/>
        <v>2.66</v>
      </c>
      <c r="D2001" s="2">
        <f t="shared" si="187"/>
        <v>8573184</v>
      </c>
      <c r="E2001" s="2">
        <f t="shared" si="188"/>
        <v>25102282752</v>
      </c>
      <c r="F2001" s="2">
        <f t="shared" si="189"/>
        <v>73499483897856</v>
      </c>
      <c r="G2001" s="2">
        <f t="shared" si="190"/>
        <v>7788.4800000000005</v>
      </c>
      <c r="H2001" s="2">
        <f t="shared" si="191"/>
        <v>22804669.440000001</v>
      </c>
    </row>
    <row r="2002" spans="1:8" x14ac:dyDescent="0.35">
      <c r="A2002" s="2">
        <v>2928</v>
      </c>
      <c r="B2002" s="2">
        <v>31699</v>
      </c>
      <c r="C2002" s="2">
        <f t="shared" si="186"/>
        <v>3.1699000000000002</v>
      </c>
      <c r="D2002" s="2">
        <f t="shared" si="187"/>
        <v>8573184</v>
      </c>
      <c r="E2002" s="2">
        <f t="shared" si="188"/>
        <v>25102282752</v>
      </c>
      <c r="F2002" s="2">
        <f t="shared" si="189"/>
        <v>73499483897856</v>
      </c>
      <c r="G2002" s="2">
        <f t="shared" si="190"/>
        <v>9281.467200000001</v>
      </c>
      <c r="H2002" s="2">
        <f t="shared" si="191"/>
        <v>27176135.961600002</v>
      </c>
    </row>
    <row r="2003" spans="1:8" x14ac:dyDescent="0.35">
      <c r="A2003" s="2">
        <v>2928</v>
      </c>
      <c r="B2003" s="2">
        <v>30832</v>
      </c>
      <c r="C2003" s="2">
        <f t="shared" si="186"/>
        <v>3.0832000000000002</v>
      </c>
      <c r="D2003" s="2">
        <f t="shared" si="187"/>
        <v>8573184</v>
      </c>
      <c r="E2003" s="2">
        <f t="shared" si="188"/>
        <v>25102282752</v>
      </c>
      <c r="F2003" s="2">
        <f t="shared" si="189"/>
        <v>73499483897856</v>
      </c>
      <c r="G2003" s="2">
        <f t="shared" si="190"/>
        <v>9027.6095999999998</v>
      </c>
      <c r="H2003" s="2">
        <f t="shared" si="191"/>
        <v>26432840.908800002</v>
      </c>
    </row>
    <row r="2004" spans="1:8" x14ac:dyDescent="0.35">
      <c r="A2004" s="2">
        <v>2928</v>
      </c>
      <c r="B2004" s="2">
        <v>24600</v>
      </c>
      <c r="C2004" s="2">
        <f t="shared" si="186"/>
        <v>2.46</v>
      </c>
      <c r="D2004" s="2">
        <f t="shared" si="187"/>
        <v>8573184</v>
      </c>
      <c r="E2004" s="2">
        <f t="shared" si="188"/>
        <v>25102282752</v>
      </c>
      <c r="F2004" s="2">
        <f t="shared" si="189"/>
        <v>73499483897856</v>
      </c>
      <c r="G2004" s="2">
        <f t="shared" si="190"/>
        <v>7202.88</v>
      </c>
      <c r="H2004" s="2">
        <f t="shared" si="191"/>
        <v>21090032.640000001</v>
      </c>
    </row>
    <row r="2005" spans="1:8" x14ac:dyDescent="0.35">
      <c r="A2005" s="2">
        <v>2928</v>
      </c>
      <c r="B2005" s="2">
        <v>30229</v>
      </c>
      <c r="C2005" s="2">
        <f t="shared" si="186"/>
        <v>3.0228999999999999</v>
      </c>
      <c r="D2005" s="2">
        <f t="shared" si="187"/>
        <v>8573184</v>
      </c>
      <c r="E2005" s="2">
        <f t="shared" si="188"/>
        <v>25102282752</v>
      </c>
      <c r="F2005" s="2">
        <f t="shared" si="189"/>
        <v>73499483897856</v>
      </c>
      <c r="G2005" s="2">
        <f t="shared" si="190"/>
        <v>8851.0511999999999</v>
      </c>
      <c r="H2005" s="2">
        <f t="shared" si="191"/>
        <v>25915877.913599998</v>
      </c>
    </row>
    <row r="2006" spans="1:8" x14ac:dyDescent="0.35">
      <c r="A2006" s="2">
        <v>2928</v>
      </c>
      <c r="B2006" s="2">
        <v>26414</v>
      </c>
      <c r="C2006" s="2">
        <f t="shared" si="186"/>
        <v>2.6414</v>
      </c>
      <c r="D2006" s="2">
        <f t="shared" si="187"/>
        <v>8573184</v>
      </c>
      <c r="E2006" s="2">
        <f t="shared" si="188"/>
        <v>25102282752</v>
      </c>
      <c r="F2006" s="2">
        <f t="shared" si="189"/>
        <v>73499483897856</v>
      </c>
      <c r="G2006" s="2">
        <f t="shared" si="190"/>
        <v>7734.0191999999997</v>
      </c>
      <c r="H2006" s="2">
        <f t="shared" si="191"/>
        <v>22645208.217599999</v>
      </c>
    </row>
    <row r="2007" spans="1:8" x14ac:dyDescent="0.35">
      <c r="A2007" s="2">
        <v>2928</v>
      </c>
      <c r="B2007" s="2">
        <v>29451</v>
      </c>
      <c r="C2007" s="2">
        <f t="shared" si="186"/>
        <v>2.9451000000000001</v>
      </c>
      <c r="D2007" s="2">
        <f t="shared" si="187"/>
        <v>8573184</v>
      </c>
      <c r="E2007" s="2">
        <f t="shared" si="188"/>
        <v>25102282752</v>
      </c>
      <c r="F2007" s="2">
        <f t="shared" si="189"/>
        <v>73499483897856</v>
      </c>
      <c r="G2007" s="2">
        <f t="shared" si="190"/>
        <v>8623.2528000000002</v>
      </c>
      <c r="H2007" s="2">
        <f t="shared" si="191"/>
        <v>25248884.198400002</v>
      </c>
    </row>
    <row r="2008" spans="1:8" x14ac:dyDescent="0.35">
      <c r="A2008" s="2">
        <v>2928</v>
      </c>
      <c r="B2008" s="2">
        <v>31209</v>
      </c>
      <c r="C2008" s="2">
        <f t="shared" si="186"/>
        <v>3.1208999999999998</v>
      </c>
      <c r="D2008" s="2">
        <f t="shared" si="187"/>
        <v>8573184</v>
      </c>
      <c r="E2008" s="2">
        <f t="shared" si="188"/>
        <v>25102282752</v>
      </c>
      <c r="F2008" s="2">
        <f t="shared" si="189"/>
        <v>73499483897856</v>
      </c>
      <c r="G2008" s="2">
        <f t="shared" si="190"/>
        <v>9137.9951999999994</v>
      </c>
      <c r="H2008" s="2">
        <f t="shared" si="191"/>
        <v>26756049.945599999</v>
      </c>
    </row>
    <row r="2009" spans="1:8" x14ac:dyDescent="0.35">
      <c r="A2009" s="2">
        <v>2928</v>
      </c>
      <c r="B2009" s="2">
        <v>29846</v>
      </c>
      <c r="C2009" s="2">
        <f t="shared" si="186"/>
        <v>2.9845999999999999</v>
      </c>
      <c r="D2009" s="2">
        <f t="shared" si="187"/>
        <v>8573184</v>
      </c>
      <c r="E2009" s="2">
        <f t="shared" si="188"/>
        <v>25102282752</v>
      </c>
      <c r="F2009" s="2">
        <f t="shared" si="189"/>
        <v>73499483897856</v>
      </c>
      <c r="G2009" s="2">
        <f t="shared" si="190"/>
        <v>8738.9087999999992</v>
      </c>
      <c r="H2009" s="2">
        <f t="shared" si="191"/>
        <v>25587524.966399997</v>
      </c>
    </row>
    <row r="2010" spans="1:8" x14ac:dyDescent="0.35">
      <c r="A2010" s="2">
        <v>2928</v>
      </c>
      <c r="B2010" s="2">
        <v>26130</v>
      </c>
      <c r="C2010" s="2">
        <f t="shared" si="186"/>
        <v>2.613</v>
      </c>
      <c r="D2010" s="2">
        <f t="shared" si="187"/>
        <v>8573184</v>
      </c>
      <c r="E2010" s="2">
        <f t="shared" si="188"/>
        <v>25102282752</v>
      </c>
      <c r="F2010" s="2">
        <f t="shared" si="189"/>
        <v>73499483897856</v>
      </c>
      <c r="G2010" s="2">
        <f t="shared" si="190"/>
        <v>7650.8639999999996</v>
      </c>
      <c r="H2010" s="2">
        <f t="shared" si="191"/>
        <v>22401729.791999999</v>
      </c>
    </row>
    <row r="2011" spans="1:8" x14ac:dyDescent="0.35">
      <c r="A2011" s="2">
        <v>2928</v>
      </c>
      <c r="B2011" s="2">
        <v>29504</v>
      </c>
      <c r="C2011" s="2">
        <f t="shared" si="186"/>
        <v>2.9504000000000001</v>
      </c>
      <c r="D2011" s="2">
        <f t="shared" si="187"/>
        <v>8573184</v>
      </c>
      <c r="E2011" s="2">
        <f t="shared" si="188"/>
        <v>25102282752</v>
      </c>
      <c r="F2011" s="2">
        <f t="shared" si="189"/>
        <v>73499483897856</v>
      </c>
      <c r="G2011" s="2">
        <f t="shared" si="190"/>
        <v>8638.771200000001</v>
      </c>
      <c r="H2011" s="2">
        <f t="shared" si="191"/>
        <v>25294322.073600002</v>
      </c>
    </row>
    <row r="2012" spans="1:8" x14ac:dyDescent="0.35">
      <c r="A2012" s="2">
        <v>2928</v>
      </c>
      <c r="B2012" s="2">
        <v>28751</v>
      </c>
      <c r="C2012" s="2">
        <f t="shared" si="186"/>
        <v>2.8751000000000002</v>
      </c>
      <c r="D2012" s="2">
        <f t="shared" si="187"/>
        <v>8573184</v>
      </c>
      <c r="E2012" s="2">
        <f t="shared" si="188"/>
        <v>25102282752</v>
      </c>
      <c r="F2012" s="2">
        <f t="shared" si="189"/>
        <v>73499483897856</v>
      </c>
      <c r="G2012" s="2">
        <f t="shared" si="190"/>
        <v>8418.2928000000011</v>
      </c>
      <c r="H2012" s="2">
        <f t="shared" si="191"/>
        <v>24648761.318400003</v>
      </c>
    </row>
    <row r="2013" spans="1:8" x14ac:dyDescent="0.35">
      <c r="A2013" s="2">
        <v>2928</v>
      </c>
      <c r="B2013" s="2">
        <v>30886</v>
      </c>
      <c r="C2013" s="2">
        <f t="shared" si="186"/>
        <v>3.0886</v>
      </c>
      <c r="D2013" s="2">
        <f t="shared" si="187"/>
        <v>8573184</v>
      </c>
      <c r="E2013" s="2">
        <f t="shared" si="188"/>
        <v>25102282752</v>
      </c>
      <c r="F2013" s="2">
        <f t="shared" si="189"/>
        <v>73499483897856</v>
      </c>
      <c r="G2013" s="2">
        <f t="shared" si="190"/>
        <v>9043.4207999999999</v>
      </c>
      <c r="H2013" s="2">
        <f t="shared" si="191"/>
        <v>26479136.102400001</v>
      </c>
    </row>
    <row r="2014" spans="1:8" x14ac:dyDescent="0.35">
      <c r="A2014" s="2">
        <v>2928</v>
      </c>
      <c r="B2014" s="2">
        <v>32618</v>
      </c>
      <c r="C2014" s="2">
        <f t="shared" si="186"/>
        <v>3.2618</v>
      </c>
      <c r="D2014" s="2">
        <f t="shared" si="187"/>
        <v>8573184</v>
      </c>
      <c r="E2014" s="2">
        <f t="shared" si="188"/>
        <v>25102282752</v>
      </c>
      <c r="F2014" s="2">
        <f t="shared" si="189"/>
        <v>73499483897856</v>
      </c>
      <c r="G2014" s="2">
        <f t="shared" si="190"/>
        <v>9550.5504000000001</v>
      </c>
      <c r="H2014" s="2">
        <f t="shared" si="191"/>
        <v>27964011.571200002</v>
      </c>
    </row>
    <row r="2015" spans="1:8" x14ac:dyDescent="0.35">
      <c r="A2015" s="2">
        <v>2928</v>
      </c>
      <c r="B2015" s="2">
        <v>30524</v>
      </c>
      <c r="C2015" s="2">
        <f t="shared" si="186"/>
        <v>3.0524</v>
      </c>
      <c r="D2015" s="2">
        <f t="shared" si="187"/>
        <v>8573184</v>
      </c>
      <c r="E2015" s="2">
        <f t="shared" si="188"/>
        <v>25102282752</v>
      </c>
      <c r="F2015" s="2">
        <f t="shared" si="189"/>
        <v>73499483897856</v>
      </c>
      <c r="G2015" s="2">
        <f t="shared" si="190"/>
        <v>8937.4272000000001</v>
      </c>
      <c r="H2015" s="2">
        <f t="shared" si="191"/>
        <v>26168786.841600001</v>
      </c>
    </row>
    <row r="2016" spans="1:8" x14ac:dyDescent="0.35">
      <c r="A2016" s="2">
        <v>2928</v>
      </c>
      <c r="B2016" s="2">
        <v>30417</v>
      </c>
      <c r="C2016" s="2">
        <f t="shared" si="186"/>
        <v>3.0417000000000001</v>
      </c>
      <c r="D2016" s="2">
        <f t="shared" si="187"/>
        <v>8573184</v>
      </c>
      <c r="E2016" s="2">
        <f t="shared" si="188"/>
        <v>25102282752</v>
      </c>
      <c r="F2016" s="2">
        <f t="shared" si="189"/>
        <v>73499483897856</v>
      </c>
      <c r="G2016" s="2">
        <f t="shared" si="190"/>
        <v>8906.097600000001</v>
      </c>
      <c r="H2016" s="2">
        <f t="shared" si="191"/>
        <v>26077053.772800002</v>
      </c>
    </row>
    <row r="2017" spans="1:8" x14ac:dyDescent="0.35">
      <c r="A2017" s="2">
        <v>3142</v>
      </c>
      <c r="B2017" s="2">
        <v>20000</v>
      </c>
      <c r="C2017" s="2">
        <f t="shared" si="186"/>
        <v>2</v>
      </c>
      <c r="D2017" s="2">
        <f t="shared" si="187"/>
        <v>9872164</v>
      </c>
      <c r="E2017" s="2">
        <f t="shared" si="188"/>
        <v>31018339288</v>
      </c>
      <c r="F2017" s="2">
        <f t="shared" si="189"/>
        <v>97459622042896</v>
      </c>
      <c r="G2017" s="2">
        <f t="shared" si="190"/>
        <v>6284</v>
      </c>
      <c r="H2017" s="2">
        <f t="shared" si="191"/>
        <v>19744328</v>
      </c>
    </row>
    <row r="2018" spans="1:8" x14ac:dyDescent="0.35">
      <c r="A2018" s="2">
        <v>3142</v>
      </c>
      <c r="B2018" s="2">
        <v>18182</v>
      </c>
      <c r="C2018" s="2">
        <f t="shared" si="186"/>
        <v>1.8182</v>
      </c>
      <c r="D2018" s="2">
        <f t="shared" si="187"/>
        <v>9872164</v>
      </c>
      <c r="E2018" s="2">
        <f t="shared" si="188"/>
        <v>31018339288</v>
      </c>
      <c r="F2018" s="2">
        <f t="shared" si="189"/>
        <v>97459622042896</v>
      </c>
      <c r="G2018" s="2">
        <f t="shared" si="190"/>
        <v>5712.7844000000005</v>
      </c>
      <c r="H2018" s="2">
        <f t="shared" si="191"/>
        <v>17949568.584800001</v>
      </c>
    </row>
    <row r="2019" spans="1:8" x14ac:dyDescent="0.35">
      <c r="A2019" s="2">
        <v>3142</v>
      </c>
      <c r="B2019" s="2">
        <v>18182</v>
      </c>
      <c r="C2019" s="2">
        <f t="shared" si="186"/>
        <v>1.8182</v>
      </c>
      <c r="D2019" s="2">
        <f t="shared" si="187"/>
        <v>9872164</v>
      </c>
      <c r="E2019" s="2">
        <f t="shared" si="188"/>
        <v>31018339288</v>
      </c>
      <c r="F2019" s="2">
        <f t="shared" si="189"/>
        <v>97459622042896</v>
      </c>
      <c r="G2019" s="2">
        <f t="shared" si="190"/>
        <v>5712.7844000000005</v>
      </c>
      <c r="H2019" s="2">
        <f t="shared" si="191"/>
        <v>17949568.584800001</v>
      </c>
    </row>
    <row r="2020" spans="1:8" x14ac:dyDescent="0.35">
      <c r="A2020" s="2">
        <v>3142</v>
      </c>
      <c r="B2020" s="2">
        <v>18750</v>
      </c>
      <c r="C2020" s="2">
        <f t="shared" si="186"/>
        <v>1.875</v>
      </c>
      <c r="D2020" s="2">
        <f t="shared" si="187"/>
        <v>9872164</v>
      </c>
      <c r="E2020" s="2">
        <f t="shared" si="188"/>
        <v>31018339288</v>
      </c>
      <c r="F2020" s="2">
        <f t="shared" si="189"/>
        <v>97459622042896</v>
      </c>
      <c r="G2020" s="2">
        <f t="shared" si="190"/>
        <v>5891.25</v>
      </c>
      <c r="H2020" s="2">
        <f t="shared" si="191"/>
        <v>18510307.5</v>
      </c>
    </row>
    <row r="2021" spans="1:8" x14ac:dyDescent="0.35">
      <c r="A2021" s="2">
        <v>3142</v>
      </c>
      <c r="B2021" s="2">
        <v>18235</v>
      </c>
      <c r="C2021" s="2">
        <f t="shared" si="186"/>
        <v>1.8234999999999999</v>
      </c>
      <c r="D2021" s="2">
        <f t="shared" si="187"/>
        <v>9872164</v>
      </c>
      <c r="E2021" s="2">
        <f t="shared" si="188"/>
        <v>31018339288</v>
      </c>
      <c r="F2021" s="2">
        <f t="shared" si="189"/>
        <v>97459622042896</v>
      </c>
      <c r="G2021" s="2">
        <f t="shared" si="190"/>
        <v>5729.4369999999999</v>
      </c>
      <c r="H2021" s="2">
        <f t="shared" si="191"/>
        <v>18001891.053999998</v>
      </c>
    </row>
    <row r="2022" spans="1:8" x14ac:dyDescent="0.35">
      <c r="A2022" s="2">
        <v>3142</v>
      </c>
      <c r="B2022" s="2">
        <v>17458</v>
      </c>
      <c r="C2022" s="2">
        <f t="shared" si="186"/>
        <v>1.7458</v>
      </c>
      <c r="D2022" s="2">
        <f t="shared" si="187"/>
        <v>9872164</v>
      </c>
      <c r="E2022" s="2">
        <f t="shared" si="188"/>
        <v>31018339288</v>
      </c>
      <c r="F2022" s="2">
        <f t="shared" si="189"/>
        <v>97459622042896</v>
      </c>
      <c r="G2022" s="2">
        <f t="shared" si="190"/>
        <v>5485.3036000000002</v>
      </c>
      <c r="H2022" s="2">
        <f t="shared" si="191"/>
        <v>17234823.911200002</v>
      </c>
    </row>
    <row r="2023" spans="1:8" x14ac:dyDescent="0.35">
      <c r="A2023" s="2">
        <v>3142</v>
      </c>
      <c r="B2023" s="2">
        <v>17695</v>
      </c>
      <c r="C2023" s="2">
        <f t="shared" si="186"/>
        <v>1.7695000000000001</v>
      </c>
      <c r="D2023" s="2">
        <f t="shared" si="187"/>
        <v>9872164</v>
      </c>
      <c r="E2023" s="2">
        <f t="shared" si="188"/>
        <v>31018339288</v>
      </c>
      <c r="F2023" s="2">
        <f t="shared" si="189"/>
        <v>97459622042896</v>
      </c>
      <c r="G2023" s="2">
        <f t="shared" si="190"/>
        <v>5559.7690000000002</v>
      </c>
      <c r="H2023" s="2">
        <f t="shared" si="191"/>
        <v>17468794.197999999</v>
      </c>
    </row>
    <row r="2024" spans="1:8" x14ac:dyDescent="0.35">
      <c r="A2024" s="2">
        <v>3142</v>
      </c>
      <c r="B2024" s="2">
        <v>18000</v>
      </c>
      <c r="C2024" s="2">
        <f t="shared" si="186"/>
        <v>1.8</v>
      </c>
      <c r="D2024" s="2">
        <f t="shared" si="187"/>
        <v>9872164</v>
      </c>
      <c r="E2024" s="2">
        <f t="shared" si="188"/>
        <v>31018339288</v>
      </c>
      <c r="F2024" s="2">
        <f t="shared" si="189"/>
        <v>97459622042896</v>
      </c>
      <c r="G2024" s="2">
        <f t="shared" si="190"/>
        <v>5655.6</v>
      </c>
      <c r="H2024" s="2">
        <f t="shared" si="191"/>
        <v>17769895.199999999</v>
      </c>
    </row>
    <row r="2025" spans="1:8" x14ac:dyDescent="0.35">
      <c r="A2025" s="2">
        <v>3142</v>
      </c>
      <c r="B2025" s="2">
        <v>17844</v>
      </c>
      <c r="C2025" s="2">
        <f t="shared" si="186"/>
        <v>1.7844</v>
      </c>
      <c r="D2025" s="2">
        <f t="shared" si="187"/>
        <v>9872164</v>
      </c>
      <c r="E2025" s="2">
        <f t="shared" si="188"/>
        <v>31018339288</v>
      </c>
      <c r="F2025" s="2">
        <f t="shared" si="189"/>
        <v>97459622042896</v>
      </c>
      <c r="G2025" s="2">
        <f t="shared" si="190"/>
        <v>5606.5847999999996</v>
      </c>
      <c r="H2025" s="2">
        <f t="shared" si="191"/>
        <v>17615889.441599999</v>
      </c>
    </row>
    <row r="2026" spans="1:8" x14ac:dyDescent="0.35">
      <c r="A2026" s="2">
        <v>3142</v>
      </c>
      <c r="B2026" s="2">
        <v>17872</v>
      </c>
      <c r="C2026" s="2">
        <f t="shared" si="186"/>
        <v>1.7871999999999999</v>
      </c>
      <c r="D2026" s="2">
        <f t="shared" si="187"/>
        <v>9872164</v>
      </c>
      <c r="E2026" s="2">
        <f t="shared" si="188"/>
        <v>31018339288</v>
      </c>
      <c r="F2026" s="2">
        <f t="shared" si="189"/>
        <v>97459622042896</v>
      </c>
      <c r="G2026" s="2">
        <f t="shared" si="190"/>
        <v>5615.3823999999995</v>
      </c>
      <c r="H2026" s="2">
        <f t="shared" si="191"/>
        <v>17643531.500799999</v>
      </c>
    </row>
    <row r="2027" spans="1:8" x14ac:dyDescent="0.35">
      <c r="A2027" s="2">
        <v>3142</v>
      </c>
      <c r="B2027" s="2">
        <v>17914</v>
      </c>
      <c r="C2027" s="2">
        <f t="shared" si="186"/>
        <v>1.7914000000000001</v>
      </c>
      <c r="D2027" s="2">
        <f t="shared" si="187"/>
        <v>9872164</v>
      </c>
      <c r="E2027" s="2">
        <f t="shared" si="188"/>
        <v>31018339288</v>
      </c>
      <c r="F2027" s="2">
        <f t="shared" si="189"/>
        <v>97459622042896</v>
      </c>
      <c r="G2027" s="2">
        <f t="shared" si="190"/>
        <v>5628.5788000000002</v>
      </c>
      <c r="H2027" s="2">
        <f t="shared" si="191"/>
        <v>17684994.589600001</v>
      </c>
    </row>
    <row r="2028" spans="1:8" x14ac:dyDescent="0.35">
      <c r="A2028" s="2">
        <v>3142</v>
      </c>
      <c r="B2028" s="2">
        <v>17143</v>
      </c>
      <c r="C2028" s="2">
        <f t="shared" si="186"/>
        <v>1.7142999999999999</v>
      </c>
      <c r="D2028" s="2">
        <f t="shared" si="187"/>
        <v>9872164</v>
      </c>
      <c r="E2028" s="2">
        <f t="shared" si="188"/>
        <v>31018339288</v>
      </c>
      <c r="F2028" s="2">
        <f t="shared" si="189"/>
        <v>97459622042896</v>
      </c>
      <c r="G2028" s="2">
        <f t="shared" si="190"/>
        <v>5386.3306000000002</v>
      </c>
      <c r="H2028" s="2">
        <f t="shared" si="191"/>
        <v>16923850.745200001</v>
      </c>
    </row>
    <row r="2029" spans="1:8" x14ac:dyDescent="0.35">
      <c r="A2029" s="2">
        <v>3142</v>
      </c>
      <c r="B2029" s="2">
        <v>18270</v>
      </c>
      <c r="C2029" s="2">
        <f t="shared" si="186"/>
        <v>1.827</v>
      </c>
      <c r="D2029" s="2">
        <f t="shared" si="187"/>
        <v>9872164</v>
      </c>
      <c r="E2029" s="2">
        <f t="shared" si="188"/>
        <v>31018339288</v>
      </c>
      <c r="F2029" s="2">
        <f t="shared" si="189"/>
        <v>97459622042896</v>
      </c>
      <c r="G2029" s="2">
        <f t="shared" si="190"/>
        <v>5740.4340000000002</v>
      </c>
      <c r="H2029" s="2">
        <f t="shared" si="191"/>
        <v>18036443.627999999</v>
      </c>
    </row>
    <row r="2030" spans="1:8" x14ac:dyDescent="0.35">
      <c r="A2030" s="2">
        <v>3142</v>
      </c>
      <c r="B2030" s="2">
        <v>18583</v>
      </c>
      <c r="C2030" s="2">
        <f t="shared" si="186"/>
        <v>1.8583000000000001</v>
      </c>
      <c r="D2030" s="2">
        <f t="shared" si="187"/>
        <v>9872164</v>
      </c>
      <c r="E2030" s="2">
        <f t="shared" si="188"/>
        <v>31018339288</v>
      </c>
      <c r="F2030" s="2">
        <f t="shared" si="189"/>
        <v>97459622042896</v>
      </c>
      <c r="G2030" s="2">
        <f t="shared" si="190"/>
        <v>5838.7786000000006</v>
      </c>
      <c r="H2030" s="2">
        <f t="shared" si="191"/>
        <v>18345442.361200001</v>
      </c>
    </row>
    <row r="2031" spans="1:8" x14ac:dyDescent="0.35">
      <c r="A2031" s="2">
        <v>3142</v>
      </c>
      <c r="B2031" s="2">
        <v>18910</v>
      </c>
      <c r="C2031" s="2">
        <f t="shared" si="186"/>
        <v>1.891</v>
      </c>
      <c r="D2031" s="2">
        <f t="shared" si="187"/>
        <v>9872164</v>
      </c>
      <c r="E2031" s="2">
        <f t="shared" si="188"/>
        <v>31018339288</v>
      </c>
      <c r="F2031" s="2">
        <f t="shared" si="189"/>
        <v>97459622042896</v>
      </c>
      <c r="G2031" s="2">
        <f t="shared" si="190"/>
        <v>5941.5219999999999</v>
      </c>
      <c r="H2031" s="2">
        <f t="shared" si="191"/>
        <v>18668262.124000002</v>
      </c>
    </row>
    <row r="2032" spans="1:8" x14ac:dyDescent="0.35">
      <c r="A2032" s="2">
        <v>3142</v>
      </c>
      <c r="B2032" s="2">
        <v>20000</v>
      </c>
      <c r="C2032" s="2">
        <f t="shared" si="186"/>
        <v>2</v>
      </c>
      <c r="D2032" s="2">
        <f t="shared" si="187"/>
        <v>9872164</v>
      </c>
      <c r="E2032" s="2">
        <f t="shared" si="188"/>
        <v>31018339288</v>
      </c>
      <c r="F2032" s="2">
        <f t="shared" si="189"/>
        <v>97459622042896</v>
      </c>
      <c r="G2032" s="2">
        <f t="shared" si="190"/>
        <v>6284</v>
      </c>
      <c r="H2032" s="2">
        <f t="shared" si="191"/>
        <v>19744328</v>
      </c>
    </row>
    <row r="2033" spans="1:8" x14ac:dyDescent="0.35">
      <c r="A2033" s="2">
        <v>3142</v>
      </c>
      <c r="B2033" s="2">
        <v>19276</v>
      </c>
      <c r="C2033" s="2">
        <f t="shared" si="186"/>
        <v>1.9276</v>
      </c>
      <c r="D2033" s="2">
        <f t="shared" si="187"/>
        <v>9872164</v>
      </c>
      <c r="E2033" s="2">
        <f t="shared" si="188"/>
        <v>31018339288</v>
      </c>
      <c r="F2033" s="2">
        <f t="shared" si="189"/>
        <v>97459622042896</v>
      </c>
      <c r="G2033" s="2">
        <f t="shared" si="190"/>
        <v>6056.5191999999997</v>
      </c>
      <c r="H2033" s="2">
        <f t="shared" si="191"/>
        <v>19029583.326400001</v>
      </c>
    </row>
    <row r="2034" spans="1:8" x14ac:dyDescent="0.35">
      <c r="A2034" s="2">
        <v>3142</v>
      </c>
      <c r="B2034" s="2">
        <v>19266</v>
      </c>
      <c r="C2034" s="2">
        <f t="shared" si="186"/>
        <v>1.9266000000000001</v>
      </c>
      <c r="D2034" s="2">
        <f t="shared" si="187"/>
        <v>9872164</v>
      </c>
      <c r="E2034" s="2">
        <f t="shared" si="188"/>
        <v>31018339288</v>
      </c>
      <c r="F2034" s="2">
        <f t="shared" si="189"/>
        <v>97459622042896</v>
      </c>
      <c r="G2034" s="2">
        <f t="shared" si="190"/>
        <v>6053.3771999999999</v>
      </c>
      <c r="H2034" s="2">
        <f t="shared" si="191"/>
        <v>19019711.1624</v>
      </c>
    </row>
    <row r="2035" spans="1:8" x14ac:dyDescent="0.35">
      <c r="A2035" s="2">
        <v>3142</v>
      </c>
      <c r="B2035" s="2">
        <v>19409</v>
      </c>
      <c r="C2035" s="2">
        <f t="shared" si="186"/>
        <v>1.9409000000000001</v>
      </c>
      <c r="D2035" s="2">
        <f t="shared" si="187"/>
        <v>9872164</v>
      </c>
      <c r="E2035" s="2">
        <f t="shared" si="188"/>
        <v>31018339288</v>
      </c>
      <c r="F2035" s="2">
        <f t="shared" si="189"/>
        <v>97459622042896</v>
      </c>
      <c r="G2035" s="2">
        <f t="shared" si="190"/>
        <v>6098.3078000000005</v>
      </c>
      <c r="H2035" s="2">
        <f t="shared" si="191"/>
        <v>19160883.1076</v>
      </c>
    </row>
    <row r="2036" spans="1:8" x14ac:dyDescent="0.35">
      <c r="A2036" s="2">
        <v>3142</v>
      </c>
      <c r="B2036" s="2">
        <v>19552</v>
      </c>
      <c r="C2036" s="2">
        <f t="shared" si="186"/>
        <v>1.9552</v>
      </c>
      <c r="D2036" s="2">
        <f t="shared" si="187"/>
        <v>9872164</v>
      </c>
      <c r="E2036" s="2">
        <f t="shared" si="188"/>
        <v>31018339288</v>
      </c>
      <c r="F2036" s="2">
        <f t="shared" si="189"/>
        <v>97459622042896</v>
      </c>
      <c r="G2036" s="2">
        <f t="shared" si="190"/>
        <v>6143.2384000000002</v>
      </c>
      <c r="H2036" s="2">
        <f t="shared" si="191"/>
        <v>19302055.0528</v>
      </c>
    </row>
    <row r="2037" spans="1:8" x14ac:dyDescent="0.35">
      <c r="A2037" s="2">
        <v>3142</v>
      </c>
      <c r="B2037" s="2">
        <v>19694</v>
      </c>
      <c r="C2037" s="2">
        <f t="shared" si="186"/>
        <v>1.9694</v>
      </c>
      <c r="D2037" s="2">
        <f t="shared" si="187"/>
        <v>9872164</v>
      </c>
      <c r="E2037" s="2">
        <f t="shared" si="188"/>
        <v>31018339288</v>
      </c>
      <c r="F2037" s="2">
        <f t="shared" si="189"/>
        <v>97459622042896</v>
      </c>
      <c r="G2037" s="2">
        <f t="shared" si="190"/>
        <v>6187.8548000000001</v>
      </c>
      <c r="H2037" s="2">
        <f t="shared" si="191"/>
        <v>19442239.781600002</v>
      </c>
    </row>
    <row r="2038" spans="1:8" x14ac:dyDescent="0.35">
      <c r="A2038" s="2">
        <v>3142</v>
      </c>
      <c r="B2038" s="2">
        <v>19837</v>
      </c>
      <c r="C2038" s="2">
        <f t="shared" si="186"/>
        <v>1.9837</v>
      </c>
      <c r="D2038" s="2">
        <f t="shared" si="187"/>
        <v>9872164</v>
      </c>
      <c r="E2038" s="2">
        <f t="shared" si="188"/>
        <v>31018339288</v>
      </c>
      <c r="F2038" s="2">
        <f t="shared" si="189"/>
        <v>97459622042896</v>
      </c>
      <c r="G2038" s="2">
        <f t="shared" si="190"/>
        <v>6232.7853999999998</v>
      </c>
      <c r="H2038" s="2">
        <f t="shared" si="191"/>
        <v>19583411.726799998</v>
      </c>
    </row>
    <row r="2039" spans="1:8" x14ac:dyDescent="0.35">
      <c r="A2039" s="2">
        <v>3142</v>
      </c>
      <c r="B2039" s="2">
        <v>19979</v>
      </c>
      <c r="C2039" s="2">
        <f t="shared" si="186"/>
        <v>1.9979</v>
      </c>
      <c r="D2039" s="2">
        <f t="shared" si="187"/>
        <v>9872164</v>
      </c>
      <c r="E2039" s="2">
        <f t="shared" si="188"/>
        <v>31018339288</v>
      </c>
      <c r="F2039" s="2">
        <f t="shared" si="189"/>
        <v>97459622042896</v>
      </c>
      <c r="G2039" s="2">
        <f t="shared" si="190"/>
        <v>6277.4017999999996</v>
      </c>
      <c r="H2039" s="2">
        <f t="shared" si="191"/>
        <v>19723596.455600001</v>
      </c>
    </row>
    <row r="2040" spans="1:8" x14ac:dyDescent="0.35">
      <c r="A2040" s="2">
        <v>3142</v>
      </c>
      <c r="B2040" s="2">
        <v>20122</v>
      </c>
      <c r="C2040" s="2">
        <f t="shared" si="186"/>
        <v>2.0122</v>
      </c>
      <c r="D2040" s="2">
        <f t="shared" si="187"/>
        <v>9872164</v>
      </c>
      <c r="E2040" s="2">
        <f t="shared" si="188"/>
        <v>31018339288</v>
      </c>
      <c r="F2040" s="2">
        <f t="shared" si="189"/>
        <v>97459622042896</v>
      </c>
      <c r="G2040" s="2">
        <f t="shared" si="190"/>
        <v>6322.3324000000002</v>
      </c>
      <c r="H2040" s="2">
        <f t="shared" si="191"/>
        <v>19864768.400800001</v>
      </c>
    </row>
    <row r="2041" spans="1:8" x14ac:dyDescent="0.35">
      <c r="A2041" s="2">
        <v>3142</v>
      </c>
      <c r="B2041" s="2">
        <v>20264</v>
      </c>
      <c r="C2041" s="2">
        <f t="shared" si="186"/>
        <v>2.0264000000000002</v>
      </c>
      <c r="D2041" s="2">
        <f t="shared" si="187"/>
        <v>9872164</v>
      </c>
      <c r="E2041" s="2">
        <f t="shared" si="188"/>
        <v>31018339288</v>
      </c>
      <c r="F2041" s="2">
        <f t="shared" si="189"/>
        <v>97459622042896</v>
      </c>
      <c r="G2041" s="2">
        <f t="shared" si="190"/>
        <v>6366.948800000001</v>
      </c>
      <c r="H2041" s="2">
        <f t="shared" si="191"/>
        <v>20004953.129600003</v>
      </c>
    </row>
    <row r="2042" spans="1:8" x14ac:dyDescent="0.35">
      <c r="A2042" s="2">
        <v>3142</v>
      </c>
      <c r="B2042" s="2">
        <v>20407</v>
      </c>
      <c r="C2042" s="2">
        <f t="shared" si="186"/>
        <v>2.0407000000000002</v>
      </c>
      <c r="D2042" s="2">
        <f t="shared" si="187"/>
        <v>9872164</v>
      </c>
      <c r="E2042" s="2">
        <f t="shared" si="188"/>
        <v>31018339288</v>
      </c>
      <c r="F2042" s="2">
        <f t="shared" si="189"/>
        <v>97459622042896</v>
      </c>
      <c r="G2042" s="2">
        <f t="shared" si="190"/>
        <v>6411.8794000000007</v>
      </c>
      <c r="H2042" s="2">
        <f t="shared" si="191"/>
        <v>20146125.074800003</v>
      </c>
    </row>
    <row r="2043" spans="1:8" x14ac:dyDescent="0.35">
      <c r="A2043" s="2">
        <v>3142</v>
      </c>
      <c r="B2043" s="2">
        <v>20549</v>
      </c>
      <c r="C2043" s="2">
        <f t="shared" si="186"/>
        <v>2.0548999999999999</v>
      </c>
      <c r="D2043" s="2">
        <f t="shared" si="187"/>
        <v>9872164</v>
      </c>
      <c r="E2043" s="2">
        <f t="shared" si="188"/>
        <v>31018339288</v>
      </c>
      <c r="F2043" s="2">
        <f t="shared" si="189"/>
        <v>97459622042896</v>
      </c>
      <c r="G2043" s="2">
        <f t="shared" si="190"/>
        <v>6456.4957999999997</v>
      </c>
      <c r="H2043" s="2">
        <f t="shared" si="191"/>
        <v>20286309.803599998</v>
      </c>
    </row>
    <row r="2044" spans="1:8" x14ac:dyDescent="0.35">
      <c r="A2044" s="2">
        <v>3142</v>
      </c>
      <c r="B2044" s="2">
        <v>20692</v>
      </c>
      <c r="C2044" s="2">
        <f t="shared" si="186"/>
        <v>2.0691999999999999</v>
      </c>
      <c r="D2044" s="2">
        <f t="shared" si="187"/>
        <v>9872164</v>
      </c>
      <c r="E2044" s="2">
        <f t="shared" si="188"/>
        <v>31018339288</v>
      </c>
      <c r="F2044" s="2">
        <f t="shared" si="189"/>
        <v>97459622042896</v>
      </c>
      <c r="G2044" s="2">
        <f t="shared" si="190"/>
        <v>6501.4263999999994</v>
      </c>
      <c r="H2044" s="2">
        <f t="shared" si="191"/>
        <v>20427481.748799998</v>
      </c>
    </row>
    <row r="2045" spans="1:8" x14ac:dyDescent="0.35">
      <c r="A2045" s="2">
        <v>3142</v>
      </c>
      <c r="B2045" s="2">
        <v>20835</v>
      </c>
      <c r="C2045" s="2">
        <f t="shared" si="186"/>
        <v>2.0834999999999999</v>
      </c>
      <c r="D2045" s="2">
        <f t="shared" si="187"/>
        <v>9872164</v>
      </c>
      <c r="E2045" s="2">
        <f t="shared" si="188"/>
        <v>31018339288</v>
      </c>
      <c r="F2045" s="2">
        <f t="shared" si="189"/>
        <v>97459622042896</v>
      </c>
      <c r="G2045" s="2">
        <f t="shared" si="190"/>
        <v>6546.357</v>
      </c>
      <c r="H2045" s="2">
        <f t="shared" si="191"/>
        <v>20568653.693999998</v>
      </c>
    </row>
    <row r="2046" spans="1:8" x14ac:dyDescent="0.35">
      <c r="A2046" s="2">
        <v>3142</v>
      </c>
      <c r="B2046" s="2">
        <v>20977</v>
      </c>
      <c r="C2046" s="2">
        <f t="shared" si="186"/>
        <v>2.0977000000000001</v>
      </c>
      <c r="D2046" s="2">
        <f t="shared" si="187"/>
        <v>9872164</v>
      </c>
      <c r="E2046" s="2">
        <f t="shared" si="188"/>
        <v>31018339288</v>
      </c>
      <c r="F2046" s="2">
        <f t="shared" si="189"/>
        <v>97459622042896</v>
      </c>
      <c r="G2046" s="2">
        <f t="shared" si="190"/>
        <v>6590.9734000000008</v>
      </c>
      <c r="H2046" s="2">
        <f t="shared" si="191"/>
        <v>20708838.422800001</v>
      </c>
    </row>
    <row r="2047" spans="1:8" x14ac:dyDescent="0.35">
      <c r="A2047" s="2">
        <v>3142</v>
      </c>
      <c r="B2047" s="2">
        <v>24925</v>
      </c>
      <c r="C2047" s="2">
        <f t="shared" si="186"/>
        <v>2.4925000000000002</v>
      </c>
      <c r="D2047" s="2">
        <f t="shared" si="187"/>
        <v>9872164</v>
      </c>
      <c r="E2047" s="2">
        <f t="shared" si="188"/>
        <v>31018339288</v>
      </c>
      <c r="F2047" s="2">
        <f t="shared" si="189"/>
        <v>97459622042896</v>
      </c>
      <c r="G2047" s="2">
        <f t="shared" si="190"/>
        <v>7831.4350000000004</v>
      </c>
      <c r="H2047" s="2">
        <f t="shared" si="191"/>
        <v>24606368.770000003</v>
      </c>
    </row>
    <row r="2048" spans="1:8" x14ac:dyDescent="0.35">
      <c r="A2048" s="2">
        <v>1130</v>
      </c>
      <c r="B2048" s="2">
        <v>20066</v>
      </c>
      <c r="C2048" s="2">
        <f t="shared" si="186"/>
        <v>2.0066000000000002</v>
      </c>
      <c r="D2048" s="2">
        <f t="shared" si="187"/>
        <v>1276900</v>
      </c>
      <c r="E2048" s="2">
        <f t="shared" si="188"/>
        <v>1442897000</v>
      </c>
      <c r="F2048" s="2">
        <f t="shared" si="189"/>
        <v>1630473610000</v>
      </c>
      <c r="G2048" s="2">
        <f t="shared" si="190"/>
        <v>2267.4580000000001</v>
      </c>
      <c r="H2048" s="2">
        <f t="shared" si="191"/>
        <v>2562227.54</v>
      </c>
    </row>
    <row r="2049" spans="1:8" x14ac:dyDescent="0.35">
      <c r="A2049" s="2">
        <v>1130</v>
      </c>
      <c r="B2049" s="2">
        <v>25731</v>
      </c>
      <c r="C2049" s="2">
        <f t="shared" si="186"/>
        <v>2.5731000000000002</v>
      </c>
      <c r="D2049" s="2">
        <f t="shared" si="187"/>
        <v>1276900</v>
      </c>
      <c r="E2049" s="2">
        <f t="shared" si="188"/>
        <v>1442897000</v>
      </c>
      <c r="F2049" s="2">
        <f t="shared" si="189"/>
        <v>1630473610000</v>
      </c>
      <c r="G2049" s="2">
        <f t="shared" si="190"/>
        <v>2907.6030000000001</v>
      </c>
      <c r="H2049" s="2">
        <f t="shared" si="191"/>
        <v>3285591.39</v>
      </c>
    </row>
    <row r="2050" spans="1:8" x14ac:dyDescent="0.35">
      <c r="A2050" s="2">
        <v>1130</v>
      </c>
      <c r="B2050" s="2">
        <v>26996</v>
      </c>
      <c r="C2050" s="2">
        <f t="shared" si="186"/>
        <v>2.6996000000000002</v>
      </c>
      <c r="D2050" s="2">
        <f t="shared" si="187"/>
        <v>1276900</v>
      </c>
      <c r="E2050" s="2">
        <f t="shared" si="188"/>
        <v>1442897000</v>
      </c>
      <c r="F2050" s="2">
        <f t="shared" si="189"/>
        <v>1630473610000</v>
      </c>
      <c r="G2050" s="2">
        <f t="shared" si="190"/>
        <v>3050.5480000000002</v>
      </c>
      <c r="H2050" s="2">
        <f t="shared" si="191"/>
        <v>3447119.24</v>
      </c>
    </row>
    <row r="2051" spans="1:8" x14ac:dyDescent="0.35">
      <c r="A2051" s="2">
        <v>1130</v>
      </c>
      <c r="B2051" s="2">
        <v>25206</v>
      </c>
      <c r="C2051" s="2">
        <f t="shared" ref="C2051:C2114" si="192">B2051/10000</f>
        <v>2.5206</v>
      </c>
      <c r="D2051" s="2">
        <f t="shared" ref="D2051:D2114" si="193">A2051^2</f>
        <v>1276900</v>
      </c>
      <c r="E2051" s="2">
        <f t="shared" ref="E2051:E2114" si="194">A2051^3</f>
        <v>1442897000</v>
      </c>
      <c r="F2051" s="2">
        <f t="shared" ref="F2051:F2114" si="195">A2051^4</f>
        <v>1630473610000</v>
      </c>
      <c r="G2051" s="2">
        <f t="shared" ref="G2051:G2114" si="196">A2051*C2051</f>
        <v>2848.2779999999998</v>
      </c>
      <c r="H2051" s="2">
        <f t="shared" ref="H2051:H2114" si="197">D2051*C2051</f>
        <v>3218554.14</v>
      </c>
    </row>
    <row r="2052" spans="1:8" x14ac:dyDescent="0.35">
      <c r="A2052" s="2">
        <v>1130</v>
      </c>
      <c r="B2052" s="2">
        <v>31698</v>
      </c>
      <c r="C2052" s="2">
        <f t="shared" si="192"/>
        <v>3.1698</v>
      </c>
      <c r="D2052" s="2">
        <f t="shared" si="193"/>
        <v>1276900</v>
      </c>
      <c r="E2052" s="2">
        <f t="shared" si="194"/>
        <v>1442897000</v>
      </c>
      <c r="F2052" s="2">
        <f t="shared" si="195"/>
        <v>1630473610000</v>
      </c>
      <c r="G2052" s="2">
        <f t="shared" si="196"/>
        <v>3581.8739999999998</v>
      </c>
      <c r="H2052" s="2">
        <f t="shared" si="197"/>
        <v>4047517.62</v>
      </c>
    </row>
    <row r="2053" spans="1:8" x14ac:dyDescent="0.35">
      <c r="A2053" s="2">
        <v>1130</v>
      </c>
      <c r="B2053" s="2">
        <v>38317</v>
      </c>
      <c r="C2053" s="2">
        <f t="shared" si="192"/>
        <v>3.8317000000000001</v>
      </c>
      <c r="D2053" s="2">
        <f t="shared" si="193"/>
        <v>1276900</v>
      </c>
      <c r="E2053" s="2">
        <f t="shared" si="194"/>
        <v>1442897000</v>
      </c>
      <c r="F2053" s="2">
        <f t="shared" si="195"/>
        <v>1630473610000</v>
      </c>
      <c r="G2053" s="2">
        <f t="shared" si="196"/>
        <v>4329.8209999999999</v>
      </c>
      <c r="H2053" s="2">
        <f t="shared" si="197"/>
        <v>4892697.7300000004</v>
      </c>
    </row>
    <row r="2054" spans="1:8" x14ac:dyDescent="0.35">
      <c r="A2054" s="2">
        <v>1130</v>
      </c>
      <c r="B2054" s="2">
        <v>37715</v>
      </c>
      <c r="C2054" s="2">
        <f t="shared" si="192"/>
        <v>3.7715000000000001</v>
      </c>
      <c r="D2054" s="2">
        <f t="shared" si="193"/>
        <v>1276900</v>
      </c>
      <c r="E2054" s="2">
        <f t="shared" si="194"/>
        <v>1442897000</v>
      </c>
      <c r="F2054" s="2">
        <f t="shared" si="195"/>
        <v>1630473610000</v>
      </c>
      <c r="G2054" s="2">
        <f t="shared" si="196"/>
        <v>4261.7950000000001</v>
      </c>
      <c r="H2054" s="2">
        <f t="shared" si="197"/>
        <v>4815828.3500000006</v>
      </c>
    </row>
    <row r="2055" spans="1:8" x14ac:dyDescent="0.35">
      <c r="A2055" s="2">
        <v>1130</v>
      </c>
      <c r="B2055" s="2">
        <v>39785</v>
      </c>
      <c r="C2055" s="2">
        <f t="shared" si="192"/>
        <v>3.9784999999999999</v>
      </c>
      <c r="D2055" s="2">
        <f t="shared" si="193"/>
        <v>1276900</v>
      </c>
      <c r="E2055" s="2">
        <f t="shared" si="194"/>
        <v>1442897000</v>
      </c>
      <c r="F2055" s="2">
        <f t="shared" si="195"/>
        <v>1630473610000</v>
      </c>
      <c r="G2055" s="2">
        <f t="shared" si="196"/>
        <v>4495.7049999999999</v>
      </c>
      <c r="H2055" s="2">
        <f t="shared" si="197"/>
        <v>5080146.6499999994</v>
      </c>
    </row>
    <row r="2056" spans="1:8" x14ac:dyDescent="0.35">
      <c r="A2056" s="2">
        <v>1130</v>
      </c>
      <c r="B2056" s="2">
        <v>41143</v>
      </c>
      <c r="C2056" s="2">
        <f t="shared" si="192"/>
        <v>4.1143000000000001</v>
      </c>
      <c r="D2056" s="2">
        <f t="shared" si="193"/>
        <v>1276900</v>
      </c>
      <c r="E2056" s="2">
        <f t="shared" si="194"/>
        <v>1442897000</v>
      </c>
      <c r="F2056" s="2">
        <f t="shared" si="195"/>
        <v>1630473610000</v>
      </c>
      <c r="G2056" s="2">
        <f t="shared" si="196"/>
        <v>4649.1589999999997</v>
      </c>
      <c r="H2056" s="2">
        <f t="shared" si="197"/>
        <v>5253549.67</v>
      </c>
    </row>
    <row r="2057" spans="1:8" x14ac:dyDescent="0.35">
      <c r="A2057" s="2">
        <v>1130</v>
      </c>
      <c r="B2057" s="2">
        <v>36692</v>
      </c>
      <c r="C2057" s="2">
        <f t="shared" si="192"/>
        <v>3.6692</v>
      </c>
      <c r="D2057" s="2">
        <f t="shared" si="193"/>
        <v>1276900</v>
      </c>
      <c r="E2057" s="2">
        <f t="shared" si="194"/>
        <v>1442897000</v>
      </c>
      <c r="F2057" s="2">
        <f t="shared" si="195"/>
        <v>1630473610000</v>
      </c>
      <c r="G2057" s="2">
        <f t="shared" si="196"/>
        <v>4146.1959999999999</v>
      </c>
      <c r="H2057" s="2">
        <f t="shared" si="197"/>
        <v>4685201.4800000004</v>
      </c>
    </row>
    <row r="2058" spans="1:8" x14ac:dyDescent="0.35">
      <c r="A2058" s="2">
        <v>1130</v>
      </c>
      <c r="B2058" s="2">
        <v>36988</v>
      </c>
      <c r="C2058" s="2">
        <f t="shared" si="192"/>
        <v>3.6987999999999999</v>
      </c>
      <c r="D2058" s="2">
        <f t="shared" si="193"/>
        <v>1276900</v>
      </c>
      <c r="E2058" s="2">
        <f t="shared" si="194"/>
        <v>1442897000</v>
      </c>
      <c r="F2058" s="2">
        <f t="shared" si="195"/>
        <v>1630473610000</v>
      </c>
      <c r="G2058" s="2">
        <f t="shared" si="196"/>
        <v>4179.6440000000002</v>
      </c>
      <c r="H2058" s="2">
        <f t="shared" si="197"/>
        <v>4722997.72</v>
      </c>
    </row>
    <row r="2059" spans="1:8" x14ac:dyDescent="0.35">
      <c r="A2059" s="2">
        <v>1130</v>
      </c>
      <c r="B2059" s="2">
        <v>38792</v>
      </c>
      <c r="C2059" s="2">
        <f t="shared" si="192"/>
        <v>3.8792</v>
      </c>
      <c r="D2059" s="2">
        <f t="shared" si="193"/>
        <v>1276900</v>
      </c>
      <c r="E2059" s="2">
        <f t="shared" si="194"/>
        <v>1442897000</v>
      </c>
      <c r="F2059" s="2">
        <f t="shared" si="195"/>
        <v>1630473610000</v>
      </c>
      <c r="G2059" s="2">
        <f t="shared" si="196"/>
        <v>4383.4960000000001</v>
      </c>
      <c r="H2059" s="2">
        <f t="shared" si="197"/>
        <v>4953350.4799999995</v>
      </c>
    </row>
    <row r="2060" spans="1:8" x14ac:dyDescent="0.35">
      <c r="A2060" s="2">
        <v>1130</v>
      </c>
      <c r="B2060" s="2">
        <v>46126</v>
      </c>
      <c r="C2060" s="2">
        <f t="shared" si="192"/>
        <v>4.6125999999999996</v>
      </c>
      <c r="D2060" s="2">
        <f t="shared" si="193"/>
        <v>1276900</v>
      </c>
      <c r="E2060" s="2">
        <f t="shared" si="194"/>
        <v>1442897000</v>
      </c>
      <c r="F2060" s="2">
        <f t="shared" si="195"/>
        <v>1630473610000</v>
      </c>
      <c r="G2060" s="2">
        <f t="shared" si="196"/>
        <v>5212.2379999999994</v>
      </c>
      <c r="H2060" s="2">
        <f t="shared" si="197"/>
        <v>5889828.9399999995</v>
      </c>
    </row>
    <row r="2061" spans="1:8" x14ac:dyDescent="0.35">
      <c r="A2061" s="2">
        <v>1130</v>
      </c>
      <c r="B2061" s="2">
        <v>38492</v>
      </c>
      <c r="C2061" s="2">
        <f t="shared" si="192"/>
        <v>3.8492000000000002</v>
      </c>
      <c r="D2061" s="2">
        <f t="shared" si="193"/>
        <v>1276900</v>
      </c>
      <c r="E2061" s="2">
        <f t="shared" si="194"/>
        <v>1442897000</v>
      </c>
      <c r="F2061" s="2">
        <f t="shared" si="195"/>
        <v>1630473610000</v>
      </c>
      <c r="G2061" s="2">
        <f t="shared" si="196"/>
        <v>4349.5960000000005</v>
      </c>
      <c r="H2061" s="2">
        <f t="shared" si="197"/>
        <v>4915043.4800000004</v>
      </c>
    </row>
    <row r="2062" spans="1:8" x14ac:dyDescent="0.35">
      <c r="A2062" s="2">
        <v>1130</v>
      </c>
      <c r="B2062" s="2">
        <v>39797</v>
      </c>
      <c r="C2062" s="2">
        <f t="shared" si="192"/>
        <v>3.9796999999999998</v>
      </c>
      <c r="D2062" s="2">
        <f t="shared" si="193"/>
        <v>1276900</v>
      </c>
      <c r="E2062" s="2">
        <f t="shared" si="194"/>
        <v>1442897000</v>
      </c>
      <c r="F2062" s="2">
        <f t="shared" si="195"/>
        <v>1630473610000</v>
      </c>
      <c r="G2062" s="2">
        <f t="shared" si="196"/>
        <v>4497.0609999999997</v>
      </c>
      <c r="H2062" s="2">
        <f t="shared" si="197"/>
        <v>5081678.93</v>
      </c>
    </row>
    <row r="2063" spans="1:8" x14ac:dyDescent="0.35">
      <c r="A2063" s="2">
        <v>1130</v>
      </c>
      <c r="B2063" s="2">
        <v>38841</v>
      </c>
      <c r="C2063" s="2">
        <f t="shared" si="192"/>
        <v>3.8841000000000001</v>
      </c>
      <c r="D2063" s="2">
        <f t="shared" si="193"/>
        <v>1276900</v>
      </c>
      <c r="E2063" s="2">
        <f t="shared" si="194"/>
        <v>1442897000</v>
      </c>
      <c r="F2063" s="2">
        <f t="shared" si="195"/>
        <v>1630473610000</v>
      </c>
      <c r="G2063" s="2">
        <f t="shared" si="196"/>
        <v>4389.0330000000004</v>
      </c>
      <c r="H2063" s="2">
        <f t="shared" si="197"/>
        <v>4959607.29</v>
      </c>
    </row>
    <row r="2064" spans="1:8" x14ac:dyDescent="0.35">
      <c r="A2064" s="2">
        <v>1130</v>
      </c>
      <c r="B2064" s="2">
        <v>40323</v>
      </c>
      <c r="C2064" s="2">
        <f t="shared" si="192"/>
        <v>4.0323000000000002</v>
      </c>
      <c r="D2064" s="2">
        <f t="shared" si="193"/>
        <v>1276900</v>
      </c>
      <c r="E2064" s="2">
        <f t="shared" si="194"/>
        <v>1442897000</v>
      </c>
      <c r="F2064" s="2">
        <f t="shared" si="195"/>
        <v>1630473610000</v>
      </c>
      <c r="G2064" s="2">
        <f t="shared" si="196"/>
        <v>4556.4989999999998</v>
      </c>
      <c r="H2064" s="2">
        <f t="shared" si="197"/>
        <v>5148843.87</v>
      </c>
    </row>
    <row r="2065" spans="1:8" x14ac:dyDescent="0.35">
      <c r="A2065" s="2">
        <v>1130</v>
      </c>
      <c r="B2065" s="2">
        <v>30448</v>
      </c>
      <c r="C2065" s="2">
        <f t="shared" si="192"/>
        <v>3.0448</v>
      </c>
      <c r="D2065" s="2">
        <f t="shared" si="193"/>
        <v>1276900</v>
      </c>
      <c r="E2065" s="2">
        <f t="shared" si="194"/>
        <v>1442897000</v>
      </c>
      <c r="F2065" s="2">
        <f t="shared" si="195"/>
        <v>1630473610000</v>
      </c>
      <c r="G2065" s="2">
        <f t="shared" si="196"/>
        <v>3440.6239999999998</v>
      </c>
      <c r="H2065" s="2">
        <f t="shared" si="197"/>
        <v>3887905.12</v>
      </c>
    </row>
    <row r="2066" spans="1:8" x14ac:dyDescent="0.35">
      <c r="A2066" s="2">
        <v>1130</v>
      </c>
      <c r="B2066" s="2">
        <v>30000</v>
      </c>
      <c r="C2066" s="2">
        <f t="shared" si="192"/>
        <v>3</v>
      </c>
      <c r="D2066" s="2">
        <f t="shared" si="193"/>
        <v>1276900</v>
      </c>
      <c r="E2066" s="2">
        <f t="shared" si="194"/>
        <v>1442897000</v>
      </c>
      <c r="F2066" s="2">
        <f t="shared" si="195"/>
        <v>1630473610000</v>
      </c>
      <c r="G2066" s="2">
        <f t="shared" si="196"/>
        <v>3390</v>
      </c>
      <c r="H2066" s="2">
        <f t="shared" si="197"/>
        <v>3830700</v>
      </c>
    </row>
    <row r="2067" spans="1:8" x14ac:dyDescent="0.35">
      <c r="A2067" s="2">
        <v>1130</v>
      </c>
      <c r="B2067" s="2">
        <v>30952</v>
      </c>
      <c r="C2067" s="2">
        <f t="shared" si="192"/>
        <v>3.0952000000000002</v>
      </c>
      <c r="D2067" s="2">
        <f t="shared" si="193"/>
        <v>1276900</v>
      </c>
      <c r="E2067" s="2">
        <f t="shared" si="194"/>
        <v>1442897000</v>
      </c>
      <c r="F2067" s="2">
        <f t="shared" si="195"/>
        <v>1630473610000</v>
      </c>
      <c r="G2067" s="2">
        <f t="shared" si="196"/>
        <v>3497.576</v>
      </c>
      <c r="H2067" s="2">
        <f t="shared" si="197"/>
        <v>3952260.8800000004</v>
      </c>
    </row>
    <row r="2068" spans="1:8" x14ac:dyDescent="0.35">
      <c r="A2068" s="2">
        <v>1130</v>
      </c>
      <c r="B2068" s="2">
        <v>42720</v>
      </c>
      <c r="C2068" s="2">
        <f t="shared" si="192"/>
        <v>4.2720000000000002</v>
      </c>
      <c r="D2068" s="2">
        <f t="shared" si="193"/>
        <v>1276900</v>
      </c>
      <c r="E2068" s="2">
        <f t="shared" si="194"/>
        <v>1442897000</v>
      </c>
      <c r="F2068" s="2">
        <f t="shared" si="195"/>
        <v>1630473610000</v>
      </c>
      <c r="G2068" s="2">
        <f t="shared" si="196"/>
        <v>4827.3600000000006</v>
      </c>
      <c r="H2068" s="2">
        <f t="shared" si="197"/>
        <v>5454916.8000000007</v>
      </c>
    </row>
    <row r="2069" spans="1:8" x14ac:dyDescent="0.35">
      <c r="A2069" s="2">
        <v>1130</v>
      </c>
      <c r="B2069" s="2">
        <v>43000</v>
      </c>
      <c r="C2069" s="2">
        <f t="shared" si="192"/>
        <v>4.3</v>
      </c>
      <c r="D2069" s="2">
        <f t="shared" si="193"/>
        <v>1276900</v>
      </c>
      <c r="E2069" s="2">
        <f t="shared" si="194"/>
        <v>1442897000</v>
      </c>
      <c r="F2069" s="2">
        <f t="shared" si="195"/>
        <v>1630473610000</v>
      </c>
      <c r="G2069" s="2">
        <f t="shared" si="196"/>
        <v>4859</v>
      </c>
      <c r="H2069" s="2">
        <f t="shared" si="197"/>
        <v>5490670</v>
      </c>
    </row>
    <row r="2070" spans="1:8" x14ac:dyDescent="0.35">
      <c r="A2070" s="2">
        <v>1130</v>
      </c>
      <c r="B2070" s="2">
        <v>52998</v>
      </c>
      <c r="C2070" s="2">
        <f t="shared" si="192"/>
        <v>5.2998000000000003</v>
      </c>
      <c r="D2070" s="2">
        <f t="shared" si="193"/>
        <v>1276900</v>
      </c>
      <c r="E2070" s="2">
        <f t="shared" si="194"/>
        <v>1442897000</v>
      </c>
      <c r="F2070" s="2">
        <f t="shared" si="195"/>
        <v>1630473610000</v>
      </c>
      <c r="G2070" s="2">
        <f t="shared" si="196"/>
        <v>5988.7740000000003</v>
      </c>
      <c r="H2070" s="2">
        <f t="shared" si="197"/>
        <v>6767314.6200000001</v>
      </c>
    </row>
    <row r="2071" spans="1:8" x14ac:dyDescent="0.35">
      <c r="A2071" s="2">
        <v>1130</v>
      </c>
      <c r="B2071" s="2">
        <v>51936</v>
      </c>
      <c r="C2071" s="2">
        <f t="shared" si="192"/>
        <v>5.1936</v>
      </c>
      <c r="D2071" s="2">
        <f t="shared" si="193"/>
        <v>1276900</v>
      </c>
      <c r="E2071" s="2">
        <f t="shared" si="194"/>
        <v>1442897000</v>
      </c>
      <c r="F2071" s="2">
        <f t="shared" si="195"/>
        <v>1630473610000</v>
      </c>
      <c r="G2071" s="2">
        <f t="shared" si="196"/>
        <v>5868.768</v>
      </c>
      <c r="H2071" s="2">
        <f t="shared" si="197"/>
        <v>6631707.8399999999</v>
      </c>
    </row>
    <row r="2072" spans="1:8" x14ac:dyDescent="0.35">
      <c r="A2072" s="2">
        <v>1130</v>
      </c>
      <c r="B2072" s="2">
        <v>49500</v>
      </c>
      <c r="C2072" s="2">
        <f t="shared" si="192"/>
        <v>4.95</v>
      </c>
      <c r="D2072" s="2">
        <f t="shared" si="193"/>
        <v>1276900</v>
      </c>
      <c r="E2072" s="2">
        <f t="shared" si="194"/>
        <v>1442897000</v>
      </c>
      <c r="F2072" s="2">
        <f t="shared" si="195"/>
        <v>1630473610000</v>
      </c>
      <c r="G2072" s="2">
        <f t="shared" si="196"/>
        <v>5593.5</v>
      </c>
      <c r="H2072" s="2">
        <f t="shared" si="197"/>
        <v>6320655</v>
      </c>
    </row>
    <row r="2073" spans="1:8" x14ac:dyDescent="0.35">
      <c r="A2073" s="2">
        <v>1130</v>
      </c>
      <c r="B2073" s="2">
        <v>63000</v>
      </c>
      <c r="C2073" s="2">
        <f t="shared" si="192"/>
        <v>6.3</v>
      </c>
      <c r="D2073" s="2">
        <f t="shared" si="193"/>
        <v>1276900</v>
      </c>
      <c r="E2073" s="2">
        <f t="shared" si="194"/>
        <v>1442897000</v>
      </c>
      <c r="F2073" s="2">
        <f t="shared" si="195"/>
        <v>1630473610000</v>
      </c>
      <c r="G2073" s="2">
        <f t="shared" si="196"/>
        <v>7119</v>
      </c>
      <c r="H2073" s="2">
        <f t="shared" si="197"/>
        <v>8044470</v>
      </c>
    </row>
    <row r="2074" spans="1:8" x14ac:dyDescent="0.35">
      <c r="A2074" s="2">
        <v>1130</v>
      </c>
      <c r="B2074" s="2">
        <v>67000</v>
      </c>
      <c r="C2074" s="2">
        <f t="shared" si="192"/>
        <v>6.7</v>
      </c>
      <c r="D2074" s="2">
        <f t="shared" si="193"/>
        <v>1276900</v>
      </c>
      <c r="E2074" s="2">
        <f t="shared" si="194"/>
        <v>1442897000</v>
      </c>
      <c r="F2074" s="2">
        <f t="shared" si="195"/>
        <v>1630473610000</v>
      </c>
      <c r="G2074" s="2">
        <f t="shared" si="196"/>
        <v>7571</v>
      </c>
      <c r="H2074" s="2">
        <f t="shared" si="197"/>
        <v>8555230</v>
      </c>
    </row>
    <row r="2075" spans="1:8" x14ac:dyDescent="0.35">
      <c r="A2075" s="2">
        <v>1130</v>
      </c>
      <c r="B2075" s="2">
        <v>67013</v>
      </c>
      <c r="C2075" s="2">
        <f t="shared" si="192"/>
        <v>6.7012999999999998</v>
      </c>
      <c r="D2075" s="2">
        <f t="shared" si="193"/>
        <v>1276900</v>
      </c>
      <c r="E2075" s="2">
        <f t="shared" si="194"/>
        <v>1442897000</v>
      </c>
      <c r="F2075" s="2">
        <f t="shared" si="195"/>
        <v>1630473610000</v>
      </c>
      <c r="G2075" s="2">
        <f t="shared" si="196"/>
        <v>7572.4690000000001</v>
      </c>
      <c r="H2075" s="2">
        <f t="shared" si="197"/>
        <v>8556889.9700000007</v>
      </c>
    </row>
    <row r="2076" spans="1:8" x14ac:dyDescent="0.35">
      <c r="A2076" s="2">
        <v>1130</v>
      </c>
      <c r="B2076" s="2">
        <v>66000</v>
      </c>
      <c r="C2076" s="2">
        <f t="shared" si="192"/>
        <v>6.6</v>
      </c>
      <c r="D2076" s="2">
        <f t="shared" si="193"/>
        <v>1276900</v>
      </c>
      <c r="E2076" s="2">
        <f t="shared" si="194"/>
        <v>1442897000</v>
      </c>
      <c r="F2076" s="2">
        <f t="shared" si="195"/>
        <v>1630473610000</v>
      </c>
      <c r="G2076" s="2">
        <f t="shared" si="196"/>
        <v>7458</v>
      </c>
      <c r="H2076" s="2">
        <f t="shared" si="197"/>
        <v>8427540</v>
      </c>
    </row>
    <row r="2077" spans="1:8" x14ac:dyDescent="0.35">
      <c r="A2077" s="2">
        <v>1738</v>
      </c>
      <c r="B2077" s="2">
        <v>45575</v>
      </c>
      <c r="C2077" s="2">
        <f t="shared" si="192"/>
        <v>4.5575000000000001</v>
      </c>
      <c r="D2077" s="2">
        <f t="shared" si="193"/>
        <v>3020644</v>
      </c>
      <c r="E2077" s="2">
        <f t="shared" si="194"/>
        <v>5249879272</v>
      </c>
      <c r="F2077" s="2">
        <f t="shared" si="195"/>
        <v>9124290174736</v>
      </c>
      <c r="G2077" s="2">
        <f t="shared" si="196"/>
        <v>7920.9350000000004</v>
      </c>
      <c r="H2077" s="2">
        <f t="shared" si="197"/>
        <v>13766585.030000001</v>
      </c>
    </row>
    <row r="2078" spans="1:8" x14ac:dyDescent="0.35">
      <c r="A2078" s="2">
        <v>1738</v>
      </c>
      <c r="B2078" s="2">
        <v>45045</v>
      </c>
      <c r="C2078" s="2">
        <f t="shared" si="192"/>
        <v>4.5045000000000002</v>
      </c>
      <c r="D2078" s="2">
        <f t="shared" si="193"/>
        <v>3020644</v>
      </c>
      <c r="E2078" s="2">
        <f t="shared" si="194"/>
        <v>5249879272</v>
      </c>
      <c r="F2078" s="2">
        <f t="shared" si="195"/>
        <v>9124290174736</v>
      </c>
      <c r="G2078" s="2">
        <f t="shared" si="196"/>
        <v>7828.8209999999999</v>
      </c>
      <c r="H2078" s="2">
        <f t="shared" si="197"/>
        <v>13606490.898</v>
      </c>
    </row>
    <row r="2079" spans="1:8" x14ac:dyDescent="0.35">
      <c r="A2079" s="2">
        <v>1738</v>
      </c>
      <c r="B2079" s="2">
        <v>50927</v>
      </c>
      <c r="C2079" s="2">
        <f t="shared" si="192"/>
        <v>5.0926999999999998</v>
      </c>
      <c r="D2079" s="2">
        <f t="shared" si="193"/>
        <v>3020644</v>
      </c>
      <c r="E2079" s="2">
        <f t="shared" si="194"/>
        <v>5249879272</v>
      </c>
      <c r="F2079" s="2">
        <f t="shared" si="195"/>
        <v>9124290174736</v>
      </c>
      <c r="G2079" s="2">
        <f t="shared" si="196"/>
        <v>8851.1126000000004</v>
      </c>
      <c r="H2079" s="2">
        <f t="shared" si="197"/>
        <v>15383233.698799999</v>
      </c>
    </row>
    <row r="2080" spans="1:8" x14ac:dyDescent="0.35">
      <c r="A2080" s="2">
        <v>1738</v>
      </c>
      <c r="B2080" s="2">
        <v>51166</v>
      </c>
      <c r="C2080" s="2">
        <f t="shared" si="192"/>
        <v>5.1166</v>
      </c>
      <c r="D2080" s="2">
        <f t="shared" si="193"/>
        <v>3020644</v>
      </c>
      <c r="E2080" s="2">
        <f t="shared" si="194"/>
        <v>5249879272</v>
      </c>
      <c r="F2080" s="2">
        <f t="shared" si="195"/>
        <v>9124290174736</v>
      </c>
      <c r="G2080" s="2">
        <f t="shared" si="196"/>
        <v>8892.6507999999994</v>
      </c>
      <c r="H2080" s="2">
        <f t="shared" si="197"/>
        <v>15455427.090400001</v>
      </c>
    </row>
    <row r="2081" spans="1:8" x14ac:dyDescent="0.35">
      <c r="A2081" s="2">
        <v>1738</v>
      </c>
      <c r="B2081" s="2">
        <v>52290</v>
      </c>
      <c r="C2081" s="2">
        <f t="shared" si="192"/>
        <v>5.2290000000000001</v>
      </c>
      <c r="D2081" s="2">
        <f t="shared" si="193"/>
        <v>3020644</v>
      </c>
      <c r="E2081" s="2">
        <f t="shared" si="194"/>
        <v>5249879272</v>
      </c>
      <c r="F2081" s="2">
        <f t="shared" si="195"/>
        <v>9124290174736</v>
      </c>
      <c r="G2081" s="2">
        <f t="shared" si="196"/>
        <v>9088.0020000000004</v>
      </c>
      <c r="H2081" s="2">
        <f t="shared" si="197"/>
        <v>15794947.476</v>
      </c>
    </row>
    <row r="2082" spans="1:8" x14ac:dyDescent="0.35">
      <c r="A2082" s="2">
        <v>1738</v>
      </c>
      <c r="B2082" s="2">
        <v>51416</v>
      </c>
      <c r="C2082" s="2">
        <f t="shared" si="192"/>
        <v>5.1416000000000004</v>
      </c>
      <c r="D2082" s="2">
        <f t="shared" si="193"/>
        <v>3020644</v>
      </c>
      <c r="E2082" s="2">
        <f t="shared" si="194"/>
        <v>5249879272</v>
      </c>
      <c r="F2082" s="2">
        <f t="shared" si="195"/>
        <v>9124290174736</v>
      </c>
      <c r="G2082" s="2">
        <f t="shared" si="196"/>
        <v>8936.1008000000002</v>
      </c>
      <c r="H2082" s="2">
        <f t="shared" si="197"/>
        <v>15530943.190400001</v>
      </c>
    </row>
    <row r="2083" spans="1:8" x14ac:dyDescent="0.35">
      <c r="A2083" s="2">
        <v>1738</v>
      </c>
      <c r="B2083" s="2">
        <v>49812</v>
      </c>
      <c r="C2083" s="2">
        <f t="shared" si="192"/>
        <v>4.9812000000000003</v>
      </c>
      <c r="D2083" s="2">
        <f t="shared" si="193"/>
        <v>3020644</v>
      </c>
      <c r="E2083" s="2">
        <f t="shared" si="194"/>
        <v>5249879272</v>
      </c>
      <c r="F2083" s="2">
        <f t="shared" si="195"/>
        <v>9124290174736</v>
      </c>
      <c r="G2083" s="2">
        <f t="shared" si="196"/>
        <v>8657.3256000000001</v>
      </c>
      <c r="H2083" s="2">
        <f t="shared" si="197"/>
        <v>15046431.892800001</v>
      </c>
    </row>
    <row r="2084" spans="1:8" x14ac:dyDescent="0.35">
      <c r="A2084" s="2">
        <v>1738</v>
      </c>
      <c r="B2084" s="2">
        <v>54506</v>
      </c>
      <c r="C2084" s="2">
        <f t="shared" si="192"/>
        <v>5.4505999999999997</v>
      </c>
      <c r="D2084" s="2">
        <f t="shared" si="193"/>
        <v>3020644</v>
      </c>
      <c r="E2084" s="2">
        <f t="shared" si="194"/>
        <v>5249879272</v>
      </c>
      <c r="F2084" s="2">
        <f t="shared" si="195"/>
        <v>9124290174736</v>
      </c>
      <c r="G2084" s="2">
        <f t="shared" si="196"/>
        <v>9473.1427999999996</v>
      </c>
      <c r="H2084" s="2">
        <f t="shared" si="197"/>
        <v>16464322.186399998</v>
      </c>
    </row>
    <row r="2085" spans="1:8" x14ac:dyDescent="0.35">
      <c r="A2085" s="2">
        <v>1738</v>
      </c>
      <c r="B2085" s="2">
        <v>58525</v>
      </c>
      <c r="C2085" s="2">
        <f t="shared" si="192"/>
        <v>5.8525</v>
      </c>
      <c r="D2085" s="2">
        <f t="shared" si="193"/>
        <v>3020644</v>
      </c>
      <c r="E2085" s="2">
        <f t="shared" si="194"/>
        <v>5249879272</v>
      </c>
      <c r="F2085" s="2">
        <f t="shared" si="195"/>
        <v>9124290174736</v>
      </c>
      <c r="G2085" s="2">
        <f t="shared" si="196"/>
        <v>10171.645</v>
      </c>
      <c r="H2085" s="2">
        <f t="shared" si="197"/>
        <v>17678319.010000002</v>
      </c>
    </row>
    <row r="2086" spans="1:8" x14ac:dyDescent="0.35">
      <c r="A2086" s="2">
        <v>1738</v>
      </c>
      <c r="B2086" s="2">
        <v>56180</v>
      </c>
      <c r="C2086" s="2">
        <f t="shared" si="192"/>
        <v>5.6180000000000003</v>
      </c>
      <c r="D2086" s="2">
        <f t="shared" si="193"/>
        <v>3020644</v>
      </c>
      <c r="E2086" s="2">
        <f t="shared" si="194"/>
        <v>5249879272</v>
      </c>
      <c r="F2086" s="2">
        <f t="shared" si="195"/>
        <v>9124290174736</v>
      </c>
      <c r="G2086" s="2">
        <f t="shared" si="196"/>
        <v>9764.0840000000007</v>
      </c>
      <c r="H2086" s="2">
        <f t="shared" si="197"/>
        <v>16969977.992000002</v>
      </c>
    </row>
    <row r="2087" spans="1:8" x14ac:dyDescent="0.35">
      <c r="A2087" s="2">
        <v>1738</v>
      </c>
      <c r="B2087" s="2">
        <v>57198</v>
      </c>
      <c r="C2087" s="2">
        <f t="shared" si="192"/>
        <v>5.7198000000000002</v>
      </c>
      <c r="D2087" s="2">
        <f t="shared" si="193"/>
        <v>3020644</v>
      </c>
      <c r="E2087" s="2">
        <f t="shared" si="194"/>
        <v>5249879272</v>
      </c>
      <c r="F2087" s="2">
        <f t="shared" si="195"/>
        <v>9124290174736</v>
      </c>
      <c r="G2087" s="2">
        <f t="shared" si="196"/>
        <v>9941.0123999999996</v>
      </c>
      <c r="H2087" s="2">
        <f t="shared" si="197"/>
        <v>17277479.551200002</v>
      </c>
    </row>
    <row r="2088" spans="1:8" x14ac:dyDescent="0.35">
      <c r="A2088" s="2">
        <v>1738</v>
      </c>
      <c r="B2088" s="2">
        <v>61154</v>
      </c>
      <c r="C2088" s="2">
        <f t="shared" si="192"/>
        <v>6.1154000000000002</v>
      </c>
      <c r="D2088" s="2">
        <f t="shared" si="193"/>
        <v>3020644</v>
      </c>
      <c r="E2088" s="2">
        <f t="shared" si="194"/>
        <v>5249879272</v>
      </c>
      <c r="F2088" s="2">
        <f t="shared" si="195"/>
        <v>9124290174736</v>
      </c>
      <c r="G2088" s="2">
        <f t="shared" si="196"/>
        <v>10628.565200000001</v>
      </c>
      <c r="H2088" s="2">
        <f t="shared" si="197"/>
        <v>18472446.317600001</v>
      </c>
    </row>
    <row r="2089" spans="1:8" x14ac:dyDescent="0.35">
      <c r="A2089" s="2">
        <v>1738</v>
      </c>
      <c r="B2089" s="2">
        <v>57558</v>
      </c>
      <c r="C2089" s="2">
        <f t="shared" si="192"/>
        <v>5.7557999999999998</v>
      </c>
      <c r="D2089" s="2">
        <f t="shared" si="193"/>
        <v>3020644</v>
      </c>
      <c r="E2089" s="2">
        <f t="shared" si="194"/>
        <v>5249879272</v>
      </c>
      <c r="F2089" s="2">
        <f t="shared" si="195"/>
        <v>9124290174736</v>
      </c>
      <c r="G2089" s="2">
        <f t="shared" si="196"/>
        <v>10003.580399999999</v>
      </c>
      <c r="H2089" s="2">
        <f t="shared" si="197"/>
        <v>17386222.735199999</v>
      </c>
    </row>
    <row r="2090" spans="1:8" x14ac:dyDescent="0.35">
      <c r="A2090" s="2">
        <v>1738</v>
      </c>
      <c r="B2090" s="2">
        <v>62514</v>
      </c>
      <c r="C2090" s="2">
        <f t="shared" si="192"/>
        <v>6.2514000000000003</v>
      </c>
      <c r="D2090" s="2">
        <f t="shared" si="193"/>
        <v>3020644</v>
      </c>
      <c r="E2090" s="2">
        <f t="shared" si="194"/>
        <v>5249879272</v>
      </c>
      <c r="F2090" s="2">
        <f t="shared" si="195"/>
        <v>9124290174736</v>
      </c>
      <c r="G2090" s="2">
        <f t="shared" si="196"/>
        <v>10864.933200000001</v>
      </c>
      <c r="H2090" s="2">
        <f t="shared" si="197"/>
        <v>18883253.9016</v>
      </c>
    </row>
    <row r="2091" spans="1:8" x14ac:dyDescent="0.35">
      <c r="A2091" s="2">
        <v>1738</v>
      </c>
      <c r="B2091" s="2">
        <v>65901</v>
      </c>
      <c r="C2091" s="2">
        <f t="shared" si="192"/>
        <v>6.5900999999999996</v>
      </c>
      <c r="D2091" s="2">
        <f t="shared" si="193"/>
        <v>3020644</v>
      </c>
      <c r="E2091" s="2">
        <f t="shared" si="194"/>
        <v>5249879272</v>
      </c>
      <c r="F2091" s="2">
        <f t="shared" si="195"/>
        <v>9124290174736</v>
      </c>
      <c r="G2091" s="2">
        <f t="shared" si="196"/>
        <v>11453.593799999999</v>
      </c>
      <c r="H2091" s="2">
        <f t="shared" si="197"/>
        <v>19906346.0244</v>
      </c>
    </row>
    <row r="2092" spans="1:8" x14ac:dyDescent="0.35">
      <c r="A2092" s="2">
        <v>1738</v>
      </c>
      <c r="B2092" s="2">
        <v>66941</v>
      </c>
      <c r="C2092" s="2">
        <f t="shared" si="192"/>
        <v>6.6940999999999997</v>
      </c>
      <c r="D2092" s="2">
        <f t="shared" si="193"/>
        <v>3020644</v>
      </c>
      <c r="E2092" s="2">
        <f t="shared" si="194"/>
        <v>5249879272</v>
      </c>
      <c r="F2092" s="2">
        <f t="shared" si="195"/>
        <v>9124290174736</v>
      </c>
      <c r="G2092" s="2">
        <f t="shared" si="196"/>
        <v>11634.345799999999</v>
      </c>
      <c r="H2092" s="2">
        <f t="shared" si="197"/>
        <v>20220493.000399999</v>
      </c>
    </row>
    <row r="2093" spans="1:8" x14ac:dyDescent="0.35">
      <c r="A2093" s="2">
        <v>1738</v>
      </c>
      <c r="B2093" s="2">
        <v>66876</v>
      </c>
      <c r="C2093" s="2">
        <f t="shared" si="192"/>
        <v>6.6875999999999998</v>
      </c>
      <c r="D2093" s="2">
        <f t="shared" si="193"/>
        <v>3020644</v>
      </c>
      <c r="E2093" s="2">
        <f t="shared" si="194"/>
        <v>5249879272</v>
      </c>
      <c r="F2093" s="2">
        <f t="shared" si="195"/>
        <v>9124290174736</v>
      </c>
      <c r="G2093" s="2">
        <f t="shared" si="196"/>
        <v>11623.0488</v>
      </c>
      <c r="H2093" s="2">
        <f t="shared" si="197"/>
        <v>20200858.814399999</v>
      </c>
    </row>
    <row r="2094" spans="1:8" x14ac:dyDescent="0.35">
      <c r="A2094" s="2">
        <v>1738</v>
      </c>
      <c r="B2094" s="2">
        <v>64401</v>
      </c>
      <c r="C2094" s="2">
        <f t="shared" si="192"/>
        <v>6.4401000000000002</v>
      </c>
      <c r="D2094" s="2">
        <f t="shared" si="193"/>
        <v>3020644</v>
      </c>
      <c r="E2094" s="2">
        <f t="shared" si="194"/>
        <v>5249879272</v>
      </c>
      <c r="F2094" s="2">
        <f t="shared" si="195"/>
        <v>9124290174736</v>
      </c>
      <c r="G2094" s="2">
        <f t="shared" si="196"/>
        <v>11192.8938</v>
      </c>
      <c r="H2094" s="2">
        <f t="shared" si="197"/>
        <v>19453249.424400002</v>
      </c>
    </row>
    <row r="2095" spans="1:8" x14ac:dyDescent="0.35">
      <c r="A2095" s="2">
        <v>1738</v>
      </c>
      <c r="B2095" s="2">
        <v>68971</v>
      </c>
      <c r="C2095" s="2">
        <f t="shared" si="192"/>
        <v>6.8971</v>
      </c>
      <c r="D2095" s="2">
        <f t="shared" si="193"/>
        <v>3020644</v>
      </c>
      <c r="E2095" s="2">
        <f t="shared" si="194"/>
        <v>5249879272</v>
      </c>
      <c r="F2095" s="2">
        <f t="shared" si="195"/>
        <v>9124290174736</v>
      </c>
      <c r="G2095" s="2">
        <f t="shared" si="196"/>
        <v>11987.159799999999</v>
      </c>
      <c r="H2095" s="2">
        <f t="shared" si="197"/>
        <v>20833683.7324</v>
      </c>
    </row>
    <row r="2096" spans="1:8" x14ac:dyDescent="0.35">
      <c r="A2096" s="2">
        <v>1738</v>
      </c>
      <c r="B2096" s="2">
        <v>68732</v>
      </c>
      <c r="C2096" s="2">
        <f t="shared" si="192"/>
        <v>6.8731999999999998</v>
      </c>
      <c r="D2096" s="2">
        <f t="shared" si="193"/>
        <v>3020644</v>
      </c>
      <c r="E2096" s="2">
        <f t="shared" si="194"/>
        <v>5249879272</v>
      </c>
      <c r="F2096" s="2">
        <f t="shared" si="195"/>
        <v>9124290174736</v>
      </c>
      <c r="G2096" s="2">
        <f t="shared" si="196"/>
        <v>11945.6216</v>
      </c>
      <c r="H2096" s="2">
        <f t="shared" si="197"/>
        <v>20761490.340799998</v>
      </c>
    </row>
    <row r="2097" spans="1:8" x14ac:dyDescent="0.35">
      <c r="A2097" s="2">
        <v>1738</v>
      </c>
      <c r="B2097" s="2">
        <v>66817</v>
      </c>
      <c r="C2097" s="2">
        <f t="shared" si="192"/>
        <v>6.6817000000000002</v>
      </c>
      <c r="D2097" s="2">
        <f t="shared" si="193"/>
        <v>3020644</v>
      </c>
      <c r="E2097" s="2">
        <f t="shared" si="194"/>
        <v>5249879272</v>
      </c>
      <c r="F2097" s="2">
        <f t="shared" si="195"/>
        <v>9124290174736</v>
      </c>
      <c r="G2097" s="2">
        <f t="shared" si="196"/>
        <v>11612.794600000001</v>
      </c>
      <c r="H2097" s="2">
        <f t="shared" si="197"/>
        <v>20183037.014800001</v>
      </c>
    </row>
    <row r="2098" spans="1:8" x14ac:dyDescent="0.35">
      <c r="A2098" s="2">
        <v>1738</v>
      </c>
      <c r="B2098" s="2">
        <v>73089</v>
      </c>
      <c r="C2098" s="2">
        <f t="shared" si="192"/>
        <v>7.3089000000000004</v>
      </c>
      <c r="D2098" s="2">
        <f t="shared" si="193"/>
        <v>3020644</v>
      </c>
      <c r="E2098" s="2">
        <f t="shared" si="194"/>
        <v>5249879272</v>
      </c>
      <c r="F2098" s="2">
        <f t="shared" si="195"/>
        <v>9124290174736</v>
      </c>
      <c r="G2098" s="2">
        <f t="shared" si="196"/>
        <v>12702.868200000001</v>
      </c>
      <c r="H2098" s="2">
        <f t="shared" si="197"/>
        <v>22077584.931600001</v>
      </c>
    </row>
    <row r="2099" spans="1:8" x14ac:dyDescent="0.35">
      <c r="A2099" s="2">
        <v>1738</v>
      </c>
      <c r="B2099" s="2">
        <v>73926</v>
      </c>
      <c r="C2099" s="2">
        <f t="shared" si="192"/>
        <v>7.3925999999999998</v>
      </c>
      <c r="D2099" s="2">
        <f t="shared" si="193"/>
        <v>3020644</v>
      </c>
      <c r="E2099" s="2">
        <f t="shared" si="194"/>
        <v>5249879272</v>
      </c>
      <c r="F2099" s="2">
        <f t="shared" si="195"/>
        <v>9124290174736</v>
      </c>
      <c r="G2099" s="2">
        <f t="shared" si="196"/>
        <v>12848.3388</v>
      </c>
      <c r="H2099" s="2">
        <f t="shared" si="197"/>
        <v>22330412.834399998</v>
      </c>
    </row>
    <row r="2100" spans="1:8" x14ac:dyDescent="0.35">
      <c r="A2100" s="2">
        <v>1738</v>
      </c>
      <c r="B2100" s="2">
        <v>72850</v>
      </c>
      <c r="C2100" s="2">
        <f t="shared" si="192"/>
        <v>7.2850000000000001</v>
      </c>
      <c r="D2100" s="2">
        <f t="shared" si="193"/>
        <v>3020644</v>
      </c>
      <c r="E2100" s="2">
        <f t="shared" si="194"/>
        <v>5249879272</v>
      </c>
      <c r="F2100" s="2">
        <f t="shared" si="195"/>
        <v>9124290174736</v>
      </c>
      <c r="G2100" s="2">
        <f t="shared" si="196"/>
        <v>12661.33</v>
      </c>
      <c r="H2100" s="2">
        <f t="shared" si="197"/>
        <v>22005391.539999999</v>
      </c>
    </row>
    <row r="2101" spans="1:8" x14ac:dyDescent="0.35">
      <c r="A2101" s="2">
        <v>1738</v>
      </c>
      <c r="B2101" s="2">
        <v>72980</v>
      </c>
      <c r="C2101" s="2">
        <f t="shared" si="192"/>
        <v>7.298</v>
      </c>
      <c r="D2101" s="2">
        <f t="shared" si="193"/>
        <v>3020644</v>
      </c>
      <c r="E2101" s="2">
        <f t="shared" si="194"/>
        <v>5249879272</v>
      </c>
      <c r="F2101" s="2">
        <f t="shared" si="195"/>
        <v>9124290174736</v>
      </c>
      <c r="G2101" s="2">
        <f t="shared" si="196"/>
        <v>12683.924000000001</v>
      </c>
      <c r="H2101" s="2">
        <f t="shared" si="197"/>
        <v>22044659.912</v>
      </c>
    </row>
    <row r="2102" spans="1:8" x14ac:dyDescent="0.35">
      <c r="A2102" s="2">
        <v>1738</v>
      </c>
      <c r="B2102" s="2">
        <v>77851</v>
      </c>
      <c r="C2102" s="2">
        <f t="shared" si="192"/>
        <v>7.7850999999999999</v>
      </c>
      <c r="D2102" s="2">
        <f t="shared" si="193"/>
        <v>3020644</v>
      </c>
      <c r="E2102" s="2">
        <f t="shared" si="194"/>
        <v>5249879272</v>
      </c>
      <c r="F2102" s="2">
        <f t="shared" si="195"/>
        <v>9124290174736</v>
      </c>
      <c r="G2102" s="2">
        <f t="shared" si="196"/>
        <v>13530.5038</v>
      </c>
      <c r="H2102" s="2">
        <f t="shared" si="197"/>
        <v>23516015.604400001</v>
      </c>
    </row>
    <row r="2103" spans="1:8" x14ac:dyDescent="0.35">
      <c r="A2103" s="2">
        <v>1738</v>
      </c>
      <c r="B2103" s="2">
        <v>77112</v>
      </c>
      <c r="C2103" s="2">
        <f t="shared" si="192"/>
        <v>7.7111999999999998</v>
      </c>
      <c r="D2103" s="2">
        <f t="shared" si="193"/>
        <v>3020644</v>
      </c>
      <c r="E2103" s="2">
        <f t="shared" si="194"/>
        <v>5249879272</v>
      </c>
      <c r="F2103" s="2">
        <f t="shared" si="195"/>
        <v>9124290174736</v>
      </c>
      <c r="G2103" s="2">
        <f t="shared" si="196"/>
        <v>13402.0656</v>
      </c>
      <c r="H2103" s="2">
        <f t="shared" si="197"/>
        <v>23292790.012800001</v>
      </c>
    </row>
    <row r="2104" spans="1:8" x14ac:dyDescent="0.35">
      <c r="A2104" s="2">
        <v>1738</v>
      </c>
      <c r="B2104" s="2">
        <v>75953</v>
      </c>
      <c r="C2104" s="2">
        <f t="shared" si="192"/>
        <v>7.5952999999999999</v>
      </c>
      <c r="D2104" s="2">
        <f t="shared" si="193"/>
        <v>3020644</v>
      </c>
      <c r="E2104" s="2">
        <f t="shared" si="194"/>
        <v>5249879272</v>
      </c>
      <c r="F2104" s="2">
        <f t="shared" si="195"/>
        <v>9124290174736</v>
      </c>
      <c r="G2104" s="2">
        <f t="shared" si="196"/>
        <v>13200.6314</v>
      </c>
      <c r="H2104" s="2">
        <f t="shared" si="197"/>
        <v>22942697.373199999</v>
      </c>
    </row>
    <row r="2105" spans="1:8" x14ac:dyDescent="0.35">
      <c r="A2105" s="2">
        <v>1738</v>
      </c>
      <c r="B2105" s="2">
        <v>78884</v>
      </c>
      <c r="C2105" s="2">
        <f t="shared" si="192"/>
        <v>7.8883999999999999</v>
      </c>
      <c r="D2105" s="2">
        <f t="shared" si="193"/>
        <v>3020644</v>
      </c>
      <c r="E2105" s="2">
        <f t="shared" si="194"/>
        <v>5249879272</v>
      </c>
      <c r="F2105" s="2">
        <f t="shared" si="195"/>
        <v>9124290174736</v>
      </c>
      <c r="G2105" s="2">
        <f t="shared" si="196"/>
        <v>13710.039199999999</v>
      </c>
      <c r="H2105" s="2">
        <f t="shared" si="197"/>
        <v>23828048.1296</v>
      </c>
    </row>
    <row r="2106" spans="1:8" x14ac:dyDescent="0.35">
      <c r="A2106" s="2">
        <v>1738</v>
      </c>
      <c r="B2106" s="2">
        <v>75453</v>
      </c>
      <c r="C2106" s="2">
        <f t="shared" si="192"/>
        <v>7.5453000000000001</v>
      </c>
      <c r="D2106" s="2">
        <f t="shared" si="193"/>
        <v>3020644</v>
      </c>
      <c r="E2106" s="2">
        <f t="shared" si="194"/>
        <v>5249879272</v>
      </c>
      <c r="F2106" s="2">
        <f t="shared" si="195"/>
        <v>9124290174736</v>
      </c>
      <c r="G2106" s="2">
        <f t="shared" si="196"/>
        <v>13113.731400000001</v>
      </c>
      <c r="H2106" s="2">
        <f t="shared" si="197"/>
        <v>22791665.1732</v>
      </c>
    </row>
    <row r="2107" spans="1:8" x14ac:dyDescent="0.35">
      <c r="A2107" s="2">
        <v>2348</v>
      </c>
      <c r="B2107" s="2">
        <v>25879</v>
      </c>
      <c r="C2107" s="2">
        <f t="shared" si="192"/>
        <v>2.5878999999999999</v>
      </c>
      <c r="D2107" s="2">
        <f t="shared" si="193"/>
        <v>5513104</v>
      </c>
      <c r="E2107" s="2">
        <f t="shared" si="194"/>
        <v>12944768192</v>
      </c>
      <c r="F2107" s="2">
        <f t="shared" si="195"/>
        <v>30394315714816</v>
      </c>
      <c r="G2107" s="2">
        <f t="shared" si="196"/>
        <v>6076.3891999999996</v>
      </c>
      <c r="H2107" s="2">
        <f t="shared" si="197"/>
        <v>14267361.841599999</v>
      </c>
    </row>
    <row r="2108" spans="1:8" x14ac:dyDescent="0.35">
      <c r="A2108" s="2">
        <v>2348</v>
      </c>
      <c r="B2108" s="2">
        <v>27173</v>
      </c>
      <c r="C2108" s="2">
        <f t="shared" si="192"/>
        <v>2.7172999999999998</v>
      </c>
      <c r="D2108" s="2">
        <f t="shared" si="193"/>
        <v>5513104</v>
      </c>
      <c r="E2108" s="2">
        <f t="shared" si="194"/>
        <v>12944768192</v>
      </c>
      <c r="F2108" s="2">
        <f t="shared" si="195"/>
        <v>30394315714816</v>
      </c>
      <c r="G2108" s="2">
        <f t="shared" si="196"/>
        <v>6380.2203999999992</v>
      </c>
      <c r="H2108" s="2">
        <f t="shared" si="197"/>
        <v>14980757.499199999</v>
      </c>
    </row>
    <row r="2109" spans="1:8" x14ac:dyDescent="0.35">
      <c r="A2109" s="2">
        <v>2348</v>
      </c>
      <c r="B2109" s="2">
        <v>26229</v>
      </c>
      <c r="C2109" s="2">
        <f t="shared" si="192"/>
        <v>2.6229</v>
      </c>
      <c r="D2109" s="2">
        <f t="shared" si="193"/>
        <v>5513104</v>
      </c>
      <c r="E2109" s="2">
        <f t="shared" si="194"/>
        <v>12944768192</v>
      </c>
      <c r="F2109" s="2">
        <f t="shared" si="195"/>
        <v>30394315714816</v>
      </c>
      <c r="G2109" s="2">
        <f t="shared" si="196"/>
        <v>6158.5691999999999</v>
      </c>
      <c r="H2109" s="2">
        <f t="shared" si="197"/>
        <v>14460320.4816</v>
      </c>
    </row>
    <row r="2110" spans="1:8" x14ac:dyDescent="0.35">
      <c r="A2110" s="2">
        <v>2348</v>
      </c>
      <c r="B2110" s="2">
        <v>27046</v>
      </c>
      <c r="C2110" s="2">
        <f t="shared" si="192"/>
        <v>2.7046000000000001</v>
      </c>
      <c r="D2110" s="2">
        <f t="shared" si="193"/>
        <v>5513104</v>
      </c>
      <c r="E2110" s="2">
        <f t="shared" si="194"/>
        <v>12944768192</v>
      </c>
      <c r="F2110" s="2">
        <f t="shared" si="195"/>
        <v>30394315714816</v>
      </c>
      <c r="G2110" s="2">
        <f t="shared" si="196"/>
        <v>6350.4008000000003</v>
      </c>
      <c r="H2110" s="2">
        <f t="shared" si="197"/>
        <v>14910741.078400001</v>
      </c>
    </row>
    <row r="2111" spans="1:8" x14ac:dyDescent="0.35">
      <c r="A2111" s="2">
        <v>2348</v>
      </c>
      <c r="B2111" s="2">
        <v>29786</v>
      </c>
      <c r="C2111" s="2">
        <f t="shared" si="192"/>
        <v>2.9786000000000001</v>
      </c>
      <c r="D2111" s="2">
        <f t="shared" si="193"/>
        <v>5513104</v>
      </c>
      <c r="E2111" s="2">
        <f t="shared" si="194"/>
        <v>12944768192</v>
      </c>
      <c r="F2111" s="2">
        <f t="shared" si="195"/>
        <v>30394315714816</v>
      </c>
      <c r="G2111" s="2">
        <f t="shared" si="196"/>
        <v>6993.7528000000002</v>
      </c>
      <c r="H2111" s="2">
        <f t="shared" si="197"/>
        <v>16421331.5744</v>
      </c>
    </row>
    <row r="2112" spans="1:8" x14ac:dyDescent="0.35">
      <c r="A2112" s="2">
        <v>2348</v>
      </c>
      <c r="B2112" s="2">
        <v>28243</v>
      </c>
      <c r="C2112" s="2">
        <f t="shared" si="192"/>
        <v>2.8243</v>
      </c>
      <c r="D2112" s="2">
        <f t="shared" si="193"/>
        <v>5513104</v>
      </c>
      <c r="E2112" s="2">
        <f t="shared" si="194"/>
        <v>12944768192</v>
      </c>
      <c r="F2112" s="2">
        <f t="shared" si="195"/>
        <v>30394315714816</v>
      </c>
      <c r="G2112" s="2">
        <f t="shared" si="196"/>
        <v>6631.4564</v>
      </c>
      <c r="H2112" s="2">
        <f t="shared" si="197"/>
        <v>15570659.6272</v>
      </c>
    </row>
    <row r="2113" spans="1:8" x14ac:dyDescent="0.35">
      <c r="A2113" s="2">
        <v>2348</v>
      </c>
      <c r="B2113" s="2">
        <v>28545</v>
      </c>
      <c r="C2113" s="2">
        <f t="shared" si="192"/>
        <v>2.8544999999999998</v>
      </c>
      <c r="D2113" s="2">
        <f t="shared" si="193"/>
        <v>5513104</v>
      </c>
      <c r="E2113" s="2">
        <f t="shared" si="194"/>
        <v>12944768192</v>
      </c>
      <c r="F2113" s="2">
        <f t="shared" si="195"/>
        <v>30394315714816</v>
      </c>
      <c r="G2113" s="2">
        <f t="shared" si="196"/>
        <v>6702.366</v>
      </c>
      <c r="H2113" s="2">
        <f t="shared" si="197"/>
        <v>15737155.367999999</v>
      </c>
    </row>
    <row r="2114" spans="1:8" x14ac:dyDescent="0.35">
      <c r="A2114" s="2">
        <v>2348</v>
      </c>
      <c r="B2114" s="2">
        <v>28742</v>
      </c>
      <c r="C2114" s="2">
        <f t="shared" si="192"/>
        <v>2.8742000000000001</v>
      </c>
      <c r="D2114" s="2">
        <f t="shared" si="193"/>
        <v>5513104</v>
      </c>
      <c r="E2114" s="2">
        <f t="shared" si="194"/>
        <v>12944768192</v>
      </c>
      <c r="F2114" s="2">
        <f t="shared" si="195"/>
        <v>30394315714816</v>
      </c>
      <c r="G2114" s="2">
        <f t="shared" si="196"/>
        <v>6748.6216000000004</v>
      </c>
      <c r="H2114" s="2">
        <f t="shared" si="197"/>
        <v>15845763.516800001</v>
      </c>
    </row>
    <row r="2115" spans="1:8" x14ac:dyDescent="0.35">
      <c r="A2115" s="2">
        <v>2348</v>
      </c>
      <c r="B2115" s="2">
        <v>28859</v>
      </c>
      <c r="C2115" s="2">
        <f t="shared" ref="C2115:C2178" si="198">B2115/10000</f>
        <v>2.8858999999999999</v>
      </c>
      <c r="D2115" s="2">
        <f t="shared" ref="D2115:D2178" si="199">A2115^2</f>
        <v>5513104</v>
      </c>
      <c r="E2115" s="2">
        <f t="shared" ref="E2115:E2178" si="200">A2115^3</f>
        <v>12944768192</v>
      </c>
      <c r="F2115" s="2">
        <f t="shared" ref="F2115:F2178" si="201">A2115^4</f>
        <v>30394315714816</v>
      </c>
      <c r="G2115" s="2">
        <f t="shared" ref="G2115:G2178" si="202">A2115*C2115</f>
        <v>6776.0931999999993</v>
      </c>
      <c r="H2115" s="2">
        <f t="shared" ref="H2115:H2178" si="203">D2115*C2115</f>
        <v>15910266.8336</v>
      </c>
    </row>
    <row r="2116" spans="1:8" x14ac:dyDescent="0.35">
      <c r="A2116" s="2">
        <v>2348</v>
      </c>
      <c r="B2116" s="2">
        <v>28043</v>
      </c>
      <c r="C2116" s="2">
        <f t="shared" si="198"/>
        <v>2.8043</v>
      </c>
      <c r="D2116" s="2">
        <f t="shared" si="199"/>
        <v>5513104</v>
      </c>
      <c r="E2116" s="2">
        <f t="shared" si="200"/>
        <v>12944768192</v>
      </c>
      <c r="F2116" s="2">
        <f t="shared" si="201"/>
        <v>30394315714816</v>
      </c>
      <c r="G2116" s="2">
        <f t="shared" si="202"/>
        <v>6584.4964</v>
      </c>
      <c r="H2116" s="2">
        <f t="shared" si="203"/>
        <v>15460397.5472</v>
      </c>
    </row>
    <row r="2117" spans="1:8" x14ac:dyDescent="0.35">
      <c r="A2117" s="2">
        <v>2348</v>
      </c>
      <c r="B2117" s="2">
        <v>28558</v>
      </c>
      <c r="C2117" s="2">
        <f t="shared" si="198"/>
        <v>2.8557999999999999</v>
      </c>
      <c r="D2117" s="2">
        <f t="shared" si="199"/>
        <v>5513104</v>
      </c>
      <c r="E2117" s="2">
        <f t="shared" si="200"/>
        <v>12944768192</v>
      </c>
      <c r="F2117" s="2">
        <f t="shared" si="201"/>
        <v>30394315714816</v>
      </c>
      <c r="G2117" s="2">
        <f t="shared" si="202"/>
        <v>6705.4183999999996</v>
      </c>
      <c r="H2117" s="2">
        <f t="shared" si="203"/>
        <v>15744322.403199999</v>
      </c>
    </row>
    <row r="2118" spans="1:8" x14ac:dyDescent="0.35">
      <c r="A2118" s="2">
        <v>2348</v>
      </c>
      <c r="B2118" s="2">
        <v>29329</v>
      </c>
      <c r="C2118" s="2">
        <f t="shared" si="198"/>
        <v>2.9329000000000001</v>
      </c>
      <c r="D2118" s="2">
        <f t="shared" si="199"/>
        <v>5513104</v>
      </c>
      <c r="E2118" s="2">
        <f t="shared" si="200"/>
        <v>12944768192</v>
      </c>
      <c r="F2118" s="2">
        <f t="shared" si="201"/>
        <v>30394315714816</v>
      </c>
      <c r="G2118" s="2">
        <f t="shared" si="202"/>
        <v>6886.4492</v>
      </c>
      <c r="H2118" s="2">
        <f t="shared" si="203"/>
        <v>16169382.7216</v>
      </c>
    </row>
    <row r="2119" spans="1:8" x14ac:dyDescent="0.35">
      <c r="A2119" s="2">
        <v>2348</v>
      </c>
      <c r="B2119" s="2">
        <v>26986</v>
      </c>
      <c r="C2119" s="2">
        <f t="shared" si="198"/>
        <v>2.6985999999999999</v>
      </c>
      <c r="D2119" s="2">
        <f t="shared" si="199"/>
        <v>5513104</v>
      </c>
      <c r="E2119" s="2">
        <f t="shared" si="200"/>
        <v>12944768192</v>
      </c>
      <c r="F2119" s="2">
        <f t="shared" si="201"/>
        <v>30394315714816</v>
      </c>
      <c r="G2119" s="2">
        <f t="shared" si="202"/>
        <v>6336.3127999999997</v>
      </c>
      <c r="H2119" s="2">
        <f t="shared" si="203"/>
        <v>14877662.454399999</v>
      </c>
    </row>
    <row r="2120" spans="1:8" x14ac:dyDescent="0.35">
      <c r="A2120" s="2">
        <v>2348</v>
      </c>
      <c r="B2120" s="2">
        <v>29468</v>
      </c>
      <c r="C2120" s="2">
        <f t="shared" si="198"/>
        <v>2.9468000000000001</v>
      </c>
      <c r="D2120" s="2">
        <f t="shared" si="199"/>
        <v>5513104</v>
      </c>
      <c r="E2120" s="2">
        <f t="shared" si="200"/>
        <v>12944768192</v>
      </c>
      <c r="F2120" s="2">
        <f t="shared" si="201"/>
        <v>30394315714816</v>
      </c>
      <c r="G2120" s="2">
        <f t="shared" si="202"/>
        <v>6919.0864000000001</v>
      </c>
      <c r="H2120" s="2">
        <f t="shared" si="203"/>
        <v>16246014.8672</v>
      </c>
    </row>
    <row r="2121" spans="1:8" x14ac:dyDescent="0.35">
      <c r="A2121" s="2">
        <v>2348</v>
      </c>
      <c r="B2121" s="2">
        <v>30681</v>
      </c>
      <c r="C2121" s="2">
        <f t="shared" si="198"/>
        <v>3.0680999999999998</v>
      </c>
      <c r="D2121" s="2">
        <f t="shared" si="199"/>
        <v>5513104</v>
      </c>
      <c r="E2121" s="2">
        <f t="shared" si="200"/>
        <v>12944768192</v>
      </c>
      <c r="F2121" s="2">
        <f t="shared" si="201"/>
        <v>30394315714816</v>
      </c>
      <c r="G2121" s="2">
        <f t="shared" si="202"/>
        <v>7203.8987999999999</v>
      </c>
      <c r="H2121" s="2">
        <f t="shared" si="203"/>
        <v>16914754.382399999</v>
      </c>
    </row>
    <row r="2122" spans="1:8" x14ac:dyDescent="0.35">
      <c r="A2122" s="2">
        <v>2348</v>
      </c>
      <c r="B2122" s="2">
        <v>31866</v>
      </c>
      <c r="C2122" s="2">
        <f t="shared" si="198"/>
        <v>3.1865999999999999</v>
      </c>
      <c r="D2122" s="2">
        <f t="shared" si="199"/>
        <v>5513104</v>
      </c>
      <c r="E2122" s="2">
        <f t="shared" si="200"/>
        <v>12944768192</v>
      </c>
      <c r="F2122" s="2">
        <f t="shared" si="201"/>
        <v>30394315714816</v>
      </c>
      <c r="G2122" s="2">
        <f t="shared" si="202"/>
        <v>7482.1367999999993</v>
      </c>
      <c r="H2122" s="2">
        <f t="shared" si="203"/>
        <v>17568057.2064</v>
      </c>
    </row>
    <row r="2123" spans="1:8" x14ac:dyDescent="0.35">
      <c r="A2123" s="2">
        <v>2348</v>
      </c>
      <c r="B2123" s="2">
        <v>32797</v>
      </c>
      <c r="C2123" s="2">
        <f t="shared" si="198"/>
        <v>3.2797000000000001</v>
      </c>
      <c r="D2123" s="2">
        <f t="shared" si="199"/>
        <v>5513104</v>
      </c>
      <c r="E2123" s="2">
        <f t="shared" si="200"/>
        <v>12944768192</v>
      </c>
      <c r="F2123" s="2">
        <f t="shared" si="201"/>
        <v>30394315714816</v>
      </c>
      <c r="G2123" s="2">
        <f t="shared" si="202"/>
        <v>7700.7356</v>
      </c>
      <c r="H2123" s="2">
        <f t="shared" si="203"/>
        <v>18081327.1888</v>
      </c>
    </row>
    <row r="2124" spans="1:8" x14ac:dyDescent="0.35">
      <c r="A2124" s="2">
        <v>2348</v>
      </c>
      <c r="B2124" s="2">
        <v>35130</v>
      </c>
      <c r="C2124" s="2">
        <f t="shared" si="198"/>
        <v>3.5129999999999999</v>
      </c>
      <c r="D2124" s="2">
        <f t="shared" si="199"/>
        <v>5513104</v>
      </c>
      <c r="E2124" s="2">
        <f t="shared" si="200"/>
        <v>12944768192</v>
      </c>
      <c r="F2124" s="2">
        <f t="shared" si="201"/>
        <v>30394315714816</v>
      </c>
      <c r="G2124" s="2">
        <f t="shared" si="202"/>
        <v>8248.5239999999994</v>
      </c>
      <c r="H2124" s="2">
        <f t="shared" si="203"/>
        <v>19367534.351999998</v>
      </c>
    </row>
    <row r="2125" spans="1:8" x14ac:dyDescent="0.35">
      <c r="A2125" s="2">
        <v>2348</v>
      </c>
      <c r="B2125" s="2">
        <v>35876</v>
      </c>
      <c r="C2125" s="2">
        <f t="shared" si="198"/>
        <v>3.5876000000000001</v>
      </c>
      <c r="D2125" s="2">
        <f t="shared" si="199"/>
        <v>5513104</v>
      </c>
      <c r="E2125" s="2">
        <f t="shared" si="200"/>
        <v>12944768192</v>
      </c>
      <c r="F2125" s="2">
        <f t="shared" si="201"/>
        <v>30394315714816</v>
      </c>
      <c r="G2125" s="2">
        <f t="shared" si="202"/>
        <v>8423.6848000000009</v>
      </c>
      <c r="H2125" s="2">
        <f t="shared" si="203"/>
        <v>19778811.910399999</v>
      </c>
    </row>
    <row r="2126" spans="1:8" x14ac:dyDescent="0.35">
      <c r="A2126" s="2">
        <v>2348</v>
      </c>
      <c r="B2126" s="2">
        <v>36844</v>
      </c>
      <c r="C2126" s="2">
        <f t="shared" si="198"/>
        <v>3.6844000000000001</v>
      </c>
      <c r="D2126" s="2">
        <f t="shared" si="199"/>
        <v>5513104</v>
      </c>
      <c r="E2126" s="2">
        <f t="shared" si="200"/>
        <v>12944768192</v>
      </c>
      <c r="F2126" s="2">
        <f t="shared" si="201"/>
        <v>30394315714816</v>
      </c>
      <c r="G2126" s="2">
        <f t="shared" si="202"/>
        <v>8650.9712</v>
      </c>
      <c r="H2126" s="2">
        <f t="shared" si="203"/>
        <v>20312480.377599999</v>
      </c>
    </row>
    <row r="2127" spans="1:8" x14ac:dyDescent="0.35">
      <c r="A2127" s="2">
        <v>2348</v>
      </c>
      <c r="B2127" s="2">
        <v>38008</v>
      </c>
      <c r="C2127" s="2">
        <f t="shared" si="198"/>
        <v>3.8008000000000002</v>
      </c>
      <c r="D2127" s="2">
        <f t="shared" si="199"/>
        <v>5513104</v>
      </c>
      <c r="E2127" s="2">
        <f t="shared" si="200"/>
        <v>12944768192</v>
      </c>
      <c r="F2127" s="2">
        <f t="shared" si="201"/>
        <v>30394315714816</v>
      </c>
      <c r="G2127" s="2">
        <f t="shared" si="202"/>
        <v>8924.2784000000011</v>
      </c>
      <c r="H2127" s="2">
        <f t="shared" si="203"/>
        <v>20954205.683200002</v>
      </c>
    </row>
    <row r="2128" spans="1:8" x14ac:dyDescent="0.35">
      <c r="A2128" s="2">
        <v>2348</v>
      </c>
      <c r="B2128" s="2">
        <v>37703</v>
      </c>
      <c r="C2128" s="2">
        <f t="shared" si="198"/>
        <v>3.7703000000000002</v>
      </c>
      <c r="D2128" s="2">
        <f t="shared" si="199"/>
        <v>5513104</v>
      </c>
      <c r="E2128" s="2">
        <f t="shared" si="200"/>
        <v>12944768192</v>
      </c>
      <c r="F2128" s="2">
        <f t="shared" si="201"/>
        <v>30394315714816</v>
      </c>
      <c r="G2128" s="2">
        <f t="shared" si="202"/>
        <v>8852.6643999999997</v>
      </c>
      <c r="H2128" s="2">
        <f t="shared" si="203"/>
        <v>20786056.0112</v>
      </c>
    </row>
    <row r="2129" spans="1:8" x14ac:dyDescent="0.35">
      <c r="A2129" s="2">
        <v>2348</v>
      </c>
      <c r="B2129" s="2">
        <v>35890</v>
      </c>
      <c r="C2129" s="2">
        <f t="shared" si="198"/>
        <v>3.589</v>
      </c>
      <c r="D2129" s="2">
        <f t="shared" si="199"/>
        <v>5513104</v>
      </c>
      <c r="E2129" s="2">
        <f t="shared" si="200"/>
        <v>12944768192</v>
      </c>
      <c r="F2129" s="2">
        <f t="shared" si="201"/>
        <v>30394315714816</v>
      </c>
      <c r="G2129" s="2">
        <f t="shared" si="202"/>
        <v>8426.9719999999998</v>
      </c>
      <c r="H2129" s="2">
        <f t="shared" si="203"/>
        <v>19786530.256000001</v>
      </c>
    </row>
    <row r="2130" spans="1:8" x14ac:dyDescent="0.35">
      <c r="A2130" s="2">
        <v>2348</v>
      </c>
      <c r="B2130" s="2">
        <v>36224</v>
      </c>
      <c r="C2130" s="2">
        <f t="shared" si="198"/>
        <v>3.6223999999999998</v>
      </c>
      <c r="D2130" s="2">
        <f t="shared" si="199"/>
        <v>5513104</v>
      </c>
      <c r="E2130" s="2">
        <f t="shared" si="200"/>
        <v>12944768192</v>
      </c>
      <c r="F2130" s="2">
        <f t="shared" si="201"/>
        <v>30394315714816</v>
      </c>
      <c r="G2130" s="2">
        <f t="shared" si="202"/>
        <v>8505.395199999999</v>
      </c>
      <c r="H2130" s="2">
        <f t="shared" si="203"/>
        <v>19970667.9296</v>
      </c>
    </row>
    <row r="2131" spans="1:8" x14ac:dyDescent="0.35">
      <c r="A2131" s="2">
        <v>2348</v>
      </c>
      <c r="B2131" s="2">
        <v>36776</v>
      </c>
      <c r="C2131" s="2">
        <f t="shared" si="198"/>
        <v>3.6776</v>
      </c>
      <c r="D2131" s="2">
        <f t="shared" si="199"/>
        <v>5513104</v>
      </c>
      <c r="E2131" s="2">
        <f t="shared" si="200"/>
        <v>12944768192</v>
      </c>
      <c r="F2131" s="2">
        <f t="shared" si="201"/>
        <v>30394315714816</v>
      </c>
      <c r="G2131" s="2">
        <f t="shared" si="202"/>
        <v>8635.0048000000006</v>
      </c>
      <c r="H2131" s="2">
        <f t="shared" si="203"/>
        <v>20274991.270399999</v>
      </c>
    </row>
    <row r="2132" spans="1:8" x14ac:dyDescent="0.35">
      <c r="A2132" s="2">
        <v>2348</v>
      </c>
      <c r="B2132" s="2">
        <v>38448</v>
      </c>
      <c r="C2132" s="2">
        <f t="shared" si="198"/>
        <v>3.8448000000000002</v>
      </c>
      <c r="D2132" s="2">
        <f t="shared" si="199"/>
        <v>5513104</v>
      </c>
      <c r="E2132" s="2">
        <f t="shared" si="200"/>
        <v>12944768192</v>
      </c>
      <c r="F2132" s="2">
        <f t="shared" si="201"/>
        <v>30394315714816</v>
      </c>
      <c r="G2132" s="2">
        <f t="shared" si="202"/>
        <v>9027.590400000001</v>
      </c>
      <c r="H2132" s="2">
        <f t="shared" si="203"/>
        <v>21196782.259200003</v>
      </c>
    </row>
    <row r="2133" spans="1:8" x14ac:dyDescent="0.35">
      <c r="A2133" s="2">
        <v>2348</v>
      </c>
      <c r="B2133" s="2">
        <v>38852</v>
      </c>
      <c r="C2133" s="2">
        <f t="shared" si="198"/>
        <v>3.8852000000000002</v>
      </c>
      <c r="D2133" s="2">
        <f t="shared" si="199"/>
        <v>5513104</v>
      </c>
      <c r="E2133" s="2">
        <f t="shared" si="200"/>
        <v>12944768192</v>
      </c>
      <c r="F2133" s="2">
        <f t="shared" si="201"/>
        <v>30394315714816</v>
      </c>
      <c r="G2133" s="2">
        <f t="shared" si="202"/>
        <v>9122.4495999999999</v>
      </c>
      <c r="H2133" s="2">
        <f t="shared" si="203"/>
        <v>21419511.660800003</v>
      </c>
    </row>
    <row r="2134" spans="1:8" x14ac:dyDescent="0.35">
      <c r="A2134" s="2">
        <v>2348</v>
      </c>
      <c r="B2134" s="2">
        <v>40019</v>
      </c>
      <c r="C2134" s="2">
        <f t="shared" si="198"/>
        <v>4.0019</v>
      </c>
      <c r="D2134" s="2">
        <f t="shared" si="199"/>
        <v>5513104</v>
      </c>
      <c r="E2134" s="2">
        <f t="shared" si="200"/>
        <v>12944768192</v>
      </c>
      <c r="F2134" s="2">
        <f t="shared" si="201"/>
        <v>30394315714816</v>
      </c>
      <c r="G2134" s="2">
        <f t="shared" si="202"/>
        <v>9396.4611999999997</v>
      </c>
      <c r="H2134" s="2">
        <f t="shared" si="203"/>
        <v>22062890.897599999</v>
      </c>
    </row>
    <row r="2135" spans="1:8" x14ac:dyDescent="0.35">
      <c r="A2135" s="2">
        <v>2348</v>
      </c>
      <c r="B2135" s="2">
        <v>38980</v>
      </c>
      <c r="C2135" s="2">
        <f t="shared" si="198"/>
        <v>3.8980000000000001</v>
      </c>
      <c r="D2135" s="2">
        <f t="shared" si="199"/>
        <v>5513104</v>
      </c>
      <c r="E2135" s="2">
        <f t="shared" si="200"/>
        <v>12944768192</v>
      </c>
      <c r="F2135" s="2">
        <f t="shared" si="201"/>
        <v>30394315714816</v>
      </c>
      <c r="G2135" s="2">
        <f t="shared" si="202"/>
        <v>9152.5040000000008</v>
      </c>
      <c r="H2135" s="2">
        <f t="shared" si="203"/>
        <v>21490079.392000001</v>
      </c>
    </row>
    <row r="2136" spans="1:8" x14ac:dyDescent="0.35">
      <c r="A2136" s="2">
        <v>2348</v>
      </c>
      <c r="B2136" s="2">
        <v>38690</v>
      </c>
      <c r="C2136" s="2">
        <f t="shared" si="198"/>
        <v>3.8690000000000002</v>
      </c>
      <c r="D2136" s="2">
        <f t="shared" si="199"/>
        <v>5513104</v>
      </c>
      <c r="E2136" s="2">
        <f t="shared" si="200"/>
        <v>12944768192</v>
      </c>
      <c r="F2136" s="2">
        <f t="shared" si="201"/>
        <v>30394315714816</v>
      </c>
      <c r="G2136" s="2">
        <f t="shared" si="202"/>
        <v>9084.4120000000003</v>
      </c>
      <c r="H2136" s="2">
        <f t="shared" si="203"/>
        <v>21330199.376000002</v>
      </c>
    </row>
    <row r="2137" spans="1:8" x14ac:dyDescent="0.35">
      <c r="A2137" s="2">
        <v>854</v>
      </c>
      <c r="B2137" s="2">
        <v>48355</v>
      </c>
      <c r="C2137" s="2">
        <f t="shared" si="198"/>
        <v>4.8354999999999997</v>
      </c>
      <c r="D2137" s="2">
        <f t="shared" si="199"/>
        <v>729316</v>
      </c>
      <c r="E2137" s="2">
        <f t="shared" si="200"/>
        <v>622835864</v>
      </c>
      <c r="F2137" s="2">
        <f t="shared" si="201"/>
        <v>531901827856</v>
      </c>
      <c r="G2137" s="2">
        <f t="shared" si="202"/>
        <v>4129.5169999999998</v>
      </c>
      <c r="H2137" s="2">
        <f t="shared" si="203"/>
        <v>3526607.5179999997</v>
      </c>
    </row>
    <row r="2138" spans="1:8" x14ac:dyDescent="0.35">
      <c r="A2138" s="2">
        <v>854</v>
      </c>
      <c r="B2138" s="2">
        <v>44630</v>
      </c>
      <c r="C2138" s="2">
        <f t="shared" si="198"/>
        <v>4.4630000000000001</v>
      </c>
      <c r="D2138" s="2">
        <f t="shared" si="199"/>
        <v>729316</v>
      </c>
      <c r="E2138" s="2">
        <f t="shared" si="200"/>
        <v>622835864</v>
      </c>
      <c r="F2138" s="2">
        <f t="shared" si="201"/>
        <v>531901827856</v>
      </c>
      <c r="G2138" s="2">
        <f t="shared" si="202"/>
        <v>3811.402</v>
      </c>
      <c r="H2138" s="2">
        <f t="shared" si="203"/>
        <v>3254937.3080000002</v>
      </c>
    </row>
    <row r="2139" spans="1:8" x14ac:dyDescent="0.35">
      <c r="A2139" s="2">
        <v>854</v>
      </c>
      <c r="B2139" s="2">
        <v>43215</v>
      </c>
      <c r="C2139" s="2">
        <f t="shared" si="198"/>
        <v>4.3215000000000003</v>
      </c>
      <c r="D2139" s="2">
        <f t="shared" si="199"/>
        <v>729316</v>
      </c>
      <c r="E2139" s="2">
        <f t="shared" si="200"/>
        <v>622835864</v>
      </c>
      <c r="F2139" s="2">
        <f t="shared" si="201"/>
        <v>531901827856</v>
      </c>
      <c r="G2139" s="2">
        <f t="shared" si="202"/>
        <v>3690.5610000000001</v>
      </c>
      <c r="H2139" s="2">
        <f t="shared" si="203"/>
        <v>3151739.094</v>
      </c>
    </row>
    <row r="2140" spans="1:8" x14ac:dyDescent="0.35">
      <c r="A2140" s="2">
        <v>854</v>
      </c>
      <c r="B2140" s="2">
        <v>42899</v>
      </c>
      <c r="C2140" s="2">
        <f t="shared" si="198"/>
        <v>4.2899000000000003</v>
      </c>
      <c r="D2140" s="2">
        <f t="shared" si="199"/>
        <v>729316</v>
      </c>
      <c r="E2140" s="2">
        <f t="shared" si="200"/>
        <v>622835864</v>
      </c>
      <c r="F2140" s="2">
        <f t="shared" si="201"/>
        <v>531901827856</v>
      </c>
      <c r="G2140" s="2">
        <f t="shared" si="202"/>
        <v>3663.5746000000004</v>
      </c>
      <c r="H2140" s="2">
        <f t="shared" si="203"/>
        <v>3128692.7084000004</v>
      </c>
    </row>
    <row r="2141" spans="1:8" x14ac:dyDescent="0.35">
      <c r="A2141" s="2">
        <v>854</v>
      </c>
      <c r="B2141" s="2">
        <v>46142</v>
      </c>
      <c r="C2141" s="2">
        <f t="shared" si="198"/>
        <v>4.6142000000000003</v>
      </c>
      <c r="D2141" s="2">
        <f t="shared" si="199"/>
        <v>729316</v>
      </c>
      <c r="E2141" s="2">
        <f t="shared" si="200"/>
        <v>622835864</v>
      </c>
      <c r="F2141" s="2">
        <f t="shared" si="201"/>
        <v>531901827856</v>
      </c>
      <c r="G2141" s="2">
        <f t="shared" si="202"/>
        <v>3940.5268000000001</v>
      </c>
      <c r="H2141" s="2">
        <f t="shared" si="203"/>
        <v>3365209.8872000002</v>
      </c>
    </row>
    <row r="2142" spans="1:8" x14ac:dyDescent="0.35">
      <c r="A2142" s="2">
        <v>854</v>
      </c>
      <c r="B2142" s="2">
        <v>50940</v>
      </c>
      <c r="C2142" s="2">
        <f t="shared" si="198"/>
        <v>5.0940000000000003</v>
      </c>
      <c r="D2142" s="2">
        <f t="shared" si="199"/>
        <v>729316</v>
      </c>
      <c r="E2142" s="2">
        <f t="shared" si="200"/>
        <v>622835864</v>
      </c>
      <c r="F2142" s="2">
        <f t="shared" si="201"/>
        <v>531901827856</v>
      </c>
      <c r="G2142" s="2">
        <f t="shared" si="202"/>
        <v>4350.2759999999998</v>
      </c>
      <c r="H2142" s="2">
        <f t="shared" si="203"/>
        <v>3715135.7040000004</v>
      </c>
    </row>
    <row r="2143" spans="1:8" x14ac:dyDescent="0.35">
      <c r="A2143" s="2">
        <v>854</v>
      </c>
      <c r="B2143" s="2">
        <v>51948</v>
      </c>
      <c r="C2143" s="2">
        <f t="shared" si="198"/>
        <v>5.1947999999999999</v>
      </c>
      <c r="D2143" s="2">
        <f t="shared" si="199"/>
        <v>729316</v>
      </c>
      <c r="E2143" s="2">
        <f t="shared" si="200"/>
        <v>622835864</v>
      </c>
      <c r="F2143" s="2">
        <f t="shared" si="201"/>
        <v>531901827856</v>
      </c>
      <c r="G2143" s="2">
        <f t="shared" si="202"/>
        <v>4436.3591999999999</v>
      </c>
      <c r="H2143" s="2">
        <f t="shared" si="203"/>
        <v>3788650.7568000001</v>
      </c>
    </row>
    <row r="2144" spans="1:8" x14ac:dyDescent="0.35">
      <c r="A2144" s="2">
        <v>854</v>
      </c>
      <c r="B2144" s="2">
        <v>52273</v>
      </c>
      <c r="C2144" s="2">
        <f t="shared" si="198"/>
        <v>5.2272999999999996</v>
      </c>
      <c r="D2144" s="2">
        <f t="shared" si="199"/>
        <v>729316</v>
      </c>
      <c r="E2144" s="2">
        <f t="shared" si="200"/>
        <v>622835864</v>
      </c>
      <c r="F2144" s="2">
        <f t="shared" si="201"/>
        <v>531901827856</v>
      </c>
      <c r="G2144" s="2">
        <f t="shared" si="202"/>
        <v>4464.1142</v>
      </c>
      <c r="H2144" s="2">
        <f t="shared" si="203"/>
        <v>3812353.5267999996</v>
      </c>
    </row>
    <row r="2145" spans="1:8" x14ac:dyDescent="0.35">
      <c r="A2145" s="2">
        <v>854</v>
      </c>
      <c r="B2145" s="2">
        <v>54776</v>
      </c>
      <c r="C2145" s="2">
        <f t="shared" si="198"/>
        <v>5.4775999999999998</v>
      </c>
      <c r="D2145" s="2">
        <f t="shared" si="199"/>
        <v>729316</v>
      </c>
      <c r="E2145" s="2">
        <f t="shared" si="200"/>
        <v>622835864</v>
      </c>
      <c r="F2145" s="2">
        <f t="shared" si="201"/>
        <v>531901827856</v>
      </c>
      <c r="G2145" s="2">
        <f t="shared" si="202"/>
        <v>4677.8703999999998</v>
      </c>
      <c r="H2145" s="2">
        <f t="shared" si="203"/>
        <v>3994901.3215999999</v>
      </c>
    </row>
    <row r="2146" spans="1:8" x14ac:dyDescent="0.35">
      <c r="A2146" s="2">
        <v>854</v>
      </c>
      <c r="B2146" s="2">
        <v>57329</v>
      </c>
      <c r="C2146" s="2">
        <f t="shared" si="198"/>
        <v>5.7328999999999999</v>
      </c>
      <c r="D2146" s="2">
        <f t="shared" si="199"/>
        <v>729316</v>
      </c>
      <c r="E2146" s="2">
        <f t="shared" si="200"/>
        <v>622835864</v>
      </c>
      <c r="F2146" s="2">
        <f t="shared" si="201"/>
        <v>531901827856</v>
      </c>
      <c r="G2146" s="2">
        <f t="shared" si="202"/>
        <v>4895.8966</v>
      </c>
      <c r="H2146" s="2">
        <f t="shared" si="203"/>
        <v>4181095.6963999998</v>
      </c>
    </row>
    <row r="2147" spans="1:8" x14ac:dyDescent="0.35">
      <c r="A2147" s="2">
        <v>854</v>
      </c>
      <c r="B2147" s="2">
        <v>60906</v>
      </c>
      <c r="C2147" s="2">
        <f t="shared" si="198"/>
        <v>6.0906000000000002</v>
      </c>
      <c r="D2147" s="2">
        <f t="shared" si="199"/>
        <v>729316</v>
      </c>
      <c r="E2147" s="2">
        <f t="shared" si="200"/>
        <v>622835864</v>
      </c>
      <c r="F2147" s="2">
        <f t="shared" si="201"/>
        <v>531901827856</v>
      </c>
      <c r="G2147" s="2">
        <f t="shared" si="202"/>
        <v>5201.3724000000002</v>
      </c>
      <c r="H2147" s="2">
        <f t="shared" si="203"/>
        <v>4441972.0296</v>
      </c>
    </row>
    <row r="2148" spans="1:8" x14ac:dyDescent="0.35">
      <c r="A2148" s="2">
        <v>854</v>
      </c>
      <c r="B2148" s="2">
        <v>57529</v>
      </c>
      <c r="C2148" s="2">
        <f t="shared" si="198"/>
        <v>5.7529000000000003</v>
      </c>
      <c r="D2148" s="2">
        <f t="shared" si="199"/>
        <v>729316</v>
      </c>
      <c r="E2148" s="2">
        <f t="shared" si="200"/>
        <v>622835864</v>
      </c>
      <c r="F2148" s="2">
        <f t="shared" si="201"/>
        <v>531901827856</v>
      </c>
      <c r="G2148" s="2">
        <f t="shared" si="202"/>
        <v>4912.9766</v>
      </c>
      <c r="H2148" s="2">
        <f t="shared" si="203"/>
        <v>4195682.0164000001</v>
      </c>
    </row>
    <row r="2149" spans="1:8" x14ac:dyDescent="0.35">
      <c r="A2149" s="2">
        <v>854</v>
      </c>
      <c r="B2149" s="2">
        <v>59872</v>
      </c>
      <c r="C2149" s="2">
        <f t="shared" si="198"/>
        <v>5.9871999999999996</v>
      </c>
      <c r="D2149" s="2">
        <f t="shared" si="199"/>
        <v>729316</v>
      </c>
      <c r="E2149" s="2">
        <f t="shared" si="200"/>
        <v>622835864</v>
      </c>
      <c r="F2149" s="2">
        <f t="shared" si="201"/>
        <v>531901827856</v>
      </c>
      <c r="G2149" s="2">
        <f t="shared" si="202"/>
        <v>5113.0688</v>
      </c>
      <c r="H2149" s="2">
        <f t="shared" si="203"/>
        <v>4366560.7551999995</v>
      </c>
    </row>
    <row r="2150" spans="1:8" x14ac:dyDescent="0.35">
      <c r="A2150" s="2">
        <v>854</v>
      </c>
      <c r="B2150" s="2">
        <v>59924</v>
      </c>
      <c r="C2150" s="2">
        <f t="shared" si="198"/>
        <v>5.9923999999999999</v>
      </c>
      <c r="D2150" s="2">
        <f t="shared" si="199"/>
        <v>729316</v>
      </c>
      <c r="E2150" s="2">
        <f t="shared" si="200"/>
        <v>622835864</v>
      </c>
      <c r="F2150" s="2">
        <f t="shared" si="201"/>
        <v>531901827856</v>
      </c>
      <c r="G2150" s="2">
        <f t="shared" si="202"/>
        <v>5117.5096000000003</v>
      </c>
      <c r="H2150" s="2">
        <f t="shared" si="203"/>
        <v>4370353.1984000001</v>
      </c>
    </row>
    <row r="2151" spans="1:8" x14ac:dyDescent="0.35">
      <c r="A2151" s="2">
        <v>854</v>
      </c>
      <c r="B2151" s="2">
        <v>59772</v>
      </c>
      <c r="C2151" s="2">
        <f t="shared" si="198"/>
        <v>5.9771999999999998</v>
      </c>
      <c r="D2151" s="2">
        <f t="shared" si="199"/>
        <v>729316</v>
      </c>
      <c r="E2151" s="2">
        <f t="shared" si="200"/>
        <v>622835864</v>
      </c>
      <c r="F2151" s="2">
        <f t="shared" si="201"/>
        <v>531901827856</v>
      </c>
      <c r="G2151" s="2">
        <f t="shared" si="202"/>
        <v>5104.5288</v>
      </c>
      <c r="H2151" s="2">
        <f t="shared" si="203"/>
        <v>4359267.5952000003</v>
      </c>
    </row>
    <row r="2152" spans="1:8" x14ac:dyDescent="0.35">
      <c r="A2152" s="2">
        <v>854</v>
      </c>
      <c r="B2152" s="2">
        <v>58523</v>
      </c>
      <c r="C2152" s="2">
        <f t="shared" si="198"/>
        <v>5.8522999999999996</v>
      </c>
      <c r="D2152" s="2">
        <f t="shared" si="199"/>
        <v>729316</v>
      </c>
      <c r="E2152" s="2">
        <f t="shared" si="200"/>
        <v>622835864</v>
      </c>
      <c r="F2152" s="2">
        <f t="shared" si="201"/>
        <v>531901827856</v>
      </c>
      <c r="G2152" s="2">
        <f t="shared" si="202"/>
        <v>4997.8642</v>
      </c>
      <c r="H2152" s="2">
        <f t="shared" si="203"/>
        <v>4268176.0268000001</v>
      </c>
    </row>
    <row r="2153" spans="1:8" x14ac:dyDescent="0.35">
      <c r="A2153" s="2">
        <v>854</v>
      </c>
      <c r="B2153" s="2">
        <v>57862</v>
      </c>
      <c r="C2153" s="2">
        <f t="shared" si="198"/>
        <v>5.7862</v>
      </c>
      <c r="D2153" s="2">
        <f t="shared" si="199"/>
        <v>729316</v>
      </c>
      <c r="E2153" s="2">
        <f t="shared" si="200"/>
        <v>622835864</v>
      </c>
      <c r="F2153" s="2">
        <f t="shared" si="201"/>
        <v>531901827856</v>
      </c>
      <c r="G2153" s="2">
        <f t="shared" si="202"/>
        <v>4941.4147999999996</v>
      </c>
      <c r="H2153" s="2">
        <f t="shared" si="203"/>
        <v>4219968.2391999997</v>
      </c>
    </row>
    <row r="2154" spans="1:8" x14ac:dyDescent="0.35">
      <c r="A2154" s="2">
        <v>854</v>
      </c>
      <c r="B2154" s="2">
        <v>58527</v>
      </c>
      <c r="C2154" s="2">
        <f t="shared" si="198"/>
        <v>5.8526999999999996</v>
      </c>
      <c r="D2154" s="2">
        <f t="shared" si="199"/>
        <v>729316</v>
      </c>
      <c r="E2154" s="2">
        <f t="shared" si="200"/>
        <v>622835864</v>
      </c>
      <c r="F2154" s="2">
        <f t="shared" si="201"/>
        <v>531901827856</v>
      </c>
      <c r="G2154" s="2">
        <f t="shared" si="202"/>
        <v>4998.2057999999997</v>
      </c>
      <c r="H2154" s="2">
        <f t="shared" si="203"/>
        <v>4268467.7531999992</v>
      </c>
    </row>
    <row r="2155" spans="1:8" x14ac:dyDescent="0.35">
      <c r="A2155" s="2">
        <v>854</v>
      </c>
      <c r="B2155" s="2">
        <v>55044</v>
      </c>
      <c r="C2155" s="2">
        <f t="shared" si="198"/>
        <v>5.5044000000000004</v>
      </c>
      <c r="D2155" s="2">
        <f t="shared" si="199"/>
        <v>729316</v>
      </c>
      <c r="E2155" s="2">
        <f t="shared" si="200"/>
        <v>622835864</v>
      </c>
      <c r="F2155" s="2">
        <f t="shared" si="201"/>
        <v>531901827856</v>
      </c>
      <c r="G2155" s="2">
        <f t="shared" si="202"/>
        <v>4700.7575999999999</v>
      </c>
      <c r="H2155" s="2">
        <f t="shared" si="203"/>
        <v>4014446.9904000005</v>
      </c>
    </row>
    <row r="2156" spans="1:8" x14ac:dyDescent="0.35">
      <c r="A2156" s="2">
        <v>854</v>
      </c>
      <c r="B2156" s="2">
        <v>58551</v>
      </c>
      <c r="C2156" s="2">
        <f t="shared" si="198"/>
        <v>5.8551000000000002</v>
      </c>
      <c r="D2156" s="2">
        <f t="shared" si="199"/>
        <v>729316</v>
      </c>
      <c r="E2156" s="2">
        <f t="shared" si="200"/>
        <v>622835864</v>
      </c>
      <c r="F2156" s="2">
        <f t="shared" si="201"/>
        <v>531901827856</v>
      </c>
      <c r="G2156" s="2">
        <f t="shared" si="202"/>
        <v>5000.2554</v>
      </c>
      <c r="H2156" s="2">
        <f t="shared" si="203"/>
        <v>4270218.1116000004</v>
      </c>
    </row>
    <row r="2157" spans="1:8" x14ac:dyDescent="0.35">
      <c r="A2157" s="2">
        <v>854</v>
      </c>
      <c r="B2157" s="2">
        <v>58062</v>
      </c>
      <c r="C2157" s="2">
        <f t="shared" si="198"/>
        <v>5.8061999999999996</v>
      </c>
      <c r="D2157" s="2">
        <f t="shared" si="199"/>
        <v>729316</v>
      </c>
      <c r="E2157" s="2">
        <f t="shared" si="200"/>
        <v>622835864</v>
      </c>
      <c r="F2157" s="2">
        <f t="shared" si="201"/>
        <v>531901827856</v>
      </c>
      <c r="G2157" s="2">
        <f t="shared" si="202"/>
        <v>4958.4947999999995</v>
      </c>
      <c r="H2157" s="2">
        <f t="shared" si="203"/>
        <v>4234554.5592</v>
      </c>
    </row>
    <row r="2158" spans="1:8" x14ac:dyDescent="0.35">
      <c r="A2158" s="2">
        <v>854</v>
      </c>
      <c r="B2158" s="2">
        <v>57219</v>
      </c>
      <c r="C2158" s="2">
        <f t="shared" si="198"/>
        <v>5.7218999999999998</v>
      </c>
      <c r="D2158" s="2">
        <f t="shared" si="199"/>
        <v>729316</v>
      </c>
      <c r="E2158" s="2">
        <f t="shared" si="200"/>
        <v>622835864</v>
      </c>
      <c r="F2158" s="2">
        <f t="shared" si="201"/>
        <v>531901827856</v>
      </c>
      <c r="G2158" s="2">
        <f t="shared" si="202"/>
        <v>4886.5025999999998</v>
      </c>
      <c r="H2158" s="2">
        <f t="shared" si="203"/>
        <v>4173073.2204</v>
      </c>
    </row>
    <row r="2159" spans="1:8" x14ac:dyDescent="0.35">
      <c r="A2159" s="2">
        <v>854</v>
      </c>
      <c r="B2159" s="2">
        <v>56818</v>
      </c>
      <c r="C2159" s="2">
        <f t="shared" si="198"/>
        <v>5.6818</v>
      </c>
      <c r="D2159" s="2">
        <f t="shared" si="199"/>
        <v>729316</v>
      </c>
      <c r="E2159" s="2">
        <f t="shared" si="200"/>
        <v>622835864</v>
      </c>
      <c r="F2159" s="2">
        <f t="shared" si="201"/>
        <v>531901827856</v>
      </c>
      <c r="G2159" s="2">
        <f t="shared" si="202"/>
        <v>4852.2572</v>
      </c>
      <c r="H2159" s="2">
        <f t="shared" si="203"/>
        <v>4143827.6488000001</v>
      </c>
    </row>
    <row r="2160" spans="1:8" x14ac:dyDescent="0.35">
      <c r="A2160" s="2">
        <v>854</v>
      </c>
      <c r="B2160" s="2">
        <v>58453</v>
      </c>
      <c r="C2160" s="2">
        <f t="shared" si="198"/>
        <v>5.8452999999999999</v>
      </c>
      <c r="D2160" s="2">
        <f t="shared" si="199"/>
        <v>729316</v>
      </c>
      <c r="E2160" s="2">
        <f t="shared" si="200"/>
        <v>622835864</v>
      </c>
      <c r="F2160" s="2">
        <f t="shared" si="201"/>
        <v>531901827856</v>
      </c>
      <c r="G2160" s="2">
        <f t="shared" si="202"/>
        <v>4991.8861999999999</v>
      </c>
      <c r="H2160" s="2">
        <f t="shared" si="203"/>
        <v>4263070.8147999998</v>
      </c>
    </row>
    <row r="2161" spans="1:8" x14ac:dyDescent="0.35">
      <c r="A2161" s="2">
        <v>854</v>
      </c>
      <c r="B2161" s="2">
        <v>58855</v>
      </c>
      <c r="C2161" s="2">
        <f t="shared" si="198"/>
        <v>5.8855000000000004</v>
      </c>
      <c r="D2161" s="2">
        <f t="shared" si="199"/>
        <v>729316</v>
      </c>
      <c r="E2161" s="2">
        <f t="shared" si="200"/>
        <v>622835864</v>
      </c>
      <c r="F2161" s="2">
        <f t="shared" si="201"/>
        <v>531901827856</v>
      </c>
      <c r="G2161" s="2">
        <f t="shared" si="202"/>
        <v>5026.2170000000006</v>
      </c>
      <c r="H2161" s="2">
        <f t="shared" si="203"/>
        <v>4292389.318</v>
      </c>
    </row>
    <row r="2162" spans="1:8" x14ac:dyDescent="0.35">
      <c r="A2162" s="2">
        <v>854</v>
      </c>
      <c r="B2162" s="2">
        <v>59995</v>
      </c>
      <c r="C2162" s="2">
        <f t="shared" si="198"/>
        <v>5.9995000000000003</v>
      </c>
      <c r="D2162" s="2">
        <f t="shared" si="199"/>
        <v>729316</v>
      </c>
      <c r="E2162" s="2">
        <f t="shared" si="200"/>
        <v>622835864</v>
      </c>
      <c r="F2162" s="2">
        <f t="shared" si="201"/>
        <v>531901827856</v>
      </c>
      <c r="G2162" s="2">
        <f t="shared" si="202"/>
        <v>5123.5730000000003</v>
      </c>
      <c r="H2162" s="2">
        <f t="shared" si="203"/>
        <v>4375531.3420000002</v>
      </c>
    </row>
    <row r="2163" spans="1:8" x14ac:dyDescent="0.35">
      <c r="A2163" s="2">
        <v>854</v>
      </c>
      <c r="B2163" s="2">
        <v>59699</v>
      </c>
      <c r="C2163" s="2">
        <f t="shared" si="198"/>
        <v>5.9699</v>
      </c>
      <c r="D2163" s="2">
        <f t="shared" si="199"/>
        <v>729316</v>
      </c>
      <c r="E2163" s="2">
        <f t="shared" si="200"/>
        <v>622835864</v>
      </c>
      <c r="F2163" s="2">
        <f t="shared" si="201"/>
        <v>531901827856</v>
      </c>
      <c r="G2163" s="2">
        <f t="shared" si="202"/>
        <v>5098.2946000000002</v>
      </c>
      <c r="H2163" s="2">
        <f t="shared" si="203"/>
        <v>4353943.5883999998</v>
      </c>
    </row>
    <row r="2164" spans="1:8" x14ac:dyDescent="0.35">
      <c r="A2164" s="2">
        <v>854</v>
      </c>
      <c r="B2164" s="2">
        <v>58191</v>
      </c>
      <c r="C2164" s="2">
        <f t="shared" si="198"/>
        <v>5.8190999999999997</v>
      </c>
      <c r="D2164" s="2">
        <f t="shared" si="199"/>
        <v>729316</v>
      </c>
      <c r="E2164" s="2">
        <f t="shared" si="200"/>
        <v>622835864</v>
      </c>
      <c r="F2164" s="2">
        <f t="shared" si="201"/>
        <v>531901827856</v>
      </c>
      <c r="G2164" s="2">
        <f t="shared" si="202"/>
        <v>4969.5113999999994</v>
      </c>
      <c r="H2164" s="2">
        <f t="shared" si="203"/>
        <v>4243962.7356000002</v>
      </c>
    </row>
    <row r="2165" spans="1:8" x14ac:dyDescent="0.35">
      <c r="A2165" s="2">
        <v>854</v>
      </c>
      <c r="B2165" s="2">
        <v>63454</v>
      </c>
      <c r="C2165" s="2">
        <f t="shared" si="198"/>
        <v>6.3453999999999997</v>
      </c>
      <c r="D2165" s="2">
        <f t="shared" si="199"/>
        <v>729316</v>
      </c>
      <c r="E2165" s="2">
        <f t="shared" si="200"/>
        <v>622835864</v>
      </c>
      <c r="F2165" s="2">
        <f t="shared" si="201"/>
        <v>531901827856</v>
      </c>
      <c r="G2165" s="2">
        <f t="shared" si="202"/>
        <v>5418.9715999999999</v>
      </c>
      <c r="H2165" s="2">
        <f t="shared" si="203"/>
        <v>4627801.7463999996</v>
      </c>
    </row>
    <row r="2166" spans="1:8" x14ac:dyDescent="0.35">
      <c r="A2166" s="2">
        <v>854</v>
      </c>
      <c r="B2166" s="2">
        <v>58077</v>
      </c>
      <c r="C2166" s="2">
        <f t="shared" si="198"/>
        <v>5.8076999999999996</v>
      </c>
      <c r="D2166" s="2">
        <f t="shared" si="199"/>
        <v>729316</v>
      </c>
      <c r="E2166" s="2">
        <f t="shared" si="200"/>
        <v>622835864</v>
      </c>
      <c r="F2166" s="2">
        <f t="shared" si="201"/>
        <v>531901827856</v>
      </c>
      <c r="G2166" s="2">
        <f t="shared" si="202"/>
        <v>4959.7757999999994</v>
      </c>
      <c r="H2166" s="2">
        <f t="shared" si="203"/>
        <v>4235648.5331999995</v>
      </c>
    </row>
    <row r="2167" spans="1:8" x14ac:dyDescent="0.35">
      <c r="A2167" s="2">
        <v>2054</v>
      </c>
      <c r="B2167" s="2">
        <v>30212</v>
      </c>
      <c r="C2167" s="2">
        <f t="shared" si="198"/>
        <v>3.0211999999999999</v>
      </c>
      <c r="D2167" s="2">
        <f t="shared" si="199"/>
        <v>4218916</v>
      </c>
      <c r="E2167" s="2">
        <f t="shared" si="200"/>
        <v>8665653464</v>
      </c>
      <c r="F2167" s="2">
        <f t="shared" si="201"/>
        <v>17799252215056</v>
      </c>
      <c r="G2167" s="2">
        <f t="shared" si="202"/>
        <v>6205.5447999999997</v>
      </c>
      <c r="H2167" s="2">
        <f t="shared" si="203"/>
        <v>12746189.019199999</v>
      </c>
    </row>
    <row r="2168" spans="1:8" x14ac:dyDescent="0.35">
      <c r="A2168" s="2">
        <v>2054</v>
      </c>
      <c r="B2168" s="2">
        <v>32582</v>
      </c>
      <c r="C2168" s="2">
        <f t="shared" si="198"/>
        <v>3.2582</v>
      </c>
      <c r="D2168" s="2">
        <f t="shared" si="199"/>
        <v>4218916</v>
      </c>
      <c r="E2168" s="2">
        <f t="shared" si="200"/>
        <v>8665653464</v>
      </c>
      <c r="F2168" s="2">
        <f t="shared" si="201"/>
        <v>17799252215056</v>
      </c>
      <c r="G2168" s="2">
        <f t="shared" si="202"/>
        <v>6692.3428000000004</v>
      </c>
      <c r="H2168" s="2">
        <f t="shared" si="203"/>
        <v>13746072.111199999</v>
      </c>
    </row>
    <row r="2169" spans="1:8" x14ac:dyDescent="0.35">
      <c r="A2169" s="2">
        <v>2054</v>
      </c>
      <c r="B2169" s="2">
        <v>30262</v>
      </c>
      <c r="C2169" s="2">
        <f t="shared" si="198"/>
        <v>3.0261999999999998</v>
      </c>
      <c r="D2169" s="2">
        <f t="shared" si="199"/>
        <v>4218916</v>
      </c>
      <c r="E2169" s="2">
        <f t="shared" si="200"/>
        <v>8665653464</v>
      </c>
      <c r="F2169" s="2">
        <f t="shared" si="201"/>
        <v>17799252215056</v>
      </c>
      <c r="G2169" s="2">
        <f t="shared" si="202"/>
        <v>6215.8147999999992</v>
      </c>
      <c r="H2169" s="2">
        <f t="shared" si="203"/>
        <v>12767283.599199999</v>
      </c>
    </row>
    <row r="2170" spans="1:8" x14ac:dyDescent="0.35">
      <c r="A2170" s="2">
        <v>2054</v>
      </c>
      <c r="B2170" s="2">
        <v>32000</v>
      </c>
      <c r="C2170" s="2">
        <f t="shared" si="198"/>
        <v>3.2</v>
      </c>
      <c r="D2170" s="2">
        <f t="shared" si="199"/>
        <v>4218916</v>
      </c>
      <c r="E2170" s="2">
        <f t="shared" si="200"/>
        <v>8665653464</v>
      </c>
      <c r="F2170" s="2">
        <f t="shared" si="201"/>
        <v>17799252215056</v>
      </c>
      <c r="G2170" s="2">
        <f t="shared" si="202"/>
        <v>6572.8</v>
      </c>
      <c r="H2170" s="2">
        <f t="shared" si="203"/>
        <v>13500531.200000001</v>
      </c>
    </row>
    <row r="2171" spans="1:8" x14ac:dyDescent="0.35">
      <c r="A2171" s="2">
        <v>2054</v>
      </c>
      <c r="B2171" s="2">
        <v>14266</v>
      </c>
      <c r="C2171" s="2">
        <f t="shared" si="198"/>
        <v>1.4266000000000001</v>
      </c>
      <c r="D2171" s="2">
        <f t="shared" si="199"/>
        <v>4218916</v>
      </c>
      <c r="E2171" s="2">
        <f t="shared" si="200"/>
        <v>8665653464</v>
      </c>
      <c r="F2171" s="2">
        <f t="shared" si="201"/>
        <v>17799252215056</v>
      </c>
      <c r="G2171" s="2">
        <f t="shared" si="202"/>
        <v>2930.2364000000002</v>
      </c>
      <c r="H2171" s="2">
        <f t="shared" si="203"/>
        <v>6018705.5656000003</v>
      </c>
    </row>
    <row r="2172" spans="1:8" x14ac:dyDescent="0.35">
      <c r="A2172" s="2">
        <v>2054</v>
      </c>
      <c r="B2172" s="2">
        <v>14325</v>
      </c>
      <c r="C2172" s="2">
        <f t="shared" si="198"/>
        <v>1.4325000000000001</v>
      </c>
      <c r="D2172" s="2">
        <f t="shared" si="199"/>
        <v>4218916</v>
      </c>
      <c r="E2172" s="2">
        <f t="shared" si="200"/>
        <v>8665653464</v>
      </c>
      <c r="F2172" s="2">
        <f t="shared" si="201"/>
        <v>17799252215056</v>
      </c>
      <c r="G2172" s="2">
        <f t="shared" si="202"/>
        <v>2942.355</v>
      </c>
      <c r="H2172" s="2">
        <f t="shared" si="203"/>
        <v>6043597.1700000009</v>
      </c>
    </row>
    <row r="2173" spans="1:8" x14ac:dyDescent="0.35">
      <c r="A2173" s="2">
        <v>2054</v>
      </c>
      <c r="B2173" s="2">
        <v>14384</v>
      </c>
      <c r="C2173" s="2">
        <f t="shared" si="198"/>
        <v>1.4383999999999999</v>
      </c>
      <c r="D2173" s="2">
        <f t="shared" si="199"/>
        <v>4218916</v>
      </c>
      <c r="E2173" s="2">
        <f t="shared" si="200"/>
        <v>8665653464</v>
      </c>
      <c r="F2173" s="2">
        <f t="shared" si="201"/>
        <v>17799252215056</v>
      </c>
      <c r="G2173" s="2">
        <f t="shared" si="202"/>
        <v>2954.4735999999998</v>
      </c>
      <c r="H2173" s="2">
        <f t="shared" si="203"/>
        <v>6068488.7743999995</v>
      </c>
    </row>
    <row r="2174" spans="1:8" x14ac:dyDescent="0.35">
      <c r="A2174" s="2">
        <v>2054</v>
      </c>
      <c r="B2174" s="2">
        <v>14444</v>
      </c>
      <c r="C2174" s="2">
        <f t="shared" si="198"/>
        <v>1.4443999999999999</v>
      </c>
      <c r="D2174" s="2">
        <f t="shared" si="199"/>
        <v>4218916</v>
      </c>
      <c r="E2174" s="2">
        <f t="shared" si="200"/>
        <v>8665653464</v>
      </c>
      <c r="F2174" s="2">
        <f t="shared" si="201"/>
        <v>17799252215056</v>
      </c>
      <c r="G2174" s="2">
        <f t="shared" si="202"/>
        <v>2966.7975999999999</v>
      </c>
      <c r="H2174" s="2">
        <f t="shared" si="203"/>
        <v>6093802.2703999998</v>
      </c>
    </row>
    <row r="2175" spans="1:8" x14ac:dyDescent="0.35">
      <c r="A2175" s="2">
        <v>2054</v>
      </c>
      <c r="B2175" s="2">
        <v>14503</v>
      </c>
      <c r="C2175" s="2">
        <f t="shared" si="198"/>
        <v>1.4502999999999999</v>
      </c>
      <c r="D2175" s="2">
        <f t="shared" si="199"/>
        <v>4218916</v>
      </c>
      <c r="E2175" s="2">
        <f t="shared" si="200"/>
        <v>8665653464</v>
      </c>
      <c r="F2175" s="2">
        <f t="shared" si="201"/>
        <v>17799252215056</v>
      </c>
      <c r="G2175" s="2">
        <f t="shared" si="202"/>
        <v>2978.9161999999997</v>
      </c>
      <c r="H2175" s="2">
        <f t="shared" si="203"/>
        <v>6118693.8747999994</v>
      </c>
    </row>
    <row r="2176" spans="1:8" x14ac:dyDescent="0.35">
      <c r="A2176" s="2">
        <v>2054</v>
      </c>
      <c r="B2176" s="2">
        <v>14760</v>
      </c>
      <c r="C2176" s="2">
        <f t="shared" si="198"/>
        <v>1.476</v>
      </c>
      <c r="D2176" s="2">
        <f t="shared" si="199"/>
        <v>4218916</v>
      </c>
      <c r="E2176" s="2">
        <f t="shared" si="200"/>
        <v>8665653464</v>
      </c>
      <c r="F2176" s="2">
        <f t="shared" si="201"/>
        <v>17799252215056</v>
      </c>
      <c r="G2176" s="2">
        <f t="shared" si="202"/>
        <v>3031.7040000000002</v>
      </c>
      <c r="H2176" s="2">
        <f t="shared" si="203"/>
        <v>6227120.0159999998</v>
      </c>
    </row>
    <row r="2177" spans="1:8" x14ac:dyDescent="0.35">
      <c r="A2177" s="2">
        <v>2054</v>
      </c>
      <c r="B2177" s="2">
        <v>15547</v>
      </c>
      <c r="C2177" s="2">
        <f t="shared" si="198"/>
        <v>1.5547</v>
      </c>
      <c r="D2177" s="2">
        <f t="shared" si="199"/>
        <v>4218916</v>
      </c>
      <c r="E2177" s="2">
        <f t="shared" si="200"/>
        <v>8665653464</v>
      </c>
      <c r="F2177" s="2">
        <f t="shared" si="201"/>
        <v>17799252215056</v>
      </c>
      <c r="G2177" s="2">
        <f t="shared" si="202"/>
        <v>3193.3537999999999</v>
      </c>
      <c r="H2177" s="2">
        <f t="shared" si="203"/>
        <v>6559148.7051999997</v>
      </c>
    </row>
    <row r="2178" spans="1:8" x14ac:dyDescent="0.35">
      <c r="A2178" s="2">
        <v>2054</v>
      </c>
      <c r="B2178" s="2">
        <v>15744</v>
      </c>
      <c r="C2178" s="2">
        <f t="shared" si="198"/>
        <v>1.5744</v>
      </c>
      <c r="D2178" s="2">
        <f t="shared" si="199"/>
        <v>4218916</v>
      </c>
      <c r="E2178" s="2">
        <f t="shared" si="200"/>
        <v>8665653464</v>
      </c>
      <c r="F2178" s="2">
        <f t="shared" si="201"/>
        <v>17799252215056</v>
      </c>
      <c r="G2178" s="2">
        <f t="shared" si="202"/>
        <v>3233.8175999999999</v>
      </c>
      <c r="H2178" s="2">
        <f t="shared" si="203"/>
        <v>6642261.3503999999</v>
      </c>
    </row>
    <row r="2179" spans="1:8" x14ac:dyDescent="0.35">
      <c r="A2179" s="2">
        <v>2054</v>
      </c>
      <c r="B2179" s="2">
        <v>15941</v>
      </c>
      <c r="C2179" s="2">
        <f t="shared" ref="C2179:C2242" si="204">B2179/10000</f>
        <v>1.5941000000000001</v>
      </c>
      <c r="D2179" s="2">
        <f t="shared" ref="D2179:D2242" si="205">A2179^2</f>
        <v>4218916</v>
      </c>
      <c r="E2179" s="2">
        <f t="shared" ref="E2179:E2242" si="206">A2179^3</f>
        <v>8665653464</v>
      </c>
      <c r="F2179" s="2">
        <f t="shared" ref="F2179:F2242" si="207">A2179^4</f>
        <v>17799252215056</v>
      </c>
      <c r="G2179" s="2">
        <f t="shared" ref="G2179:G2242" si="208">A2179*C2179</f>
        <v>3274.2814000000003</v>
      </c>
      <c r="H2179" s="2">
        <f t="shared" ref="H2179:H2242" si="209">D2179*C2179</f>
        <v>6725373.9956</v>
      </c>
    </row>
    <row r="2180" spans="1:8" x14ac:dyDescent="0.35">
      <c r="A2180" s="2">
        <v>2054</v>
      </c>
      <c r="B2180" s="2">
        <v>16138</v>
      </c>
      <c r="C2180" s="2">
        <f t="shared" si="204"/>
        <v>1.6137999999999999</v>
      </c>
      <c r="D2180" s="2">
        <f t="shared" si="205"/>
        <v>4218916</v>
      </c>
      <c r="E2180" s="2">
        <f t="shared" si="206"/>
        <v>8665653464</v>
      </c>
      <c r="F2180" s="2">
        <f t="shared" si="207"/>
        <v>17799252215056</v>
      </c>
      <c r="G2180" s="2">
        <f t="shared" si="208"/>
        <v>3314.7451999999998</v>
      </c>
      <c r="H2180" s="2">
        <f t="shared" si="209"/>
        <v>6808486.6407999992</v>
      </c>
    </row>
    <row r="2181" spans="1:8" x14ac:dyDescent="0.35">
      <c r="A2181" s="2">
        <v>2054</v>
      </c>
      <c r="B2181" s="2">
        <v>13977</v>
      </c>
      <c r="C2181" s="2">
        <f t="shared" si="204"/>
        <v>1.3976999999999999</v>
      </c>
      <c r="D2181" s="2">
        <f t="shared" si="205"/>
        <v>4218916</v>
      </c>
      <c r="E2181" s="2">
        <f t="shared" si="206"/>
        <v>8665653464</v>
      </c>
      <c r="F2181" s="2">
        <f t="shared" si="207"/>
        <v>17799252215056</v>
      </c>
      <c r="G2181" s="2">
        <f t="shared" si="208"/>
        <v>2870.8757999999998</v>
      </c>
      <c r="H2181" s="2">
        <f t="shared" si="209"/>
        <v>5896778.8931999998</v>
      </c>
    </row>
    <row r="2182" spans="1:8" x14ac:dyDescent="0.35">
      <c r="A2182" s="2">
        <v>2054</v>
      </c>
      <c r="B2182" s="2">
        <v>13536</v>
      </c>
      <c r="C2182" s="2">
        <f t="shared" si="204"/>
        <v>1.3535999999999999</v>
      </c>
      <c r="D2182" s="2">
        <f t="shared" si="205"/>
        <v>4218916</v>
      </c>
      <c r="E2182" s="2">
        <f t="shared" si="206"/>
        <v>8665653464</v>
      </c>
      <c r="F2182" s="2">
        <f t="shared" si="207"/>
        <v>17799252215056</v>
      </c>
      <c r="G2182" s="2">
        <f t="shared" si="208"/>
        <v>2780.2943999999998</v>
      </c>
      <c r="H2182" s="2">
        <f t="shared" si="209"/>
        <v>5710724.6975999996</v>
      </c>
    </row>
    <row r="2183" spans="1:8" x14ac:dyDescent="0.35">
      <c r="A2183" s="2">
        <v>2054</v>
      </c>
      <c r="B2183" s="2">
        <v>19729</v>
      </c>
      <c r="C2183" s="2">
        <f t="shared" si="204"/>
        <v>1.9729000000000001</v>
      </c>
      <c r="D2183" s="2">
        <f t="shared" si="205"/>
        <v>4218916</v>
      </c>
      <c r="E2183" s="2">
        <f t="shared" si="206"/>
        <v>8665653464</v>
      </c>
      <c r="F2183" s="2">
        <f t="shared" si="207"/>
        <v>17799252215056</v>
      </c>
      <c r="G2183" s="2">
        <f t="shared" si="208"/>
        <v>4052.3366000000001</v>
      </c>
      <c r="H2183" s="2">
        <f t="shared" si="209"/>
        <v>8323499.3764000004</v>
      </c>
    </row>
    <row r="2184" spans="1:8" x14ac:dyDescent="0.35">
      <c r="A2184" s="2">
        <v>2054</v>
      </c>
      <c r="B2184" s="2">
        <v>30004</v>
      </c>
      <c r="C2184" s="2">
        <f t="shared" si="204"/>
        <v>3.0004</v>
      </c>
      <c r="D2184" s="2">
        <f t="shared" si="205"/>
        <v>4218916</v>
      </c>
      <c r="E2184" s="2">
        <f t="shared" si="206"/>
        <v>8665653464</v>
      </c>
      <c r="F2184" s="2">
        <f t="shared" si="207"/>
        <v>17799252215056</v>
      </c>
      <c r="G2184" s="2">
        <f t="shared" si="208"/>
        <v>6162.8216000000002</v>
      </c>
      <c r="H2184" s="2">
        <f t="shared" si="209"/>
        <v>12658435.566399999</v>
      </c>
    </row>
    <row r="2185" spans="1:8" x14ac:dyDescent="0.35">
      <c r="A2185" s="2">
        <v>2054</v>
      </c>
      <c r="B2185" s="2">
        <v>33724</v>
      </c>
      <c r="C2185" s="2">
        <f t="shared" si="204"/>
        <v>3.3723999999999998</v>
      </c>
      <c r="D2185" s="2">
        <f t="shared" si="205"/>
        <v>4218916</v>
      </c>
      <c r="E2185" s="2">
        <f t="shared" si="206"/>
        <v>8665653464</v>
      </c>
      <c r="F2185" s="2">
        <f t="shared" si="207"/>
        <v>17799252215056</v>
      </c>
      <c r="G2185" s="2">
        <f t="shared" si="208"/>
        <v>6926.9096</v>
      </c>
      <c r="H2185" s="2">
        <f t="shared" si="209"/>
        <v>14227872.318399999</v>
      </c>
    </row>
    <row r="2186" spans="1:8" x14ac:dyDescent="0.35">
      <c r="A2186" s="2">
        <v>637</v>
      </c>
      <c r="B2186" s="2">
        <v>36436</v>
      </c>
      <c r="C2186" s="2">
        <f t="shared" si="204"/>
        <v>3.6436000000000002</v>
      </c>
      <c r="D2186" s="2">
        <f t="shared" si="205"/>
        <v>405769</v>
      </c>
      <c r="E2186" s="2">
        <f t="shared" si="206"/>
        <v>258474853</v>
      </c>
      <c r="F2186" s="2">
        <f t="shared" si="207"/>
        <v>164648481361</v>
      </c>
      <c r="G2186" s="2">
        <f t="shared" si="208"/>
        <v>2320.9731999999999</v>
      </c>
      <c r="H2186" s="2">
        <f t="shared" si="209"/>
        <v>1478459.9284000001</v>
      </c>
    </row>
    <row r="2187" spans="1:8" x14ac:dyDescent="0.35">
      <c r="A2187" s="2">
        <v>637</v>
      </c>
      <c r="B2187" s="2">
        <v>35324</v>
      </c>
      <c r="C2187" s="2">
        <f t="shared" si="204"/>
        <v>3.5324</v>
      </c>
      <c r="D2187" s="2">
        <f t="shared" si="205"/>
        <v>405769</v>
      </c>
      <c r="E2187" s="2">
        <f t="shared" si="206"/>
        <v>258474853</v>
      </c>
      <c r="F2187" s="2">
        <f t="shared" si="207"/>
        <v>164648481361</v>
      </c>
      <c r="G2187" s="2">
        <f t="shared" si="208"/>
        <v>2250.1388000000002</v>
      </c>
      <c r="H2187" s="2">
        <f t="shared" si="209"/>
        <v>1433338.4155999999</v>
      </c>
    </row>
    <row r="2188" spans="1:8" x14ac:dyDescent="0.35">
      <c r="A2188" s="2">
        <v>637</v>
      </c>
      <c r="B2188" s="2">
        <v>25839</v>
      </c>
      <c r="C2188" s="2">
        <f t="shared" si="204"/>
        <v>2.5838999999999999</v>
      </c>
      <c r="D2188" s="2">
        <f t="shared" si="205"/>
        <v>405769</v>
      </c>
      <c r="E2188" s="2">
        <f t="shared" si="206"/>
        <v>258474853</v>
      </c>
      <c r="F2188" s="2">
        <f t="shared" si="207"/>
        <v>164648481361</v>
      </c>
      <c r="G2188" s="2">
        <f t="shared" si="208"/>
        <v>1645.9442999999999</v>
      </c>
      <c r="H2188" s="2">
        <f t="shared" si="209"/>
        <v>1048466.5190999999</v>
      </c>
    </row>
    <row r="2189" spans="1:8" x14ac:dyDescent="0.35">
      <c r="A2189" s="2">
        <v>637</v>
      </c>
      <c r="B2189" s="2">
        <v>14239</v>
      </c>
      <c r="C2189" s="2">
        <f t="shared" si="204"/>
        <v>1.4238999999999999</v>
      </c>
      <c r="D2189" s="2">
        <f t="shared" si="205"/>
        <v>405769</v>
      </c>
      <c r="E2189" s="2">
        <f t="shared" si="206"/>
        <v>258474853</v>
      </c>
      <c r="F2189" s="2">
        <f t="shared" si="207"/>
        <v>164648481361</v>
      </c>
      <c r="G2189" s="2">
        <f t="shared" si="208"/>
        <v>907.02429999999993</v>
      </c>
      <c r="H2189" s="2">
        <f t="shared" si="209"/>
        <v>577774.4791</v>
      </c>
    </row>
    <row r="2190" spans="1:8" x14ac:dyDescent="0.35">
      <c r="A2190" s="2">
        <v>637</v>
      </c>
      <c r="B2190" s="2">
        <v>16667</v>
      </c>
      <c r="C2190" s="2">
        <f t="shared" si="204"/>
        <v>1.6667000000000001</v>
      </c>
      <c r="D2190" s="2">
        <f t="shared" si="205"/>
        <v>405769</v>
      </c>
      <c r="E2190" s="2">
        <f t="shared" si="206"/>
        <v>258474853</v>
      </c>
      <c r="F2190" s="2">
        <f t="shared" si="207"/>
        <v>164648481361</v>
      </c>
      <c r="G2190" s="2">
        <f t="shared" si="208"/>
        <v>1061.6879000000001</v>
      </c>
      <c r="H2190" s="2">
        <f t="shared" si="209"/>
        <v>676295.1923</v>
      </c>
    </row>
    <row r="2191" spans="1:8" x14ac:dyDescent="0.35">
      <c r="A2191" s="2">
        <v>637</v>
      </c>
      <c r="B2191" s="2">
        <v>14560</v>
      </c>
      <c r="C2191" s="2">
        <f t="shared" si="204"/>
        <v>1.456</v>
      </c>
      <c r="D2191" s="2">
        <f t="shared" si="205"/>
        <v>405769</v>
      </c>
      <c r="E2191" s="2">
        <f t="shared" si="206"/>
        <v>258474853</v>
      </c>
      <c r="F2191" s="2">
        <f t="shared" si="207"/>
        <v>164648481361</v>
      </c>
      <c r="G2191" s="2">
        <f t="shared" si="208"/>
        <v>927.47199999999998</v>
      </c>
      <c r="H2191" s="2">
        <f t="shared" si="209"/>
        <v>590799.66399999999</v>
      </c>
    </row>
    <row r="2192" spans="1:8" x14ac:dyDescent="0.35">
      <c r="A2192" s="2">
        <v>637</v>
      </c>
      <c r="B2192" s="2">
        <v>23742</v>
      </c>
      <c r="C2192" s="2">
        <f t="shared" si="204"/>
        <v>2.3742000000000001</v>
      </c>
      <c r="D2192" s="2">
        <f t="shared" si="205"/>
        <v>405769</v>
      </c>
      <c r="E2192" s="2">
        <f t="shared" si="206"/>
        <v>258474853</v>
      </c>
      <c r="F2192" s="2">
        <f t="shared" si="207"/>
        <v>164648481361</v>
      </c>
      <c r="G2192" s="2">
        <f t="shared" si="208"/>
        <v>1512.3654000000001</v>
      </c>
      <c r="H2192" s="2">
        <f t="shared" si="209"/>
        <v>963376.7598</v>
      </c>
    </row>
    <row r="2193" spans="1:8" x14ac:dyDescent="0.35">
      <c r="A2193" s="2">
        <v>637</v>
      </c>
      <c r="B2193" s="2">
        <v>30351</v>
      </c>
      <c r="C2193" s="2">
        <f t="shared" si="204"/>
        <v>3.0350999999999999</v>
      </c>
      <c r="D2193" s="2">
        <f t="shared" si="205"/>
        <v>405769</v>
      </c>
      <c r="E2193" s="2">
        <f t="shared" si="206"/>
        <v>258474853</v>
      </c>
      <c r="F2193" s="2">
        <f t="shared" si="207"/>
        <v>164648481361</v>
      </c>
      <c r="G2193" s="2">
        <f t="shared" si="208"/>
        <v>1933.3587</v>
      </c>
      <c r="H2193" s="2">
        <f t="shared" si="209"/>
        <v>1231549.4919</v>
      </c>
    </row>
    <row r="2194" spans="1:8" x14ac:dyDescent="0.35">
      <c r="A2194" s="2">
        <v>637</v>
      </c>
      <c r="B2194" s="2">
        <v>32835</v>
      </c>
      <c r="C2194" s="2">
        <f t="shared" si="204"/>
        <v>3.2835000000000001</v>
      </c>
      <c r="D2194" s="2">
        <f t="shared" si="205"/>
        <v>405769</v>
      </c>
      <c r="E2194" s="2">
        <f t="shared" si="206"/>
        <v>258474853</v>
      </c>
      <c r="F2194" s="2">
        <f t="shared" si="207"/>
        <v>164648481361</v>
      </c>
      <c r="G2194" s="2">
        <f t="shared" si="208"/>
        <v>2091.5895</v>
      </c>
      <c r="H2194" s="2">
        <f t="shared" si="209"/>
        <v>1332342.5115</v>
      </c>
    </row>
    <row r="2195" spans="1:8" x14ac:dyDescent="0.35">
      <c r="A2195" s="2">
        <v>637</v>
      </c>
      <c r="B2195" s="2">
        <v>39030</v>
      </c>
      <c r="C2195" s="2">
        <f t="shared" si="204"/>
        <v>3.903</v>
      </c>
      <c r="D2195" s="2">
        <f t="shared" si="205"/>
        <v>405769</v>
      </c>
      <c r="E2195" s="2">
        <f t="shared" si="206"/>
        <v>258474853</v>
      </c>
      <c r="F2195" s="2">
        <f t="shared" si="207"/>
        <v>164648481361</v>
      </c>
      <c r="G2195" s="2">
        <f t="shared" si="208"/>
        <v>2486.2110000000002</v>
      </c>
      <c r="H2195" s="2">
        <f t="shared" si="209"/>
        <v>1583716.4070000001</v>
      </c>
    </row>
    <row r="2196" spans="1:8" x14ac:dyDescent="0.35">
      <c r="A2196" s="2">
        <v>637</v>
      </c>
      <c r="B2196" s="2">
        <v>27075</v>
      </c>
      <c r="C2196" s="2">
        <f t="shared" si="204"/>
        <v>2.7075</v>
      </c>
      <c r="D2196" s="2">
        <f t="shared" si="205"/>
        <v>405769</v>
      </c>
      <c r="E2196" s="2">
        <f t="shared" si="206"/>
        <v>258474853</v>
      </c>
      <c r="F2196" s="2">
        <f t="shared" si="207"/>
        <v>164648481361</v>
      </c>
      <c r="G2196" s="2">
        <f t="shared" si="208"/>
        <v>1724.6775</v>
      </c>
      <c r="H2196" s="2">
        <f t="shared" si="209"/>
        <v>1098619.5675000001</v>
      </c>
    </row>
    <row r="2197" spans="1:8" x14ac:dyDescent="0.35">
      <c r="A2197" s="2">
        <v>637</v>
      </c>
      <c r="B2197" s="2">
        <v>26766</v>
      </c>
      <c r="C2197" s="2">
        <f t="shared" si="204"/>
        <v>2.6766000000000001</v>
      </c>
      <c r="D2197" s="2">
        <f t="shared" si="205"/>
        <v>405769</v>
      </c>
      <c r="E2197" s="2">
        <f t="shared" si="206"/>
        <v>258474853</v>
      </c>
      <c r="F2197" s="2">
        <f t="shared" si="207"/>
        <v>164648481361</v>
      </c>
      <c r="G2197" s="2">
        <f t="shared" si="208"/>
        <v>1704.9942000000001</v>
      </c>
      <c r="H2197" s="2">
        <f t="shared" si="209"/>
        <v>1086081.3054</v>
      </c>
    </row>
    <row r="2198" spans="1:8" x14ac:dyDescent="0.35">
      <c r="A2198" s="2">
        <v>637</v>
      </c>
      <c r="B2198" s="2">
        <v>29791</v>
      </c>
      <c r="C2198" s="2">
        <f t="shared" si="204"/>
        <v>2.9790999999999999</v>
      </c>
      <c r="D2198" s="2">
        <f t="shared" si="205"/>
        <v>405769</v>
      </c>
      <c r="E2198" s="2">
        <f t="shared" si="206"/>
        <v>258474853</v>
      </c>
      <c r="F2198" s="2">
        <f t="shared" si="207"/>
        <v>164648481361</v>
      </c>
      <c r="G2198" s="2">
        <f t="shared" si="208"/>
        <v>1897.6867</v>
      </c>
      <c r="H2198" s="2">
        <f t="shared" si="209"/>
        <v>1208826.4279</v>
      </c>
    </row>
    <row r="2199" spans="1:8" x14ac:dyDescent="0.35">
      <c r="A2199" s="2">
        <v>637</v>
      </c>
      <c r="B2199" s="2">
        <v>24427</v>
      </c>
      <c r="C2199" s="2">
        <f t="shared" si="204"/>
        <v>2.4426999999999999</v>
      </c>
      <c r="D2199" s="2">
        <f t="shared" si="205"/>
        <v>405769</v>
      </c>
      <c r="E2199" s="2">
        <f t="shared" si="206"/>
        <v>258474853</v>
      </c>
      <c r="F2199" s="2">
        <f t="shared" si="207"/>
        <v>164648481361</v>
      </c>
      <c r="G2199" s="2">
        <f t="shared" si="208"/>
        <v>1555.9999</v>
      </c>
      <c r="H2199" s="2">
        <f t="shared" si="209"/>
        <v>991171.93629999994</v>
      </c>
    </row>
    <row r="2200" spans="1:8" x14ac:dyDescent="0.35">
      <c r="A2200" s="2">
        <v>637</v>
      </c>
      <c r="B2200" s="2">
        <v>26441</v>
      </c>
      <c r="C2200" s="2">
        <f t="shared" si="204"/>
        <v>2.6440999999999999</v>
      </c>
      <c r="D2200" s="2">
        <f t="shared" si="205"/>
        <v>405769</v>
      </c>
      <c r="E2200" s="2">
        <f t="shared" si="206"/>
        <v>258474853</v>
      </c>
      <c r="F2200" s="2">
        <f t="shared" si="207"/>
        <v>164648481361</v>
      </c>
      <c r="G2200" s="2">
        <f t="shared" si="208"/>
        <v>1684.2917</v>
      </c>
      <c r="H2200" s="2">
        <f t="shared" si="209"/>
        <v>1072893.8129</v>
      </c>
    </row>
    <row r="2201" spans="1:8" x14ac:dyDescent="0.35">
      <c r="A2201" s="2">
        <v>637</v>
      </c>
      <c r="B2201" s="2">
        <v>12632</v>
      </c>
      <c r="C2201" s="2">
        <f t="shared" si="204"/>
        <v>1.2632000000000001</v>
      </c>
      <c r="D2201" s="2">
        <f t="shared" si="205"/>
        <v>405769</v>
      </c>
      <c r="E2201" s="2">
        <f t="shared" si="206"/>
        <v>258474853</v>
      </c>
      <c r="F2201" s="2">
        <f t="shared" si="207"/>
        <v>164648481361</v>
      </c>
      <c r="G2201" s="2">
        <f t="shared" si="208"/>
        <v>804.65840000000003</v>
      </c>
      <c r="H2201" s="2">
        <f t="shared" si="209"/>
        <v>512567.40080000006</v>
      </c>
    </row>
    <row r="2202" spans="1:8" x14ac:dyDescent="0.35">
      <c r="A2202" s="2">
        <v>637</v>
      </c>
      <c r="B2202" s="2">
        <v>12839</v>
      </c>
      <c r="C2202" s="2">
        <f t="shared" si="204"/>
        <v>1.2839</v>
      </c>
      <c r="D2202" s="2">
        <f t="shared" si="205"/>
        <v>405769</v>
      </c>
      <c r="E2202" s="2">
        <f t="shared" si="206"/>
        <v>258474853</v>
      </c>
      <c r="F2202" s="2">
        <f t="shared" si="207"/>
        <v>164648481361</v>
      </c>
      <c r="G2202" s="2">
        <f t="shared" si="208"/>
        <v>817.84429999999998</v>
      </c>
      <c r="H2202" s="2">
        <f t="shared" si="209"/>
        <v>520966.81910000002</v>
      </c>
    </row>
    <row r="2203" spans="1:8" x14ac:dyDescent="0.35">
      <c r="A2203" s="2">
        <v>637</v>
      </c>
      <c r="B2203" s="2">
        <v>40056</v>
      </c>
      <c r="C2203" s="2">
        <f t="shared" si="204"/>
        <v>4.0056000000000003</v>
      </c>
      <c r="D2203" s="2">
        <f t="shared" si="205"/>
        <v>405769</v>
      </c>
      <c r="E2203" s="2">
        <f t="shared" si="206"/>
        <v>258474853</v>
      </c>
      <c r="F2203" s="2">
        <f t="shared" si="207"/>
        <v>164648481361</v>
      </c>
      <c r="G2203" s="2">
        <f t="shared" si="208"/>
        <v>2551.5672</v>
      </c>
      <c r="H2203" s="2">
        <f t="shared" si="209"/>
        <v>1625348.3064000001</v>
      </c>
    </row>
    <row r="2204" spans="1:8" x14ac:dyDescent="0.35">
      <c r="A2204" s="2">
        <v>637</v>
      </c>
      <c r="B2204" s="2">
        <v>41989</v>
      </c>
      <c r="C2204" s="2">
        <f t="shared" si="204"/>
        <v>4.1989000000000001</v>
      </c>
      <c r="D2204" s="2">
        <f t="shared" si="205"/>
        <v>405769</v>
      </c>
      <c r="E2204" s="2">
        <f t="shared" si="206"/>
        <v>258474853</v>
      </c>
      <c r="F2204" s="2">
        <f t="shared" si="207"/>
        <v>164648481361</v>
      </c>
      <c r="G2204" s="2">
        <f t="shared" si="208"/>
        <v>2674.6993000000002</v>
      </c>
      <c r="H2204" s="2">
        <f t="shared" si="209"/>
        <v>1703783.4541</v>
      </c>
    </row>
    <row r="2205" spans="1:8" x14ac:dyDescent="0.35">
      <c r="A2205" s="2">
        <v>637</v>
      </c>
      <c r="B2205" s="2">
        <v>32993</v>
      </c>
      <c r="C2205" s="2">
        <f t="shared" si="204"/>
        <v>3.2993000000000001</v>
      </c>
      <c r="D2205" s="2">
        <f t="shared" si="205"/>
        <v>405769</v>
      </c>
      <c r="E2205" s="2">
        <f t="shared" si="206"/>
        <v>258474853</v>
      </c>
      <c r="F2205" s="2">
        <f t="shared" si="207"/>
        <v>164648481361</v>
      </c>
      <c r="G2205" s="2">
        <f t="shared" si="208"/>
        <v>2101.6541000000002</v>
      </c>
      <c r="H2205" s="2">
        <f t="shared" si="209"/>
        <v>1338753.6617000001</v>
      </c>
    </row>
    <row r="2206" spans="1:8" x14ac:dyDescent="0.35">
      <c r="A2206" s="2">
        <v>637</v>
      </c>
      <c r="B2206" s="2">
        <v>34023</v>
      </c>
      <c r="C2206" s="2">
        <f t="shared" si="204"/>
        <v>3.4022999999999999</v>
      </c>
      <c r="D2206" s="2">
        <f t="shared" si="205"/>
        <v>405769</v>
      </c>
      <c r="E2206" s="2">
        <f t="shared" si="206"/>
        <v>258474853</v>
      </c>
      <c r="F2206" s="2">
        <f t="shared" si="207"/>
        <v>164648481361</v>
      </c>
      <c r="G2206" s="2">
        <f t="shared" si="208"/>
        <v>2167.2651000000001</v>
      </c>
      <c r="H2206" s="2">
        <f t="shared" si="209"/>
        <v>1380547.8687</v>
      </c>
    </row>
    <row r="2207" spans="1:8" x14ac:dyDescent="0.35">
      <c r="A2207" s="2">
        <v>637</v>
      </c>
      <c r="B2207" s="2">
        <v>49326</v>
      </c>
      <c r="C2207" s="2">
        <f t="shared" si="204"/>
        <v>4.9325999999999999</v>
      </c>
      <c r="D2207" s="2">
        <f t="shared" si="205"/>
        <v>405769</v>
      </c>
      <c r="E2207" s="2">
        <f t="shared" si="206"/>
        <v>258474853</v>
      </c>
      <c r="F2207" s="2">
        <f t="shared" si="207"/>
        <v>164648481361</v>
      </c>
      <c r="G2207" s="2">
        <f t="shared" si="208"/>
        <v>3142.0661999999998</v>
      </c>
      <c r="H2207" s="2">
        <f t="shared" si="209"/>
        <v>2001496.1694</v>
      </c>
    </row>
    <row r="2208" spans="1:8" x14ac:dyDescent="0.35">
      <c r="A2208" s="2">
        <v>637</v>
      </c>
      <c r="B2208" s="2">
        <v>54262</v>
      </c>
      <c r="C2208" s="2">
        <f t="shared" si="204"/>
        <v>5.4261999999999997</v>
      </c>
      <c r="D2208" s="2">
        <f t="shared" si="205"/>
        <v>405769</v>
      </c>
      <c r="E2208" s="2">
        <f t="shared" si="206"/>
        <v>258474853</v>
      </c>
      <c r="F2208" s="2">
        <f t="shared" si="207"/>
        <v>164648481361</v>
      </c>
      <c r="G2208" s="2">
        <f t="shared" si="208"/>
        <v>3456.4893999999999</v>
      </c>
      <c r="H2208" s="2">
        <f t="shared" si="209"/>
        <v>2201783.7478</v>
      </c>
    </row>
    <row r="2209" spans="1:8" x14ac:dyDescent="0.35">
      <c r="A2209" s="2">
        <v>637</v>
      </c>
      <c r="B2209" s="2">
        <v>49656</v>
      </c>
      <c r="C2209" s="2">
        <f t="shared" si="204"/>
        <v>4.9656000000000002</v>
      </c>
      <c r="D2209" s="2">
        <f t="shared" si="205"/>
        <v>405769</v>
      </c>
      <c r="E2209" s="2">
        <f t="shared" si="206"/>
        <v>258474853</v>
      </c>
      <c r="F2209" s="2">
        <f t="shared" si="207"/>
        <v>164648481361</v>
      </c>
      <c r="G2209" s="2">
        <f t="shared" si="208"/>
        <v>3163.0871999999999</v>
      </c>
      <c r="H2209" s="2">
        <f t="shared" si="209"/>
        <v>2014886.5464000001</v>
      </c>
    </row>
    <row r="2210" spans="1:8" x14ac:dyDescent="0.35">
      <c r="A2210" s="2">
        <v>637</v>
      </c>
      <c r="B2210" s="2">
        <v>51504</v>
      </c>
      <c r="C2210" s="2">
        <f t="shared" si="204"/>
        <v>5.1504000000000003</v>
      </c>
      <c r="D2210" s="2">
        <f t="shared" si="205"/>
        <v>405769</v>
      </c>
      <c r="E2210" s="2">
        <f t="shared" si="206"/>
        <v>258474853</v>
      </c>
      <c r="F2210" s="2">
        <f t="shared" si="207"/>
        <v>164648481361</v>
      </c>
      <c r="G2210" s="2">
        <f t="shared" si="208"/>
        <v>3280.8048000000003</v>
      </c>
      <c r="H2210" s="2">
        <f t="shared" si="209"/>
        <v>2089872.6576</v>
      </c>
    </row>
    <row r="2211" spans="1:8" x14ac:dyDescent="0.35">
      <c r="A2211" s="2">
        <v>637</v>
      </c>
      <c r="B2211" s="2">
        <v>44995</v>
      </c>
      <c r="C2211" s="2">
        <f t="shared" si="204"/>
        <v>4.4995000000000003</v>
      </c>
      <c r="D2211" s="2">
        <f t="shared" si="205"/>
        <v>405769</v>
      </c>
      <c r="E2211" s="2">
        <f t="shared" si="206"/>
        <v>258474853</v>
      </c>
      <c r="F2211" s="2">
        <f t="shared" si="207"/>
        <v>164648481361</v>
      </c>
      <c r="G2211" s="2">
        <f t="shared" si="208"/>
        <v>2866.1815000000001</v>
      </c>
      <c r="H2211" s="2">
        <f t="shared" si="209"/>
        <v>1825757.6155000001</v>
      </c>
    </row>
    <row r="2212" spans="1:8" x14ac:dyDescent="0.35">
      <c r="A2212" s="2">
        <v>637</v>
      </c>
      <c r="B2212" s="2">
        <v>47194</v>
      </c>
      <c r="C2212" s="2">
        <f t="shared" si="204"/>
        <v>4.7194000000000003</v>
      </c>
      <c r="D2212" s="2">
        <f t="shared" si="205"/>
        <v>405769</v>
      </c>
      <c r="E2212" s="2">
        <f t="shared" si="206"/>
        <v>258474853</v>
      </c>
      <c r="F2212" s="2">
        <f t="shared" si="207"/>
        <v>164648481361</v>
      </c>
      <c r="G2212" s="2">
        <f t="shared" si="208"/>
        <v>3006.2578000000003</v>
      </c>
      <c r="H2212" s="2">
        <f t="shared" si="209"/>
        <v>1914986.2186</v>
      </c>
    </row>
    <row r="2213" spans="1:8" x14ac:dyDescent="0.35">
      <c r="A2213" s="2">
        <v>637</v>
      </c>
      <c r="B2213" s="2">
        <v>35505</v>
      </c>
      <c r="C2213" s="2">
        <f t="shared" si="204"/>
        <v>3.5505</v>
      </c>
      <c r="D2213" s="2">
        <f t="shared" si="205"/>
        <v>405769</v>
      </c>
      <c r="E2213" s="2">
        <f t="shared" si="206"/>
        <v>258474853</v>
      </c>
      <c r="F2213" s="2">
        <f t="shared" si="207"/>
        <v>164648481361</v>
      </c>
      <c r="G2213" s="2">
        <f t="shared" si="208"/>
        <v>2261.6684999999998</v>
      </c>
      <c r="H2213" s="2">
        <f t="shared" si="209"/>
        <v>1440682.8344999999</v>
      </c>
    </row>
    <row r="2214" spans="1:8" x14ac:dyDescent="0.35">
      <c r="A2214" s="2">
        <v>637</v>
      </c>
      <c r="B2214" s="2">
        <v>44974</v>
      </c>
      <c r="C2214" s="2">
        <f t="shared" si="204"/>
        <v>4.4973999999999998</v>
      </c>
      <c r="D2214" s="2">
        <f t="shared" si="205"/>
        <v>405769</v>
      </c>
      <c r="E2214" s="2">
        <f t="shared" si="206"/>
        <v>258474853</v>
      </c>
      <c r="F2214" s="2">
        <f t="shared" si="207"/>
        <v>164648481361</v>
      </c>
      <c r="G2214" s="2">
        <f t="shared" si="208"/>
        <v>2864.8438000000001</v>
      </c>
      <c r="H2214" s="2">
        <f t="shared" si="209"/>
        <v>1824905.5005999999</v>
      </c>
    </row>
    <row r="2215" spans="1:8" x14ac:dyDescent="0.35">
      <c r="A2215" s="2">
        <v>637</v>
      </c>
      <c r="B2215" s="2">
        <v>46248</v>
      </c>
      <c r="C2215" s="2">
        <f t="shared" si="204"/>
        <v>4.6247999999999996</v>
      </c>
      <c r="D2215" s="2">
        <f t="shared" si="205"/>
        <v>405769</v>
      </c>
      <c r="E2215" s="2">
        <f t="shared" si="206"/>
        <v>258474853</v>
      </c>
      <c r="F2215" s="2">
        <f t="shared" si="207"/>
        <v>164648481361</v>
      </c>
      <c r="G2215" s="2">
        <f t="shared" si="208"/>
        <v>2945.9975999999997</v>
      </c>
      <c r="H2215" s="2">
        <f t="shared" si="209"/>
        <v>1876600.4711999998</v>
      </c>
    </row>
    <row r="2216" spans="1:8" x14ac:dyDescent="0.35">
      <c r="A2216" s="2">
        <v>1212</v>
      </c>
      <c r="B2216" s="2">
        <v>16000</v>
      </c>
      <c r="C2216" s="2">
        <f t="shared" si="204"/>
        <v>1.6</v>
      </c>
      <c r="D2216" s="2">
        <f t="shared" si="205"/>
        <v>1468944</v>
      </c>
      <c r="E2216" s="2">
        <f t="shared" si="206"/>
        <v>1780360128</v>
      </c>
      <c r="F2216" s="2">
        <f t="shared" si="207"/>
        <v>2157796475136</v>
      </c>
      <c r="G2216" s="2">
        <f t="shared" si="208"/>
        <v>1939.2</v>
      </c>
      <c r="H2216" s="2">
        <f t="shared" si="209"/>
        <v>2350310.3999999999</v>
      </c>
    </row>
    <row r="2217" spans="1:8" x14ac:dyDescent="0.35">
      <c r="A2217" s="2">
        <v>1212</v>
      </c>
      <c r="B2217" s="2">
        <v>23444</v>
      </c>
      <c r="C2217" s="2">
        <f t="shared" si="204"/>
        <v>2.3443999999999998</v>
      </c>
      <c r="D2217" s="2">
        <f t="shared" si="205"/>
        <v>1468944</v>
      </c>
      <c r="E2217" s="2">
        <f t="shared" si="206"/>
        <v>1780360128</v>
      </c>
      <c r="F2217" s="2">
        <f t="shared" si="207"/>
        <v>2157796475136</v>
      </c>
      <c r="G2217" s="2">
        <f t="shared" si="208"/>
        <v>2841.4127999999996</v>
      </c>
      <c r="H2217" s="2">
        <f t="shared" si="209"/>
        <v>3443792.3135999995</v>
      </c>
    </row>
    <row r="2218" spans="1:8" x14ac:dyDescent="0.35">
      <c r="A2218" s="2">
        <v>1212</v>
      </c>
      <c r="B2218" s="2">
        <v>21090</v>
      </c>
      <c r="C2218" s="2">
        <f t="shared" si="204"/>
        <v>2.109</v>
      </c>
      <c r="D2218" s="2">
        <f t="shared" si="205"/>
        <v>1468944</v>
      </c>
      <c r="E2218" s="2">
        <f t="shared" si="206"/>
        <v>1780360128</v>
      </c>
      <c r="F2218" s="2">
        <f t="shared" si="207"/>
        <v>2157796475136</v>
      </c>
      <c r="G2218" s="2">
        <f t="shared" si="208"/>
        <v>2556.1080000000002</v>
      </c>
      <c r="H2218" s="2">
        <f t="shared" si="209"/>
        <v>3098002.8960000002</v>
      </c>
    </row>
    <row r="2219" spans="1:8" x14ac:dyDescent="0.35">
      <c r="A2219" s="2">
        <v>1212</v>
      </c>
      <c r="B2219" s="2">
        <v>26231</v>
      </c>
      <c r="C2219" s="2">
        <f t="shared" si="204"/>
        <v>2.6231</v>
      </c>
      <c r="D2219" s="2">
        <f t="shared" si="205"/>
        <v>1468944</v>
      </c>
      <c r="E2219" s="2">
        <f t="shared" si="206"/>
        <v>1780360128</v>
      </c>
      <c r="F2219" s="2">
        <f t="shared" si="207"/>
        <v>2157796475136</v>
      </c>
      <c r="G2219" s="2">
        <f t="shared" si="208"/>
        <v>3179.1972000000001</v>
      </c>
      <c r="H2219" s="2">
        <f t="shared" si="209"/>
        <v>3853187.0063999998</v>
      </c>
    </row>
    <row r="2220" spans="1:8" x14ac:dyDescent="0.35">
      <c r="A2220" s="2">
        <v>1212</v>
      </c>
      <c r="B2220" s="2">
        <v>13652</v>
      </c>
      <c r="C2220" s="2">
        <f t="shared" si="204"/>
        <v>1.3652</v>
      </c>
      <c r="D2220" s="2">
        <f t="shared" si="205"/>
        <v>1468944</v>
      </c>
      <c r="E2220" s="2">
        <f t="shared" si="206"/>
        <v>1780360128</v>
      </c>
      <c r="F2220" s="2">
        <f t="shared" si="207"/>
        <v>2157796475136</v>
      </c>
      <c r="G2220" s="2">
        <f t="shared" si="208"/>
        <v>1654.6224</v>
      </c>
      <c r="H2220" s="2">
        <f t="shared" si="209"/>
        <v>2005402.3488</v>
      </c>
    </row>
    <row r="2221" spans="1:8" x14ac:dyDescent="0.35">
      <c r="A2221" s="2">
        <v>1212</v>
      </c>
      <c r="B2221" s="2">
        <v>24118</v>
      </c>
      <c r="C2221" s="2">
        <f t="shared" si="204"/>
        <v>2.4117999999999999</v>
      </c>
      <c r="D2221" s="2">
        <f t="shared" si="205"/>
        <v>1468944</v>
      </c>
      <c r="E2221" s="2">
        <f t="shared" si="206"/>
        <v>1780360128</v>
      </c>
      <c r="F2221" s="2">
        <f t="shared" si="207"/>
        <v>2157796475136</v>
      </c>
      <c r="G2221" s="2">
        <f t="shared" si="208"/>
        <v>2923.1016</v>
      </c>
      <c r="H2221" s="2">
        <f t="shared" si="209"/>
        <v>3542799.1392000001</v>
      </c>
    </row>
    <row r="2222" spans="1:8" x14ac:dyDescent="0.35">
      <c r="A2222" s="2">
        <v>1212</v>
      </c>
      <c r="B2222" s="2">
        <v>24030</v>
      </c>
      <c r="C2222" s="2">
        <f t="shared" si="204"/>
        <v>2.403</v>
      </c>
      <c r="D2222" s="2">
        <f t="shared" si="205"/>
        <v>1468944</v>
      </c>
      <c r="E2222" s="2">
        <f t="shared" si="206"/>
        <v>1780360128</v>
      </c>
      <c r="F2222" s="2">
        <f t="shared" si="207"/>
        <v>2157796475136</v>
      </c>
      <c r="G2222" s="2">
        <f t="shared" si="208"/>
        <v>2912.4360000000001</v>
      </c>
      <c r="H2222" s="2">
        <f t="shared" si="209"/>
        <v>3529872.432</v>
      </c>
    </row>
    <row r="2223" spans="1:8" x14ac:dyDescent="0.35">
      <c r="A2223" s="2">
        <v>1212</v>
      </c>
      <c r="B2223" s="2">
        <v>26400</v>
      </c>
      <c r="C2223" s="2">
        <f t="shared" si="204"/>
        <v>2.64</v>
      </c>
      <c r="D2223" s="2">
        <f t="shared" si="205"/>
        <v>1468944</v>
      </c>
      <c r="E2223" s="2">
        <f t="shared" si="206"/>
        <v>1780360128</v>
      </c>
      <c r="F2223" s="2">
        <f t="shared" si="207"/>
        <v>2157796475136</v>
      </c>
      <c r="G2223" s="2">
        <f t="shared" si="208"/>
        <v>3199.6800000000003</v>
      </c>
      <c r="H2223" s="2">
        <f t="shared" si="209"/>
        <v>3878012.16</v>
      </c>
    </row>
    <row r="2224" spans="1:8" x14ac:dyDescent="0.35">
      <c r="A2224" s="2">
        <v>1212</v>
      </c>
      <c r="B2224" s="2">
        <v>26471</v>
      </c>
      <c r="C2224" s="2">
        <f t="shared" si="204"/>
        <v>2.6471</v>
      </c>
      <c r="D2224" s="2">
        <f t="shared" si="205"/>
        <v>1468944</v>
      </c>
      <c r="E2224" s="2">
        <f t="shared" si="206"/>
        <v>1780360128</v>
      </c>
      <c r="F2224" s="2">
        <f t="shared" si="207"/>
        <v>2157796475136</v>
      </c>
      <c r="G2224" s="2">
        <f t="shared" si="208"/>
        <v>3208.2851999999998</v>
      </c>
      <c r="H2224" s="2">
        <f t="shared" si="209"/>
        <v>3888441.6623999998</v>
      </c>
    </row>
    <row r="2225" spans="1:8" x14ac:dyDescent="0.35">
      <c r="A2225" s="2">
        <v>1212</v>
      </c>
      <c r="B2225" s="2">
        <v>36508</v>
      </c>
      <c r="C2225" s="2">
        <f t="shared" si="204"/>
        <v>3.6507999999999998</v>
      </c>
      <c r="D2225" s="2">
        <f t="shared" si="205"/>
        <v>1468944</v>
      </c>
      <c r="E2225" s="2">
        <f t="shared" si="206"/>
        <v>1780360128</v>
      </c>
      <c r="F2225" s="2">
        <f t="shared" si="207"/>
        <v>2157796475136</v>
      </c>
      <c r="G2225" s="2">
        <f t="shared" si="208"/>
        <v>4424.7695999999996</v>
      </c>
      <c r="H2225" s="2">
        <f t="shared" si="209"/>
        <v>5362820.7551999995</v>
      </c>
    </row>
    <row r="2226" spans="1:8" x14ac:dyDescent="0.35">
      <c r="A2226" s="2">
        <v>1212</v>
      </c>
      <c r="B2226" s="2">
        <v>32980</v>
      </c>
      <c r="C2226" s="2">
        <f t="shared" si="204"/>
        <v>3.298</v>
      </c>
      <c r="D2226" s="2">
        <f t="shared" si="205"/>
        <v>1468944</v>
      </c>
      <c r="E2226" s="2">
        <f t="shared" si="206"/>
        <v>1780360128</v>
      </c>
      <c r="F2226" s="2">
        <f t="shared" si="207"/>
        <v>2157796475136</v>
      </c>
      <c r="G2226" s="2">
        <f t="shared" si="208"/>
        <v>3997.1759999999999</v>
      </c>
      <c r="H2226" s="2">
        <f t="shared" si="209"/>
        <v>4844577.3119999999</v>
      </c>
    </row>
    <row r="2227" spans="1:8" x14ac:dyDescent="0.35">
      <c r="A2227" s="2">
        <v>1212</v>
      </c>
      <c r="B2227" s="2">
        <v>30328</v>
      </c>
      <c r="C2227" s="2">
        <f t="shared" si="204"/>
        <v>3.0327999999999999</v>
      </c>
      <c r="D2227" s="2">
        <f t="shared" si="205"/>
        <v>1468944</v>
      </c>
      <c r="E2227" s="2">
        <f t="shared" si="206"/>
        <v>1780360128</v>
      </c>
      <c r="F2227" s="2">
        <f t="shared" si="207"/>
        <v>2157796475136</v>
      </c>
      <c r="G2227" s="2">
        <f t="shared" si="208"/>
        <v>3675.7536</v>
      </c>
      <c r="H2227" s="2">
        <f t="shared" si="209"/>
        <v>4455013.3631999996</v>
      </c>
    </row>
    <row r="2228" spans="1:8" x14ac:dyDescent="0.35">
      <c r="A2228" s="2">
        <v>1212</v>
      </c>
      <c r="B2228" s="2">
        <v>19148</v>
      </c>
      <c r="C2228" s="2">
        <f t="shared" si="204"/>
        <v>1.9148000000000001</v>
      </c>
      <c r="D2228" s="2">
        <f t="shared" si="205"/>
        <v>1468944</v>
      </c>
      <c r="E2228" s="2">
        <f t="shared" si="206"/>
        <v>1780360128</v>
      </c>
      <c r="F2228" s="2">
        <f t="shared" si="207"/>
        <v>2157796475136</v>
      </c>
      <c r="G2228" s="2">
        <f t="shared" si="208"/>
        <v>2320.7375999999999</v>
      </c>
      <c r="H2228" s="2">
        <f t="shared" si="209"/>
        <v>2812733.9712</v>
      </c>
    </row>
    <row r="2229" spans="1:8" x14ac:dyDescent="0.35">
      <c r="A2229" s="2">
        <v>1212</v>
      </c>
      <c r="B2229" s="2">
        <v>18132</v>
      </c>
      <c r="C2229" s="2">
        <f t="shared" si="204"/>
        <v>1.8131999999999999</v>
      </c>
      <c r="D2229" s="2">
        <f t="shared" si="205"/>
        <v>1468944</v>
      </c>
      <c r="E2229" s="2">
        <f t="shared" si="206"/>
        <v>1780360128</v>
      </c>
      <c r="F2229" s="2">
        <f t="shared" si="207"/>
        <v>2157796475136</v>
      </c>
      <c r="G2229" s="2">
        <f t="shared" si="208"/>
        <v>2197.5983999999999</v>
      </c>
      <c r="H2229" s="2">
        <f t="shared" si="209"/>
        <v>2663489.2607999998</v>
      </c>
    </row>
    <row r="2230" spans="1:8" x14ac:dyDescent="0.35">
      <c r="A2230" s="2">
        <v>1212</v>
      </c>
      <c r="B2230" s="2">
        <v>27318</v>
      </c>
      <c r="C2230" s="2">
        <f t="shared" si="204"/>
        <v>2.7317999999999998</v>
      </c>
      <c r="D2230" s="2">
        <f t="shared" si="205"/>
        <v>1468944</v>
      </c>
      <c r="E2230" s="2">
        <f t="shared" si="206"/>
        <v>1780360128</v>
      </c>
      <c r="F2230" s="2">
        <f t="shared" si="207"/>
        <v>2157796475136</v>
      </c>
      <c r="G2230" s="2">
        <f t="shared" si="208"/>
        <v>3310.9415999999997</v>
      </c>
      <c r="H2230" s="2">
        <f t="shared" si="209"/>
        <v>4012861.2191999997</v>
      </c>
    </row>
    <row r="2231" spans="1:8" x14ac:dyDescent="0.35">
      <c r="A2231" s="2">
        <v>1212</v>
      </c>
      <c r="B2231" s="2">
        <v>30668</v>
      </c>
      <c r="C2231" s="2">
        <f t="shared" si="204"/>
        <v>3.0668000000000002</v>
      </c>
      <c r="D2231" s="2">
        <f t="shared" si="205"/>
        <v>1468944</v>
      </c>
      <c r="E2231" s="2">
        <f t="shared" si="206"/>
        <v>1780360128</v>
      </c>
      <c r="F2231" s="2">
        <f t="shared" si="207"/>
        <v>2157796475136</v>
      </c>
      <c r="G2231" s="2">
        <f t="shared" si="208"/>
        <v>3716.9616000000001</v>
      </c>
      <c r="H2231" s="2">
        <f t="shared" si="209"/>
        <v>4504957.4592000004</v>
      </c>
    </row>
    <row r="2232" spans="1:8" x14ac:dyDescent="0.35">
      <c r="A2232" s="2">
        <v>1212</v>
      </c>
      <c r="B2232" s="2">
        <v>32658</v>
      </c>
      <c r="C2232" s="2">
        <f t="shared" si="204"/>
        <v>3.2658</v>
      </c>
      <c r="D2232" s="2">
        <f t="shared" si="205"/>
        <v>1468944</v>
      </c>
      <c r="E2232" s="2">
        <f t="shared" si="206"/>
        <v>1780360128</v>
      </c>
      <c r="F2232" s="2">
        <f t="shared" si="207"/>
        <v>2157796475136</v>
      </c>
      <c r="G2232" s="2">
        <f t="shared" si="208"/>
        <v>3958.1496000000002</v>
      </c>
      <c r="H2232" s="2">
        <f t="shared" si="209"/>
        <v>4797277.3152000001</v>
      </c>
    </row>
    <row r="2233" spans="1:8" x14ac:dyDescent="0.35">
      <c r="A2233" s="2">
        <v>1212</v>
      </c>
      <c r="B2233" s="2">
        <v>37964</v>
      </c>
      <c r="C2233" s="2">
        <f t="shared" si="204"/>
        <v>3.7964000000000002</v>
      </c>
      <c r="D2233" s="2">
        <f t="shared" si="205"/>
        <v>1468944</v>
      </c>
      <c r="E2233" s="2">
        <f t="shared" si="206"/>
        <v>1780360128</v>
      </c>
      <c r="F2233" s="2">
        <f t="shared" si="207"/>
        <v>2157796475136</v>
      </c>
      <c r="G2233" s="2">
        <f t="shared" si="208"/>
        <v>4601.2368000000006</v>
      </c>
      <c r="H2233" s="2">
        <f t="shared" si="209"/>
        <v>5576699.0016000001</v>
      </c>
    </row>
    <row r="2234" spans="1:8" x14ac:dyDescent="0.35">
      <c r="A2234" s="2">
        <v>1212</v>
      </c>
      <c r="B2234" s="2">
        <v>44673</v>
      </c>
      <c r="C2234" s="2">
        <f t="shared" si="204"/>
        <v>4.4672999999999998</v>
      </c>
      <c r="D2234" s="2">
        <f t="shared" si="205"/>
        <v>1468944</v>
      </c>
      <c r="E2234" s="2">
        <f t="shared" si="206"/>
        <v>1780360128</v>
      </c>
      <c r="F2234" s="2">
        <f t="shared" si="207"/>
        <v>2157796475136</v>
      </c>
      <c r="G2234" s="2">
        <f t="shared" si="208"/>
        <v>5414.3675999999996</v>
      </c>
      <c r="H2234" s="2">
        <f t="shared" si="209"/>
        <v>6562213.5312000001</v>
      </c>
    </row>
    <row r="2235" spans="1:8" x14ac:dyDescent="0.35">
      <c r="A2235" s="2">
        <v>1212</v>
      </c>
      <c r="B2235" s="2">
        <v>44843</v>
      </c>
      <c r="C2235" s="2">
        <f t="shared" si="204"/>
        <v>4.4843000000000002</v>
      </c>
      <c r="D2235" s="2">
        <f t="shared" si="205"/>
        <v>1468944</v>
      </c>
      <c r="E2235" s="2">
        <f t="shared" si="206"/>
        <v>1780360128</v>
      </c>
      <c r="F2235" s="2">
        <f t="shared" si="207"/>
        <v>2157796475136</v>
      </c>
      <c r="G2235" s="2">
        <f t="shared" si="208"/>
        <v>5434.9715999999999</v>
      </c>
      <c r="H2235" s="2">
        <f t="shared" si="209"/>
        <v>6587185.5792000005</v>
      </c>
    </row>
    <row r="2236" spans="1:8" x14ac:dyDescent="0.35">
      <c r="A2236" s="2">
        <v>1212</v>
      </c>
      <c r="B2236" s="2">
        <v>41320</v>
      </c>
      <c r="C2236" s="2">
        <f t="shared" si="204"/>
        <v>4.1319999999999997</v>
      </c>
      <c r="D2236" s="2">
        <f t="shared" si="205"/>
        <v>1468944</v>
      </c>
      <c r="E2236" s="2">
        <f t="shared" si="206"/>
        <v>1780360128</v>
      </c>
      <c r="F2236" s="2">
        <f t="shared" si="207"/>
        <v>2157796475136</v>
      </c>
      <c r="G2236" s="2">
        <f t="shared" si="208"/>
        <v>5007.9839999999995</v>
      </c>
      <c r="H2236" s="2">
        <f t="shared" si="209"/>
        <v>6069676.6079999991</v>
      </c>
    </row>
    <row r="2237" spans="1:8" x14ac:dyDescent="0.35">
      <c r="A2237" s="2">
        <v>1212</v>
      </c>
      <c r="B2237" s="2">
        <v>44432</v>
      </c>
      <c r="C2237" s="2">
        <f t="shared" si="204"/>
        <v>4.4432</v>
      </c>
      <c r="D2237" s="2">
        <f t="shared" si="205"/>
        <v>1468944</v>
      </c>
      <c r="E2237" s="2">
        <f t="shared" si="206"/>
        <v>1780360128</v>
      </c>
      <c r="F2237" s="2">
        <f t="shared" si="207"/>
        <v>2157796475136</v>
      </c>
      <c r="G2237" s="2">
        <f t="shared" si="208"/>
        <v>5385.1584000000003</v>
      </c>
      <c r="H2237" s="2">
        <f t="shared" si="209"/>
        <v>6526811.9808</v>
      </c>
    </row>
    <row r="2238" spans="1:8" x14ac:dyDescent="0.35">
      <c r="A2238" s="2">
        <v>1212</v>
      </c>
      <c r="B2238" s="2">
        <v>56178</v>
      </c>
      <c r="C2238" s="2">
        <f t="shared" si="204"/>
        <v>5.6177999999999999</v>
      </c>
      <c r="D2238" s="2">
        <f t="shared" si="205"/>
        <v>1468944</v>
      </c>
      <c r="E2238" s="2">
        <f t="shared" si="206"/>
        <v>1780360128</v>
      </c>
      <c r="F2238" s="2">
        <f t="shared" si="207"/>
        <v>2157796475136</v>
      </c>
      <c r="G2238" s="2">
        <f t="shared" si="208"/>
        <v>6808.7735999999995</v>
      </c>
      <c r="H2238" s="2">
        <f t="shared" si="209"/>
        <v>8252233.6031999998</v>
      </c>
    </row>
    <row r="2239" spans="1:8" x14ac:dyDescent="0.35">
      <c r="A2239" s="2">
        <v>1212</v>
      </c>
      <c r="B2239" s="2">
        <v>51833</v>
      </c>
      <c r="C2239" s="2">
        <f t="shared" si="204"/>
        <v>5.1833</v>
      </c>
      <c r="D2239" s="2">
        <f t="shared" si="205"/>
        <v>1468944</v>
      </c>
      <c r="E2239" s="2">
        <f t="shared" si="206"/>
        <v>1780360128</v>
      </c>
      <c r="F2239" s="2">
        <f t="shared" si="207"/>
        <v>2157796475136</v>
      </c>
      <c r="G2239" s="2">
        <f t="shared" si="208"/>
        <v>6282.1596</v>
      </c>
      <c r="H2239" s="2">
        <f t="shared" si="209"/>
        <v>7613977.4352000002</v>
      </c>
    </row>
    <row r="2240" spans="1:8" x14ac:dyDescent="0.35">
      <c r="A2240" s="2">
        <v>1212</v>
      </c>
      <c r="B2240" s="2">
        <v>55195</v>
      </c>
      <c r="C2240" s="2">
        <f t="shared" si="204"/>
        <v>5.5194999999999999</v>
      </c>
      <c r="D2240" s="2">
        <f t="shared" si="205"/>
        <v>1468944</v>
      </c>
      <c r="E2240" s="2">
        <f t="shared" si="206"/>
        <v>1780360128</v>
      </c>
      <c r="F2240" s="2">
        <f t="shared" si="207"/>
        <v>2157796475136</v>
      </c>
      <c r="G2240" s="2">
        <f t="shared" si="208"/>
        <v>6689.634</v>
      </c>
      <c r="H2240" s="2">
        <f t="shared" si="209"/>
        <v>8107836.4079999998</v>
      </c>
    </row>
    <row r="2241" spans="1:8" x14ac:dyDescent="0.35">
      <c r="A2241" s="2">
        <v>1212</v>
      </c>
      <c r="B2241" s="2">
        <v>57193</v>
      </c>
      <c r="C2241" s="2">
        <f t="shared" si="204"/>
        <v>5.7192999999999996</v>
      </c>
      <c r="D2241" s="2">
        <f t="shared" si="205"/>
        <v>1468944</v>
      </c>
      <c r="E2241" s="2">
        <f t="shared" si="206"/>
        <v>1780360128</v>
      </c>
      <c r="F2241" s="2">
        <f t="shared" si="207"/>
        <v>2157796475136</v>
      </c>
      <c r="G2241" s="2">
        <f t="shared" si="208"/>
        <v>6931.7915999999996</v>
      </c>
      <c r="H2241" s="2">
        <f t="shared" si="209"/>
        <v>8401331.4191999994</v>
      </c>
    </row>
    <row r="2242" spans="1:8" x14ac:dyDescent="0.35">
      <c r="A2242" s="2">
        <v>1212</v>
      </c>
      <c r="B2242" s="2">
        <v>53362</v>
      </c>
      <c r="C2242" s="2">
        <f t="shared" si="204"/>
        <v>5.3361999999999998</v>
      </c>
      <c r="D2242" s="2">
        <f t="shared" si="205"/>
        <v>1468944</v>
      </c>
      <c r="E2242" s="2">
        <f t="shared" si="206"/>
        <v>1780360128</v>
      </c>
      <c r="F2242" s="2">
        <f t="shared" si="207"/>
        <v>2157796475136</v>
      </c>
      <c r="G2242" s="2">
        <f t="shared" si="208"/>
        <v>6467.4744000000001</v>
      </c>
      <c r="H2242" s="2">
        <f t="shared" si="209"/>
        <v>7838578.9727999996</v>
      </c>
    </row>
    <row r="2243" spans="1:8" x14ac:dyDescent="0.35">
      <c r="A2243" s="2">
        <v>1212</v>
      </c>
      <c r="B2243" s="2">
        <v>30594</v>
      </c>
      <c r="C2243" s="2">
        <f t="shared" ref="C2243:C2306" si="210">B2243/10000</f>
        <v>3.0594000000000001</v>
      </c>
      <c r="D2243" s="2">
        <f t="shared" ref="D2243:D2306" si="211">A2243^2</f>
        <v>1468944</v>
      </c>
      <c r="E2243" s="2">
        <f t="shared" ref="E2243:E2306" si="212">A2243^3</f>
        <v>1780360128</v>
      </c>
      <c r="F2243" s="2">
        <f t="shared" ref="F2243:F2306" si="213">A2243^4</f>
        <v>2157796475136</v>
      </c>
      <c r="G2243" s="2">
        <f t="shared" ref="G2243:G2306" si="214">A2243*C2243</f>
        <v>3707.9928</v>
      </c>
      <c r="H2243" s="2">
        <f t="shared" ref="H2243:H2306" si="215">D2243*C2243</f>
        <v>4494087.2736</v>
      </c>
    </row>
    <row r="2244" spans="1:8" x14ac:dyDescent="0.35">
      <c r="A2244" s="2">
        <v>1212</v>
      </c>
      <c r="B2244" s="2">
        <v>32259</v>
      </c>
      <c r="C2244" s="2">
        <f t="shared" si="210"/>
        <v>3.2259000000000002</v>
      </c>
      <c r="D2244" s="2">
        <f t="shared" si="211"/>
        <v>1468944</v>
      </c>
      <c r="E2244" s="2">
        <f t="shared" si="212"/>
        <v>1780360128</v>
      </c>
      <c r="F2244" s="2">
        <f t="shared" si="213"/>
        <v>2157796475136</v>
      </c>
      <c r="G2244" s="2">
        <f t="shared" si="214"/>
        <v>3909.7908000000002</v>
      </c>
      <c r="H2244" s="2">
        <f t="shared" si="215"/>
        <v>4738666.4495999999</v>
      </c>
    </row>
    <row r="2245" spans="1:8" x14ac:dyDescent="0.35">
      <c r="A2245" s="2">
        <v>1212</v>
      </c>
      <c r="B2245" s="2">
        <v>33067</v>
      </c>
      <c r="C2245" s="2">
        <f t="shared" si="210"/>
        <v>3.3067000000000002</v>
      </c>
      <c r="D2245" s="2">
        <f t="shared" si="211"/>
        <v>1468944</v>
      </c>
      <c r="E2245" s="2">
        <f t="shared" si="212"/>
        <v>1780360128</v>
      </c>
      <c r="F2245" s="2">
        <f t="shared" si="213"/>
        <v>2157796475136</v>
      </c>
      <c r="G2245" s="2">
        <f t="shared" si="214"/>
        <v>4007.7204000000002</v>
      </c>
      <c r="H2245" s="2">
        <f t="shared" si="215"/>
        <v>4857357.1248000003</v>
      </c>
    </row>
    <row r="2246" spans="1:8" x14ac:dyDescent="0.35">
      <c r="A2246" s="2">
        <v>686</v>
      </c>
      <c r="B2246" s="2">
        <v>18810</v>
      </c>
      <c r="C2246" s="2">
        <f t="shared" si="210"/>
        <v>1.881</v>
      </c>
      <c r="D2246" s="2">
        <f t="shared" si="211"/>
        <v>470596</v>
      </c>
      <c r="E2246" s="2">
        <f t="shared" si="212"/>
        <v>322828856</v>
      </c>
      <c r="F2246" s="2">
        <f t="shared" si="213"/>
        <v>221460595216</v>
      </c>
      <c r="G2246" s="2">
        <f t="shared" si="214"/>
        <v>1290.366</v>
      </c>
      <c r="H2246" s="2">
        <f t="shared" si="215"/>
        <v>885191.076</v>
      </c>
    </row>
    <row r="2247" spans="1:8" x14ac:dyDescent="0.35">
      <c r="A2247" s="2">
        <v>686</v>
      </c>
      <c r="B2247" s="2">
        <v>19977</v>
      </c>
      <c r="C2247" s="2">
        <f t="shared" si="210"/>
        <v>1.9977</v>
      </c>
      <c r="D2247" s="2">
        <f t="shared" si="211"/>
        <v>470596</v>
      </c>
      <c r="E2247" s="2">
        <f t="shared" si="212"/>
        <v>322828856</v>
      </c>
      <c r="F2247" s="2">
        <f t="shared" si="213"/>
        <v>221460595216</v>
      </c>
      <c r="G2247" s="2">
        <f t="shared" si="214"/>
        <v>1370.4222</v>
      </c>
      <c r="H2247" s="2">
        <f t="shared" si="215"/>
        <v>940109.62919999997</v>
      </c>
    </row>
    <row r="2248" spans="1:8" x14ac:dyDescent="0.35">
      <c r="A2248" s="2">
        <v>686</v>
      </c>
      <c r="B2248" s="2">
        <v>18265</v>
      </c>
      <c r="C2248" s="2">
        <f t="shared" si="210"/>
        <v>1.8265</v>
      </c>
      <c r="D2248" s="2">
        <f t="shared" si="211"/>
        <v>470596</v>
      </c>
      <c r="E2248" s="2">
        <f t="shared" si="212"/>
        <v>322828856</v>
      </c>
      <c r="F2248" s="2">
        <f t="shared" si="213"/>
        <v>221460595216</v>
      </c>
      <c r="G2248" s="2">
        <f t="shared" si="214"/>
        <v>1252.979</v>
      </c>
      <c r="H2248" s="2">
        <f t="shared" si="215"/>
        <v>859543.59400000004</v>
      </c>
    </row>
    <row r="2249" spans="1:8" x14ac:dyDescent="0.35">
      <c r="A2249" s="2">
        <v>686</v>
      </c>
      <c r="B2249" s="2">
        <v>21206</v>
      </c>
      <c r="C2249" s="2">
        <f t="shared" si="210"/>
        <v>2.1206</v>
      </c>
      <c r="D2249" s="2">
        <f t="shared" si="211"/>
        <v>470596</v>
      </c>
      <c r="E2249" s="2">
        <f t="shared" si="212"/>
        <v>322828856</v>
      </c>
      <c r="F2249" s="2">
        <f t="shared" si="213"/>
        <v>221460595216</v>
      </c>
      <c r="G2249" s="2">
        <f t="shared" si="214"/>
        <v>1454.7316000000001</v>
      </c>
      <c r="H2249" s="2">
        <f t="shared" si="215"/>
        <v>997945.87760000001</v>
      </c>
    </row>
    <row r="2250" spans="1:8" x14ac:dyDescent="0.35">
      <c r="A2250" s="2">
        <v>686</v>
      </c>
      <c r="B2250" s="2">
        <v>24825</v>
      </c>
      <c r="C2250" s="2">
        <f t="shared" si="210"/>
        <v>2.4824999999999999</v>
      </c>
      <c r="D2250" s="2">
        <f t="shared" si="211"/>
        <v>470596</v>
      </c>
      <c r="E2250" s="2">
        <f t="shared" si="212"/>
        <v>322828856</v>
      </c>
      <c r="F2250" s="2">
        <f t="shared" si="213"/>
        <v>221460595216</v>
      </c>
      <c r="G2250" s="2">
        <f t="shared" si="214"/>
        <v>1702.9949999999999</v>
      </c>
      <c r="H2250" s="2">
        <f t="shared" si="215"/>
        <v>1168254.57</v>
      </c>
    </row>
    <row r="2251" spans="1:8" x14ac:dyDescent="0.35">
      <c r="A2251" s="2">
        <v>686</v>
      </c>
      <c r="B2251" s="2">
        <v>23497</v>
      </c>
      <c r="C2251" s="2">
        <f t="shared" si="210"/>
        <v>2.3496999999999999</v>
      </c>
      <c r="D2251" s="2">
        <f t="shared" si="211"/>
        <v>470596</v>
      </c>
      <c r="E2251" s="2">
        <f t="shared" si="212"/>
        <v>322828856</v>
      </c>
      <c r="F2251" s="2">
        <f t="shared" si="213"/>
        <v>221460595216</v>
      </c>
      <c r="G2251" s="2">
        <f t="shared" si="214"/>
        <v>1611.8942</v>
      </c>
      <c r="H2251" s="2">
        <f t="shared" si="215"/>
        <v>1105759.4212</v>
      </c>
    </row>
    <row r="2252" spans="1:8" x14ac:dyDescent="0.35">
      <c r="A2252" s="2">
        <v>686</v>
      </c>
      <c r="B2252" s="2">
        <v>24065</v>
      </c>
      <c r="C2252" s="2">
        <f t="shared" si="210"/>
        <v>2.4064999999999999</v>
      </c>
      <c r="D2252" s="2">
        <f t="shared" si="211"/>
        <v>470596</v>
      </c>
      <c r="E2252" s="2">
        <f t="shared" si="212"/>
        <v>322828856</v>
      </c>
      <c r="F2252" s="2">
        <f t="shared" si="213"/>
        <v>221460595216</v>
      </c>
      <c r="G2252" s="2">
        <f t="shared" si="214"/>
        <v>1650.8589999999999</v>
      </c>
      <c r="H2252" s="2">
        <f t="shared" si="215"/>
        <v>1132489.274</v>
      </c>
    </row>
    <row r="2253" spans="1:8" x14ac:dyDescent="0.35">
      <c r="A2253" s="2">
        <v>686</v>
      </c>
      <c r="B2253" s="2">
        <v>24809</v>
      </c>
      <c r="C2253" s="2">
        <f t="shared" si="210"/>
        <v>2.4809000000000001</v>
      </c>
      <c r="D2253" s="2">
        <f t="shared" si="211"/>
        <v>470596</v>
      </c>
      <c r="E2253" s="2">
        <f t="shared" si="212"/>
        <v>322828856</v>
      </c>
      <c r="F2253" s="2">
        <f t="shared" si="213"/>
        <v>221460595216</v>
      </c>
      <c r="G2253" s="2">
        <f t="shared" si="214"/>
        <v>1701.8974000000001</v>
      </c>
      <c r="H2253" s="2">
        <f t="shared" si="215"/>
        <v>1167501.6163999999</v>
      </c>
    </row>
    <row r="2254" spans="1:8" x14ac:dyDescent="0.35">
      <c r="A2254" s="2">
        <v>686</v>
      </c>
      <c r="B2254" s="2">
        <v>20869</v>
      </c>
      <c r="C2254" s="2">
        <f t="shared" si="210"/>
        <v>2.0869</v>
      </c>
      <c r="D2254" s="2">
        <f t="shared" si="211"/>
        <v>470596</v>
      </c>
      <c r="E2254" s="2">
        <f t="shared" si="212"/>
        <v>322828856</v>
      </c>
      <c r="F2254" s="2">
        <f t="shared" si="213"/>
        <v>221460595216</v>
      </c>
      <c r="G2254" s="2">
        <f t="shared" si="214"/>
        <v>1431.6134</v>
      </c>
      <c r="H2254" s="2">
        <f t="shared" si="215"/>
        <v>982086.79240000003</v>
      </c>
    </row>
    <row r="2255" spans="1:8" x14ac:dyDescent="0.35">
      <c r="A2255" s="2">
        <v>686</v>
      </c>
      <c r="B2255" s="2">
        <v>22497</v>
      </c>
      <c r="C2255" s="2">
        <f t="shared" si="210"/>
        <v>2.2496999999999998</v>
      </c>
      <c r="D2255" s="2">
        <f t="shared" si="211"/>
        <v>470596</v>
      </c>
      <c r="E2255" s="2">
        <f t="shared" si="212"/>
        <v>322828856</v>
      </c>
      <c r="F2255" s="2">
        <f t="shared" si="213"/>
        <v>221460595216</v>
      </c>
      <c r="G2255" s="2">
        <f t="shared" si="214"/>
        <v>1543.2941999999998</v>
      </c>
      <c r="H2255" s="2">
        <f t="shared" si="215"/>
        <v>1058699.8211999999</v>
      </c>
    </row>
    <row r="2256" spans="1:8" x14ac:dyDescent="0.35">
      <c r="A2256" s="2">
        <v>686</v>
      </c>
      <c r="B2256" s="2">
        <v>20157</v>
      </c>
      <c r="C2256" s="2">
        <f t="shared" si="210"/>
        <v>2.0156999999999998</v>
      </c>
      <c r="D2256" s="2">
        <f t="shared" si="211"/>
        <v>470596</v>
      </c>
      <c r="E2256" s="2">
        <f t="shared" si="212"/>
        <v>322828856</v>
      </c>
      <c r="F2256" s="2">
        <f t="shared" si="213"/>
        <v>221460595216</v>
      </c>
      <c r="G2256" s="2">
        <f t="shared" si="214"/>
        <v>1382.7701999999999</v>
      </c>
      <c r="H2256" s="2">
        <f t="shared" si="215"/>
        <v>948580.35719999997</v>
      </c>
    </row>
    <row r="2257" spans="1:8" x14ac:dyDescent="0.35">
      <c r="A2257" s="2">
        <v>686</v>
      </c>
      <c r="B2257" s="2">
        <v>23254</v>
      </c>
      <c r="C2257" s="2">
        <f t="shared" si="210"/>
        <v>2.3254000000000001</v>
      </c>
      <c r="D2257" s="2">
        <f t="shared" si="211"/>
        <v>470596</v>
      </c>
      <c r="E2257" s="2">
        <f t="shared" si="212"/>
        <v>322828856</v>
      </c>
      <c r="F2257" s="2">
        <f t="shared" si="213"/>
        <v>221460595216</v>
      </c>
      <c r="G2257" s="2">
        <f t="shared" si="214"/>
        <v>1595.2244000000001</v>
      </c>
      <c r="H2257" s="2">
        <f t="shared" si="215"/>
        <v>1094323.9384000001</v>
      </c>
    </row>
    <row r="2258" spans="1:8" x14ac:dyDescent="0.35">
      <c r="A2258" s="2">
        <v>686</v>
      </c>
      <c r="B2258" s="2">
        <v>27204</v>
      </c>
      <c r="C2258" s="2">
        <f t="shared" si="210"/>
        <v>2.7204000000000002</v>
      </c>
      <c r="D2258" s="2">
        <f t="shared" si="211"/>
        <v>470596</v>
      </c>
      <c r="E2258" s="2">
        <f t="shared" si="212"/>
        <v>322828856</v>
      </c>
      <c r="F2258" s="2">
        <f t="shared" si="213"/>
        <v>221460595216</v>
      </c>
      <c r="G2258" s="2">
        <f t="shared" si="214"/>
        <v>1866.1944000000001</v>
      </c>
      <c r="H2258" s="2">
        <f t="shared" si="215"/>
        <v>1280209.3584</v>
      </c>
    </row>
    <row r="2259" spans="1:8" x14ac:dyDescent="0.35">
      <c r="A2259" s="2">
        <v>686</v>
      </c>
      <c r="B2259" s="2">
        <v>28000</v>
      </c>
      <c r="C2259" s="2">
        <f t="shared" si="210"/>
        <v>2.8</v>
      </c>
      <c r="D2259" s="2">
        <f t="shared" si="211"/>
        <v>470596</v>
      </c>
      <c r="E2259" s="2">
        <f t="shared" si="212"/>
        <v>322828856</v>
      </c>
      <c r="F2259" s="2">
        <f t="shared" si="213"/>
        <v>221460595216</v>
      </c>
      <c r="G2259" s="2">
        <f t="shared" si="214"/>
        <v>1920.8</v>
      </c>
      <c r="H2259" s="2">
        <f t="shared" si="215"/>
        <v>1317668.7999999998</v>
      </c>
    </row>
    <row r="2260" spans="1:8" x14ac:dyDescent="0.35">
      <c r="A2260" s="2">
        <v>686</v>
      </c>
      <c r="B2260" s="2">
        <v>23454</v>
      </c>
      <c r="C2260" s="2">
        <f t="shared" si="210"/>
        <v>2.3454000000000002</v>
      </c>
      <c r="D2260" s="2">
        <f t="shared" si="211"/>
        <v>470596</v>
      </c>
      <c r="E2260" s="2">
        <f t="shared" si="212"/>
        <v>322828856</v>
      </c>
      <c r="F2260" s="2">
        <f t="shared" si="213"/>
        <v>221460595216</v>
      </c>
      <c r="G2260" s="2">
        <f t="shared" si="214"/>
        <v>1608.9444000000001</v>
      </c>
      <c r="H2260" s="2">
        <f t="shared" si="215"/>
        <v>1103735.8584</v>
      </c>
    </row>
    <row r="2261" spans="1:8" x14ac:dyDescent="0.35">
      <c r="A2261" s="2">
        <v>686</v>
      </c>
      <c r="B2261" s="2">
        <v>23729</v>
      </c>
      <c r="C2261" s="2">
        <f t="shared" si="210"/>
        <v>2.3729</v>
      </c>
      <c r="D2261" s="2">
        <f t="shared" si="211"/>
        <v>470596</v>
      </c>
      <c r="E2261" s="2">
        <f t="shared" si="212"/>
        <v>322828856</v>
      </c>
      <c r="F2261" s="2">
        <f t="shared" si="213"/>
        <v>221460595216</v>
      </c>
      <c r="G2261" s="2">
        <f t="shared" si="214"/>
        <v>1627.8094000000001</v>
      </c>
      <c r="H2261" s="2">
        <f t="shared" si="215"/>
        <v>1116677.2483999999</v>
      </c>
    </row>
    <row r="2262" spans="1:8" x14ac:dyDescent="0.35">
      <c r="A2262" s="2">
        <v>686</v>
      </c>
      <c r="B2262" s="2">
        <v>22676</v>
      </c>
      <c r="C2262" s="2">
        <f t="shared" si="210"/>
        <v>2.2675999999999998</v>
      </c>
      <c r="D2262" s="2">
        <f t="shared" si="211"/>
        <v>470596</v>
      </c>
      <c r="E2262" s="2">
        <f t="shared" si="212"/>
        <v>322828856</v>
      </c>
      <c r="F2262" s="2">
        <f t="shared" si="213"/>
        <v>221460595216</v>
      </c>
      <c r="G2262" s="2">
        <f t="shared" si="214"/>
        <v>1555.5735999999999</v>
      </c>
      <c r="H2262" s="2">
        <f t="shared" si="215"/>
        <v>1067123.4896</v>
      </c>
    </row>
    <row r="2263" spans="1:8" x14ac:dyDescent="0.35">
      <c r="A2263" s="2">
        <v>686</v>
      </c>
      <c r="B2263" s="2">
        <v>24758</v>
      </c>
      <c r="C2263" s="2">
        <f t="shared" si="210"/>
        <v>2.4758</v>
      </c>
      <c r="D2263" s="2">
        <f t="shared" si="211"/>
        <v>470596</v>
      </c>
      <c r="E2263" s="2">
        <f t="shared" si="212"/>
        <v>322828856</v>
      </c>
      <c r="F2263" s="2">
        <f t="shared" si="213"/>
        <v>221460595216</v>
      </c>
      <c r="G2263" s="2">
        <f t="shared" si="214"/>
        <v>1698.3987999999999</v>
      </c>
      <c r="H2263" s="2">
        <f t="shared" si="215"/>
        <v>1165101.5767999999</v>
      </c>
    </row>
    <row r="2264" spans="1:8" x14ac:dyDescent="0.35">
      <c r="A2264" s="2">
        <v>686</v>
      </c>
      <c r="B2264" s="2">
        <v>28542</v>
      </c>
      <c r="C2264" s="2">
        <f t="shared" si="210"/>
        <v>2.8542000000000001</v>
      </c>
      <c r="D2264" s="2">
        <f t="shared" si="211"/>
        <v>470596</v>
      </c>
      <c r="E2264" s="2">
        <f t="shared" si="212"/>
        <v>322828856</v>
      </c>
      <c r="F2264" s="2">
        <f t="shared" si="213"/>
        <v>221460595216</v>
      </c>
      <c r="G2264" s="2">
        <f t="shared" si="214"/>
        <v>1957.9811999999999</v>
      </c>
      <c r="H2264" s="2">
        <f t="shared" si="215"/>
        <v>1343175.1032</v>
      </c>
    </row>
    <row r="2265" spans="1:8" x14ac:dyDescent="0.35">
      <c r="A2265" s="2">
        <v>686</v>
      </c>
      <c r="B2265" s="2">
        <v>22401</v>
      </c>
      <c r="C2265" s="2">
        <f t="shared" si="210"/>
        <v>2.2401</v>
      </c>
      <c r="D2265" s="2">
        <f t="shared" si="211"/>
        <v>470596</v>
      </c>
      <c r="E2265" s="2">
        <f t="shared" si="212"/>
        <v>322828856</v>
      </c>
      <c r="F2265" s="2">
        <f t="shared" si="213"/>
        <v>221460595216</v>
      </c>
      <c r="G2265" s="2">
        <f t="shared" si="214"/>
        <v>1536.7085999999999</v>
      </c>
      <c r="H2265" s="2">
        <f t="shared" si="215"/>
        <v>1054182.0996000001</v>
      </c>
    </row>
    <row r="2266" spans="1:8" x14ac:dyDescent="0.35">
      <c r="A2266" s="2">
        <v>686</v>
      </c>
      <c r="B2266" s="2">
        <v>24078</v>
      </c>
      <c r="C2266" s="2">
        <f t="shared" si="210"/>
        <v>2.4077999999999999</v>
      </c>
      <c r="D2266" s="2">
        <f t="shared" si="211"/>
        <v>470596</v>
      </c>
      <c r="E2266" s="2">
        <f t="shared" si="212"/>
        <v>322828856</v>
      </c>
      <c r="F2266" s="2">
        <f t="shared" si="213"/>
        <v>221460595216</v>
      </c>
      <c r="G2266" s="2">
        <f t="shared" si="214"/>
        <v>1651.7508</v>
      </c>
      <c r="H2266" s="2">
        <f t="shared" si="215"/>
        <v>1133101.0488</v>
      </c>
    </row>
    <row r="2267" spans="1:8" x14ac:dyDescent="0.35">
      <c r="A2267" s="2">
        <v>686</v>
      </c>
      <c r="B2267" s="2">
        <v>32572</v>
      </c>
      <c r="C2267" s="2">
        <f t="shared" si="210"/>
        <v>3.2572000000000001</v>
      </c>
      <c r="D2267" s="2">
        <f t="shared" si="211"/>
        <v>470596</v>
      </c>
      <c r="E2267" s="2">
        <f t="shared" si="212"/>
        <v>322828856</v>
      </c>
      <c r="F2267" s="2">
        <f t="shared" si="213"/>
        <v>221460595216</v>
      </c>
      <c r="G2267" s="2">
        <f t="shared" si="214"/>
        <v>2234.4392000000003</v>
      </c>
      <c r="H2267" s="2">
        <f t="shared" si="215"/>
        <v>1532825.2912000001</v>
      </c>
    </row>
    <row r="2268" spans="1:8" x14ac:dyDescent="0.35">
      <c r="A2268" s="2">
        <v>686</v>
      </c>
      <c r="B2268" s="2">
        <v>36022</v>
      </c>
      <c r="C2268" s="2">
        <f t="shared" si="210"/>
        <v>3.6021999999999998</v>
      </c>
      <c r="D2268" s="2">
        <f t="shared" si="211"/>
        <v>470596</v>
      </c>
      <c r="E2268" s="2">
        <f t="shared" si="212"/>
        <v>322828856</v>
      </c>
      <c r="F2268" s="2">
        <f t="shared" si="213"/>
        <v>221460595216</v>
      </c>
      <c r="G2268" s="2">
        <f t="shared" si="214"/>
        <v>2471.1091999999999</v>
      </c>
      <c r="H2268" s="2">
        <f t="shared" si="215"/>
        <v>1695180.9112</v>
      </c>
    </row>
    <row r="2269" spans="1:8" x14ac:dyDescent="0.35">
      <c r="A2269" s="2">
        <v>686</v>
      </c>
      <c r="B2269" s="2">
        <v>41033</v>
      </c>
      <c r="C2269" s="2">
        <f t="shared" si="210"/>
        <v>4.1032999999999999</v>
      </c>
      <c r="D2269" s="2">
        <f t="shared" si="211"/>
        <v>470596</v>
      </c>
      <c r="E2269" s="2">
        <f t="shared" si="212"/>
        <v>322828856</v>
      </c>
      <c r="F2269" s="2">
        <f t="shared" si="213"/>
        <v>221460595216</v>
      </c>
      <c r="G2269" s="2">
        <f t="shared" si="214"/>
        <v>2814.8638000000001</v>
      </c>
      <c r="H2269" s="2">
        <f t="shared" si="215"/>
        <v>1930996.5667999999</v>
      </c>
    </row>
    <row r="2270" spans="1:8" x14ac:dyDescent="0.35">
      <c r="A2270" s="2">
        <v>686</v>
      </c>
      <c r="B2270" s="2">
        <v>37171</v>
      </c>
      <c r="C2270" s="2">
        <f t="shared" si="210"/>
        <v>3.7170999999999998</v>
      </c>
      <c r="D2270" s="2">
        <f t="shared" si="211"/>
        <v>470596</v>
      </c>
      <c r="E2270" s="2">
        <f t="shared" si="212"/>
        <v>322828856</v>
      </c>
      <c r="F2270" s="2">
        <f t="shared" si="213"/>
        <v>221460595216</v>
      </c>
      <c r="G2270" s="2">
        <f t="shared" si="214"/>
        <v>2549.9305999999997</v>
      </c>
      <c r="H2270" s="2">
        <f t="shared" si="215"/>
        <v>1749252.3916</v>
      </c>
    </row>
    <row r="2271" spans="1:8" x14ac:dyDescent="0.35">
      <c r="A2271" s="2">
        <v>686</v>
      </c>
      <c r="B2271" s="2">
        <v>39892</v>
      </c>
      <c r="C2271" s="2">
        <f t="shared" si="210"/>
        <v>3.9891999999999999</v>
      </c>
      <c r="D2271" s="2">
        <f t="shared" si="211"/>
        <v>470596</v>
      </c>
      <c r="E2271" s="2">
        <f t="shared" si="212"/>
        <v>322828856</v>
      </c>
      <c r="F2271" s="2">
        <f t="shared" si="213"/>
        <v>221460595216</v>
      </c>
      <c r="G2271" s="2">
        <f t="shared" si="214"/>
        <v>2736.5911999999998</v>
      </c>
      <c r="H2271" s="2">
        <f t="shared" si="215"/>
        <v>1877301.5632</v>
      </c>
    </row>
    <row r="2272" spans="1:8" x14ac:dyDescent="0.35">
      <c r="A2272" s="2">
        <v>686</v>
      </c>
      <c r="B2272" s="2">
        <v>40181</v>
      </c>
      <c r="C2272" s="2">
        <f t="shared" si="210"/>
        <v>4.0180999999999996</v>
      </c>
      <c r="D2272" s="2">
        <f t="shared" si="211"/>
        <v>470596</v>
      </c>
      <c r="E2272" s="2">
        <f t="shared" si="212"/>
        <v>322828856</v>
      </c>
      <c r="F2272" s="2">
        <f t="shared" si="213"/>
        <v>221460595216</v>
      </c>
      <c r="G2272" s="2">
        <f t="shared" si="214"/>
        <v>2756.4165999999996</v>
      </c>
      <c r="H2272" s="2">
        <f t="shared" si="215"/>
        <v>1890901.7875999997</v>
      </c>
    </row>
    <row r="2273" spans="1:8" x14ac:dyDescent="0.35">
      <c r="A2273" s="2">
        <v>686</v>
      </c>
      <c r="B2273" s="2">
        <v>41417</v>
      </c>
      <c r="C2273" s="2">
        <f t="shared" si="210"/>
        <v>4.1417000000000002</v>
      </c>
      <c r="D2273" s="2">
        <f t="shared" si="211"/>
        <v>470596</v>
      </c>
      <c r="E2273" s="2">
        <f t="shared" si="212"/>
        <v>322828856</v>
      </c>
      <c r="F2273" s="2">
        <f t="shared" si="213"/>
        <v>221460595216</v>
      </c>
      <c r="G2273" s="2">
        <f t="shared" si="214"/>
        <v>2841.2062000000001</v>
      </c>
      <c r="H2273" s="2">
        <f t="shared" si="215"/>
        <v>1949067.4532000001</v>
      </c>
    </row>
    <row r="2274" spans="1:8" x14ac:dyDescent="0.35">
      <c r="A2274" s="2">
        <v>686</v>
      </c>
      <c r="B2274" s="2">
        <v>38194</v>
      </c>
      <c r="C2274" s="2">
        <f t="shared" si="210"/>
        <v>3.8193999999999999</v>
      </c>
      <c r="D2274" s="2">
        <f t="shared" si="211"/>
        <v>470596</v>
      </c>
      <c r="E2274" s="2">
        <f t="shared" si="212"/>
        <v>322828856</v>
      </c>
      <c r="F2274" s="2">
        <f t="shared" si="213"/>
        <v>221460595216</v>
      </c>
      <c r="G2274" s="2">
        <f t="shared" si="214"/>
        <v>2620.1084000000001</v>
      </c>
      <c r="H2274" s="2">
        <f t="shared" si="215"/>
        <v>1797394.3624</v>
      </c>
    </row>
    <row r="2275" spans="1:8" x14ac:dyDescent="0.35">
      <c r="A2275" s="2">
        <v>686</v>
      </c>
      <c r="B2275" s="2">
        <v>39289</v>
      </c>
      <c r="C2275" s="2">
        <f t="shared" si="210"/>
        <v>3.9289000000000001</v>
      </c>
      <c r="D2275" s="2">
        <f t="shared" si="211"/>
        <v>470596</v>
      </c>
      <c r="E2275" s="2">
        <f t="shared" si="212"/>
        <v>322828856</v>
      </c>
      <c r="F2275" s="2">
        <f t="shared" si="213"/>
        <v>221460595216</v>
      </c>
      <c r="G2275" s="2">
        <f t="shared" si="214"/>
        <v>2695.2254000000003</v>
      </c>
      <c r="H2275" s="2">
        <f t="shared" si="215"/>
        <v>1848924.6244000001</v>
      </c>
    </row>
    <row r="2276" spans="1:8" x14ac:dyDescent="0.35">
      <c r="A2276" s="2">
        <v>2526</v>
      </c>
      <c r="B2276" s="2">
        <v>12652</v>
      </c>
      <c r="C2276" s="2">
        <f t="shared" si="210"/>
        <v>1.2652000000000001</v>
      </c>
      <c r="D2276" s="2">
        <f t="shared" si="211"/>
        <v>6380676</v>
      </c>
      <c r="E2276" s="2">
        <f t="shared" si="212"/>
        <v>16117587576</v>
      </c>
      <c r="F2276" s="2">
        <f t="shared" si="213"/>
        <v>40713026216976</v>
      </c>
      <c r="G2276" s="2">
        <f t="shared" si="214"/>
        <v>3195.8952000000004</v>
      </c>
      <c r="H2276" s="2">
        <f t="shared" si="215"/>
        <v>8072831.275200001</v>
      </c>
    </row>
    <row r="2277" spans="1:8" x14ac:dyDescent="0.35">
      <c r="A2277" s="2">
        <v>2526</v>
      </c>
      <c r="B2277" s="2">
        <v>15447</v>
      </c>
      <c r="C2277" s="2">
        <f t="shared" si="210"/>
        <v>1.5447</v>
      </c>
      <c r="D2277" s="2">
        <f t="shared" si="211"/>
        <v>6380676</v>
      </c>
      <c r="E2277" s="2">
        <f t="shared" si="212"/>
        <v>16117587576</v>
      </c>
      <c r="F2277" s="2">
        <f t="shared" si="213"/>
        <v>40713026216976</v>
      </c>
      <c r="G2277" s="2">
        <f t="shared" si="214"/>
        <v>3901.9121999999998</v>
      </c>
      <c r="H2277" s="2">
        <f t="shared" si="215"/>
        <v>9856230.2171999998</v>
      </c>
    </row>
    <row r="2278" spans="1:8" x14ac:dyDescent="0.35">
      <c r="A2278" s="2">
        <v>2526</v>
      </c>
      <c r="B2278" s="2">
        <v>13030</v>
      </c>
      <c r="C2278" s="2">
        <f t="shared" si="210"/>
        <v>1.3029999999999999</v>
      </c>
      <c r="D2278" s="2">
        <f t="shared" si="211"/>
        <v>6380676</v>
      </c>
      <c r="E2278" s="2">
        <f t="shared" si="212"/>
        <v>16117587576</v>
      </c>
      <c r="F2278" s="2">
        <f t="shared" si="213"/>
        <v>40713026216976</v>
      </c>
      <c r="G2278" s="2">
        <f t="shared" si="214"/>
        <v>3291.3779999999997</v>
      </c>
      <c r="H2278" s="2">
        <f t="shared" si="215"/>
        <v>8314020.8279999997</v>
      </c>
    </row>
    <row r="2279" spans="1:8" x14ac:dyDescent="0.35">
      <c r="A2279" s="2">
        <v>2526</v>
      </c>
      <c r="B2279" s="2">
        <v>12842</v>
      </c>
      <c r="C2279" s="2">
        <f t="shared" si="210"/>
        <v>1.2842</v>
      </c>
      <c r="D2279" s="2">
        <f t="shared" si="211"/>
        <v>6380676</v>
      </c>
      <c r="E2279" s="2">
        <f t="shared" si="212"/>
        <v>16117587576</v>
      </c>
      <c r="F2279" s="2">
        <f t="shared" si="213"/>
        <v>40713026216976</v>
      </c>
      <c r="G2279" s="2">
        <f t="shared" si="214"/>
        <v>3243.8892000000001</v>
      </c>
      <c r="H2279" s="2">
        <f t="shared" si="215"/>
        <v>8194064.1191999996</v>
      </c>
    </row>
    <row r="2280" spans="1:8" x14ac:dyDescent="0.35">
      <c r="A2280" s="2">
        <v>2526</v>
      </c>
      <c r="B2280" s="2">
        <v>12830</v>
      </c>
      <c r="C2280" s="2">
        <f t="shared" si="210"/>
        <v>1.2829999999999999</v>
      </c>
      <c r="D2280" s="2">
        <f t="shared" si="211"/>
        <v>6380676</v>
      </c>
      <c r="E2280" s="2">
        <f t="shared" si="212"/>
        <v>16117587576</v>
      </c>
      <c r="F2280" s="2">
        <f t="shared" si="213"/>
        <v>40713026216976</v>
      </c>
      <c r="G2280" s="2">
        <f t="shared" si="214"/>
        <v>3240.8579999999997</v>
      </c>
      <c r="H2280" s="2">
        <f t="shared" si="215"/>
        <v>8186407.3079999993</v>
      </c>
    </row>
    <row r="2281" spans="1:8" x14ac:dyDescent="0.35">
      <c r="A2281" s="2">
        <v>2526</v>
      </c>
      <c r="B2281" s="2">
        <v>13505</v>
      </c>
      <c r="C2281" s="2">
        <f t="shared" si="210"/>
        <v>1.3505</v>
      </c>
      <c r="D2281" s="2">
        <f t="shared" si="211"/>
        <v>6380676</v>
      </c>
      <c r="E2281" s="2">
        <f t="shared" si="212"/>
        <v>16117587576</v>
      </c>
      <c r="F2281" s="2">
        <f t="shared" si="213"/>
        <v>40713026216976</v>
      </c>
      <c r="G2281" s="2">
        <f t="shared" si="214"/>
        <v>3411.3630000000003</v>
      </c>
      <c r="H2281" s="2">
        <f t="shared" si="215"/>
        <v>8617102.938000001</v>
      </c>
    </row>
    <row r="2282" spans="1:8" x14ac:dyDescent="0.35">
      <c r="A2282" s="2">
        <v>2526</v>
      </c>
      <c r="B2282" s="2">
        <v>13505</v>
      </c>
      <c r="C2282" s="2">
        <f t="shared" si="210"/>
        <v>1.3505</v>
      </c>
      <c r="D2282" s="2">
        <f t="shared" si="211"/>
        <v>6380676</v>
      </c>
      <c r="E2282" s="2">
        <f t="shared" si="212"/>
        <v>16117587576</v>
      </c>
      <c r="F2282" s="2">
        <f t="shared" si="213"/>
        <v>40713026216976</v>
      </c>
      <c r="G2282" s="2">
        <f t="shared" si="214"/>
        <v>3411.3630000000003</v>
      </c>
      <c r="H2282" s="2">
        <f t="shared" si="215"/>
        <v>8617102.938000001</v>
      </c>
    </row>
    <row r="2283" spans="1:8" x14ac:dyDescent="0.35">
      <c r="A2283" s="2">
        <v>2526</v>
      </c>
      <c r="B2283" s="2">
        <v>12730</v>
      </c>
      <c r="C2283" s="2">
        <f t="shared" si="210"/>
        <v>1.2729999999999999</v>
      </c>
      <c r="D2283" s="2">
        <f t="shared" si="211"/>
        <v>6380676</v>
      </c>
      <c r="E2283" s="2">
        <f t="shared" si="212"/>
        <v>16117587576</v>
      </c>
      <c r="F2283" s="2">
        <f t="shared" si="213"/>
        <v>40713026216976</v>
      </c>
      <c r="G2283" s="2">
        <f t="shared" si="214"/>
        <v>3215.598</v>
      </c>
      <c r="H2283" s="2">
        <f t="shared" si="215"/>
        <v>8122600.5479999995</v>
      </c>
    </row>
    <row r="2284" spans="1:8" x14ac:dyDescent="0.35">
      <c r="A2284" s="2">
        <v>2526</v>
      </c>
      <c r="B2284" s="2">
        <v>12342</v>
      </c>
      <c r="C2284" s="2">
        <f t="shared" si="210"/>
        <v>1.2342</v>
      </c>
      <c r="D2284" s="2">
        <f t="shared" si="211"/>
        <v>6380676</v>
      </c>
      <c r="E2284" s="2">
        <f t="shared" si="212"/>
        <v>16117587576</v>
      </c>
      <c r="F2284" s="2">
        <f t="shared" si="213"/>
        <v>40713026216976</v>
      </c>
      <c r="G2284" s="2">
        <f t="shared" si="214"/>
        <v>3117.5891999999999</v>
      </c>
      <c r="H2284" s="2">
        <f t="shared" si="215"/>
        <v>7875030.3191999998</v>
      </c>
    </row>
    <row r="2285" spans="1:8" x14ac:dyDescent="0.35">
      <c r="A2285" s="2">
        <v>2526</v>
      </c>
      <c r="B2285" s="2">
        <v>12951</v>
      </c>
      <c r="C2285" s="2">
        <f t="shared" si="210"/>
        <v>1.2950999999999999</v>
      </c>
      <c r="D2285" s="2">
        <f t="shared" si="211"/>
        <v>6380676</v>
      </c>
      <c r="E2285" s="2">
        <f t="shared" si="212"/>
        <v>16117587576</v>
      </c>
      <c r="F2285" s="2">
        <f t="shared" si="213"/>
        <v>40713026216976</v>
      </c>
      <c r="G2285" s="2">
        <f t="shared" si="214"/>
        <v>3271.4225999999999</v>
      </c>
      <c r="H2285" s="2">
        <f t="shared" si="215"/>
        <v>8263613.4875999996</v>
      </c>
    </row>
    <row r="2286" spans="1:8" x14ac:dyDescent="0.35">
      <c r="A2286" s="2">
        <v>2526</v>
      </c>
      <c r="B2286" s="2">
        <v>13544</v>
      </c>
      <c r="C2286" s="2">
        <f t="shared" si="210"/>
        <v>1.3544</v>
      </c>
      <c r="D2286" s="2">
        <f t="shared" si="211"/>
        <v>6380676</v>
      </c>
      <c r="E2286" s="2">
        <f t="shared" si="212"/>
        <v>16117587576</v>
      </c>
      <c r="F2286" s="2">
        <f t="shared" si="213"/>
        <v>40713026216976</v>
      </c>
      <c r="G2286" s="2">
        <f t="shared" si="214"/>
        <v>3421.2144000000003</v>
      </c>
      <c r="H2286" s="2">
        <f t="shared" si="215"/>
        <v>8641987.5744000003</v>
      </c>
    </row>
    <row r="2287" spans="1:8" x14ac:dyDescent="0.35">
      <c r="A2287" s="2">
        <v>2526</v>
      </c>
      <c r="B2287" s="2">
        <v>12999</v>
      </c>
      <c r="C2287" s="2">
        <f t="shared" si="210"/>
        <v>1.2999000000000001</v>
      </c>
      <c r="D2287" s="2">
        <f t="shared" si="211"/>
        <v>6380676</v>
      </c>
      <c r="E2287" s="2">
        <f t="shared" si="212"/>
        <v>16117587576</v>
      </c>
      <c r="F2287" s="2">
        <f t="shared" si="213"/>
        <v>40713026216976</v>
      </c>
      <c r="G2287" s="2">
        <f t="shared" si="214"/>
        <v>3283.5473999999999</v>
      </c>
      <c r="H2287" s="2">
        <f t="shared" si="215"/>
        <v>8294240.7324000001</v>
      </c>
    </row>
    <row r="2288" spans="1:8" x14ac:dyDescent="0.35">
      <c r="A2288" s="2">
        <v>2526</v>
      </c>
      <c r="B2288" s="2">
        <v>11529</v>
      </c>
      <c r="C2288" s="2">
        <f t="shared" si="210"/>
        <v>1.1529</v>
      </c>
      <c r="D2288" s="2">
        <f t="shared" si="211"/>
        <v>6380676</v>
      </c>
      <c r="E2288" s="2">
        <f t="shared" si="212"/>
        <v>16117587576</v>
      </c>
      <c r="F2288" s="2">
        <f t="shared" si="213"/>
        <v>40713026216976</v>
      </c>
      <c r="G2288" s="2">
        <f t="shared" si="214"/>
        <v>2912.2254000000003</v>
      </c>
      <c r="H2288" s="2">
        <f t="shared" si="215"/>
        <v>7356281.3604000006</v>
      </c>
    </row>
    <row r="2289" spans="1:8" x14ac:dyDescent="0.35">
      <c r="A2289" s="2">
        <v>2526</v>
      </c>
      <c r="B2289" s="2">
        <v>11604</v>
      </c>
      <c r="C2289" s="2">
        <f t="shared" si="210"/>
        <v>1.1604000000000001</v>
      </c>
      <c r="D2289" s="2">
        <f t="shared" si="211"/>
        <v>6380676</v>
      </c>
      <c r="E2289" s="2">
        <f t="shared" si="212"/>
        <v>16117587576</v>
      </c>
      <c r="F2289" s="2">
        <f t="shared" si="213"/>
        <v>40713026216976</v>
      </c>
      <c r="G2289" s="2">
        <f t="shared" si="214"/>
        <v>2931.1704000000004</v>
      </c>
      <c r="H2289" s="2">
        <f t="shared" si="215"/>
        <v>7404136.4304000009</v>
      </c>
    </row>
    <row r="2290" spans="1:8" x14ac:dyDescent="0.35">
      <c r="A2290" s="2">
        <v>2526</v>
      </c>
      <c r="B2290" s="2">
        <v>10869</v>
      </c>
      <c r="C2290" s="2">
        <f t="shared" si="210"/>
        <v>1.0869</v>
      </c>
      <c r="D2290" s="2">
        <f t="shared" si="211"/>
        <v>6380676</v>
      </c>
      <c r="E2290" s="2">
        <f t="shared" si="212"/>
        <v>16117587576</v>
      </c>
      <c r="F2290" s="2">
        <f t="shared" si="213"/>
        <v>40713026216976</v>
      </c>
      <c r="G2290" s="2">
        <f t="shared" si="214"/>
        <v>2745.5093999999999</v>
      </c>
      <c r="H2290" s="2">
        <f t="shared" si="215"/>
        <v>6935156.7444000002</v>
      </c>
    </row>
    <row r="2291" spans="1:8" x14ac:dyDescent="0.35">
      <c r="A2291" s="2">
        <v>2526</v>
      </c>
      <c r="B2291" s="2">
        <v>10000</v>
      </c>
      <c r="C2291" s="2">
        <f t="shared" si="210"/>
        <v>1</v>
      </c>
      <c r="D2291" s="2">
        <f t="shared" si="211"/>
        <v>6380676</v>
      </c>
      <c r="E2291" s="2">
        <f t="shared" si="212"/>
        <v>16117587576</v>
      </c>
      <c r="F2291" s="2">
        <f t="shared" si="213"/>
        <v>40713026216976</v>
      </c>
      <c r="G2291" s="2">
        <f t="shared" si="214"/>
        <v>2526</v>
      </c>
      <c r="H2291" s="2">
        <f t="shared" si="215"/>
        <v>6380676</v>
      </c>
    </row>
    <row r="2292" spans="1:8" x14ac:dyDescent="0.35">
      <c r="A2292" s="2">
        <v>2526</v>
      </c>
      <c r="B2292" s="2">
        <v>10049</v>
      </c>
      <c r="C2292" s="2">
        <f t="shared" si="210"/>
        <v>1.0048999999999999</v>
      </c>
      <c r="D2292" s="2">
        <f t="shared" si="211"/>
        <v>6380676</v>
      </c>
      <c r="E2292" s="2">
        <f t="shared" si="212"/>
        <v>16117587576</v>
      </c>
      <c r="F2292" s="2">
        <f t="shared" si="213"/>
        <v>40713026216976</v>
      </c>
      <c r="G2292" s="2">
        <f t="shared" si="214"/>
        <v>2538.3773999999999</v>
      </c>
      <c r="H2292" s="2">
        <f t="shared" si="215"/>
        <v>6411941.3123999992</v>
      </c>
    </row>
    <row r="2293" spans="1:8" x14ac:dyDescent="0.35">
      <c r="A2293" s="2">
        <v>2526</v>
      </c>
      <c r="B2293" s="2">
        <v>10037</v>
      </c>
      <c r="C2293" s="2">
        <f t="shared" si="210"/>
        <v>1.0037</v>
      </c>
      <c r="D2293" s="2">
        <f t="shared" si="211"/>
        <v>6380676</v>
      </c>
      <c r="E2293" s="2">
        <f t="shared" si="212"/>
        <v>16117587576</v>
      </c>
      <c r="F2293" s="2">
        <f t="shared" si="213"/>
        <v>40713026216976</v>
      </c>
      <c r="G2293" s="2">
        <f t="shared" si="214"/>
        <v>2535.3462</v>
      </c>
      <c r="H2293" s="2">
        <f t="shared" si="215"/>
        <v>6404284.5011999998</v>
      </c>
    </row>
    <row r="2294" spans="1:8" x14ac:dyDescent="0.35">
      <c r="A2294" s="2">
        <v>2526</v>
      </c>
      <c r="B2294" s="2">
        <v>11354</v>
      </c>
      <c r="C2294" s="2">
        <f t="shared" si="210"/>
        <v>1.1354</v>
      </c>
      <c r="D2294" s="2">
        <f t="shared" si="211"/>
        <v>6380676</v>
      </c>
      <c r="E2294" s="2">
        <f t="shared" si="212"/>
        <v>16117587576</v>
      </c>
      <c r="F2294" s="2">
        <f t="shared" si="213"/>
        <v>40713026216976</v>
      </c>
      <c r="G2294" s="2">
        <f t="shared" si="214"/>
        <v>2868.0203999999999</v>
      </c>
      <c r="H2294" s="2">
        <f t="shared" si="215"/>
        <v>7244619.5303999996</v>
      </c>
    </row>
    <row r="2295" spans="1:8" x14ac:dyDescent="0.35">
      <c r="A2295" s="2">
        <v>2526</v>
      </c>
      <c r="B2295" s="2">
        <v>14317</v>
      </c>
      <c r="C2295" s="2">
        <f t="shared" si="210"/>
        <v>1.4317</v>
      </c>
      <c r="D2295" s="2">
        <f t="shared" si="211"/>
        <v>6380676</v>
      </c>
      <c r="E2295" s="2">
        <f t="shared" si="212"/>
        <v>16117587576</v>
      </c>
      <c r="F2295" s="2">
        <f t="shared" si="213"/>
        <v>40713026216976</v>
      </c>
      <c r="G2295" s="2">
        <f t="shared" si="214"/>
        <v>3616.4742000000001</v>
      </c>
      <c r="H2295" s="2">
        <f t="shared" si="215"/>
        <v>9135213.8291999996</v>
      </c>
    </row>
    <row r="2296" spans="1:8" x14ac:dyDescent="0.35">
      <c r="A2296" s="2">
        <v>2526</v>
      </c>
      <c r="B2296" s="2">
        <v>13600</v>
      </c>
      <c r="C2296" s="2">
        <f t="shared" si="210"/>
        <v>1.36</v>
      </c>
      <c r="D2296" s="2">
        <f t="shared" si="211"/>
        <v>6380676</v>
      </c>
      <c r="E2296" s="2">
        <f t="shared" si="212"/>
        <v>16117587576</v>
      </c>
      <c r="F2296" s="2">
        <f t="shared" si="213"/>
        <v>40713026216976</v>
      </c>
      <c r="G2296" s="2">
        <f t="shared" si="214"/>
        <v>3435.36</v>
      </c>
      <c r="H2296" s="2">
        <f t="shared" si="215"/>
        <v>8677719.3600000013</v>
      </c>
    </row>
    <row r="2297" spans="1:8" x14ac:dyDescent="0.35">
      <c r="A2297" s="2">
        <v>2526</v>
      </c>
      <c r="B2297" s="2">
        <v>14300</v>
      </c>
      <c r="C2297" s="2">
        <f t="shared" si="210"/>
        <v>1.43</v>
      </c>
      <c r="D2297" s="2">
        <f t="shared" si="211"/>
        <v>6380676</v>
      </c>
      <c r="E2297" s="2">
        <f t="shared" si="212"/>
        <v>16117587576</v>
      </c>
      <c r="F2297" s="2">
        <f t="shared" si="213"/>
        <v>40713026216976</v>
      </c>
      <c r="G2297" s="2">
        <f t="shared" si="214"/>
        <v>3612.18</v>
      </c>
      <c r="H2297" s="2">
        <f t="shared" si="215"/>
        <v>9124366.6799999997</v>
      </c>
    </row>
    <row r="2298" spans="1:8" x14ac:dyDescent="0.35">
      <c r="A2298" s="2">
        <v>2526</v>
      </c>
      <c r="B2298" s="2">
        <v>17800</v>
      </c>
      <c r="C2298" s="2">
        <f t="shared" si="210"/>
        <v>1.78</v>
      </c>
      <c r="D2298" s="2">
        <f t="shared" si="211"/>
        <v>6380676</v>
      </c>
      <c r="E2298" s="2">
        <f t="shared" si="212"/>
        <v>16117587576</v>
      </c>
      <c r="F2298" s="2">
        <f t="shared" si="213"/>
        <v>40713026216976</v>
      </c>
      <c r="G2298" s="2">
        <f t="shared" si="214"/>
        <v>4496.28</v>
      </c>
      <c r="H2298" s="2">
        <f t="shared" si="215"/>
        <v>11357603.279999999</v>
      </c>
    </row>
    <row r="2299" spans="1:8" x14ac:dyDescent="0.35">
      <c r="A2299" s="2">
        <v>2526</v>
      </c>
      <c r="B2299" s="2">
        <v>18700</v>
      </c>
      <c r="C2299" s="2">
        <f t="shared" si="210"/>
        <v>1.87</v>
      </c>
      <c r="D2299" s="2">
        <f t="shared" si="211"/>
        <v>6380676</v>
      </c>
      <c r="E2299" s="2">
        <f t="shared" si="212"/>
        <v>16117587576</v>
      </c>
      <c r="F2299" s="2">
        <f t="shared" si="213"/>
        <v>40713026216976</v>
      </c>
      <c r="G2299" s="2">
        <f t="shared" si="214"/>
        <v>4723.62</v>
      </c>
      <c r="H2299" s="2">
        <f t="shared" si="215"/>
        <v>11931864.120000001</v>
      </c>
    </row>
    <row r="2300" spans="1:8" x14ac:dyDescent="0.35">
      <c r="A2300" s="2">
        <v>2526</v>
      </c>
      <c r="B2300" s="2">
        <v>18700</v>
      </c>
      <c r="C2300" s="2">
        <f t="shared" si="210"/>
        <v>1.87</v>
      </c>
      <c r="D2300" s="2">
        <f t="shared" si="211"/>
        <v>6380676</v>
      </c>
      <c r="E2300" s="2">
        <f t="shared" si="212"/>
        <v>16117587576</v>
      </c>
      <c r="F2300" s="2">
        <f t="shared" si="213"/>
        <v>40713026216976</v>
      </c>
      <c r="G2300" s="2">
        <f t="shared" si="214"/>
        <v>4723.62</v>
      </c>
      <c r="H2300" s="2">
        <f t="shared" si="215"/>
        <v>11931864.120000001</v>
      </c>
    </row>
    <row r="2301" spans="1:8" x14ac:dyDescent="0.35">
      <c r="A2301" s="2">
        <v>2526</v>
      </c>
      <c r="B2301" s="2">
        <v>15900</v>
      </c>
      <c r="C2301" s="2">
        <f t="shared" si="210"/>
        <v>1.59</v>
      </c>
      <c r="D2301" s="2">
        <f t="shared" si="211"/>
        <v>6380676</v>
      </c>
      <c r="E2301" s="2">
        <f t="shared" si="212"/>
        <v>16117587576</v>
      </c>
      <c r="F2301" s="2">
        <f t="shared" si="213"/>
        <v>40713026216976</v>
      </c>
      <c r="G2301" s="2">
        <f t="shared" si="214"/>
        <v>4016.34</v>
      </c>
      <c r="H2301" s="2">
        <f t="shared" si="215"/>
        <v>10145274.84</v>
      </c>
    </row>
    <row r="2302" spans="1:8" x14ac:dyDescent="0.35">
      <c r="A2302" s="2">
        <v>2526</v>
      </c>
      <c r="B2302" s="2">
        <v>18700</v>
      </c>
      <c r="C2302" s="2">
        <f t="shared" si="210"/>
        <v>1.87</v>
      </c>
      <c r="D2302" s="2">
        <f t="shared" si="211"/>
        <v>6380676</v>
      </c>
      <c r="E2302" s="2">
        <f t="shared" si="212"/>
        <v>16117587576</v>
      </c>
      <c r="F2302" s="2">
        <f t="shared" si="213"/>
        <v>40713026216976</v>
      </c>
      <c r="G2302" s="2">
        <f t="shared" si="214"/>
        <v>4723.62</v>
      </c>
      <c r="H2302" s="2">
        <f t="shared" si="215"/>
        <v>11931864.120000001</v>
      </c>
    </row>
    <row r="2303" spans="1:8" x14ac:dyDescent="0.35">
      <c r="A2303" s="2">
        <v>2526</v>
      </c>
      <c r="B2303" s="2">
        <v>19524</v>
      </c>
      <c r="C2303" s="2">
        <f t="shared" si="210"/>
        <v>1.9523999999999999</v>
      </c>
      <c r="D2303" s="2">
        <f t="shared" si="211"/>
        <v>6380676</v>
      </c>
      <c r="E2303" s="2">
        <f t="shared" si="212"/>
        <v>16117587576</v>
      </c>
      <c r="F2303" s="2">
        <f t="shared" si="213"/>
        <v>40713026216976</v>
      </c>
      <c r="G2303" s="2">
        <f t="shared" si="214"/>
        <v>4931.7623999999996</v>
      </c>
      <c r="H2303" s="2">
        <f t="shared" si="215"/>
        <v>12457631.8224</v>
      </c>
    </row>
    <row r="2304" spans="1:8" x14ac:dyDescent="0.35">
      <c r="A2304" s="2">
        <v>2526</v>
      </c>
      <c r="B2304" s="2">
        <v>19910</v>
      </c>
      <c r="C2304" s="2">
        <f t="shared" si="210"/>
        <v>1.9910000000000001</v>
      </c>
      <c r="D2304" s="2">
        <f t="shared" si="211"/>
        <v>6380676</v>
      </c>
      <c r="E2304" s="2">
        <f t="shared" si="212"/>
        <v>16117587576</v>
      </c>
      <c r="F2304" s="2">
        <f t="shared" si="213"/>
        <v>40713026216976</v>
      </c>
      <c r="G2304" s="2">
        <f t="shared" si="214"/>
        <v>5029.2660000000005</v>
      </c>
      <c r="H2304" s="2">
        <f t="shared" si="215"/>
        <v>12703925.916000001</v>
      </c>
    </row>
    <row r="2305" spans="1:8" x14ac:dyDescent="0.35">
      <c r="A2305" s="2">
        <v>2526</v>
      </c>
      <c r="B2305" s="2">
        <v>20691</v>
      </c>
      <c r="C2305" s="2">
        <f t="shared" si="210"/>
        <v>2.0691000000000002</v>
      </c>
      <c r="D2305" s="2">
        <f t="shared" si="211"/>
        <v>6380676</v>
      </c>
      <c r="E2305" s="2">
        <f t="shared" si="212"/>
        <v>16117587576</v>
      </c>
      <c r="F2305" s="2">
        <f t="shared" si="213"/>
        <v>40713026216976</v>
      </c>
      <c r="G2305" s="2">
        <f t="shared" si="214"/>
        <v>5226.5466000000006</v>
      </c>
      <c r="H2305" s="2">
        <f t="shared" si="215"/>
        <v>13202256.711600002</v>
      </c>
    </row>
    <row r="2306" spans="1:8" x14ac:dyDescent="0.35">
      <c r="A2306" s="2">
        <v>3028</v>
      </c>
      <c r="B2306" s="2">
        <v>27438</v>
      </c>
      <c r="C2306" s="2">
        <f t="shared" si="210"/>
        <v>2.7437999999999998</v>
      </c>
      <c r="D2306" s="2">
        <f t="shared" si="211"/>
        <v>9168784</v>
      </c>
      <c r="E2306" s="2">
        <f t="shared" si="212"/>
        <v>27763077952</v>
      </c>
      <c r="F2306" s="2">
        <f t="shared" si="213"/>
        <v>84066600038656</v>
      </c>
      <c r="G2306" s="2">
        <f t="shared" si="214"/>
        <v>8308.2263999999996</v>
      </c>
      <c r="H2306" s="2">
        <f t="shared" si="215"/>
        <v>25157309.539199997</v>
      </c>
    </row>
    <row r="2307" spans="1:8" x14ac:dyDescent="0.35">
      <c r="A2307" s="2">
        <v>3028</v>
      </c>
      <c r="B2307" s="2">
        <v>27601</v>
      </c>
      <c r="C2307" s="2">
        <f t="shared" ref="C2307:C2370" si="216">B2307/10000</f>
        <v>2.7601</v>
      </c>
      <c r="D2307" s="2">
        <f t="shared" ref="D2307:D2370" si="217">A2307^2</f>
        <v>9168784</v>
      </c>
      <c r="E2307" s="2">
        <f t="shared" ref="E2307:E2370" si="218">A2307^3</f>
        <v>27763077952</v>
      </c>
      <c r="F2307" s="2">
        <f t="shared" ref="F2307:F2370" si="219">A2307^4</f>
        <v>84066600038656</v>
      </c>
      <c r="G2307" s="2">
        <f t="shared" ref="G2307:G2370" si="220">A2307*C2307</f>
        <v>8357.5828000000001</v>
      </c>
      <c r="H2307" s="2">
        <f t="shared" ref="H2307:H2370" si="221">D2307*C2307</f>
        <v>25306760.718400002</v>
      </c>
    </row>
    <row r="2308" spans="1:8" x14ac:dyDescent="0.35">
      <c r="A2308" s="2">
        <v>3028</v>
      </c>
      <c r="B2308" s="2">
        <v>35714</v>
      </c>
      <c r="C2308" s="2">
        <f t="shared" si="216"/>
        <v>3.5714000000000001</v>
      </c>
      <c r="D2308" s="2">
        <f t="shared" si="217"/>
        <v>9168784</v>
      </c>
      <c r="E2308" s="2">
        <f t="shared" si="218"/>
        <v>27763077952</v>
      </c>
      <c r="F2308" s="2">
        <f t="shared" si="219"/>
        <v>84066600038656</v>
      </c>
      <c r="G2308" s="2">
        <f t="shared" si="220"/>
        <v>10814.199200000001</v>
      </c>
      <c r="H2308" s="2">
        <f t="shared" si="221"/>
        <v>32745395.1776</v>
      </c>
    </row>
    <row r="2309" spans="1:8" x14ac:dyDescent="0.35">
      <c r="A2309" s="2">
        <v>3028</v>
      </c>
      <c r="B2309" s="2">
        <v>48513</v>
      </c>
      <c r="C2309" s="2">
        <f t="shared" si="216"/>
        <v>4.8513000000000002</v>
      </c>
      <c r="D2309" s="2">
        <f t="shared" si="217"/>
        <v>9168784</v>
      </c>
      <c r="E2309" s="2">
        <f t="shared" si="218"/>
        <v>27763077952</v>
      </c>
      <c r="F2309" s="2">
        <f t="shared" si="219"/>
        <v>84066600038656</v>
      </c>
      <c r="G2309" s="2">
        <f t="shared" si="220"/>
        <v>14689.7364</v>
      </c>
      <c r="H2309" s="2">
        <f t="shared" si="221"/>
        <v>44480521.819200002</v>
      </c>
    </row>
    <row r="2310" spans="1:8" x14ac:dyDescent="0.35">
      <c r="A2310" s="2">
        <v>3028</v>
      </c>
      <c r="B2310" s="2">
        <v>47543</v>
      </c>
      <c r="C2310" s="2">
        <f t="shared" si="216"/>
        <v>4.7542999999999997</v>
      </c>
      <c r="D2310" s="2">
        <f t="shared" si="217"/>
        <v>9168784</v>
      </c>
      <c r="E2310" s="2">
        <f t="shared" si="218"/>
        <v>27763077952</v>
      </c>
      <c r="F2310" s="2">
        <f t="shared" si="219"/>
        <v>84066600038656</v>
      </c>
      <c r="G2310" s="2">
        <f t="shared" si="220"/>
        <v>14396.020399999999</v>
      </c>
      <c r="H2310" s="2">
        <f t="shared" si="221"/>
        <v>43591149.771200001</v>
      </c>
    </row>
    <row r="2311" spans="1:8" x14ac:dyDescent="0.35">
      <c r="A2311" s="2">
        <v>3028</v>
      </c>
      <c r="B2311" s="2">
        <v>46572</v>
      </c>
      <c r="C2311" s="2">
        <f t="shared" si="216"/>
        <v>4.6571999999999996</v>
      </c>
      <c r="D2311" s="2">
        <f t="shared" si="217"/>
        <v>9168784</v>
      </c>
      <c r="E2311" s="2">
        <f t="shared" si="218"/>
        <v>27763077952</v>
      </c>
      <c r="F2311" s="2">
        <f t="shared" si="219"/>
        <v>84066600038656</v>
      </c>
      <c r="G2311" s="2">
        <f t="shared" si="220"/>
        <v>14102.001599999998</v>
      </c>
      <c r="H2311" s="2">
        <f t="shared" si="221"/>
        <v>42700860.844799995</v>
      </c>
    </row>
    <row r="2312" spans="1:8" x14ac:dyDescent="0.35">
      <c r="A2312" s="2">
        <v>3028</v>
      </c>
      <c r="B2312" s="2">
        <v>45602</v>
      </c>
      <c r="C2312" s="2">
        <f t="shared" si="216"/>
        <v>4.5602</v>
      </c>
      <c r="D2312" s="2">
        <f t="shared" si="217"/>
        <v>9168784</v>
      </c>
      <c r="E2312" s="2">
        <f t="shared" si="218"/>
        <v>27763077952</v>
      </c>
      <c r="F2312" s="2">
        <f t="shared" si="219"/>
        <v>84066600038656</v>
      </c>
      <c r="G2312" s="2">
        <f t="shared" si="220"/>
        <v>13808.285599999999</v>
      </c>
      <c r="H2312" s="2">
        <f t="shared" si="221"/>
        <v>41811488.796800002</v>
      </c>
    </row>
    <row r="2313" spans="1:8" x14ac:dyDescent="0.35">
      <c r="A2313" s="2">
        <v>3028</v>
      </c>
      <c r="B2313" s="2">
        <v>44631</v>
      </c>
      <c r="C2313" s="2">
        <f t="shared" si="216"/>
        <v>4.4630999999999998</v>
      </c>
      <c r="D2313" s="2">
        <f t="shared" si="217"/>
        <v>9168784</v>
      </c>
      <c r="E2313" s="2">
        <f t="shared" si="218"/>
        <v>27763077952</v>
      </c>
      <c r="F2313" s="2">
        <f t="shared" si="219"/>
        <v>84066600038656</v>
      </c>
      <c r="G2313" s="2">
        <f t="shared" si="220"/>
        <v>13514.266799999999</v>
      </c>
      <c r="H2313" s="2">
        <f t="shared" si="221"/>
        <v>40921199.870399997</v>
      </c>
    </row>
    <row r="2314" spans="1:8" x14ac:dyDescent="0.35">
      <c r="A2314" s="2">
        <v>3028</v>
      </c>
      <c r="B2314" s="2">
        <v>45581</v>
      </c>
      <c r="C2314" s="2">
        <f t="shared" si="216"/>
        <v>4.5580999999999996</v>
      </c>
      <c r="D2314" s="2">
        <f t="shared" si="217"/>
        <v>9168784</v>
      </c>
      <c r="E2314" s="2">
        <f t="shared" si="218"/>
        <v>27763077952</v>
      </c>
      <c r="F2314" s="2">
        <f t="shared" si="219"/>
        <v>84066600038656</v>
      </c>
      <c r="G2314" s="2">
        <f t="shared" si="220"/>
        <v>13801.926799999999</v>
      </c>
      <c r="H2314" s="2">
        <f t="shared" si="221"/>
        <v>41792234.350399993</v>
      </c>
    </row>
    <row r="2315" spans="1:8" x14ac:dyDescent="0.35">
      <c r="A2315" s="2">
        <v>3028</v>
      </c>
      <c r="B2315" s="2">
        <v>38089</v>
      </c>
      <c r="C2315" s="2">
        <f t="shared" si="216"/>
        <v>3.8089</v>
      </c>
      <c r="D2315" s="2">
        <f t="shared" si="217"/>
        <v>9168784</v>
      </c>
      <c r="E2315" s="2">
        <f t="shared" si="218"/>
        <v>27763077952</v>
      </c>
      <c r="F2315" s="2">
        <f t="shared" si="219"/>
        <v>84066600038656</v>
      </c>
      <c r="G2315" s="2">
        <f t="shared" si="220"/>
        <v>11533.349200000001</v>
      </c>
      <c r="H2315" s="2">
        <f t="shared" si="221"/>
        <v>34922981.377599999</v>
      </c>
    </row>
    <row r="2316" spans="1:8" x14ac:dyDescent="0.35">
      <c r="A2316" s="2">
        <v>3028</v>
      </c>
      <c r="B2316" s="2">
        <v>39394</v>
      </c>
      <c r="C2316" s="2">
        <f t="shared" si="216"/>
        <v>3.9394</v>
      </c>
      <c r="D2316" s="2">
        <f t="shared" si="217"/>
        <v>9168784</v>
      </c>
      <c r="E2316" s="2">
        <f t="shared" si="218"/>
        <v>27763077952</v>
      </c>
      <c r="F2316" s="2">
        <f t="shared" si="219"/>
        <v>84066600038656</v>
      </c>
      <c r="G2316" s="2">
        <f t="shared" si="220"/>
        <v>11928.503199999999</v>
      </c>
      <c r="H2316" s="2">
        <f t="shared" si="221"/>
        <v>36119507.689599998</v>
      </c>
    </row>
    <row r="2317" spans="1:8" x14ac:dyDescent="0.35">
      <c r="A2317" s="2">
        <v>3028</v>
      </c>
      <c r="B2317" s="2">
        <v>45000</v>
      </c>
      <c r="C2317" s="2">
        <f t="shared" si="216"/>
        <v>4.5</v>
      </c>
      <c r="D2317" s="2">
        <f t="shared" si="217"/>
        <v>9168784</v>
      </c>
      <c r="E2317" s="2">
        <f t="shared" si="218"/>
        <v>27763077952</v>
      </c>
      <c r="F2317" s="2">
        <f t="shared" si="219"/>
        <v>84066600038656</v>
      </c>
      <c r="G2317" s="2">
        <f t="shared" si="220"/>
        <v>13626</v>
      </c>
      <c r="H2317" s="2">
        <f t="shared" si="221"/>
        <v>41259528</v>
      </c>
    </row>
    <row r="2318" spans="1:8" x14ac:dyDescent="0.35">
      <c r="A2318" s="2">
        <v>3028</v>
      </c>
      <c r="B2318" s="2">
        <v>46495</v>
      </c>
      <c r="C2318" s="2">
        <f t="shared" si="216"/>
        <v>4.6494999999999997</v>
      </c>
      <c r="D2318" s="2">
        <f t="shared" si="217"/>
        <v>9168784</v>
      </c>
      <c r="E2318" s="2">
        <f t="shared" si="218"/>
        <v>27763077952</v>
      </c>
      <c r="F2318" s="2">
        <f t="shared" si="219"/>
        <v>84066600038656</v>
      </c>
      <c r="G2318" s="2">
        <f t="shared" si="220"/>
        <v>14078.686</v>
      </c>
      <c r="H2318" s="2">
        <f t="shared" si="221"/>
        <v>42630261.207999997</v>
      </c>
    </row>
    <row r="2319" spans="1:8" x14ac:dyDescent="0.35">
      <c r="A2319" s="2">
        <v>3028</v>
      </c>
      <c r="B2319" s="2">
        <v>46496</v>
      </c>
      <c r="C2319" s="2">
        <f t="shared" si="216"/>
        <v>4.6496000000000004</v>
      </c>
      <c r="D2319" s="2">
        <f t="shared" si="217"/>
        <v>9168784</v>
      </c>
      <c r="E2319" s="2">
        <f t="shared" si="218"/>
        <v>27763077952</v>
      </c>
      <c r="F2319" s="2">
        <f t="shared" si="219"/>
        <v>84066600038656</v>
      </c>
      <c r="G2319" s="2">
        <f t="shared" si="220"/>
        <v>14078.988800000001</v>
      </c>
      <c r="H2319" s="2">
        <f t="shared" si="221"/>
        <v>42631178.086400002</v>
      </c>
    </row>
    <row r="2320" spans="1:8" x14ac:dyDescent="0.35">
      <c r="A2320" s="2">
        <v>3028</v>
      </c>
      <c r="B2320" s="2">
        <v>45984</v>
      </c>
      <c r="C2320" s="2">
        <f t="shared" si="216"/>
        <v>4.5983999999999998</v>
      </c>
      <c r="D2320" s="2">
        <f t="shared" si="217"/>
        <v>9168784</v>
      </c>
      <c r="E2320" s="2">
        <f t="shared" si="218"/>
        <v>27763077952</v>
      </c>
      <c r="F2320" s="2">
        <f t="shared" si="219"/>
        <v>84066600038656</v>
      </c>
      <c r="G2320" s="2">
        <f t="shared" si="220"/>
        <v>13923.9552</v>
      </c>
      <c r="H2320" s="2">
        <f t="shared" si="221"/>
        <v>42161736.345600002</v>
      </c>
    </row>
    <row r="2321" spans="1:8" x14ac:dyDescent="0.35">
      <c r="A2321" s="2">
        <v>3028</v>
      </c>
      <c r="B2321" s="2">
        <v>31250</v>
      </c>
      <c r="C2321" s="2">
        <f t="shared" si="216"/>
        <v>3.125</v>
      </c>
      <c r="D2321" s="2">
        <f t="shared" si="217"/>
        <v>9168784</v>
      </c>
      <c r="E2321" s="2">
        <f t="shared" si="218"/>
        <v>27763077952</v>
      </c>
      <c r="F2321" s="2">
        <f t="shared" si="219"/>
        <v>84066600038656</v>
      </c>
      <c r="G2321" s="2">
        <f t="shared" si="220"/>
        <v>9462.5</v>
      </c>
      <c r="H2321" s="2">
        <f t="shared" si="221"/>
        <v>28652450</v>
      </c>
    </row>
    <row r="2322" spans="1:8" x14ac:dyDescent="0.35">
      <c r="A2322" s="2">
        <v>3028</v>
      </c>
      <c r="B2322" s="2">
        <v>30000</v>
      </c>
      <c r="C2322" s="2">
        <f t="shared" si="216"/>
        <v>3</v>
      </c>
      <c r="D2322" s="2">
        <f t="shared" si="217"/>
        <v>9168784</v>
      </c>
      <c r="E2322" s="2">
        <f t="shared" si="218"/>
        <v>27763077952</v>
      </c>
      <c r="F2322" s="2">
        <f t="shared" si="219"/>
        <v>84066600038656</v>
      </c>
      <c r="G2322" s="2">
        <f t="shared" si="220"/>
        <v>9084</v>
      </c>
      <c r="H2322" s="2">
        <f t="shared" si="221"/>
        <v>27506352</v>
      </c>
    </row>
    <row r="2323" spans="1:8" x14ac:dyDescent="0.35">
      <c r="A2323" s="2">
        <v>3028</v>
      </c>
      <c r="B2323" s="2">
        <v>33505</v>
      </c>
      <c r="C2323" s="2">
        <f t="shared" si="216"/>
        <v>3.3504999999999998</v>
      </c>
      <c r="D2323" s="2">
        <f t="shared" si="217"/>
        <v>9168784</v>
      </c>
      <c r="E2323" s="2">
        <f t="shared" si="218"/>
        <v>27763077952</v>
      </c>
      <c r="F2323" s="2">
        <f t="shared" si="219"/>
        <v>84066600038656</v>
      </c>
      <c r="G2323" s="2">
        <f t="shared" si="220"/>
        <v>10145.314</v>
      </c>
      <c r="H2323" s="2">
        <f t="shared" si="221"/>
        <v>30720010.791999999</v>
      </c>
    </row>
    <row r="2324" spans="1:8" x14ac:dyDescent="0.35">
      <c r="A2324" s="2">
        <v>3028</v>
      </c>
      <c r="B2324" s="2">
        <v>30011</v>
      </c>
      <c r="C2324" s="2">
        <f t="shared" si="216"/>
        <v>3.0011000000000001</v>
      </c>
      <c r="D2324" s="2">
        <f t="shared" si="217"/>
        <v>9168784</v>
      </c>
      <c r="E2324" s="2">
        <f t="shared" si="218"/>
        <v>27763077952</v>
      </c>
      <c r="F2324" s="2">
        <f t="shared" si="219"/>
        <v>84066600038656</v>
      </c>
      <c r="G2324" s="2">
        <f t="shared" si="220"/>
        <v>9087.3307999999997</v>
      </c>
      <c r="H2324" s="2">
        <f t="shared" si="221"/>
        <v>27516437.6624</v>
      </c>
    </row>
    <row r="2325" spans="1:8" x14ac:dyDescent="0.35">
      <c r="A2325" s="2">
        <v>3028</v>
      </c>
      <c r="B2325" s="2">
        <v>25455</v>
      </c>
      <c r="C2325" s="2">
        <f t="shared" si="216"/>
        <v>2.5455000000000001</v>
      </c>
      <c r="D2325" s="2">
        <f t="shared" si="217"/>
        <v>9168784</v>
      </c>
      <c r="E2325" s="2">
        <f t="shared" si="218"/>
        <v>27763077952</v>
      </c>
      <c r="F2325" s="2">
        <f t="shared" si="219"/>
        <v>84066600038656</v>
      </c>
      <c r="G2325" s="2">
        <f t="shared" si="220"/>
        <v>7707.7740000000003</v>
      </c>
      <c r="H2325" s="2">
        <f t="shared" si="221"/>
        <v>23339139.672000002</v>
      </c>
    </row>
    <row r="2326" spans="1:8" x14ac:dyDescent="0.35">
      <c r="A2326" s="2">
        <v>3028</v>
      </c>
      <c r="B2326" s="2">
        <v>22727</v>
      </c>
      <c r="C2326" s="2">
        <f t="shared" si="216"/>
        <v>2.2726999999999999</v>
      </c>
      <c r="D2326" s="2">
        <f t="shared" si="217"/>
        <v>9168784</v>
      </c>
      <c r="E2326" s="2">
        <f t="shared" si="218"/>
        <v>27763077952</v>
      </c>
      <c r="F2326" s="2">
        <f t="shared" si="219"/>
        <v>84066600038656</v>
      </c>
      <c r="G2326" s="2">
        <f t="shared" si="220"/>
        <v>6881.7356</v>
      </c>
      <c r="H2326" s="2">
        <f t="shared" si="221"/>
        <v>20837895.3968</v>
      </c>
    </row>
    <row r="2327" spans="1:8" x14ac:dyDescent="0.35">
      <c r="A2327" s="2">
        <v>3028</v>
      </c>
      <c r="B2327" s="2">
        <v>20837</v>
      </c>
      <c r="C2327" s="2">
        <f t="shared" si="216"/>
        <v>2.0836999999999999</v>
      </c>
      <c r="D2327" s="2">
        <f t="shared" si="217"/>
        <v>9168784</v>
      </c>
      <c r="E2327" s="2">
        <f t="shared" si="218"/>
        <v>27763077952</v>
      </c>
      <c r="F2327" s="2">
        <f t="shared" si="219"/>
        <v>84066600038656</v>
      </c>
      <c r="G2327" s="2">
        <f t="shared" si="220"/>
        <v>6309.4435999999996</v>
      </c>
      <c r="H2327" s="2">
        <f t="shared" si="221"/>
        <v>19104995.220799997</v>
      </c>
    </row>
    <row r="2328" spans="1:8" x14ac:dyDescent="0.35">
      <c r="A2328" s="2">
        <v>3028</v>
      </c>
      <c r="B2328" s="2">
        <v>22406</v>
      </c>
      <c r="C2328" s="2">
        <f t="shared" si="216"/>
        <v>2.2406000000000001</v>
      </c>
      <c r="D2328" s="2">
        <f t="shared" si="217"/>
        <v>9168784</v>
      </c>
      <c r="E2328" s="2">
        <f t="shared" si="218"/>
        <v>27763077952</v>
      </c>
      <c r="F2328" s="2">
        <f t="shared" si="219"/>
        <v>84066600038656</v>
      </c>
      <c r="G2328" s="2">
        <f t="shared" si="220"/>
        <v>6784.5368000000008</v>
      </c>
      <c r="H2328" s="2">
        <f t="shared" si="221"/>
        <v>20543577.430400003</v>
      </c>
    </row>
    <row r="2329" spans="1:8" x14ac:dyDescent="0.35">
      <c r="A2329" s="2">
        <v>3028</v>
      </c>
      <c r="B2329" s="2">
        <v>21353</v>
      </c>
      <c r="C2329" s="2">
        <f t="shared" si="216"/>
        <v>2.1353</v>
      </c>
      <c r="D2329" s="2">
        <f t="shared" si="217"/>
        <v>9168784</v>
      </c>
      <c r="E2329" s="2">
        <f t="shared" si="218"/>
        <v>27763077952</v>
      </c>
      <c r="F2329" s="2">
        <f t="shared" si="219"/>
        <v>84066600038656</v>
      </c>
      <c r="G2329" s="2">
        <f t="shared" si="220"/>
        <v>6465.6884</v>
      </c>
      <c r="H2329" s="2">
        <f t="shared" si="221"/>
        <v>19578104.475200001</v>
      </c>
    </row>
    <row r="2330" spans="1:8" x14ac:dyDescent="0.35">
      <c r="A2330" s="2">
        <v>3028</v>
      </c>
      <c r="B2330" s="2">
        <v>20148</v>
      </c>
      <c r="C2330" s="2">
        <f t="shared" si="216"/>
        <v>2.0148000000000001</v>
      </c>
      <c r="D2330" s="2">
        <f t="shared" si="217"/>
        <v>9168784</v>
      </c>
      <c r="E2330" s="2">
        <f t="shared" si="218"/>
        <v>27763077952</v>
      </c>
      <c r="F2330" s="2">
        <f t="shared" si="219"/>
        <v>84066600038656</v>
      </c>
      <c r="G2330" s="2">
        <f t="shared" si="220"/>
        <v>6100.8144000000002</v>
      </c>
      <c r="H2330" s="2">
        <f t="shared" si="221"/>
        <v>18473266.003200002</v>
      </c>
    </row>
    <row r="2331" spans="1:8" x14ac:dyDescent="0.35">
      <c r="A2331" s="2">
        <v>3028</v>
      </c>
      <c r="B2331" s="2">
        <v>18944</v>
      </c>
      <c r="C2331" s="2">
        <f t="shared" si="216"/>
        <v>1.8944000000000001</v>
      </c>
      <c r="D2331" s="2">
        <f t="shared" si="217"/>
        <v>9168784</v>
      </c>
      <c r="E2331" s="2">
        <f t="shared" si="218"/>
        <v>27763077952</v>
      </c>
      <c r="F2331" s="2">
        <f t="shared" si="219"/>
        <v>84066600038656</v>
      </c>
      <c r="G2331" s="2">
        <f t="shared" si="220"/>
        <v>5736.2431999999999</v>
      </c>
      <c r="H2331" s="2">
        <f t="shared" si="221"/>
        <v>17369344.409600001</v>
      </c>
    </row>
    <row r="2332" spans="1:8" x14ac:dyDescent="0.35">
      <c r="A2332" s="2">
        <v>3028</v>
      </c>
      <c r="B2332" s="2">
        <v>17739</v>
      </c>
      <c r="C2332" s="2">
        <f t="shared" si="216"/>
        <v>1.7739</v>
      </c>
      <c r="D2332" s="2">
        <f t="shared" si="217"/>
        <v>9168784</v>
      </c>
      <c r="E2332" s="2">
        <f t="shared" si="218"/>
        <v>27763077952</v>
      </c>
      <c r="F2332" s="2">
        <f t="shared" si="219"/>
        <v>84066600038656</v>
      </c>
      <c r="G2332" s="2">
        <f t="shared" si="220"/>
        <v>5371.3692000000001</v>
      </c>
      <c r="H2332" s="2">
        <f t="shared" si="221"/>
        <v>16264505.9376</v>
      </c>
    </row>
    <row r="2333" spans="1:8" x14ac:dyDescent="0.35">
      <c r="A2333" s="2">
        <v>3028</v>
      </c>
      <c r="B2333" s="2">
        <v>16570</v>
      </c>
      <c r="C2333" s="2">
        <f t="shared" si="216"/>
        <v>1.657</v>
      </c>
      <c r="D2333" s="2">
        <f t="shared" si="217"/>
        <v>9168784</v>
      </c>
      <c r="E2333" s="2">
        <f t="shared" si="218"/>
        <v>27763077952</v>
      </c>
      <c r="F2333" s="2">
        <f t="shared" si="219"/>
        <v>84066600038656</v>
      </c>
      <c r="G2333" s="2">
        <f t="shared" si="220"/>
        <v>5017.3959999999997</v>
      </c>
      <c r="H2333" s="2">
        <f t="shared" si="221"/>
        <v>15192675.088</v>
      </c>
    </row>
    <row r="2334" spans="1:8" x14ac:dyDescent="0.35">
      <c r="A2334" s="2">
        <v>282</v>
      </c>
      <c r="B2334" s="2">
        <v>40769</v>
      </c>
      <c r="C2334" s="2">
        <f t="shared" si="216"/>
        <v>4.0769000000000002</v>
      </c>
      <c r="D2334" s="2">
        <f t="shared" si="217"/>
        <v>79524</v>
      </c>
      <c r="E2334" s="2">
        <f t="shared" si="218"/>
        <v>22425768</v>
      </c>
      <c r="F2334" s="2">
        <f t="shared" si="219"/>
        <v>6324066576</v>
      </c>
      <c r="G2334" s="2">
        <f t="shared" si="220"/>
        <v>1149.6858</v>
      </c>
      <c r="H2334" s="2">
        <f t="shared" si="221"/>
        <v>324211.39559999999</v>
      </c>
    </row>
    <row r="2335" spans="1:8" x14ac:dyDescent="0.35">
      <c r="A2335" s="2">
        <v>282</v>
      </c>
      <c r="B2335" s="2">
        <v>37188</v>
      </c>
      <c r="C2335" s="2">
        <f t="shared" si="216"/>
        <v>3.7187999999999999</v>
      </c>
      <c r="D2335" s="2">
        <f t="shared" si="217"/>
        <v>79524</v>
      </c>
      <c r="E2335" s="2">
        <f t="shared" si="218"/>
        <v>22425768</v>
      </c>
      <c r="F2335" s="2">
        <f t="shared" si="219"/>
        <v>6324066576</v>
      </c>
      <c r="G2335" s="2">
        <f t="shared" si="220"/>
        <v>1048.7015999999999</v>
      </c>
      <c r="H2335" s="2">
        <f t="shared" si="221"/>
        <v>295733.85119999998</v>
      </c>
    </row>
    <row r="2336" spans="1:8" x14ac:dyDescent="0.35">
      <c r="A2336" s="2">
        <v>282</v>
      </c>
      <c r="B2336" s="2">
        <v>33333</v>
      </c>
      <c r="C2336" s="2">
        <f t="shared" si="216"/>
        <v>3.3332999999999999</v>
      </c>
      <c r="D2336" s="2">
        <f t="shared" si="217"/>
        <v>79524</v>
      </c>
      <c r="E2336" s="2">
        <f t="shared" si="218"/>
        <v>22425768</v>
      </c>
      <c r="F2336" s="2">
        <f t="shared" si="219"/>
        <v>6324066576</v>
      </c>
      <c r="G2336" s="2">
        <f t="shared" si="220"/>
        <v>939.99059999999997</v>
      </c>
      <c r="H2336" s="2">
        <f t="shared" si="221"/>
        <v>265077.3492</v>
      </c>
    </row>
    <row r="2337" spans="1:8" x14ac:dyDescent="0.35">
      <c r="A2337" s="2">
        <v>282</v>
      </c>
      <c r="B2337" s="2">
        <v>30308</v>
      </c>
      <c r="C2337" s="2">
        <f t="shared" si="216"/>
        <v>3.0308000000000002</v>
      </c>
      <c r="D2337" s="2">
        <f t="shared" si="217"/>
        <v>79524</v>
      </c>
      <c r="E2337" s="2">
        <f t="shared" si="218"/>
        <v>22425768</v>
      </c>
      <c r="F2337" s="2">
        <f t="shared" si="219"/>
        <v>6324066576</v>
      </c>
      <c r="G2337" s="2">
        <f t="shared" si="220"/>
        <v>854.68560000000002</v>
      </c>
      <c r="H2337" s="2">
        <f t="shared" si="221"/>
        <v>241021.33920000002</v>
      </c>
    </row>
    <row r="2338" spans="1:8" x14ac:dyDescent="0.35">
      <c r="A2338" s="2">
        <v>282</v>
      </c>
      <c r="B2338" s="2">
        <v>30000</v>
      </c>
      <c r="C2338" s="2">
        <f t="shared" si="216"/>
        <v>3</v>
      </c>
      <c r="D2338" s="2">
        <f t="shared" si="217"/>
        <v>79524</v>
      </c>
      <c r="E2338" s="2">
        <f t="shared" si="218"/>
        <v>22425768</v>
      </c>
      <c r="F2338" s="2">
        <f t="shared" si="219"/>
        <v>6324066576</v>
      </c>
      <c r="G2338" s="2">
        <f t="shared" si="220"/>
        <v>846</v>
      </c>
      <c r="H2338" s="2">
        <f t="shared" si="221"/>
        <v>238572</v>
      </c>
    </row>
    <row r="2339" spans="1:8" x14ac:dyDescent="0.35">
      <c r="A2339" s="2">
        <v>282</v>
      </c>
      <c r="B2339" s="2">
        <v>25000</v>
      </c>
      <c r="C2339" s="2">
        <f t="shared" si="216"/>
        <v>2.5</v>
      </c>
      <c r="D2339" s="2">
        <f t="shared" si="217"/>
        <v>79524</v>
      </c>
      <c r="E2339" s="2">
        <f t="shared" si="218"/>
        <v>22425768</v>
      </c>
      <c r="F2339" s="2">
        <f t="shared" si="219"/>
        <v>6324066576</v>
      </c>
      <c r="G2339" s="2">
        <f t="shared" si="220"/>
        <v>705</v>
      </c>
      <c r="H2339" s="2">
        <f t="shared" si="221"/>
        <v>198810</v>
      </c>
    </row>
    <row r="2340" spans="1:8" x14ac:dyDescent="0.35">
      <c r="A2340" s="2">
        <v>282</v>
      </c>
      <c r="B2340" s="2">
        <v>25694</v>
      </c>
      <c r="C2340" s="2">
        <f t="shared" si="216"/>
        <v>2.5693999999999999</v>
      </c>
      <c r="D2340" s="2">
        <f t="shared" si="217"/>
        <v>79524</v>
      </c>
      <c r="E2340" s="2">
        <f t="shared" si="218"/>
        <v>22425768</v>
      </c>
      <c r="F2340" s="2">
        <f t="shared" si="219"/>
        <v>6324066576</v>
      </c>
      <c r="G2340" s="2">
        <f t="shared" si="220"/>
        <v>724.57079999999996</v>
      </c>
      <c r="H2340" s="2">
        <f t="shared" si="221"/>
        <v>204328.9656</v>
      </c>
    </row>
    <row r="2341" spans="1:8" x14ac:dyDescent="0.35">
      <c r="A2341" s="2">
        <v>282</v>
      </c>
      <c r="B2341" s="2">
        <v>25000</v>
      </c>
      <c r="C2341" s="2">
        <f t="shared" si="216"/>
        <v>2.5</v>
      </c>
      <c r="D2341" s="2">
        <f t="shared" si="217"/>
        <v>79524</v>
      </c>
      <c r="E2341" s="2">
        <f t="shared" si="218"/>
        <v>22425768</v>
      </c>
      <c r="F2341" s="2">
        <f t="shared" si="219"/>
        <v>6324066576</v>
      </c>
      <c r="G2341" s="2">
        <f t="shared" si="220"/>
        <v>705</v>
      </c>
      <c r="H2341" s="2">
        <f t="shared" si="221"/>
        <v>198810</v>
      </c>
    </row>
    <row r="2342" spans="1:8" x14ac:dyDescent="0.35">
      <c r="A2342" s="2">
        <v>282</v>
      </c>
      <c r="B2342" s="2">
        <v>15000</v>
      </c>
      <c r="C2342" s="2">
        <f t="shared" si="216"/>
        <v>1.5</v>
      </c>
      <c r="D2342" s="2">
        <f t="shared" si="217"/>
        <v>79524</v>
      </c>
      <c r="E2342" s="2">
        <f t="shared" si="218"/>
        <v>22425768</v>
      </c>
      <c r="F2342" s="2">
        <f t="shared" si="219"/>
        <v>6324066576</v>
      </c>
      <c r="G2342" s="2">
        <f t="shared" si="220"/>
        <v>423</v>
      </c>
      <c r="H2342" s="2">
        <f t="shared" si="221"/>
        <v>119286</v>
      </c>
    </row>
    <row r="2343" spans="1:8" x14ac:dyDescent="0.35">
      <c r="A2343" s="2">
        <v>282</v>
      </c>
      <c r="B2343" s="2">
        <v>16667</v>
      </c>
      <c r="C2343" s="2">
        <f t="shared" si="216"/>
        <v>1.6667000000000001</v>
      </c>
      <c r="D2343" s="2">
        <f t="shared" si="217"/>
        <v>79524</v>
      </c>
      <c r="E2343" s="2">
        <f t="shared" si="218"/>
        <v>22425768</v>
      </c>
      <c r="F2343" s="2">
        <f t="shared" si="219"/>
        <v>6324066576</v>
      </c>
      <c r="G2343" s="2">
        <f t="shared" si="220"/>
        <v>470.00940000000003</v>
      </c>
      <c r="H2343" s="2">
        <f t="shared" si="221"/>
        <v>132542.6508</v>
      </c>
    </row>
    <row r="2344" spans="1:8" x14ac:dyDescent="0.35">
      <c r="A2344" s="2">
        <v>282</v>
      </c>
      <c r="B2344" s="2">
        <v>31290</v>
      </c>
      <c r="C2344" s="2">
        <f t="shared" si="216"/>
        <v>3.129</v>
      </c>
      <c r="D2344" s="2">
        <f t="shared" si="217"/>
        <v>79524</v>
      </c>
      <c r="E2344" s="2">
        <f t="shared" si="218"/>
        <v>22425768</v>
      </c>
      <c r="F2344" s="2">
        <f t="shared" si="219"/>
        <v>6324066576</v>
      </c>
      <c r="G2344" s="2">
        <f t="shared" si="220"/>
        <v>882.37800000000004</v>
      </c>
      <c r="H2344" s="2">
        <f t="shared" si="221"/>
        <v>248830.59599999999</v>
      </c>
    </row>
    <row r="2345" spans="1:8" x14ac:dyDescent="0.35">
      <c r="A2345" s="2">
        <v>282</v>
      </c>
      <c r="B2345" s="2">
        <v>35937</v>
      </c>
      <c r="C2345" s="2">
        <f t="shared" si="216"/>
        <v>3.5937000000000001</v>
      </c>
      <c r="D2345" s="2">
        <f t="shared" si="217"/>
        <v>79524</v>
      </c>
      <c r="E2345" s="2">
        <f t="shared" si="218"/>
        <v>22425768</v>
      </c>
      <c r="F2345" s="2">
        <f t="shared" si="219"/>
        <v>6324066576</v>
      </c>
      <c r="G2345" s="2">
        <f t="shared" si="220"/>
        <v>1013.4234</v>
      </c>
      <c r="H2345" s="2">
        <f t="shared" si="221"/>
        <v>285785.39880000002</v>
      </c>
    </row>
    <row r="2346" spans="1:8" x14ac:dyDescent="0.35">
      <c r="A2346" s="2">
        <v>282</v>
      </c>
      <c r="B2346" s="2">
        <v>42459</v>
      </c>
      <c r="C2346" s="2">
        <f t="shared" si="216"/>
        <v>4.2458999999999998</v>
      </c>
      <c r="D2346" s="2">
        <f t="shared" si="217"/>
        <v>79524</v>
      </c>
      <c r="E2346" s="2">
        <f t="shared" si="218"/>
        <v>22425768</v>
      </c>
      <c r="F2346" s="2">
        <f t="shared" si="219"/>
        <v>6324066576</v>
      </c>
      <c r="G2346" s="2">
        <f t="shared" si="220"/>
        <v>1197.3437999999999</v>
      </c>
      <c r="H2346" s="2">
        <f t="shared" si="221"/>
        <v>337650.95159999997</v>
      </c>
    </row>
    <row r="2347" spans="1:8" x14ac:dyDescent="0.35">
      <c r="A2347" s="2">
        <v>282</v>
      </c>
      <c r="B2347" s="2">
        <v>57143</v>
      </c>
      <c r="C2347" s="2">
        <f t="shared" si="216"/>
        <v>5.7142999999999997</v>
      </c>
      <c r="D2347" s="2">
        <f t="shared" si="217"/>
        <v>79524</v>
      </c>
      <c r="E2347" s="2">
        <f t="shared" si="218"/>
        <v>22425768</v>
      </c>
      <c r="F2347" s="2">
        <f t="shared" si="219"/>
        <v>6324066576</v>
      </c>
      <c r="G2347" s="2">
        <f t="shared" si="220"/>
        <v>1611.4325999999999</v>
      </c>
      <c r="H2347" s="2">
        <f t="shared" si="221"/>
        <v>454423.99319999997</v>
      </c>
    </row>
    <row r="2348" spans="1:8" x14ac:dyDescent="0.35">
      <c r="A2348" s="2">
        <v>282</v>
      </c>
      <c r="B2348" s="2">
        <v>20000</v>
      </c>
      <c r="C2348" s="2">
        <f t="shared" si="216"/>
        <v>2</v>
      </c>
      <c r="D2348" s="2">
        <f t="shared" si="217"/>
        <v>79524</v>
      </c>
      <c r="E2348" s="2">
        <f t="shared" si="218"/>
        <v>22425768</v>
      </c>
      <c r="F2348" s="2">
        <f t="shared" si="219"/>
        <v>6324066576</v>
      </c>
      <c r="G2348" s="2">
        <f t="shared" si="220"/>
        <v>564</v>
      </c>
      <c r="H2348" s="2">
        <f t="shared" si="221"/>
        <v>159048</v>
      </c>
    </row>
    <row r="2349" spans="1:8" x14ac:dyDescent="0.35">
      <c r="A2349" s="2">
        <v>282</v>
      </c>
      <c r="B2349" s="2">
        <v>59701</v>
      </c>
      <c r="C2349" s="2">
        <f t="shared" si="216"/>
        <v>5.9701000000000004</v>
      </c>
      <c r="D2349" s="2">
        <f t="shared" si="217"/>
        <v>79524</v>
      </c>
      <c r="E2349" s="2">
        <f t="shared" si="218"/>
        <v>22425768</v>
      </c>
      <c r="F2349" s="2">
        <f t="shared" si="219"/>
        <v>6324066576</v>
      </c>
      <c r="G2349" s="2">
        <f t="shared" si="220"/>
        <v>1683.5682000000002</v>
      </c>
      <c r="H2349" s="2">
        <f t="shared" si="221"/>
        <v>474766.23240000004</v>
      </c>
    </row>
    <row r="2350" spans="1:8" x14ac:dyDescent="0.35">
      <c r="A2350" s="2">
        <v>282</v>
      </c>
      <c r="B2350" s="2">
        <v>60000</v>
      </c>
      <c r="C2350" s="2">
        <f t="shared" si="216"/>
        <v>6</v>
      </c>
      <c r="D2350" s="2">
        <f t="shared" si="217"/>
        <v>79524</v>
      </c>
      <c r="E2350" s="2">
        <f t="shared" si="218"/>
        <v>22425768</v>
      </c>
      <c r="F2350" s="2">
        <f t="shared" si="219"/>
        <v>6324066576</v>
      </c>
      <c r="G2350" s="2">
        <f t="shared" si="220"/>
        <v>1692</v>
      </c>
      <c r="H2350" s="2">
        <f t="shared" si="221"/>
        <v>477144</v>
      </c>
    </row>
    <row r="2351" spans="1:8" x14ac:dyDescent="0.35">
      <c r="A2351" s="2">
        <v>282</v>
      </c>
      <c r="B2351" s="2">
        <v>60000</v>
      </c>
      <c r="C2351" s="2">
        <f t="shared" si="216"/>
        <v>6</v>
      </c>
      <c r="D2351" s="2">
        <f t="shared" si="217"/>
        <v>79524</v>
      </c>
      <c r="E2351" s="2">
        <f t="shared" si="218"/>
        <v>22425768</v>
      </c>
      <c r="F2351" s="2">
        <f t="shared" si="219"/>
        <v>6324066576</v>
      </c>
      <c r="G2351" s="2">
        <f t="shared" si="220"/>
        <v>1692</v>
      </c>
      <c r="H2351" s="2">
        <f t="shared" si="221"/>
        <v>477144</v>
      </c>
    </row>
    <row r="2352" spans="1:8" x14ac:dyDescent="0.35">
      <c r="A2352" s="2">
        <v>282</v>
      </c>
      <c r="B2352" s="2">
        <v>54582</v>
      </c>
      <c r="C2352" s="2">
        <f t="shared" si="216"/>
        <v>5.4581999999999997</v>
      </c>
      <c r="D2352" s="2">
        <f t="shared" si="217"/>
        <v>79524</v>
      </c>
      <c r="E2352" s="2">
        <f t="shared" si="218"/>
        <v>22425768</v>
      </c>
      <c r="F2352" s="2">
        <f t="shared" si="219"/>
        <v>6324066576</v>
      </c>
      <c r="G2352" s="2">
        <f t="shared" si="220"/>
        <v>1539.2123999999999</v>
      </c>
      <c r="H2352" s="2">
        <f t="shared" si="221"/>
        <v>434057.89679999999</v>
      </c>
    </row>
    <row r="2353" spans="1:8" x14ac:dyDescent="0.35">
      <c r="A2353" s="2">
        <v>282</v>
      </c>
      <c r="B2353" s="2">
        <v>55057</v>
      </c>
      <c r="C2353" s="2">
        <f t="shared" si="216"/>
        <v>5.5057</v>
      </c>
      <c r="D2353" s="2">
        <f t="shared" si="217"/>
        <v>79524</v>
      </c>
      <c r="E2353" s="2">
        <f t="shared" si="218"/>
        <v>22425768</v>
      </c>
      <c r="F2353" s="2">
        <f t="shared" si="219"/>
        <v>6324066576</v>
      </c>
      <c r="G2353" s="2">
        <f t="shared" si="220"/>
        <v>1552.6074000000001</v>
      </c>
      <c r="H2353" s="2">
        <f t="shared" si="221"/>
        <v>437835.2868</v>
      </c>
    </row>
    <row r="2354" spans="1:8" x14ac:dyDescent="0.35">
      <c r="A2354" s="2">
        <v>282</v>
      </c>
      <c r="B2354" s="2">
        <v>61538</v>
      </c>
      <c r="C2354" s="2">
        <f t="shared" si="216"/>
        <v>6.1538000000000004</v>
      </c>
      <c r="D2354" s="2">
        <f t="shared" si="217"/>
        <v>79524</v>
      </c>
      <c r="E2354" s="2">
        <f t="shared" si="218"/>
        <v>22425768</v>
      </c>
      <c r="F2354" s="2">
        <f t="shared" si="219"/>
        <v>6324066576</v>
      </c>
      <c r="G2354" s="2">
        <f t="shared" si="220"/>
        <v>1735.3716000000002</v>
      </c>
      <c r="H2354" s="2">
        <f t="shared" si="221"/>
        <v>489374.79120000004</v>
      </c>
    </row>
    <row r="2355" spans="1:8" x14ac:dyDescent="0.35">
      <c r="A2355" s="2">
        <v>282</v>
      </c>
      <c r="B2355" s="2">
        <v>51579</v>
      </c>
      <c r="C2355" s="2">
        <f t="shared" si="216"/>
        <v>5.1578999999999997</v>
      </c>
      <c r="D2355" s="2">
        <f t="shared" si="217"/>
        <v>79524</v>
      </c>
      <c r="E2355" s="2">
        <f t="shared" si="218"/>
        <v>22425768</v>
      </c>
      <c r="F2355" s="2">
        <f t="shared" si="219"/>
        <v>6324066576</v>
      </c>
      <c r="G2355" s="2">
        <f t="shared" si="220"/>
        <v>1454.5277999999998</v>
      </c>
      <c r="H2355" s="2">
        <f t="shared" si="221"/>
        <v>410176.83959999995</v>
      </c>
    </row>
    <row r="2356" spans="1:8" x14ac:dyDescent="0.35">
      <c r="A2356" s="2">
        <v>282</v>
      </c>
      <c r="B2356" s="2">
        <v>47273</v>
      </c>
      <c r="C2356" s="2">
        <f t="shared" si="216"/>
        <v>4.7272999999999996</v>
      </c>
      <c r="D2356" s="2">
        <f t="shared" si="217"/>
        <v>79524</v>
      </c>
      <c r="E2356" s="2">
        <f t="shared" si="218"/>
        <v>22425768</v>
      </c>
      <c r="F2356" s="2">
        <f t="shared" si="219"/>
        <v>6324066576</v>
      </c>
      <c r="G2356" s="2">
        <f t="shared" si="220"/>
        <v>1333.0985999999998</v>
      </c>
      <c r="H2356" s="2">
        <f t="shared" si="221"/>
        <v>375933.80519999994</v>
      </c>
    </row>
    <row r="2357" spans="1:8" x14ac:dyDescent="0.35">
      <c r="A2357" s="2">
        <v>282</v>
      </c>
      <c r="B2357" s="2">
        <v>52000</v>
      </c>
      <c r="C2357" s="2">
        <f t="shared" si="216"/>
        <v>5.2</v>
      </c>
      <c r="D2357" s="2">
        <f t="shared" si="217"/>
        <v>79524</v>
      </c>
      <c r="E2357" s="2">
        <f t="shared" si="218"/>
        <v>22425768</v>
      </c>
      <c r="F2357" s="2">
        <f t="shared" si="219"/>
        <v>6324066576</v>
      </c>
      <c r="G2357" s="2">
        <f t="shared" si="220"/>
        <v>1466.4</v>
      </c>
      <c r="H2357" s="2">
        <f t="shared" si="221"/>
        <v>413524.8</v>
      </c>
    </row>
    <row r="2358" spans="1:8" x14ac:dyDescent="0.35">
      <c r="A2358" s="2">
        <v>282</v>
      </c>
      <c r="B2358" s="2">
        <v>35583</v>
      </c>
      <c r="C2358" s="2">
        <f t="shared" si="216"/>
        <v>3.5583</v>
      </c>
      <c r="D2358" s="2">
        <f t="shared" si="217"/>
        <v>79524</v>
      </c>
      <c r="E2358" s="2">
        <f t="shared" si="218"/>
        <v>22425768</v>
      </c>
      <c r="F2358" s="2">
        <f t="shared" si="219"/>
        <v>6324066576</v>
      </c>
      <c r="G2358" s="2">
        <f t="shared" si="220"/>
        <v>1003.4406</v>
      </c>
      <c r="H2358" s="2">
        <f t="shared" si="221"/>
        <v>282970.24920000002</v>
      </c>
    </row>
    <row r="2359" spans="1:8" x14ac:dyDescent="0.35">
      <c r="A2359" s="2">
        <v>282</v>
      </c>
      <c r="B2359" s="2">
        <v>48691</v>
      </c>
      <c r="C2359" s="2">
        <f t="shared" si="216"/>
        <v>4.8691000000000004</v>
      </c>
      <c r="D2359" s="2">
        <f t="shared" si="217"/>
        <v>79524</v>
      </c>
      <c r="E2359" s="2">
        <f t="shared" si="218"/>
        <v>22425768</v>
      </c>
      <c r="F2359" s="2">
        <f t="shared" si="219"/>
        <v>6324066576</v>
      </c>
      <c r="G2359" s="2">
        <f t="shared" si="220"/>
        <v>1373.0862000000002</v>
      </c>
      <c r="H2359" s="2">
        <f t="shared" si="221"/>
        <v>387210.30840000004</v>
      </c>
    </row>
    <row r="2360" spans="1:8" x14ac:dyDescent="0.35">
      <c r="A2360" s="2">
        <v>282</v>
      </c>
      <c r="B2360" s="2">
        <v>14723</v>
      </c>
      <c r="C2360" s="2">
        <f t="shared" si="216"/>
        <v>1.4722999999999999</v>
      </c>
      <c r="D2360" s="2">
        <f t="shared" si="217"/>
        <v>79524</v>
      </c>
      <c r="E2360" s="2">
        <f t="shared" si="218"/>
        <v>22425768</v>
      </c>
      <c r="F2360" s="2">
        <f t="shared" si="219"/>
        <v>6324066576</v>
      </c>
      <c r="G2360" s="2">
        <f t="shared" si="220"/>
        <v>415.18860000000001</v>
      </c>
      <c r="H2360" s="2">
        <f t="shared" si="221"/>
        <v>117083.18519999999</v>
      </c>
    </row>
    <row r="2361" spans="1:8" x14ac:dyDescent="0.35">
      <c r="A2361" s="2">
        <v>282</v>
      </c>
      <c r="B2361" s="2">
        <v>20000</v>
      </c>
      <c r="C2361" s="2">
        <f t="shared" si="216"/>
        <v>2</v>
      </c>
      <c r="D2361" s="2">
        <f t="shared" si="217"/>
        <v>79524</v>
      </c>
      <c r="E2361" s="2">
        <f t="shared" si="218"/>
        <v>22425768</v>
      </c>
      <c r="F2361" s="2">
        <f t="shared" si="219"/>
        <v>6324066576</v>
      </c>
      <c r="G2361" s="2">
        <f t="shared" si="220"/>
        <v>564</v>
      </c>
      <c r="H2361" s="2">
        <f t="shared" si="221"/>
        <v>159048</v>
      </c>
    </row>
    <row r="2362" spans="1:8" x14ac:dyDescent="0.35">
      <c r="A2362" s="2">
        <v>282</v>
      </c>
      <c r="B2362" s="2">
        <v>17500</v>
      </c>
      <c r="C2362" s="2">
        <f t="shared" si="216"/>
        <v>1.75</v>
      </c>
      <c r="D2362" s="2">
        <f t="shared" si="217"/>
        <v>79524</v>
      </c>
      <c r="E2362" s="2">
        <f t="shared" si="218"/>
        <v>22425768</v>
      </c>
      <c r="F2362" s="2">
        <f t="shared" si="219"/>
        <v>6324066576</v>
      </c>
      <c r="G2362" s="2">
        <f t="shared" si="220"/>
        <v>493.5</v>
      </c>
      <c r="H2362" s="2">
        <f t="shared" si="221"/>
        <v>139167</v>
      </c>
    </row>
    <row r="2363" spans="1:8" x14ac:dyDescent="0.35">
      <c r="A2363" s="2">
        <v>282</v>
      </c>
      <c r="B2363" s="2">
        <v>18333</v>
      </c>
      <c r="C2363" s="2">
        <f t="shared" si="216"/>
        <v>1.8332999999999999</v>
      </c>
      <c r="D2363" s="2">
        <f t="shared" si="217"/>
        <v>79524</v>
      </c>
      <c r="E2363" s="2">
        <f t="shared" si="218"/>
        <v>22425768</v>
      </c>
      <c r="F2363" s="2">
        <f t="shared" si="219"/>
        <v>6324066576</v>
      </c>
      <c r="G2363" s="2">
        <f t="shared" si="220"/>
        <v>516.99059999999997</v>
      </c>
      <c r="H2363" s="2">
        <f t="shared" si="221"/>
        <v>145791.3492</v>
      </c>
    </row>
    <row r="2364" spans="1:8" x14ac:dyDescent="0.35">
      <c r="A2364" s="2">
        <v>495</v>
      </c>
      <c r="B2364" s="2">
        <v>23077</v>
      </c>
      <c r="C2364" s="2">
        <f t="shared" si="216"/>
        <v>2.3077000000000001</v>
      </c>
      <c r="D2364" s="2">
        <f t="shared" si="217"/>
        <v>245025</v>
      </c>
      <c r="E2364" s="2">
        <f t="shared" si="218"/>
        <v>121287375</v>
      </c>
      <c r="F2364" s="2">
        <f t="shared" si="219"/>
        <v>60037250625</v>
      </c>
      <c r="G2364" s="2">
        <f t="shared" si="220"/>
        <v>1142.3115</v>
      </c>
      <c r="H2364" s="2">
        <f t="shared" si="221"/>
        <v>565444.1925</v>
      </c>
    </row>
    <row r="2365" spans="1:8" x14ac:dyDescent="0.35">
      <c r="A2365" s="2">
        <v>495</v>
      </c>
      <c r="B2365" s="2">
        <v>23077</v>
      </c>
      <c r="C2365" s="2">
        <f t="shared" si="216"/>
        <v>2.3077000000000001</v>
      </c>
      <c r="D2365" s="2">
        <f t="shared" si="217"/>
        <v>245025</v>
      </c>
      <c r="E2365" s="2">
        <f t="shared" si="218"/>
        <v>121287375</v>
      </c>
      <c r="F2365" s="2">
        <f t="shared" si="219"/>
        <v>60037250625</v>
      </c>
      <c r="G2365" s="2">
        <f t="shared" si="220"/>
        <v>1142.3115</v>
      </c>
      <c r="H2365" s="2">
        <f t="shared" si="221"/>
        <v>565444.1925</v>
      </c>
    </row>
    <row r="2366" spans="1:8" x14ac:dyDescent="0.35">
      <c r="A2366" s="2">
        <v>495</v>
      </c>
      <c r="B2366" s="2">
        <v>23077</v>
      </c>
      <c r="C2366" s="2">
        <f t="shared" si="216"/>
        <v>2.3077000000000001</v>
      </c>
      <c r="D2366" s="2">
        <f t="shared" si="217"/>
        <v>245025</v>
      </c>
      <c r="E2366" s="2">
        <f t="shared" si="218"/>
        <v>121287375</v>
      </c>
      <c r="F2366" s="2">
        <f t="shared" si="219"/>
        <v>60037250625</v>
      </c>
      <c r="G2366" s="2">
        <f t="shared" si="220"/>
        <v>1142.3115</v>
      </c>
      <c r="H2366" s="2">
        <f t="shared" si="221"/>
        <v>565444.1925</v>
      </c>
    </row>
    <row r="2367" spans="1:8" x14ac:dyDescent="0.35">
      <c r="A2367" s="2">
        <v>495</v>
      </c>
      <c r="B2367" s="2">
        <v>23077</v>
      </c>
      <c r="C2367" s="2">
        <f t="shared" si="216"/>
        <v>2.3077000000000001</v>
      </c>
      <c r="D2367" s="2">
        <f t="shared" si="217"/>
        <v>245025</v>
      </c>
      <c r="E2367" s="2">
        <f t="shared" si="218"/>
        <v>121287375</v>
      </c>
      <c r="F2367" s="2">
        <f t="shared" si="219"/>
        <v>60037250625</v>
      </c>
      <c r="G2367" s="2">
        <f t="shared" si="220"/>
        <v>1142.3115</v>
      </c>
      <c r="H2367" s="2">
        <f t="shared" si="221"/>
        <v>565444.1925</v>
      </c>
    </row>
    <row r="2368" spans="1:8" x14ac:dyDescent="0.35">
      <c r="A2368" s="2">
        <v>495</v>
      </c>
      <c r="B2368" s="2">
        <v>18976</v>
      </c>
      <c r="C2368" s="2">
        <f t="shared" si="216"/>
        <v>1.8976</v>
      </c>
      <c r="D2368" s="2">
        <f t="shared" si="217"/>
        <v>245025</v>
      </c>
      <c r="E2368" s="2">
        <f t="shared" si="218"/>
        <v>121287375</v>
      </c>
      <c r="F2368" s="2">
        <f t="shared" si="219"/>
        <v>60037250625</v>
      </c>
      <c r="G2368" s="2">
        <f t="shared" si="220"/>
        <v>939.31200000000001</v>
      </c>
      <c r="H2368" s="2">
        <f t="shared" si="221"/>
        <v>464959.44</v>
      </c>
    </row>
    <row r="2369" spans="1:8" x14ac:dyDescent="0.35">
      <c r="A2369" s="2">
        <v>495</v>
      </c>
      <c r="B2369" s="2">
        <v>21297</v>
      </c>
      <c r="C2369" s="2">
        <f t="shared" si="216"/>
        <v>2.1297000000000001</v>
      </c>
      <c r="D2369" s="2">
        <f t="shared" si="217"/>
        <v>245025</v>
      </c>
      <c r="E2369" s="2">
        <f t="shared" si="218"/>
        <v>121287375</v>
      </c>
      <c r="F2369" s="2">
        <f t="shared" si="219"/>
        <v>60037250625</v>
      </c>
      <c r="G2369" s="2">
        <f t="shared" si="220"/>
        <v>1054.2015000000001</v>
      </c>
      <c r="H2369" s="2">
        <f t="shared" si="221"/>
        <v>521829.74250000005</v>
      </c>
    </row>
    <row r="2370" spans="1:8" x14ac:dyDescent="0.35">
      <c r="A2370" s="2">
        <v>495</v>
      </c>
      <c r="B2370" s="2">
        <v>21503</v>
      </c>
      <c r="C2370" s="2">
        <f t="shared" si="216"/>
        <v>2.1503000000000001</v>
      </c>
      <c r="D2370" s="2">
        <f t="shared" si="217"/>
        <v>245025</v>
      </c>
      <c r="E2370" s="2">
        <f t="shared" si="218"/>
        <v>121287375</v>
      </c>
      <c r="F2370" s="2">
        <f t="shared" si="219"/>
        <v>60037250625</v>
      </c>
      <c r="G2370" s="2">
        <f t="shared" si="220"/>
        <v>1064.3985</v>
      </c>
      <c r="H2370" s="2">
        <f t="shared" si="221"/>
        <v>526877.25750000007</v>
      </c>
    </row>
    <row r="2371" spans="1:8" x14ac:dyDescent="0.35">
      <c r="A2371" s="2">
        <v>495</v>
      </c>
      <c r="B2371" s="2">
        <v>21710</v>
      </c>
      <c r="C2371" s="2">
        <f t="shared" ref="C2371:C2434" si="222">B2371/10000</f>
        <v>2.1709999999999998</v>
      </c>
      <c r="D2371" s="2">
        <f t="shared" ref="D2371:D2434" si="223">A2371^2</f>
        <v>245025</v>
      </c>
      <c r="E2371" s="2">
        <f t="shared" ref="E2371:E2434" si="224">A2371^3</f>
        <v>121287375</v>
      </c>
      <c r="F2371" s="2">
        <f t="shared" ref="F2371:F2434" si="225">A2371^4</f>
        <v>60037250625</v>
      </c>
      <c r="G2371" s="2">
        <f t="shared" ref="G2371:G2434" si="226">A2371*C2371</f>
        <v>1074.645</v>
      </c>
      <c r="H2371" s="2">
        <f t="shared" ref="H2371:H2434" si="227">D2371*C2371</f>
        <v>531949.27499999991</v>
      </c>
    </row>
    <row r="2372" spans="1:8" x14ac:dyDescent="0.35">
      <c r="A2372" s="2">
        <v>495</v>
      </c>
      <c r="B2372" s="2">
        <v>21917</v>
      </c>
      <c r="C2372" s="2">
        <f t="shared" si="222"/>
        <v>2.1917</v>
      </c>
      <c r="D2372" s="2">
        <f t="shared" si="223"/>
        <v>245025</v>
      </c>
      <c r="E2372" s="2">
        <f t="shared" si="224"/>
        <v>121287375</v>
      </c>
      <c r="F2372" s="2">
        <f t="shared" si="225"/>
        <v>60037250625</v>
      </c>
      <c r="G2372" s="2">
        <f t="shared" si="226"/>
        <v>1084.8915</v>
      </c>
      <c r="H2372" s="2">
        <f t="shared" si="227"/>
        <v>537021.29249999998</v>
      </c>
    </row>
    <row r="2373" spans="1:8" x14ac:dyDescent="0.35">
      <c r="A2373" s="2">
        <v>495</v>
      </c>
      <c r="B2373" s="2">
        <v>22124</v>
      </c>
      <c r="C2373" s="2">
        <f t="shared" si="222"/>
        <v>2.2124000000000001</v>
      </c>
      <c r="D2373" s="2">
        <f t="shared" si="223"/>
        <v>245025</v>
      </c>
      <c r="E2373" s="2">
        <f t="shared" si="224"/>
        <v>121287375</v>
      </c>
      <c r="F2373" s="2">
        <f t="shared" si="225"/>
        <v>60037250625</v>
      </c>
      <c r="G2373" s="2">
        <f t="shared" si="226"/>
        <v>1095.1380000000001</v>
      </c>
      <c r="H2373" s="2">
        <f t="shared" si="227"/>
        <v>542093.31000000006</v>
      </c>
    </row>
    <row r="2374" spans="1:8" x14ac:dyDescent="0.35">
      <c r="A2374" s="2">
        <v>495</v>
      </c>
      <c r="B2374" s="2">
        <v>22331</v>
      </c>
      <c r="C2374" s="2">
        <f t="shared" si="222"/>
        <v>2.2330999999999999</v>
      </c>
      <c r="D2374" s="2">
        <f t="shared" si="223"/>
        <v>245025</v>
      </c>
      <c r="E2374" s="2">
        <f t="shared" si="224"/>
        <v>121287375</v>
      </c>
      <c r="F2374" s="2">
        <f t="shared" si="225"/>
        <v>60037250625</v>
      </c>
      <c r="G2374" s="2">
        <f t="shared" si="226"/>
        <v>1105.3844999999999</v>
      </c>
      <c r="H2374" s="2">
        <f t="shared" si="227"/>
        <v>547165.32750000001</v>
      </c>
    </row>
    <row r="2375" spans="1:8" x14ac:dyDescent="0.35">
      <c r="A2375" s="2">
        <v>495</v>
      </c>
      <c r="B2375" s="2">
        <v>22537</v>
      </c>
      <c r="C2375" s="2">
        <f t="shared" si="222"/>
        <v>2.2536999999999998</v>
      </c>
      <c r="D2375" s="2">
        <f t="shared" si="223"/>
        <v>245025</v>
      </c>
      <c r="E2375" s="2">
        <f t="shared" si="224"/>
        <v>121287375</v>
      </c>
      <c r="F2375" s="2">
        <f t="shared" si="225"/>
        <v>60037250625</v>
      </c>
      <c r="G2375" s="2">
        <f t="shared" si="226"/>
        <v>1115.5815</v>
      </c>
      <c r="H2375" s="2">
        <f t="shared" si="227"/>
        <v>552212.84249999991</v>
      </c>
    </row>
    <row r="2376" spans="1:8" x14ac:dyDescent="0.35">
      <c r="A2376" s="2">
        <v>495</v>
      </c>
      <c r="B2376" s="2">
        <v>22744</v>
      </c>
      <c r="C2376" s="2">
        <f t="shared" si="222"/>
        <v>2.2744</v>
      </c>
      <c r="D2376" s="2">
        <f t="shared" si="223"/>
        <v>245025</v>
      </c>
      <c r="E2376" s="2">
        <f t="shared" si="224"/>
        <v>121287375</v>
      </c>
      <c r="F2376" s="2">
        <f t="shared" si="225"/>
        <v>60037250625</v>
      </c>
      <c r="G2376" s="2">
        <f t="shared" si="226"/>
        <v>1125.828</v>
      </c>
      <c r="H2376" s="2">
        <f t="shared" si="227"/>
        <v>557284.86</v>
      </c>
    </row>
    <row r="2377" spans="1:8" x14ac:dyDescent="0.35">
      <c r="A2377" s="2">
        <v>495</v>
      </c>
      <c r="B2377" s="2">
        <v>22949</v>
      </c>
      <c r="C2377" s="2">
        <f t="shared" si="222"/>
        <v>2.2949000000000002</v>
      </c>
      <c r="D2377" s="2">
        <f t="shared" si="223"/>
        <v>245025</v>
      </c>
      <c r="E2377" s="2">
        <f t="shared" si="224"/>
        <v>121287375</v>
      </c>
      <c r="F2377" s="2">
        <f t="shared" si="225"/>
        <v>60037250625</v>
      </c>
      <c r="G2377" s="2">
        <f t="shared" si="226"/>
        <v>1135.9755</v>
      </c>
      <c r="H2377" s="2">
        <f t="shared" si="227"/>
        <v>562307.87250000006</v>
      </c>
    </row>
    <row r="2378" spans="1:8" x14ac:dyDescent="0.35">
      <c r="A2378" s="2">
        <v>495</v>
      </c>
      <c r="B2378" s="2">
        <v>22962</v>
      </c>
      <c r="C2378" s="2">
        <f t="shared" si="222"/>
        <v>2.2961999999999998</v>
      </c>
      <c r="D2378" s="2">
        <f t="shared" si="223"/>
        <v>245025</v>
      </c>
      <c r="E2378" s="2">
        <f t="shared" si="224"/>
        <v>121287375</v>
      </c>
      <c r="F2378" s="2">
        <f t="shared" si="225"/>
        <v>60037250625</v>
      </c>
      <c r="G2378" s="2">
        <f t="shared" si="226"/>
        <v>1136.6189999999999</v>
      </c>
      <c r="H2378" s="2">
        <f t="shared" si="227"/>
        <v>562626.40499999991</v>
      </c>
    </row>
    <row r="2379" spans="1:8" x14ac:dyDescent="0.35">
      <c r="A2379" s="2">
        <v>495</v>
      </c>
      <c r="B2379" s="2">
        <v>22857</v>
      </c>
      <c r="C2379" s="2">
        <f t="shared" si="222"/>
        <v>2.2856999999999998</v>
      </c>
      <c r="D2379" s="2">
        <f t="shared" si="223"/>
        <v>245025</v>
      </c>
      <c r="E2379" s="2">
        <f t="shared" si="224"/>
        <v>121287375</v>
      </c>
      <c r="F2379" s="2">
        <f t="shared" si="225"/>
        <v>60037250625</v>
      </c>
      <c r="G2379" s="2">
        <f t="shared" si="226"/>
        <v>1131.4214999999999</v>
      </c>
      <c r="H2379" s="2">
        <f t="shared" si="227"/>
        <v>560053.64249999996</v>
      </c>
    </row>
    <row r="2380" spans="1:8" x14ac:dyDescent="0.35">
      <c r="A2380" s="2">
        <v>495</v>
      </c>
      <c r="B2380" s="2">
        <v>23517</v>
      </c>
      <c r="C2380" s="2">
        <f t="shared" si="222"/>
        <v>2.3517000000000001</v>
      </c>
      <c r="D2380" s="2">
        <f t="shared" si="223"/>
        <v>245025</v>
      </c>
      <c r="E2380" s="2">
        <f t="shared" si="224"/>
        <v>121287375</v>
      </c>
      <c r="F2380" s="2">
        <f t="shared" si="225"/>
        <v>60037250625</v>
      </c>
      <c r="G2380" s="2">
        <f t="shared" si="226"/>
        <v>1164.0915</v>
      </c>
      <c r="H2380" s="2">
        <f t="shared" si="227"/>
        <v>576225.29249999998</v>
      </c>
    </row>
    <row r="2381" spans="1:8" x14ac:dyDescent="0.35">
      <c r="A2381" s="2">
        <v>495</v>
      </c>
      <c r="B2381" s="2">
        <v>24139</v>
      </c>
      <c r="C2381" s="2">
        <f t="shared" si="222"/>
        <v>2.4138999999999999</v>
      </c>
      <c r="D2381" s="2">
        <f t="shared" si="223"/>
        <v>245025</v>
      </c>
      <c r="E2381" s="2">
        <f t="shared" si="224"/>
        <v>121287375</v>
      </c>
      <c r="F2381" s="2">
        <f t="shared" si="225"/>
        <v>60037250625</v>
      </c>
      <c r="G2381" s="2">
        <f t="shared" si="226"/>
        <v>1194.8805</v>
      </c>
      <c r="H2381" s="2">
        <f t="shared" si="227"/>
        <v>591465.84750000003</v>
      </c>
    </row>
    <row r="2382" spans="1:8" x14ac:dyDescent="0.35">
      <c r="A2382" s="2">
        <v>495</v>
      </c>
      <c r="B2382" s="2">
        <v>24452</v>
      </c>
      <c r="C2382" s="2">
        <f t="shared" si="222"/>
        <v>2.4451999999999998</v>
      </c>
      <c r="D2382" s="2">
        <f t="shared" si="223"/>
        <v>245025</v>
      </c>
      <c r="E2382" s="2">
        <f t="shared" si="224"/>
        <v>121287375</v>
      </c>
      <c r="F2382" s="2">
        <f t="shared" si="225"/>
        <v>60037250625</v>
      </c>
      <c r="G2382" s="2">
        <f t="shared" si="226"/>
        <v>1210.3739999999998</v>
      </c>
      <c r="H2382" s="2">
        <f t="shared" si="227"/>
        <v>599135.13</v>
      </c>
    </row>
    <row r="2383" spans="1:8" x14ac:dyDescent="0.35">
      <c r="A2383" s="2">
        <v>495</v>
      </c>
      <c r="B2383" s="2">
        <v>24755</v>
      </c>
      <c r="C2383" s="2">
        <f t="shared" si="222"/>
        <v>2.4754999999999998</v>
      </c>
      <c r="D2383" s="2">
        <f t="shared" si="223"/>
        <v>245025</v>
      </c>
      <c r="E2383" s="2">
        <f t="shared" si="224"/>
        <v>121287375</v>
      </c>
      <c r="F2383" s="2">
        <f t="shared" si="225"/>
        <v>60037250625</v>
      </c>
      <c r="G2383" s="2">
        <f t="shared" si="226"/>
        <v>1225.3724999999999</v>
      </c>
      <c r="H2383" s="2">
        <f t="shared" si="227"/>
        <v>606559.38749999995</v>
      </c>
    </row>
    <row r="2384" spans="1:8" x14ac:dyDescent="0.35">
      <c r="A2384" s="2">
        <v>495</v>
      </c>
      <c r="B2384" s="2">
        <v>25048</v>
      </c>
      <c r="C2384" s="2">
        <f t="shared" si="222"/>
        <v>2.5047999999999999</v>
      </c>
      <c r="D2384" s="2">
        <f t="shared" si="223"/>
        <v>245025</v>
      </c>
      <c r="E2384" s="2">
        <f t="shared" si="224"/>
        <v>121287375</v>
      </c>
      <c r="F2384" s="2">
        <f t="shared" si="225"/>
        <v>60037250625</v>
      </c>
      <c r="G2384" s="2">
        <f t="shared" si="226"/>
        <v>1239.876</v>
      </c>
      <c r="H2384" s="2">
        <f t="shared" si="227"/>
        <v>613738.62</v>
      </c>
    </row>
    <row r="2385" spans="1:8" x14ac:dyDescent="0.35">
      <c r="A2385" s="2">
        <v>495</v>
      </c>
      <c r="B2385" s="2">
        <v>25334</v>
      </c>
      <c r="C2385" s="2">
        <f t="shared" si="222"/>
        <v>2.5333999999999999</v>
      </c>
      <c r="D2385" s="2">
        <f t="shared" si="223"/>
        <v>245025</v>
      </c>
      <c r="E2385" s="2">
        <f t="shared" si="224"/>
        <v>121287375</v>
      </c>
      <c r="F2385" s="2">
        <f t="shared" si="225"/>
        <v>60037250625</v>
      </c>
      <c r="G2385" s="2">
        <f t="shared" si="226"/>
        <v>1254.0329999999999</v>
      </c>
      <c r="H2385" s="2">
        <f t="shared" si="227"/>
        <v>620746.33499999996</v>
      </c>
    </row>
    <row r="2386" spans="1:8" x14ac:dyDescent="0.35">
      <c r="A2386" s="2">
        <v>495</v>
      </c>
      <c r="B2386" s="2">
        <v>25612</v>
      </c>
      <c r="C2386" s="2">
        <f t="shared" si="222"/>
        <v>2.5611999999999999</v>
      </c>
      <c r="D2386" s="2">
        <f t="shared" si="223"/>
        <v>245025</v>
      </c>
      <c r="E2386" s="2">
        <f t="shared" si="224"/>
        <v>121287375</v>
      </c>
      <c r="F2386" s="2">
        <f t="shared" si="225"/>
        <v>60037250625</v>
      </c>
      <c r="G2386" s="2">
        <f t="shared" si="226"/>
        <v>1267.7939999999999</v>
      </c>
      <c r="H2386" s="2">
        <f t="shared" si="227"/>
        <v>627558.03</v>
      </c>
    </row>
    <row r="2387" spans="1:8" x14ac:dyDescent="0.35">
      <c r="A2387" s="2">
        <v>495</v>
      </c>
      <c r="B2387" s="2">
        <v>25885</v>
      </c>
      <c r="C2387" s="2">
        <f t="shared" si="222"/>
        <v>2.5884999999999998</v>
      </c>
      <c r="D2387" s="2">
        <f t="shared" si="223"/>
        <v>245025</v>
      </c>
      <c r="E2387" s="2">
        <f t="shared" si="224"/>
        <v>121287375</v>
      </c>
      <c r="F2387" s="2">
        <f t="shared" si="225"/>
        <v>60037250625</v>
      </c>
      <c r="G2387" s="2">
        <f t="shared" si="226"/>
        <v>1281.3074999999999</v>
      </c>
      <c r="H2387" s="2">
        <f t="shared" si="227"/>
        <v>634247.21249999991</v>
      </c>
    </row>
    <row r="2388" spans="1:8" x14ac:dyDescent="0.35">
      <c r="A2388" s="2">
        <v>495</v>
      </c>
      <c r="B2388" s="2">
        <v>26151</v>
      </c>
      <c r="C2388" s="2">
        <f t="shared" si="222"/>
        <v>2.6151</v>
      </c>
      <c r="D2388" s="2">
        <f t="shared" si="223"/>
        <v>245025</v>
      </c>
      <c r="E2388" s="2">
        <f t="shared" si="224"/>
        <v>121287375</v>
      </c>
      <c r="F2388" s="2">
        <f t="shared" si="225"/>
        <v>60037250625</v>
      </c>
      <c r="G2388" s="2">
        <f t="shared" si="226"/>
        <v>1294.4745</v>
      </c>
      <c r="H2388" s="2">
        <f t="shared" si="227"/>
        <v>640764.87749999994</v>
      </c>
    </row>
    <row r="2389" spans="1:8" x14ac:dyDescent="0.35">
      <c r="A2389" s="2">
        <v>495</v>
      </c>
      <c r="B2389" s="2">
        <v>27273</v>
      </c>
      <c r="C2389" s="2">
        <f t="shared" si="222"/>
        <v>2.7273000000000001</v>
      </c>
      <c r="D2389" s="2">
        <f t="shared" si="223"/>
        <v>245025</v>
      </c>
      <c r="E2389" s="2">
        <f t="shared" si="224"/>
        <v>121287375</v>
      </c>
      <c r="F2389" s="2">
        <f t="shared" si="225"/>
        <v>60037250625</v>
      </c>
      <c r="G2389" s="2">
        <f t="shared" si="226"/>
        <v>1350.0135</v>
      </c>
      <c r="H2389" s="2">
        <f t="shared" si="227"/>
        <v>668256.6825</v>
      </c>
    </row>
    <row r="2390" spans="1:8" x14ac:dyDescent="0.35">
      <c r="A2390" s="2">
        <v>495</v>
      </c>
      <c r="B2390" s="2">
        <v>26087</v>
      </c>
      <c r="C2390" s="2">
        <f t="shared" si="222"/>
        <v>2.6086999999999998</v>
      </c>
      <c r="D2390" s="2">
        <f t="shared" si="223"/>
        <v>245025</v>
      </c>
      <c r="E2390" s="2">
        <f t="shared" si="224"/>
        <v>121287375</v>
      </c>
      <c r="F2390" s="2">
        <f t="shared" si="225"/>
        <v>60037250625</v>
      </c>
      <c r="G2390" s="2">
        <f t="shared" si="226"/>
        <v>1291.3064999999999</v>
      </c>
      <c r="H2390" s="2">
        <f t="shared" si="227"/>
        <v>639196.71749999991</v>
      </c>
    </row>
    <row r="2391" spans="1:8" x14ac:dyDescent="0.35">
      <c r="A2391" s="2">
        <v>495</v>
      </c>
      <c r="B2391" s="2">
        <v>26702</v>
      </c>
      <c r="C2391" s="2">
        <f t="shared" si="222"/>
        <v>2.6701999999999999</v>
      </c>
      <c r="D2391" s="2">
        <f t="shared" si="223"/>
        <v>245025</v>
      </c>
      <c r="E2391" s="2">
        <f t="shared" si="224"/>
        <v>121287375</v>
      </c>
      <c r="F2391" s="2">
        <f t="shared" si="225"/>
        <v>60037250625</v>
      </c>
      <c r="G2391" s="2">
        <f t="shared" si="226"/>
        <v>1321.749</v>
      </c>
      <c r="H2391" s="2">
        <f t="shared" si="227"/>
        <v>654265.755</v>
      </c>
    </row>
    <row r="2392" spans="1:8" x14ac:dyDescent="0.35">
      <c r="A2392" s="2">
        <v>495</v>
      </c>
      <c r="B2392" s="2">
        <v>26949</v>
      </c>
      <c r="C2392" s="2">
        <f t="shared" si="222"/>
        <v>2.6949000000000001</v>
      </c>
      <c r="D2392" s="2">
        <f t="shared" si="223"/>
        <v>245025</v>
      </c>
      <c r="E2392" s="2">
        <f t="shared" si="224"/>
        <v>121287375</v>
      </c>
      <c r="F2392" s="2">
        <f t="shared" si="225"/>
        <v>60037250625</v>
      </c>
      <c r="G2392" s="2">
        <f t="shared" si="226"/>
        <v>1333.9755</v>
      </c>
      <c r="H2392" s="2">
        <f t="shared" si="227"/>
        <v>660317.87250000006</v>
      </c>
    </row>
    <row r="2393" spans="1:8" x14ac:dyDescent="0.35">
      <c r="A2393" s="2">
        <v>495</v>
      </c>
      <c r="B2393" s="2">
        <v>27212</v>
      </c>
      <c r="C2393" s="2">
        <f t="shared" si="222"/>
        <v>2.7212000000000001</v>
      </c>
      <c r="D2393" s="2">
        <f t="shared" si="223"/>
        <v>245025</v>
      </c>
      <c r="E2393" s="2">
        <f t="shared" si="224"/>
        <v>121287375</v>
      </c>
      <c r="F2393" s="2">
        <f t="shared" si="225"/>
        <v>60037250625</v>
      </c>
      <c r="G2393" s="2">
        <f t="shared" si="226"/>
        <v>1346.9940000000001</v>
      </c>
      <c r="H2393" s="2">
        <f t="shared" si="227"/>
        <v>666762.03</v>
      </c>
    </row>
    <row r="2394" spans="1:8" x14ac:dyDescent="0.35">
      <c r="A2394" s="2">
        <v>636</v>
      </c>
      <c r="B2394" s="2">
        <v>61980</v>
      </c>
      <c r="C2394" s="2">
        <f t="shared" si="222"/>
        <v>6.1980000000000004</v>
      </c>
      <c r="D2394" s="2">
        <f t="shared" si="223"/>
        <v>404496</v>
      </c>
      <c r="E2394" s="2">
        <f t="shared" si="224"/>
        <v>257259456</v>
      </c>
      <c r="F2394" s="2">
        <f t="shared" si="225"/>
        <v>163617014016</v>
      </c>
      <c r="G2394" s="2">
        <f t="shared" si="226"/>
        <v>3941.9280000000003</v>
      </c>
      <c r="H2394" s="2">
        <f t="shared" si="227"/>
        <v>2507066.2080000001</v>
      </c>
    </row>
    <row r="2395" spans="1:8" x14ac:dyDescent="0.35">
      <c r="A2395" s="2">
        <v>636</v>
      </c>
      <c r="B2395" s="2">
        <v>63245</v>
      </c>
      <c r="C2395" s="2">
        <f t="shared" si="222"/>
        <v>6.3244999999999996</v>
      </c>
      <c r="D2395" s="2">
        <f t="shared" si="223"/>
        <v>404496</v>
      </c>
      <c r="E2395" s="2">
        <f t="shared" si="224"/>
        <v>257259456</v>
      </c>
      <c r="F2395" s="2">
        <f t="shared" si="225"/>
        <v>163617014016</v>
      </c>
      <c r="G2395" s="2">
        <f t="shared" si="226"/>
        <v>4022.3819999999996</v>
      </c>
      <c r="H2395" s="2">
        <f t="shared" si="227"/>
        <v>2558234.952</v>
      </c>
    </row>
    <row r="2396" spans="1:8" x14ac:dyDescent="0.35">
      <c r="A2396" s="2">
        <v>636</v>
      </c>
      <c r="B2396" s="2">
        <v>63284</v>
      </c>
      <c r="C2396" s="2">
        <f t="shared" si="222"/>
        <v>6.3284000000000002</v>
      </c>
      <c r="D2396" s="2">
        <f t="shared" si="223"/>
        <v>404496</v>
      </c>
      <c r="E2396" s="2">
        <f t="shared" si="224"/>
        <v>257259456</v>
      </c>
      <c r="F2396" s="2">
        <f t="shared" si="225"/>
        <v>163617014016</v>
      </c>
      <c r="G2396" s="2">
        <f t="shared" si="226"/>
        <v>4024.8624</v>
      </c>
      <c r="H2396" s="2">
        <f t="shared" si="227"/>
        <v>2559812.4864000003</v>
      </c>
    </row>
    <row r="2397" spans="1:8" x14ac:dyDescent="0.35">
      <c r="A2397" s="2">
        <v>636</v>
      </c>
      <c r="B2397" s="2">
        <v>58410</v>
      </c>
      <c r="C2397" s="2">
        <f t="shared" si="222"/>
        <v>5.8410000000000002</v>
      </c>
      <c r="D2397" s="2">
        <f t="shared" si="223"/>
        <v>404496</v>
      </c>
      <c r="E2397" s="2">
        <f t="shared" si="224"/>
        <v>257259456</v>
      </c>
      <c r="F2397" s="2">
        <f t="shared" si="225"/>
        <v>163617014016</v>
      </c>
      <c r="G2397" s="2">
        <f t="shared" si="226"/>
        <v>3714.8760000000002</v>
      </c>
      <c r="H2397" s="2">
        <f t="shared" si="227"/>
        <v>2362661.1359999999</v>
      </c>
    </row>
    <row r="2398" spans="1:8" x14ac:dyDescent="0.35">
      <c r="A2398" s="2">
        <v>636</v>
      </c>
      <c r="B2398" s="2">
        <v>63209</v>
      </c>
      <c r="C2398" s="2">
        <f t="shared" si="222"/>
        <v>6.3209</v>
      </c>
      <c r="D2398" s="2">
        <f t="shared" si="223"/>
        <v>404496</v>
      </c>
      <c r="E2398" s="2">
        <f t="shared" si="224"/>
        <v>257259456</v>
      </c>
      <c r="F2398" s="2">
        <f t="shared" si="225"/>
        <v>163617014016</v>
      </c>
      <c r="G2398" s="2">
        <f t="shared" si="226"/>
        <v>4020.0924</v>
      </c>
      <c r="H2398" s="2">
        <f t="shared" si="227"/>
        <v>2556778.7664000001</v>
      </c>
    </row>
    <row r="2399" spans="1:8" x14ac:dyDescent="0.35">
      <c r="A2399" s="2">
        <v>636</v>
      </c>
      <c r="B2399" s="2">
        <v>62082</v>
      </c>
      <c r="C2399" s="2">
        <f t="shared" si="222"/>
        <v>6.2081999999999997</v>
      </c>
      <c r="D2399" s="2">
        <f t="shared" si="223"/>
        <v>404496</v>
      </c>
      <c r="E2399" s="2">
        <f t="shared" si="224"/>
        <v>257259456</v>
      </c>
      <c r="F2399" s="2">
        <f t="shared" si="225"/>
        <v>163617014016</v>
      </c>
      <c r="G2399" s="2">
        <f t="shared" si="226"/>
        <v>3948.4151999999999</v>
      </c>
      <c r="H2399" s="2">
        <f t="shared" si="227"/>
        <v>2511192.0671999999</v>
      </c>
    </row>
    <row r="2400" spans="1:8" x14ac:dyDescent="0.35">
      <c r="A2400" s="2">
        <v>636</v>
      </c>
      <c r="B2400" s="2">
        <v>64481</v>
      </c>
      <c r="C2400" s="2">
        <f t="shared" si="222"/>
        <v>6.4481000000000002</v>
      </c>
      <c r="D2400" s="2">
        <f t="shared" si="223"/>
        <v>404496</v>
      </c>
      <c r="E2400" s="2">
        <f t="shared" si="224"/>
        <v>257259456</v>
      </c>
      <c r="F2400" s="2">
        <f t="shared" si="225"/>
        <v>163617014016</v>
      </c>
      <c r="G2400" s="2">
        <f t="shared" si="226"/>
        <v>4100.9916000000003</v>
      </c>
      <c r="H2400" s="2">
        <f t="shared" si="227"/>
        <v>2608230.6576</v>
      </c>
    </row>
    <row r="2401" spans="1:8" x14ac:dyDescent="0.35">
      <c r="A2401" s="2">
        <v>636</v>
      </c>
      <c r="B2401" s="2">
        <v>66694</v>
      </c>
      <c r="C2401" s="2">
        <f t="shared" si="222"/>
        <v>6.6694000000000004</v>
      </c>
      <c r="D2401" s="2">
        <f t="shared" si="223"/>
        <v>404496</v>
      </c>
      <c r="E2401" s="2">
        <f t="shared" si="224"/>
        <v>257259456</v>
      </c>
      <c r="F2401" s="2">
        <f t="shared" si="225"/>
        <v>163617014016</v>
      </c>
      <c r="G2401" s="2">
        <f t="shared" si="226"/>
        <v>4241.7384000000002</v>
      </c>
      <c r="H2401" s="2">
        <f t="shared" si="227"/>
        <v>2697745.6224000002</v>
      </c>
    </row>
    <row r="2402" spans="1:8" x14ac:dyDescent="0.35">
      <c r="A2402" s="2">
        <v>636</v>
      </c>
      <c r="B2402" s="2">
        <v>61109</v>
      </c>
      <c r="C2402" s="2">
        <f t="shared" si="222"/>
        <v>6.1109</v>
      </c>
      <c r="D2402" s="2">
        <f t="shared" si="223"/>
        <v>404496</v>
      </c>
      <c r="E2402" s="2">
        <f t="shared" si="224"/>
        <v>257259456</v>
      </c>
      <c r="F2402" s="2">
        <f t="shared" si="225"/>
        <v>163617014016</v>
      </c>
      <c r="G2402" s="2">
        <f t="shared" si="226"/>
        <v>3886.5324000000001</v>
      </c>
      <c r="H2402" s="2">
        <f t="shared" si="227"/>
        <v>2471834.6063999999</v>
      </c>
    </row>
    <row r="2403" spans="1:8" x14ac:dyDescent="0.35">
      <c r="A2403" s="2">
        <v>636</v>
      </c>
      <c r="B2403" s="2">
        <v>60459</v>
      </c>
      <c r="C2403" s="2">
        <f t="shared" si="222"/>
        <v>6.0458999999999996</v>
      </c>
      <c r="D2403" s="2">
        <f t="shared" si="223"/>
        <v>404496</v>
      </c>
      <c r="E2403" s="2">
        <f t="shared" si="224"/>
        <v>257259456</v>
      </c>
      <c r="F2403" s="2">
        <f t="shared" si="225"/>
        <v>163617014016</v>
      </c>
      <c r="G2403" s="2">
        <f t="shared" si="226"/>
        <v>3845.1923999999999</v>
      </c>
      <c r="H2403" s="2">
        <f t="shared" si="227"/>
        <v>2445542.3663999997</v>
      </c>
    </row>
    <row r="2404" spans="1:8" x14ac:dyDescent="0.35">
      <c r="A2404" s="2">
        <v>636</v>
      </c>
      <c r="B2404" s="2">
        <v>69838</v>
      </c>
      <c r="C2404" s="2">
        <f t="shared" si="222"/>
        <v>6.9837999999999996</v>
      </c>
      <c r="D2404" s="2">
        <f t="shared" si="223"/>
        <v>404496</v>
      </c>
      <c r="E2404" s="2">
        <f t="shared" si="224"/>
        <v>257259456</v>
      </c>
      <c r="F2404" s="2">
        <f t="shared" si="225"/>
        <v>163617014016</v>
      </c>
      <c r="G2404" s="2">
        <f t="shared" si="226"/>
        <v>4441.6967999999997</v>
      </c>
      <c r="H2404" s="2">
        <f t="shared" si="227"/>
        <v>2824919.1647999999</v>
      </c>
    </row>
    <row r="2405" spans="1:8" x14ac:dyDescent="0.35">
      <c r="A2405" s="2">
        <v>636</v>
      </c>
      <c r="B2405" s="2">
        <v>68295</v>
      </c>
      <c r="C2405" s="2">
        <f t="shared" si="222"/>
        <v>6.8295000000000003</v>
      </c>
      <c r="D2405" s="2">
        <f t="shared" si="223"/>
        <v>404496</v>
      </c>
      <c r="E2405" s="2">
        <f t="shared" si="224"/>
        <v>257259456</v>
      </c>
      <c r="F2405" s="2">
        <f t="shared" si="225"/>
        <v>163617014016</v>
      </c>
      <c r="G2405" s="2">
        <f t="shared" si="226"/>
        <v>4343.5619999999999</v>
      </c>
      <c r="H2405" s="2">
        <f t="shared" si="227"/>
        <v>2762505.432</v>
      </c>
    </row>
    <row r="2406" spans="1:8" x14ac:dyDescent="0.35">
      <c r="A2406" s="2">
        <v>636</v>
      </c>
      <c r="B2406" s="2">
        <v>70657</v>
      </c>
      <c r="C2406" s="2">
        <f t="shared" si="222"/>
        <v>7.0656999999999996</v>
      </c>
      <c r="D2406" s="2">
        <f t="shared" si="223"/>
        <v>404496</v>
      </c>
      <c r="E2406" s="2">
        <f t="shared" si="224"/>
        <v>257259456</v>
      </c>
      <c r="F2406" s="2">
        <f t="shared" si="225"/>
        <v>163617014016</v>
      </c>
      <c r="G2406" s="2">
        <f t="shared" si="226"/>
        <v>4493.7851999999993</v>
      </c>
      <c r="H2406" s="2">
        <f t="shared" si="227"/>
        <v>2858047.3871999998</v>
      </c>
    </row>
    <row r="2407" spans="1:8" x14ac:dyDescent="0.35">
      <c r="A2407" s="2">
        <v>636</v>
      </c>
      <c r="B2407" s="2">
        <v>75388</v>
      </c>
      <c r="C2407" s="2">
        <f t="shared" si="222"/>
        <v>7.5388000000000002</v>
      </c>
      <c r="D2407" s="2">
        <f t="shared" si="223"/>
        <v>404496</v>
      </c>
      <c r="E2407" s="2">
        <f t="shared" si="224"/>
        <v>257259456</v>
      </c>
      <c r="F2407" s="2">
        <f t="shared" si="225"/>
        <v>163617014016</v>
      </c>
      <c r="G2407" s="2">
        <f t="shared" si="226"/>
        <v>4794.6768000000002</v>
      </c>
      <c r="H2407" s="2">
        <f t="shared" si="227"/>
        <v>3049414.4448000002</v>
      </c>
    </row>
    <row r="2408" spans="1:8" x14ac:dyDescent="0.35">
      <c r="A2408" s="2">
        <v>636</v>
      </c>
      <c r="B2408" s="2">
        <v>70661</v>
      </c>
      <c r="C2408" s="2">
        <f t="shared" si="222"/>
        <v>7.0660999999999996</v>
      </c>
      <c r="D2408" s="2">
        <f t="shared" si="223"/>
        <v>404496</v>
      </c>
      <c r="E2408" s="2">
        <f t="shared" si="224"/>
        <v>257259456</v>
      </c>
      <c r="F2408" s="2">
        <f t="shared" si="225"/>
        <v>163617014016</v>
      </c>
      <c r="G2408" s="2">
        <f t="shared" si="226"/>
        <v>4494.0396000000001</v>
      </c>
      <c r="H2408" s="2">
        <f t="shared" si="227"/>
        <v>2858209.1856</v>
      </c>
    </row>
    <row r="2409" spans="1:8" x14ac:dyDescent="0.35">
      <c r="A2409" s="2">
        <v>636</v>
      </c>
      <c r="B2409" s="2">
        <v>75795</v>
      </c>
      <c r="C2409" s="2">
        <f t="shared" si="222"/>
        <v>7.5795000000000003</v>
      </c>
      <c r="D2409" s="2">
        <f t="shared" si="223"/>
        <v>404496</v>
      </c>
      <c r="E2409" s="2">
        <f t="shared" si="224"/>
        <v>257259456</v>
      </c>
      <c r="F2409" s="2">
        <f t="shared" si="225"/>
        <v>163617014016</v>
      </c>
      <c r="G2409" s="2">
        <f t="shared" si="226"/>
        <v>4820.5619999999999</v>
      </c>
      <c r="H2409" s="2">
        <f t="shared" si="227"/>
        <v>3065877.432</v>
      </c>
    </row>
    <row r="2410" spans="1:8" x14ac:dyDescent="0.35">
      <c r="A2410" s="2">
        <v>636</v>
      </c>
      <c r="B2410" s="2">
        <v>72172</v>
      </c>
      <c r="C2410" s="2">
        <f t="shared" si="222"/>
        <v>7.2172000000000001</v>
      </c>
      <c r="D2410" s="2">
        <f t="shared" si="223"/>
        <v>404496</v>
      </c>
      <c r="E2410" s="2">
        <f t="shared" si="224"/>
        <v>257259456</v>
      </c>
      <c r="F2410" s="2">
        <f t="shared" si="225"/>
        <v>163617014016</v>
      </c>
      <c r="G2410" s="2">
        <f t="shared" si="226"/>
        <v>4590.1391999999996</v>
      </c>
      <c r="H2410" s="2">
        <f t="shared" si="227"/>
        <v>2919328.5312000001</v>
      </c>
    </row>
    <row r="2411" spans="1:8" x14ac:dyDescent="0.35">
      <c r="A2411" s="2">
        <v>636</v>
      </c>
      <c r="B2411" s="2">
        <v>72015</v>
      </c>
      <c r="C2411" s="2">
        <f t="shared" si="222"/>
        <v>7.2015000000000002</v>
      </c>
      <c r="D2411" s="2">
        <f t="shared" si="223"/>
        <v>404496</v>
      </c>
      <c r="E2411" s="2">
        <f t="shared" si="224"/>
        <v>257259456</v>
      </c>
      <c r="F2411" s="2">
        <f t="shared" si="225"/>
        <v>163617014016</v>
      </c>
      <c r="G2411" s="2">
        <f t="shared" si="226"/>
        <v>4580.1540000000005</v>
      </c>
      <c r="H2411" s="2">
        <f t="shared" si="227"/>
        <v>2912977.9440000001</v>
      </c>
    </row>
    <row r="2412" spans="1:8" x14ac:dyDescent="0.35">
      <c r="A2412" s="2">
        <v>636</v>
      </c>
      <c r="B2412" s="2">
        <v>69166</v>
      </c>
      <c r="C2412" s="2">
        <f t="shared" si="222"/>
        <v>6.9165999999999999</v>
      </c>
      <c r="D2412" s="2">
        <f t="shared" si="223"/>
        <v>404496</v>
      </c>
      <c r="E2412" s="2">
        <f t="shared" si="224"/>
        <v>257259456</v>
      </c>
      <c r="F2412" s="2">
        <f t="shared" si="225"/>
        <v>163617014016</v>
      </c>
      <c r="G2412" s="2">
        <f t="shared" si="226"/>
        <v>4398.9575999999997</v>
      </c>
      <c r="H2412" s="2">
        <f t="shared" si="227"/>
        <v>2797737.0335999997</v>
      </c>
    </row>
    <row r="2413" spans="1:8" x14ac:dyDescent="0.35">
      <c r="A2413" s="2">
        <v>636</v>
      </c>
      <c r="B2413" s="2">
        <v>67992</v>
      </c>
      <c r="C2413" s="2">
        <f t="shared" si="222"/>
        <v>6.7991999999999999</v>
      </c>
      <c r="D2413" s="2">
        <f t="shared" si="223"/>
        <v>404496</v>
      </c>
      <c r="E2413" s="2">
        <f t="shared" si="224"/>
        <v>257259456</v>
      </c>
      <c r="F2413" s="2">
        <f t="shared" si="225"/>
        <v>163617014016</v>
      </c>
      <c r="G2413" s="2">
        <f t="shared" si="226"/>
        <v>4324.2911999999997</v>
      </c>
      <c r="H2413" s="2">
        <f t="shared" si="227"/>
        <v>2750249.2031999999</v>
      </c>
    </row>
    <row r="2414" spans="1:8" x14ac:dyDescent="0.35">
      <c r="A2414" s="2">
        <v>636</v>
      </c>
      <c r="B2414" s="2">
        <v>71228</v>
      </c>
      <c r="C2414" s="2">
        <f t="shared" si="222"/>
        <v>7.1227999999999998</v>
      </c>
      <c r="D2414" s="2">
        <f t="shared" si="223"/>
        <v>404496</v>
      </c>
      <c r="E2414" s="2">
        <f t="shared" si="224"/>
        <v>257259456</v>
      </c>
      <c r="F2414" s="2">
        <f t="shared" si="225"/>
        <v>163617014016</v>
      </c>
      <c r="G2414" s="2">
        <f t="shared" si="226"/>
        <v>4530.1008000000002</v>
      </c>
      <c r="H2414" s="2">
        <f t="shared" si="227"/>
        <v>2881144.1088</v>
      </c>
    </row>
    <row r="2415" spans="1:8" x14ac:dyDescent="0.35">
      <c r="A2415" s="2">
        <v>636</v>
      </c>
      <c r="B2415" s="2">
        <v>69220</v>
      </c>
      <c r="C2415" s="2">
        <f t="shared" si="222"/>
        <v>6.9219999999999997</v>
      </c>
      <c r="D2415" s="2">
        <f t="shared" si="223"/>
        <v>404496</v>
      </c>
      <c r="E2415" s="2">
        <f t="shared" si="224"/>
        <v>257259456</v>
      </c>
      <c r="F2415" s="2">
        <f t="shared" si="225"/>
        <v>163617014016</v>
      </c>
      <c r="G2415" s="2">
        <f t="shared" si="226"/>
        <v>4402.3919999999998</v>
      </c>
      <c r="H2415" s="2">
        <f t="shared" si="227"/>
        <v>2799921.3119999999</v>
      </c>
    </row>
    <row r="2416" spans="1:8" x14ac:dyDescent="0.35">
      <c r="A2416" s="2">
        <v>636</v>
      </c>
      <c r="B2416" s="2">
        <v>76593</v>
      </c>
      <c r="C2416" s="2">
        <f t="shared" si="222"/>
        <v>7.6593</v>
      </c>
      <c r="D2416" s="2">
        <f t="shared" si="223"/>
        <v>404496</v>
      </c>
      <c r="E2416" s="2">
        <f t="shared" si="224"/>
        <v>257259456</v>
      </c>
      <c r="F2416" s="2">
        <f t="shared" si="225"/>
        <v>163617014016</v>
      </c>
      <c r="G2416" s="2">
        <f t="shared" si="226"/>
        <v>4871.3148000000001</v>
      </c>
      <c r="H2416" s="2">
        <f t="shared" si="227"/>
        <v>3098156.2127999999</v>
      </c>
    </row>
    <row r="2417" spans="1:8" x14ac:dyDescent="0.35">
      <c r="A2417" s="2">
        <v>636</v>
      </c>
      <c r="B2417" s="2">
        <v>75936</v>
      </c>
      <c r="C2417" s="2">
        <f t="shared" si="222"/>
        <v>7.5936000000000003</v>
      </c>
      <c r="D2417" s="2">
        <f t="shared" si="223"/>
        <v>404496</v>
      </c>
      <c r="E2417" s="2">
        <f t="shared" si="224"/>
        <v>257259456</v>
      </c>
      <c r="F2417" s="2">
        <f t="shared" si="225"/>
        <v>163617014016</v>
      </c>
      <c r="G2417" s="2">
        <f t="shared" si="226"/>
        <v>4829.5295999999998</v>
      </c>
      <c r="H2417" s="2">
        <f t="shared" si="227"/>
        <v>3071580.8256000001</v>
      </c>
    </row>
    <row r="2418" spans="1:8" x14ac:dyDescent="0.35">
      <c r="A2418" s="2">
        <v>636</v>
      </c>
      <c r="B2418" s="2">
        <v>75800</v>
      </c>
      <c r="C2418" s="2">
        <f t="shared" si="222"/>
        <v>7.58</v>
      </c>
      <c r="D2418" s="2">
        <f t="shared" si="223"/>
        <v>404496</v>
      </c>
      <c r="E2418" s="2">
        <f t="shared" si="224"/>
        <v>257259456</v>
      </c>
      <c r="F2418" s="2">
        <f t="shared" si="225"/>
        <v>163617014016</v>
      </c>
      <c r="G2418" s="2">
        <f t="shared" si="226"/>
        <v>4820.88</v>
      </c>
      <c r="H2418" s="2">
        <f t="shared" si="227"/>
        <v>3066079.68</v>
      </c>
    </row>
    <row r="2419" spans="1:8" x14ac:dyDescent="0.35">
      <c r="A2419" s="2">
        <v>636</v>
      </c>
      <c r="B2419" s="2">
        <v>79739</v>
      </c>
      <c r="C2419" s="2">
        <f t="shared" si="222"/>
        <v>7.9739000000000004</v>
      </c>
      <c r="D2419" s="2">
        <f t="shared" si="223"/>
        <v>404496</v>
      </c>
      <c r="E2419" s="2">
        <f t="shared" si="224"/>
        <v>257259456</v>
      </c>
      <c r="F2419" s="2">
        <f t="shared" si="225"/>
        <v>163617014016</v>
      </c>
      <c r="G2419" s="2">
        <f t="shared" si="226"/>
        <v>5071.4004000000004</v>
      </c>
      <c r="H2419" s="2">
        <f t="shared" si="227"/>
        <v>3225410.6544000003</v>
      </c>
    </row>
    <row r="2420" spans="1:8" x14ac:dyDescent="0.35">
      <c r="A2420" s="2">
        <v>636</v>
      </c>
      <c r="B2420" s="2">
        <v>77902</v>
      </c>
      <c r="C2420" s="2">
        <f t="shared" si="222"/>
        <v>7.7901999999999996</v>
      </c>
      <c r="D2420" s="2">
        <f t="shared" si="223"/>
        <v>404496</v>
      </c>
      <c r="E2420" s="2">
        <f t="shared" si="224"/>
        <v>257259456</v>
      </c>
      <c r="F2420" s="2">
        <f t="shared" si="225"/>
        <v>163617014016</v>
      </c>
      <c r="G2420" s="2">
        <f t="shared" si="226"/>
        <v>4954.5671999999995</v>
      </c>
      <c r="H2420" s="2">
        <f t="shared" si="227"/>
        <v>3151104.7391999997</v>
      </c>
    </row>
    <row r="2421" spans="1:8" x14ac:dyDescent="0.35">
      <c r="A2421" s="2">
        <v>636</v>
      </c>
      <c r="B2421" s="2">
        <v>77985</v>
      </c>
      <c r="C2421" s="2">
        <f t="shared" si="222"/>
        <v>7.7984999999999998</v>
      </c>
      <c r="D2421" s="2">
        <f t="shared" si="223"/>
        <v>404496</v>
      </c>
      <c r="E2421" s="2">
        <f t="shared" si="224"/>
        <v>257259456</v>
      </c>
      <c r="F2421" s="2">
        <f t="shared" si="225"/>
        <v>163617014016</v>
      </c>
      <c r="G2421" s="2">
        <f t="shared" si="226"/>
        <v>4959.8459999999995</v>
      </c>
      <c r="H2421" s="2">
        <f t="shared" si="227"/>
        <v>3154462.0559999999</v>
      </c>
    </row>
    <row r="2422" spans="1:8" x14ac:dyDescent="0.35">
      <c r="A2422" s="2">
        <v>636</v>
      </c>
      <c r="B2422" s="2">
        <v>77503</v>
      </c>
      <c r="C2422" s="2">
        <f t="shared" si="222"/>
        <v>7.7503000000000002</v>
      </c>
      <c r="D2422" s="2">
        <f t="shared" si="223"/>
        <v>404496</v>
      </c>
      <c r="E2422" s="2">
        <f t="shared" si="224"/>
        <v>257259456</v>
      </c>
      <c r="F2422" s="2">
        <f t="shared" si="225"/>
        <v>163617014016</v>
      </c>
      <c r="G2422" s="2">
        <f t="shared" si="226"/>
        <v>4929.1908000000003</v>
      </c>
      <c r="H2422" s="2">
        <f t="shared" si="227"/>
        <v>3134965.3488000003</v>
      </c>
    </row>
    <row r="2423" spans="1:8" x14ac:dyDescent="0.35">
      <c r="A2423" s="2">
        <v>636</v>
      </c>
      <c r="B2423" s="2">
        <v>78277</v>
      </c>
      <c r="C2423" s="2">
        <f t="shared" si="222"/>
        <v>7.8277000000000001</v>
      </c>
      <c r="D2423" s="2">
        <f t="shared" si="223"/>
        <v>404496</v>
      </c>
      <c r="E2423" s="2">
        <f t="shared" si="224"/>
        <v>257259456</v>
      </c>
      <c r="F2423" s="2">
        <f t="shared" si="225"/>
        <v>163617014016</v>
      </c>
      <c r="G2423" s="2">
        <f t="shared" si="226"/>
        <v>4978.4171999999999</v>
      </c>
      <c r="H2423" s="2">
        <f t="shared" si="227"/>
        <v>3166273.3391999998</v>
      </c>
    </row>
    <row r="2424" spans="1:8" x14ac:dyDescent="0.35">
      <c r="A2424" s="2">
        <v>1712</v>
      </c>
      <c r="B2424" s="2">
        <v>30777</v>
      </c>
      <c r="C2424" s="2">
        <f t="shared" si="222"/>
        <v>3.0777000000000001</v>
      </c>
      <c r="D2424" s="2">
        <f t="shared" si="223"/>
        <v>2930944</v>
      </c>
      <c r="E2424" s="2">
        <f t="shared" si="224"/>
        <v>5017776128</v>
      </c>
      <c r="F2424" s="2">
        <f t="shared" si="225"/>
        <v>8590432731136</v>
      </c>
      <c r="G2424" s="2">
        <f t="shared" si="226"/>
        <v>5269.0223999999998</v>
      </c>
      <c r="H2424" s="2">
        <f t="shared" si="227"/>
        <v>9020566.3487999998</v>
      </c>
    </row>
    <row r="2425" spans="1:8" x14ac:dyDescent="0.35">
      <c r="A2425" s="2">
        <v>1712</v>
      </c>
      <c r="B2425" s="2">
        <v>30944</v>
      </c>
      <c r="C2425" s="2">
        <f t="shared" si="222"/>
        <v>3.0943999999999998</v>
      </c>
      <c r="D2425" s="2">
        <f t="shared" si="223"/>
        <v>2930944</v>
      </c>
      <c r="E2425" s="2">
        <f t="shared" si="224"/>
        <v>5017776128</v>
      </c>
      <c r="F2425" s="2">
        <f t="shared" si="225"/>
        <v>8590432731136</v>
      </c>
      <c r="G2425" s="2">
        <f t="shared" si="226"/>
        <v>5297.6127999999999</v>
      </c>
      <c r="H2425" s="2">
        <f t="shared" si="227"/>
        <v>9069513.1135999989</v>
      </c>
    </row>
    <row r="2426" spans="1:8" x14ac:dyDescent="0.35">
      <c r="A2426" s="2">
        <v>1712</v>
      </c>
      <c r="B2426" s="2">
        <v>31318</v>
      </c>
      <c r="C2426" s="2">
        <f t="shared" si="222"/>
        <v>3.1318000000000001</v>
      </c>
      <c r="D2426" s="2">
        <f t="shared" si="223"/>
        <v>2930944</v>
      </c>
      <c r="E2426" s="2">
        <f t="shared" si="224"/>
        <v>5017776128</v>
      </c>
      <c r="F2426" s="2">
        <f t="shared" si="225"/>
        <v>8590432731136</v>
      </c>
      <c r="G2426" s="2">
        <f t="shared" si="226"/>
        <v>5361.6415999999999</v>
      </c>
      <c r="H2426" s="2">
        <f t="shared" si="227"/>
        <v>9179130.4192000013</v>
      </c>
    </row>
    <row r="2427" spans="1:8" x14ac:dyDescent="0.35">
      <c r="A2427" s="2">
        <v>1712</v>
      </c>
      <c r="B2427" s="2">
        <v>29916</v>
      </c>
      <c r="C2427" s="2">
        <f t="shared" si="222"/>
        <v>2.9916</v>
      </c>
      <c r="D2427" s="2">
        <f t="shared" si="223"/>
        <v>2930944</v>
      </c>
      <c r="E2427" s="2">
        <f t="shared" si="224"/>
        <v>5017776128</v>
      </c>
      <c r="F2427" s="2">
        <f t="shared" si="225"/>
        <v>8590432731136</v>
      </c>
      <c r="G2427" s="2">
        <f t="shared" si="226"/>
        <v>5121.6192000000001</v>
      </c>
      <c r="H2427" s="2">
        <f t="shared" si="227"/>
        <v>8768212.0703999996</v>
      </c>
    </row>
    <row r="2428" spans="1:8" x14ac:dyDescent="0.35">
      <c r="A2428" s="2">
        <v>1712</v>
      </c>
      <c r="B2428" s="2">
        <v>30643</v>
      </c>
      <c r="C2428" s="2">
        <f t="shared" si="222"/>
        <v>3.0642999999999998</v>
      </c>
      <c r="D2428" s="2">
        <f t="shared" si="223"/>
        <v>2930944</v>
      </c>
      <c r="E2428" s="2">
        <f t="shared" si="224"/>
        <v>5017776128</v>
      </c>
      <c r="F2428" s="2">
        <f t="shared" si="225"/>
        <v>8590432731136</v>
      </c>
      <c r="G2428" s="2">
        <f t="shared" si="226"/>
        <v>5246.0815999999995</v>
      </c>
      <c r="H2428" s="2">
        <f t="shared" si="227"/>
        <v>8981291.6991999988</v>
      </c>
    </row>
    <row r="2429" spans="1:8" x14ac:dyDescent="0.35">
      <c r="A2429" s="2">
        <v>1712</v>
      </c>
      <c r="B2429" s="2">
        <v>30215</v>
      </c>
      <c r="C2429" s="2">
        <f t="shared" si="222"/>
        <v>3.0215000000000001</v>
      </c>
      <c r="D2429" s="2">
        <f t="shared" si="223"/>
        <v>2930944</v>
      </c>
      <c r="E2429" s="2">
        <f t="shared" si="224"/>
        <v>5017776128</v>
      </c>
      <c r="F2429" s="2">
        <f t="shared" si="225"/>
        <v>8590432731136</v>
      </c>
      <c r="G2429" s="2">
        <f t="shared" si="226"/>
        <v>5172.808</v>
      </c>
      <c r="H2429" s="2">
        <f t="shared" si="227"/>
        <v>8855847.2960000001</v>
      </c>
    </row>
    <row r="2430" spans="1:8" x14ac:dyDescent="0.35">
      <c r="A2430" s="2">
        <v>1712</v>
      </c>
      <c r="B2430" s="2">
        <v>30544</v>
      </c>
      <c r="C2430" s="2">
        <f t="shared" si="222"/>
        <v>3.0543999999999998</v>
      </c>
      <c r="D2430" s="2">
        <f t="shared" si="223"/>
        <v>2930944</v>
      </c>
      <c r="E2430" s="2">
        <f t="shared" si="224"/>
        <v>5017776128</v>
      </c>
      <c r="F2430" s="2">
        <f t="shared" si="225"/>
        <v>8590432731136</v>
      </c>
      <c r="G2430" s="2">
        <f t="shared" si="226"/>
        <v>5229.1327999999994</v>
      </c>
      <c r="H2430" s="2">
        <f t="shared" si="227"/>
        <v>8952275.3535999991</v>
      </c>
    </row>
    <row r="2431" spans="1:8" x14ac:dyDescent="0.35">
      <c r="A2431" s="2">
        <v>1712</v>
      </c>
      <c r="B2431" s="2">
        <v>31350</v>
      </c>
      <c r="C2431" s="2">
        <f t="shared" si="222"/>
        <v>3.1349999999999998</v>
      </c>
      <c r="D2431" s="2">
        <f t="shared" si="223"/>
        <v>2930944</v>
      </c>
      <c r="E2431" s="2">
        <f t="shared" si="224"/>
        <v>5017776128</v>
      </c>
      <c r="F2431" s="2">
        <f t="shared" si="225"/>
        <v>8590432731136</v>
      </c>
      <c r="G2431" s="2">
        <f t="shared" si="226"/>
        <v>5367.12</v>
      </c>
      <c r="H2431" s="2">
        <f t="shared" si="227"/>
        <v>9188509.4399999995</v>
      </c>
    </row>
    <row r="2432" spans="1:8" x14ac:dyDescent="0.35">
      <c r="A2432" s="2">
        <v>1712</v>
      </c>
      <c r="B2432" s="2">
        <v>29933</v>
      </c>
      <c r="C2432" s="2">
        <f t="shared" si="222"/>
        <v>2.9933000000000001</v>
      </c>
      <c r="D2432" s="2">
        <f t="shared" si="223"/>
        <v>2930944</v>
      </c>
      <c r="E2432" s="2">
        <f t="shared" si="224"/>
        <v>5017776128</v>
      </c>
      <c r="F2432" s="2">
        <f t="shared" si="225"/>
        <v>8590432731136</v>
      </c>
      <c r="G2432" s="2">
        <f t="shared" si="226"/>
        <v>5124.5295999999998</v>
      </c>
      <c r="H2432" s="2">
        <f t="shared" si="227"/>
        <v>8773194.6752000004</v>
      </c>
    </row>
    <row r="2433" spans="1:8" x14ac:dyDescent="0.35">
      <c r="A2433" s="2">
        <v>1712</v>
      </c>
      <c r="B2433" s="2">
        <v>31586</v>
      </c>
      <c r="C2433" s="2">
        <f t="shared" si="222"/>
        <v>3.1585999999999999</v>
      </c>
      <c r="D2433" s="2">
        <f t="shared" si="223"/>
        <v>2930944</v>
      </c>
      <c r="E2433" s="2">
        <f t="shared" si="224"/>
        <v>5017776128</v>
      </c>
      <c r="F2433" s="2">
        <f t="shared" si="225"/>
        <v>8590432731136</v>
      </c>
      <c r="G2433" s="2">
        <f t="shared" si="226"/>
        <v>5407.5231999999996</v>
      </c>
      <c r="H2433" s="2">
        <f t="shared" si="227"/>
        <v>9257679.7183999997</v>
      </c>
    </row>
    <row r="2434" spans="1:8" x14ac:dyDescent="0.35">
      <c r="A2434" s="2">
        <v>1712</v>
      </c>
      <c r="B2434" s="2">
        <v>31231</v>
      </c>
      <c r="C2434" s="2">
        <f t="shared" si="222"/>
        <v>3.1231</v>
      </c>
      <c r="D2434" s="2">
        <f t="shared" si="223"/>
        <v>2930944</v>
      </c>
      <c r="E2434" s="2">
        <f t="shared" si="224"/>
        <v>5017776128</v>
      </c>
      <c r="F2434" s="2">
        <f t="shared" si="225"/>
        <v>8590432731136</v>
      </c>
      <c r="G2434" s="2">
        <f t="shared" si="226"/>
        <v>5346.7471999999998</v>
      </c>
      <c r="H2434" s="2">
        <f t="shared" si="227"/>
        <v>9153631.2063999996</v>
      </c>
    </row>
    <row r="2435" spans="1:8" x14ac:dyDescent="0.35">
      <c r="A2435" s="2">
        <v>1712</v>
      </c>
      <c r="B2435" s="2">
        <v>32451</v>
      </c>
      <c r="C2435" s="2">
        <f t="shared" ref="C2435:C2498" si="228">B2435/10000</f>
        <v>3.2450999999999999</v>
      </c>
      <c r="D2435" s="2">
        <f t="shared" ref="D2435:D2498" si="229">A2435^2</f>
        <v>2930944</v>
      </c>
      <c r="E2435" s="2">
        <f t="shared" ref="E2435:E2498" si="230">A2435^3</f>
        <v>5017776128</v>
      </c>
      <c r="F2435" s="2">
        <f t="shared" ref="F2435:F2498" si="231">A2435^4</f>
        <v>8590432731136</v>
      </c>
      <c r="G2435" s="2">
        <f t="shared" ref="G2435:G2498" si="232">A2435*C2435</f>
        <v>5555.6111999999994</v>
      </c>
      <c r="H2435" s="2">
        <f t="shared" ref="H2435:H2498" si="233">D2435*C2435</f>
        <v>9511206.3743999992</v>
      </c>
    </row>
    <row r="2436" spans="1:8" x14ac:dyDescent="0.35">
      <c r="A2436" s="2">
        <v>1712</v>
      </c>
      <c r="B2436" s="2">
        <v>35102</v>
      </c>
      <c r="C2436" s="2">
        <f t="shared" si="228"/>
        <v>3.5102000000000002</v>
      </c>
      <c r="D2436" s="2">
        <f t="shared" si="229"/>
        <v>2930944</v>
      </c>
      <c r="E2436" s="2">
        <f t="shared" si="230"/>
        <v>5017776128</v>
      </c>
      <c r="F2436" s="2">
        <f t="shared" si="231"/>
        <v>8590432731136</v>
      </c>
      <c r="G2436" s="2">
        <f t="shared" si="232"/>
        <v>6009.4624000000003</v>
      </c>
      <c r="H2436" s="2">
        <f t="shared" si="233"/>
        <v>10288199.628800001</v>
      </c>
    </row>
    <row r="2437" spans="1:8" x14ac:dyDescent="0.35">
      <c r="A2437" s="2">
        <v>1712</v>
      </c>
      <c r="B2437" s="2">
        <v>32810</v>
      </c>
      <c r="C2437" s="2">
        <f t="shared" si="228"/>
        <v>3.2810000000000001</v>
      </c>
      <c r="D2437" s="2">
        <f t="shared" si="229"/>
        <v>2930944</v>
      </c>
      <c r="E2437" s="2">
        <f t="shared" si="230"/>
        <v>5017776128</v>
      </c>
      <c r="F2437" s="2">
        <f t="shared" si="231"/>
        <v>8590432731136</v>
      </c>
      <c r="G2437" s="2">
        <f t="shared" si="232"/>
        <v>5617.0720000000001</v>
      </c>
      <c r="H2437" s="2">
        <f t="shared" si="233"/>
        <v>9616427.2640000004</v>
      </c>
    </row>
    <row r="2438" spans="1:8" x14ac:dyDescent="0.35">
      <c r="A2438" s="2">
        <v>1712</v>
      </c>
      <c r="B2438" s="2">
        <v>34374</v>
      </c>
      <c r="C2438" s="2">
        <f t="shared" si="228"/>
        <v>3.4373999999999998</v>
      </c>
      <c r="D2438" s="2">
        <f t="shared" si="229"/>
        <v>2930944</v>
      </c>
      <c r="E2438" s="2">
        <f t="shared" si="230"/>
        <v>5017776128</v>
      </c>
      <c r="F2438" s="2">
        <f t="shared" si="231"/>
        <v>8590432731136</v>
      </c>
      <c r="G2438" s="2">
        <f t="shared" si="232"/>
        <v>5884.8287999999993</v>
      </c>
      <c r="H2438" s="2">
        <f t="shared" si="233"/>
        <v>10074826.9056</v>
      </c>
    </row>
    <row r="2439" spans="1:8" x14ac:dyDescent="0.35">
      <c r="A2439" s="2">
        <v>1712</v>
      </c>
      <c r="B2439" s="2">
        <v>35228</v>
      </c>
      <c r="C2439" s="2">
        <f t="shared" si="228"/>
        <v>3.5228000000000002</v>
      </c>
      <c r="D2439" s="2">
        <f t="shared" si="229"/>
        <v>2930944</v>
      </c>
      <c r="E2439" s="2">
        <f t="shared" si="230"/>
        <v>5017776128</v>
      </c>
      <c r="F2439" s="2">
        <f t="shared" si="231"/>
        <v>8590432731136</v>
      </c>
      <c r="G2439" s="2">
        <f t="shared" si="232"/>
        <v>6031.0336000000007</v>
      </c>
      <c r="H2439" s="2">
        <f t="shared" si="233"/>
        <v>10325129.5232</v>
      </c>
    </row>
    <row r="2440" spans="1:8" x14ac:dyDescent="0.35">
      <c r="A2440" s="2">
        <v>1712</v>
      </c>
      <c r="B2440" s="2">
        <v>34889</v>
      </c>
      <c r="C2440" s="2">
        <f t="shared" si="228"/>
        <v>3.4889000000000001</v>
      </c>
      <c r="D2440" s="2">
        <f t="shared" si="229"/>
        <v>2930944</v>
      </c>
      <c r="E2440" s="2">
        <f t="shared" si="230"/>
        <v>5017776128</v>
      </c>
      <c r="F2440" s="2">
        <f t="shared" si="231"/>
        <v>8590432731136</v>
      </c>
      <c r="G2440" s="2">
        <f t="shared" si="232"/>
        <v>5972.9967999999999</v>
      </c>
      <c r="H2440" s="2">
        <f t="shared" si="233"/>
        <v>10225770.521600001</v>
      </c>
    </row>
    <row r="2441" spans="1:8" x14ac:dyDescent="0.35">
      <c r="A2441" s="2">
        <v>1712</v>
      </c>
      <c r="B2441" s="2">
        <v>36516</v>
      </c>
      <c r="C2441" s="2">
        <f t="shared" si="228"/>
        <v>3.6516000000000002</v>
      </c>
      <c r="D2441" s="2">
        <f t="shared" si="229"/>
        <v>2930944</v>
      </c>
      <c r="E2441" s="2">
        <f t="shared" si="230"/>
        <v>5017776128</v>
      </c>
      <c r="F2441" s="2">
        <f t="shared" si="231"/>
        <v>8590432731136</v>
      </c>
      <c r="G2441" s="2">
        <f t="shared" si="232"/>
        <v>6251.5392000000002</v>
      </c>
      <c r="H2441" s="2">
        <f t="shared" si="233"/>
        <v>10702635.110400001</v>
      </c>
    </row>
    <row r="2442" spans="1:8" x14ac:dyDescent="0.35">
      <c r="A2442" s="2">
        <v>1712</v>
      </c>
      <c r="B2442" s="2">
        <v>35465</v>
      </c>
      <c r="C2442" s="2">
        <f t="shared" si="228"/>
        <v>3.5465</v>
      </c>
      <c r="D2442" s="2">
        <f t="shared" si="229"/>
        <v>2930944</v>
      </c>
      <c r="E2442" s="2">
        <f t="shared" si="230"/>
        <v>5017776128</v>
      </c>
      <c r="F2442" s="2">
        <f t="shared" si="231"/>
        <v>8590432731136</v>
      </c>
      <c r="G2442" s="2">
        <f t="shared" si="232"/>
        <v>6071.6080000000002</v>
      </c>
      <c r="H2442" s="2">
        <f t="shared" si="233"/>
        <v>10394592.896</v>
      </c>
    </row>
    <row r="2443" spans="1:8" x14ac:dyDescent="0.35">
      <c r="A2443" s="2">
        <v>1712</v>
      </c>
      <c r="B2443" s="2">
        <v>36705</v>
      </c>
      <c r="C2443" s="2">
        <f t="shared" si="228"/>
        <v>3.6705000000000001</v>
      </c>
      <c r="D2443" s="2">
        <f t="shared" si="229"/>
        <v>2930944</v>
      </c>
      <c r="E2443" s="2">
        <f t="shared" si="230"/>
        <v>5017776128</v>
      </c>
      <c r="F2443" s="2">
        <f t="shared" si="231"/>
        <v>8590432731136</v>
      </c>
      <c r="G2443" s="2">
        <f t="shared" si="232"/>
        <v>6283.8959999999997</v>
      </c>
      <c r="H2443" s="2">
        <f t="shared" si="233"/>
        <v>10758029.952</v>
      </c>
    </row>
    <row r="2444" spans="1:8" x14ac:dyDescent="0.35">
      <c r="A2444" s="2">
        <v>1712</v>
      </c>
      <c r="B2444" s="2">
        <v>38337</v>
      </c>
      <c r="C2444" s="2">
        <f t="shared" si="228"/>
        <v>3.8336999999999999</v>
      </c>
      <c r="D2444" s="2">
        <f t="shared" si="229"/>
        <v>2930944</v>
      </c>
      <c r="E2444" s="2">
        <f t="shared" si="230"/>
        <v>5017776128</v>
      </c>
      <c r="F2444" s="2">
        <f t="shared" si="231"/>
        <v>8590432731136</v>
      </c>
      <c r="G2444" s="2">
        <f t="shared" si="232"/>
        <v>6563.2943999999998</v>
      </c>
      <c r="H2444" s="2">
        <f t="shared" si="233"/>
        <v>11236360.012799999</v>
      </c>
    </row>
    <row r="2445" spans="1:8" x14ac:dyDescent="0.35">
      <c r="A2445" s="2">
        <v>1712</v>
      </c>
      <c r="B2445" s="2">
        <v>36800</v>
      </c>
      <c r="C2445" s="2">
        <f t="shared" si="228"/>
        <v>3.68</v>
      </c>
      <c r="D2445" s="2">
        <f t="shared" si="229"/>
        <v>2930944</v>
      </c>
      <c r="E2445" s="2">
        <f t="shared" si="230"/>
        <v>5017776128</v>
      </c>
      <c r="F2445" s="2">
        <f t="shared" si="231"/>
        <v>8590432731136</v>
      </c>
      <c r="G2445" s="2">
        <f t="shared" si="232"/>
        <v>6300.16</v>
      </c>
      <c r="H2445" s="2">
        <f t="shared" si="233"/>
        <v>10785873.92</v>
      </c>
    </row>
    <row r="2446" spans="1:8" x14ac:dyDescent="0.35">
      <c r="A2446" s="2">
        <v>1712</v>
      </c>
      <c r="B2446" s="2">
        <v>38748</v>
      </c>
      <c r="C2446" s="2">
        <f t="shared" si="228"/>
        <v>3.8748</v>
      </c>
      <c r="D2446" s="2">
        <f t="shared" si="229"/>
        <v>2930944</v>
      </c>
      <c r="E2446" s="2">
        <f t="shared" si="230"/>
        <v>5017776128</v>
      </c>
      <c r="F2446" s="2">
        <f t="shared" si="231"/>
        <v>8590432731136</v>
      </c>
      <c r="G2446" s="2">
        <f t="shared" si="232"/>
        <v>6633.6576000000005</v>
      </c>
      <c r="H2446" s="2">
        <f t="shared" si="233"/>
        <v>11356821.8112</v>
      </c>
    </row>
    <row r="2447" spans="1:8" x14ac:dyDescent="0.35">
      <c r="A2447" s="2">
        <v>1712</v>
      </c>
      <c r="B2447" s="2">
        <v>40558</v>
      </c>
      <c r="C2447" s="2">
        <f t="shared" si="228"/>
        <v>4.0557999999999996</v>
      </c>
      <c r="D2447" s="2">
        <f t="shared" si="229"/>
        <v>2930944</v>
      </c>
      <c r="E2447" s="2">
        <f t="shared" si="230"/>
        <v>5017776128</v>
      </c>
      <c r="F2447" s="2">
        <f t="shared" si="231"/>
        <v>8590432731136</v>
      </c>
      <c r="G2447" s="2">
        <f t="shared" si="232"/>
        <v>6943.5295999999989</v>
      </c>
      <c r="H2447" s="2">
        <f t="shared" si="233"/>
        <v>11887322.675199999</v>
      </c>
    </row>
    <row r="2448" spans="1:8" x14ac:dyDescent="0.35">
      <c r="A2448" s="2">
        <v>1712</v>
      </c>
      <c r="B2448" s="2">
        <v>35699</v>
      </c>
      <c r="C2448" s="2">
        <f t="shared" si="228"/>
        <v>3.5699000000000001</v>
      </c>
      <c r="D2448" s="2">
        <f t="shared" si="229"/>
        <v>2930944</v>
      </c>
      <c r="E2448" s="2">
        <f t="shared" si="230"/>
        <v>5017776128</v>
      </c>
      <c r="F2448" s="2">
        <f t="shared" si="231"/>
        <v>8590432731136</v>
      </c>
      <c r="G2448" s="2">
        <f t="shared" si="232"/>
        <v>6111.6688000000004</v>
      </c>
      <c r="H2448" s="2">
        <f t="shared" si="233"/>
        <v>10463176.9856</v>
      </c>
    </row>
    <row r="2449" spans="1:8" x14ac:dyDescent="0.35">
      <c r="A2449" s="2">
        <v>1712</v>
      </c>
      <c r="B2449" s="2">
        <v>36057</v>
      </c>
      <c r="C2449" s="2">
        <f t="shared" si="228"/>
        <v>3.6057000000000001</v>
      </c>
      <c r="D2449" s="2">
        <f t="shared" si="229"/>
        <v>2930944</v>
      </c>
      <c r="E2449" s="2">
        <f t="shared" si="230"/>
        <v>5017776128</v>
      </c>
      <c r="F2449" s="2">
        <f t="shared" si="231"/>
        <v>8590432731136</v>
      </c>
      <c r="G2449" s="2">
        <f t="shared" si="232"/>
        <v>6172.9584000000004</v>
      </c>
      <c r="H2449" s="2">
        <f t="shared" si="233"/>
        <v>10568104.7808</v>
      </c>
    </row>
    <row r="2450" spans="1:8" x14ac:dyDescent="0.35">
      <c r="A2450" s="2">
        <v>1712</v>
      </c>
      <c r="B2450" s="2">
        <v>38897</v>
      </c>
      <c r="C2450" s="2">
        <f t="shared" si="228"/>
        <v>3.8896999999999999</v>
      </c>
      <c r="D2450" s="2">
        <f t="shared" si="229"/>
        <v>2930944</v>
      </c>
      <c r="E2450" s="2">
        <f t="shared" si="230"/>
        <v>5017776128</v>
      </c>
      <c r="F2450" s="2">
        <f t="shared" si="231"/>
        <v>8590432731136</v>
      </c>
      <c r="G2450" s="2">
        <f t="shared" si="232"/>
        <v>6659.1664000000001</v>
      </c>
      <c r="H2450" s="2">
        <f t="shared" si="233"/>
        <v>11400492.876800001</v>
      </c>
    </row>
    <row r="2451" spans="1:8" x14ac:dyDescent="0.35">
      <c r="A2451" s="2">
        <v>1712</v>
      </c>
      <c r="B2451" s="2">
        <v>38377</v>
      </c>
      <c r="C2451" s="2">
        <f t="shared" si="228"/>
        <v>3.8376999999999999</v>
      </c>
      <c r="D2451" s="2">
        <f t="shared" si="229"/>
        <v>2930944</v>
      </c>
      <c r="E2451" s="2">
        <f t="shared" si="230"/>
        <v>5017776128</v>
      </c>
      <c r="F2451" s="2">
        <f t="shared" si="231"/>
        <v>8590432731136</v>
      </c>
      <c r="G2451" s="2">
        <f t="shared" si="232"/>
        <v>6570.1423999999997</v>
      </c>
      <c r="H2451" s="2">
        <f t="shared" si="233"/>
        <v>11248083.788799999</v>
      </c>
    </row>
    <row r="2452" spans="1:8" x14ac:dyDescent="0.35">
      <c r="A2452" s="2">
        <v>1712</v>
      </c>
      <c r="B2452" s="2">
        <v>38726</v>
      </c>
      <c r="C2452" s="2">
        <f t="shared" si="228"/>
        <v>3.8725999999999998</v>
      </c>
      <c r="D2452" s="2">
        <f t="shared" si="229"/>
        <v>2930944</v>
      </c>
      <c r="E2452" s="2">
        <f t="shared" si="230"/>
        <v>5017776128</v>
      </c>
      <c r="F2452" s="2">
        <f t="shared" si="231"/>
        <v>8590432731136</v>
      </c>
      <c r="G2452" s="2">
        <f t="shared" si="232"/>
        <v>6629.8912</v>
      </c>
      <c r="H2452" s="2">
        <f t="shared" si="233"/>
        <v>11350373.734399999</v>
      </c>
    </row>
    <row r="2453" spans="1:8" x14ac:dyDescent="0.35">
      <c r="A2453" s="2">
        <v>1712</v>
      </c>
      <c r="B2453" s="2">
        <v>39160</v>
      </c>
      <c r="C2453" s="2">
        <f t="shared" si="228"/>
        <v>3.9159999999999999</v>
      </c>
      <c r="D2453" s="2">
        <f t="shared" si="229"/>
        <v>2930944</v>
      </c>
      <c r="E2453" s="2">
        <f t="shared" si="230"/>
        <v>5017776128</v>
      </c>
      <c r="F2453" s="2">
        <f t="shared" si="231"/>
        <v>8590432731136</v>
      </c>
      <c r="G2453" s="2">
        <f t="shared" si="232"/>
        <v>6704.192</v>
      </c>
      <c r="H2453" s="2">
        <f t="shared" si="233"/>
        <v>11477576.704</v>
      </c>
    </row>
    <row r="2454" spans="1:8" x14ac:dyDescent="0.35">
      <c r="A2454" s="2">
        <v>1712</v>
      </c>
      <c r="B2454" s="2">
        <v>31746</v>
      </c>
      <c r="C2454" s="2">
        <f t="shared" si="228"/>
        <v>3.1745999999999999</v>
      </c>
      <c r="D2454" s="2">
        <f t="shared" si="229"/>
        <v>2930944</v>
      </c>
      <c r="E2454" s="2">
        <f t="shared" si="230"/>
        <v>5017776128</v>
      </c>
      <c r="F2454" s="2">
        <f t="shared" si="231"/>
        <v>8590432731136</v>
      </c>
      <c r="G2454" s="2">
        <f t="shared" si="232"/>
        <v>5434.9151999999995</v>
      </c>
      <c r="H2454" s="2">
        <f t="shared" si="233"/>
        <v>9304574.8223999999</v>
      </c>
    </row>
    <row r="2455" spans="1:8" x14ac:dyDescent="0.35">
      <c r="A2455" s="2">
        <v>1712</v>
      </c>
      <c r="B2455" s="2">
        <v>33060</v>
      </c>
      <c r="C2455" s="2">
        <f t="shared" si="228"/>
        <v>3.306</v>
      </c>
      <c r="D2455" s="2">
        <f t="shared" si="229"/>
        <v>2930944</v>
      </c>
      <c r="E2455" s="2">
        <f t="shared" si="230"/>
        <v>5017776128</v>
      </c>
      <c r="F2455" s="2">
        <f t="shared" si="231"/>
        <v>8590432731136</v>
      </c>
      <c r="G2455" s="2">
        <f t="shared" si="232"/>
        <v>5659.8720000000003</v>
      </c>
      <c r="H2455" s="2">
        <f t="shared" si="233"/>
        <v>9689700.8640000001</v>
      </c>
    </row>
    <row r="2456" spans="1:8" x14ac:dyDescent="0.35">
      <c r="A2456" s="2">
        <v>1712</v>
      </c>
      <c r="B2456" s="2">
        <v>10821</v>
      </c>
      <c r="C2456" s="2">
        <f t="shared" si="228"/>
        <v>1.0821000000000001</v>
      </c>
      <c r="D2456" s="2">
        <f t="shared" si="229"/>
        <v>2930944</v>
      </c>
      <c r="E2456" s="2">
        <f t="shared" si="230"/>
        <v>5017776128</v>
      </c>
      <c r="F2456" s="2">
        <f t="shared" si="231"/>
        <v>8590432731136</v>
      </c>
      <c r="G2456" s="2">
        <f t="shared" si="232"/>
        <v>1852.5552</v>
      </c>
      <c r="H2456" s="2">
        <f t="shared" si="233"/>
        <v>3171574.5024000001</v>
      </c>
    </row>
    <row r="2457" spans="1:8" x14ac:dyDescent="0.35">
      <c r="A2457" s="2">
        <v>1712</v>
      </c>
      <c r="B2457" s="2">
        <v>42328</v>
      </c>
      <c r="C2457" s="2">
        <f t="shared" si="228"/>
        <v>4.2328000000000001</v>
      </c>
      <c r="D2457" s="2">
        <f t="shared" si="229"/>
        <v>2930944</v>
      </c>
      <c r="E2457" s="2">
        <f t="shared" si="230"/>
        <v>5017776128</v>
      </c>
      <c r="F2457" s="2">
        <f t="shared" si="231"/>
        <v>8590432731136</v>
      </c>
      <c r="G2457" s="2">
        <f t="shared" si="232"/>
        <v>7246.5536000000002</v>
      </c>
      <c r="H2457" s="2">
        <f t="shared" si="233"/>
        <v>12406099.7632</v>
      </c>
    </row>
    <row r="2458" spans="1:8" x14ac:dyDescent="0.35">
      <c r="A2458" s="2">
        <v>1712</v>
      </c>
      <c r="B2458" s="2">
        <v>39216</v>
      </c>
      <c r="C2458" s="2">
        <f t="shared" si="228"/>
        <v>3.9216000000000002</v>
      </c>
      <c r="D2458" s="2">
        <f t="shared" si="229"/>
        <v>2930944</v>
      </c>
      <c r="E2458" s="2">
        <f t="shared" si="230"/>
        <v>5017776128</v>
      </c>
      <c r="F2458" s="2">
        <f t="shared" si="231"/>
        <v>8590432731136</v>
      </c>
      <c r="G2458" s="2">
        <f t="shared" si="232"/>
        <v>6713.7791999999999</v>
      </c>
      <c r="H2458" s="2">
        <f t="shared" si="233"/>
        <v>11493989.990400001</v>
      </c>
    </row>
    <row r="2459" spans="1:8" x14ac:dyDescent="0.35">
      <c r="A2459" s="2">
        <v>2331</v>
      </c>
      <c r="B2459" s="2">
        <v>39950</v>
      </c>
      <c r="C2459" s="2">
        <f t="shared" si="228"/>
        <v>3.9950000000000001</v>
      </c>
      <c r="D2459" s="2">
        <f t="shared" si="229"/>
        <v>5433561</v>
      </c>
      <c r="E2459" s="2">
        <f t="shared" si="230"/>
        <v>12665630691</v>
      </c>
      <c r="F2459" s="2">
        <f t="shared" si="231"/>
        <v>29523585140721</v>
      </c>
      <c r="G2459" s="2">
        <f t="shared" si="232"/>
        <v>9312.3449999999993</v>
      </c>
      <c r="H2459" s="2">
        <f t="shared" si="233"/>
        <v>21707076.195</v>
      </c>
    </row>
    <row r="2460" spans="1:8" x14ac:dyDescent="0.35">
      <c r="A2460" s="2">
        <v>2331</v>
      </c>
      <c r="B2460" s="2">
        <v>39921</v>
      </c>
      <c r="C2460" s="2">
        <f t="shared" si="228"/>
        <v>3.9921000000000002</v>
      </c>
      <c r="D2460" s="2">
        <f t="shared" si="229"/>
        <v>5433561</v>
      </c>
      <c r="E2460" s="2">
        <f t="shared" si="230"/>
        <v>12665630691</v>
      </c>
      <c r="F2460" s="2">
        <f t="shared" si="231"/>
        <v>29523585140721</v>
      </c>
      <c r="G2460" s="2">
        <f t="shared" si="232"/>
        <v>9305.5851000000002</v>
      </c>
      <c r="H2460" s="2">
        <f t="shared" si="233"/>
        <v>21691318.868100002</v>
      </c>
    </row>
    <row r="2461" spans="1:8" x14ac:dyDescent="0.35">
      <c r="A2461" s="2">
        <v>2331</v>
      </c>
      <c r="B2461" s="2">
        <v>38170</v>
      </c>
      <c r="C2461" s="2">
        <f t="shared" si="228"/>
        <v>3.8170000000000002</v>
      </c>
      <c r="D2461" s="2">
        <f t="shared" si="229"/>
        <v>5433561</v>
      </c>
      <c r="E2461" s="2">
        <f t="shared" si="230"/>
        <v>12665630691</v>
      </c>
      <c r="F2461" s="2">
        <f t="shared" si="231"/>
        <v>29523585140721</v>
      </c>
      <c r="G2461" s="2">
        <f t="shared" si="232"/>
        <v>8897.4269999999997</v>
      </c>
      <c r="H2461" s="2">
        <f t="shared" si="233"/>
        <v>20739902.337000001</v>
      </c>
    </row>
    <row r="2462" spans="1:8" x14ac:dyDescent="0.35">
      <c r="A2462" s="2">
        <v>2331</v>
      </c>
      <c r="B2462" s="2">
        <v>37345</v>
      </c>
      <c r="C2462" s="2">
        <f t="shared" si="228"/>
        <v>3.7345000000000002</v>
      </c>
      <c r="D2462" s="2">
        <f t="shared" si="229"/>
        <v>5433561</v>
      </c>
      <c r="E2462" s="2">
        <f t="shared" si="230"/>
        <v>12665630691</v>
      </c>
      <c r="F2462" s="2">
        <f t="shared" si="231"/>
        <v>29523585140721</v>
      </c>
      <c r="G2462" s="2">
        <f t="shared" si="232"/>
        <v>8705.1195000000007</v>
      </c>
      <c r="H2462" s="2">
        <f t="shared" si="233"/>
        <v>20291633.554500002</v>
      </c>
    </row>
    <row r="2463" spans="1:8" x14ac:dyDescent="0.35">
      <c r="A2463" s="2">
        <v>2331</v>
      </c>
      <c r="B2463" s="2">
        <v>37691</v>
      </c>
      <c r="C2463" s="2">
        <f t="shared" si="228"/>
        <v>3.7690999999999999</v>
      </c>
      <c r="D2463" s="2">
        <f t="shared" si="229"/>
        <v>5433561</v>
      </c>
      <c r="E2463" s="2">
        <f t="shared" si="230"/>
        <v>12665630691</v>
      </c>
      <c r="F2463" s="2">
        <f t="shared" si="231"/>
        <v>29523585140721</v>
      </c>
      <c r="G2463" s="2">
        <f t="shared" si="232"/>
        <v>8785.7721000000001</v>
      </c>
      <c r="H2463" s="2">
        <f t="shared" si="233"/>
        <v>20479634.765099999</v>
      </c>
    </row>
    <row r="2464" spans="1:8" x14ac:dyDescent="0.35">
      <c r="A2464" s="2">
        <v>2331</v>
      </c>
      <c r="B2464" s="2">
        <v>38156</v>
      </c>
      <c r="C2464" s="2">
        <f t="shared" si="228"/>
        <v>3.8155999999999999</v>
      </c>
      <c r="D2464" s="2">
        <f t="shared" si="229"/>
        <v>5433561</v>
      </c>
      <c r="E2464" s="2">
        <f t="shared" si="230"/>
        <v>12665630691</v>
      </c>
      <c r="F2464" s="2">
        <f t="shared" si="231"/>
        <v>29523585140721</v>
      </c>
      <c r="G2464" s="2">
        <f t="shared" si="232"/>
        <v>8894.1635999999999</v>
      </c>
      <c r="H2464" s="2">
        <f t="shared" si="233"/>
        <v>20732295.351599999</v>
      </c>
    </row>
    <row r="2465" spans="1:8" x14ac:dyDescent="0.35">
      <c r="A2465" s="2">
        <v>2331</v>
      </c>
      <c r="B2465" s="2">
        <v>37975</v>
      </c>
      <c r="C2465" s="2">
        <f t="shared" si="228"/>
        <v>3.7974999999999999</v>
      </c>
      <c r="D2465" s="2">
        <f t="shared" si="229"/>
        <v>5433561</v>
      </c>
      <c r="E2465" s="2">
        <f t="shared" si="230"/>
        <v>12665630691</v>
      </c>
      <c r="F2465" s="2">
        <f t="shared" si="231"/>
        <v>29523585140721</v>
      </c>
      <c r="G2465" s="2">
        <f t="shared" si="232"/>
        <v>8851.9724999999999</v>
      </c>
      <c r="H2465" s="2">
        <f t="shared" si="233"/>
        <v>20633947.897500001</v>
      </c>
    </row>
    <row r="2466" spans="1:8" x14ac:dyDescent="0.35">
      <c r="A2466" s="2">
        <v>2331</v>
      </c>
      <c r="B2466" s="2">
        <v>36987</v>
      </c>
      <c r="C2466" s="2">
        <f t="shared" si="228"/>
        <v>3.6987000000000001</v>
      </c>
      <c r="D2466" s="2">
        <f t="shared" si="229"/>
        <v>5433561</v>
      </c>
      <c r="E2466" s="2">
        <f t="shared" si="230"/>
        <v>12665630691</v>
      </c>
      <c r="F2466" s="2">
        <f t="shared" si="231"/>
        <v>29523585140721</v>
      </c>
      <c r="G2466" s="2">
        <f t="shared" si="232"/>
        <v>8621.6697000000004</v>
      </c>
      <c r="H2466" s="2">
        <f t="shared" si="233"/>
        <v>20097112.070700001</v>
      </c>
    </row>
    <row r="2467" spans="1:8" x14ac:dyDescent="0.35">
      <c r="A2467" s="2">
        <v>2331</v>
      </c>
      <c r="B2467" s="2">
        <v>36325</v>
      </c>
      <c r="C2467" s="2">
        <f t="shared" si="228"/>
        <v>3.6324999999999998</v>
      </c>
      <c r="D2467" s="2">
        <f t="shared" si="229"/>
        <v>5433561</v>
      </c>
      <c r="E2467" s="2">
        <f t="shared" si="230"/>
        <v>12665630691</v>
      </c>
      <c r="F2467" s="2">
        <f t="shared" si="231"/>
        <v>29523585140721</v>
      </c>
      <c r="G2467" s="2">
        <f t="shared" si="232"/>
        <v>8467.3575000000001</v>
      </c>
      <c r="H2467" s="2">
        <f t="shared" si="233"/>
        <v>19737410.3325</v>
      </c>
    </row>
    <row r="2468" spans="1:8" x14ac:dyDescent="0.35">
      <c r="A2468" s="2">
        <v>2331</v>
      </c>
      <c r="B2468" s="2">
        <v>35186</v>
      </c>
      <c r="C2468" s="2">
        <f t="shared" si="228"/>
        <v>3.5186000000000002</v>
      </c>
      <c r="D2468" s="2">
        <f t="shared" si="229"/>
        <v>5433561</v>
      </c>
      <c r="E2468" s="2">
        <f t="shared" si="230"/>
        <v>12665630691</v>
      </c>
      <c r="F2468" s="2">
        <f t="shared" si="231"/>
        <v>29523585140721</v>
      </c>
      <c r="G2468" s="2">
        <f t="shared" si="232"/>
        <v>8201.856600000001</v>
      </c>
      <c r="H2468" s="2">
        <f t="shared" si="233"/>
        <v>19118527.7346</v>
      </c>
    </row>
    <row r="2469" spans="1:8" x14ac:dyDescent="0.35">
      <c r="A2469" s="2">
        <v>2331</v>
      </c>
      <c r="B2469" s="2">
        <v>37025</v>
      </c>
      <c r="C2469" s="2">
        <f t="shared" si="228"/>
        <v>3.7025000000000001</v>
      </c>
      <c r="D2469" s="2">
        <f t="shared" si="229"/>
        <v>5433561</v>
      </c>
      <c r="E2469" s="2">
        <f t="shared" si="230"/>
        <v>12665630691</v>
      </c>
      <c r="F2469" s="2">
        <f t="shared" si="231"/>
        <v>29523585140721</v>
      </c>
      <c r="G2469" s="2">
        <f t="shared" si="232"/>
        <v>8630.5275000000001</v>
      </c>
      <c r="H2469" s="2">
        <f t="shared" si="233"/>
        <v>20117759.602499999</v>
      </c>
    </row>
    <row r="2470" spans="1:8" x14ac:dyDescent="0.35">
      <c r="A2470" s="2">
        <v>2331</v>
      </c>
      <c r="B2470" s="2">
        <v>39827</v>
      </c>
      <c r="C2470" s="2">
        <f t="shared" si="228"/>
        <v>3.9826999999999999</v>
      </c>
      <c r="D2470" s="2">
        <f t="shared" si="229"/>
        <v>5433561</v>
      </c>
      <c r="E2470" s="2">
        <f t="shared" si="230"/>
        <v>12665630691</v>
      </c>
      <c r="F2470" s="2">
        <f t="shared" si="231"/>
        <v>29523585140721</v>
      </c>
      <c r="G2470" s="2">
        <f t="shared" si="232"/>
        <v>9283.6736999999994</v>
      </c>
      <c r="H2470" s="2">
        <f t="shared" si="233"/>
        <v>21640243.394699998</v>
      </c>
    </row>
    <row r="2471" spans="1:8" x14ac:dyDescent="0.35">
      <c r="A2471" s="2">
        <v>2331</v>
      </c>
      <c r="B2471" s="2">
        <v>37581</v>
      </c>
      <c r="C2471" s="2">
        <f t="shared" si="228"/>
        <v>3.7581000000000002</v>
      </c>
      <c r="D2471" s="2">
        <f t="shared" si="229"/>
        <v>5433561</v>
      </c>
      <c r="E2471" s="2">
        <f t="shared" si="230"/>
        <v>12665630691</v>
      </c>
      <c r="F2471" s="2">
        <f t="shared" si="231"/>
        <v>29523585140721</v>
      </c>
      <c r="G2471" s="2">
        <f t="shared" si="232"/>
        <v>8760.1311000000005</v>
      </c>
      <c r="H2471" s="2">
        <f t="shared" si="233"/>
        <v>20419865.594100002</v>
      </c>
    </row>
    <row r="2472" spans="1:8" x14ac:dyDescent="0.35">
      <c r="A2472" s="2">
        <v>2331</v>
      </c>
      <c r="B2472" s="2">
        <v>37205</v>
      </c>
      <c r="C2472" s="2">
        <f t="shared" si="228"/>
        <v>3.7204999999999999</v>
      </c>
      <c r="D2472" s="2">
        <f t="shared" si="229"/>
        <v>5433561</v>
      </c>
      <c r="E2472" s="2">
        <f t="shared" si="230"/>
        <v>12665630691</v>
      </c>
      <c r="F2472" s="2">
        <f t="shared" si="231"/>
        <v>29523585140721</v>
      </c>
      <c r="G2472" s="2">
        <f t="shared" si="232"/>
        <v>8672.4855000000007</v>
      </c>
      <c r="H2472" s="2">
        <f t="shared" si="233"/>
        <v>20215563.7005</v>
      </c>
    </row>
    <row r="2473" spans="1:8" x14ac:dyDescent="0.35">
      <c r="A2473" s="2">
        <v>2331</v>
      </c>
      <c r="B2473" s="2">
        <v>38970</v>
      </c>
      <c r="C2473" s="2">
        <f t="shared" si="228"/>
        <v>3.8969999999999998</v>
      </c>
      <c r="D2473" s="2">
        <f t="shared" si="229"/>
        <v>5433561</v>
      </c>
      <c r="E2473" s="2">
        <f t="shared" si="230"/>
        <v>12665630691</v>
      </c>
      <c r="F2473" s="2">
        <f t="shared" si="231"/>
        <v>29523585140721</v>
      </c>
      <c r="G2473" s="2">
        <f t="shared" si="232"/>
        <v>9083.9069999999992</v>
      </c>
      <c r="H2473" s="2">
        <f t="shared" si="233"/>
        <v>21174587.217</v>
      </c>
    </row>
    <row r="2474" spans="1:8" x14ac:dyDescent="0.35">
      <c r="A2474" s="2">
        <v>2331</v>
      </c>
      <c r="B2474" s="2">
        <v>37671</v>
      </c>
      <c r="C2474" s="2">
        <f t="shared" si="228"/>
        <v>3.7671000000000001</v>
      </c>
      <c r="D2474" s="2">
        <f t="shared" si="229"/>
        <v>5433561</v>
      </c>
      <c r="E2474" s="2">
        <f t="shared" si="230"/>
        <v>12665630691</v>
      </c>
      <c r="F2474" s="2">
        <f t="shared" si="231"/>
        <v>29523585140721</v>
      </c>
      <c r="G2474" s="2">
        <f t="shared" si="232"/>
        <v>8781.1100999999999</v>
      </c>
      <c r="H2474" s="2">
        <f t="shared" si="233"/>
        <v>20468767.643100001</v>
      </c>
    </row>
    <row r="2475" spans="1:8" x14ac:dyDescent="0.35">
      <c r="A2475" s="2">
        <v>2331</v>
      </c>
      <c r="B2475" s="2">
        <v>39227</v>
      </c>
      <c r="C2475" s="2">
        <f t="shared" si="228"/>
        <v>3.9226999999999999</v>
      </c>
      <c r="D2475" s="2">
        <f t="shared" si="229"/>
        <v>5433561</v>
      </c>
      <c r="E2475" s="2">
        <f t="shared" si="230"/>
        <v>12665630691</v>
      </c>
      <c r="F2475" s="2">
        <f t="shared" si="231"/>
        <v>29523585140721</v>
      </c>
      <c r="G2475" s="2">
        <f t="shared" si="232"/>
        <v>9143.8136999999988</v>
      </c>
      <c r="H2475" s="2">
        <f t="shared" si="233"/>
        <v>21314229.734699998</v>
      </c>
    </row>
    <row r="2476" spans="1:8" x14ac:dyDescent="0.35">
      <c r="A2476" s="2">
        <v>2331</v>
      </c>
      <c r="B2476" s="2">
        <v>35596</v>
      </c>
      <c r="C2476" s="2">
        <f t="shared" si="228"/>
        <v>3.5596000000000001</v>
      </c>
      <c r="D2476" s="2">
        <f t="shared" si="229"/>
        <v>5433561</v>
      </c>
      <c r="E2476" s="2">
        <f t="shared" si="230"/>
        <v>12665630691</v>
      </c>
      <c r="F2476" s="2">
        <f t="shared" si="231"/>
        <v>29523585140721</v>
      </c>
      <c r="G2476" s="2">
        <f t="shared" si="232"/>
        <v>8297.4276000000009</v>
      </c>
      <c r="H2476" s="2">
        <f t="shared" si="233"/>
        <v>19341303.735600002</v>
      </c>
    </row>
    <row r="2477" spans="1:8" x14ac:dyDescent="0.35">
      <c r="A2477" s="2">
        <v>2331</v>
      </c>
      <c r="B2477" s="2">
        <v>35984</v>
      </c>
      <c r="C2477" s="2">
        <f t="shared" si="228"/>
        <v>3.5983999999999998</v>
      </c>
      <c r="D2477" s="2">
        <f t="shared" si="229"/>
        <v>5433561</v>
      </c>
      <c r="E2477" s="2">
        <f t="shared" si="230"/>
        <v>12665630691</v>
      </c>
      <c r="F2477" s="2">
        <f t="shared" si="231"/>
        <v>29523585140721</v>
      </c>
      <c r="G2477" s="2">
        <f t="shared" si="232"/>
        <v>8387.8703999999998</v>
      </c>
      <c r="H2477" s="2">
        <f t="shared" si="233"/>
        <v>19552125.902399998</v>
      </c>
    </row>
    <row r="2478" spans="1:8" x14ac:dyDescent="0.35">
      <c r="A2478" s="2">
        <v>2331</v>
      </c>
      <c r="B2478" s="2">
        <v>41296</v>
      </c>
      <c r="C2478" s="2">
        <f t="shared" si="228"/>
        <v>4.1295999999999999</v>
      </c>
      <c r="D2478" s="2">
        <f t="shared" si="229"/>
        <v>5433561</v>
      </c>
      <c r="E2478" s="2">
        <f t="shared" si="230"/>
        <v>12665630691</v>
      </c>
      <c r="F2478" s="2">
        <f t="shared" si="231"/>
        <v>29523585140721</v>
      </c>
      <c r="G2478" s="2">
        <f t="shared" si="232"/>
        <v>9626.0975999999991</v>
      </c>
      <c r="H2478" s="2">
        <f t="shared" si="233"/>
        <v>22438433.505599998</v>
      </c>
    </row>
    <row r="2479" spans="1:8" x14ac:dyDescent="0.35">
      <c r="A2479" s="2">
        <v>2331</v>
      </c>
      <c r="B2479" s="2">
        <v>42534</v>
      </c>
      <c r="C2479" s="2">
        <f t="shared" si="228"/>
        <v>4.2534000000000001</v>
      </c>
      <c r="D2479" s="2">
        <f t="shared" si="229"/>
        <v>5433561</v>
      </c>
      <c r="E2479" s="2">
        <f t="shared" si="230"/>
        <v>12665630691</v>
      </c>
      <c r="F2479" s="2">
        <f t="shared" si="231"/>
        <v>29523585140721</v>
      </c>
      <c r="G2479" s="2">
        <f t="shared" si="232"/>
        <v>9914.6754000000001</v>
      </c>
      <c r="H2479" s="2">
        <f t="shared" si="233"/>
        <v>23111108.3574</v>
      </c>
    </row>
    <row r="2480" spans="1:8" x14ac:dyDescent="0.35">
      <c r="A2480" s="2">
        <v>2331</v>
      </c>
      <c r="B2480" s="2">
        <v>41892</v>
      </c>
      <c r="C2480" s="2">
        <f t="shared" si="228"/>
        <v>4.1891999999999996</v>
      </c>
      <c r="D2480" s="2">
        <f t="shared" si="229"/>
        <v>5433561</v>
      </c>
      <c r="E2480" s="2">
        <f t="shared" si="230"/>
        <v>12665630691</v>
      </c>
      <c r="F2480" s="2">
        <f t="shared" si="231"/>
        <v>29523585140721</v>
      </c>
      <c r="G2480" s="2">
        <f t="shared" si="232"/>
        <v>9765.0251999999982</v>
      </c>
      <c r="H2480" s="2">
        <f t="shared" si="233"/>
        <v>22762273.741199996</v>
      </c>
    </row>
    <row r="2481" spans="1:8" x14ac:dyDescent="0.35">
      <c r="A2481" s="2">
        <v>2331</v>
      </c>
      <c r="B2481" s="2">
        <v>42092</v>
      </c>
      <c r="C2481" s="2">
        <f t="shared" si="228"/>
        <v>4.2092000000000001</v>
      </c>
      <c r="D2481" s="2">
        <f t="shared" si="229"/>
        <v>5433561</v>
      </c>
      <c r="E2481" s="2">
        <f t="shared" si="230"/>
        <v>12665630691</v>
      </c>
      <c r="F2481" s="2">
        <f t="shared" si="231"/>
        <v>29523585140721</v>
      </c>
      <c r="G2481" s="2">
        <f t="shared" si="232"/>
        <v>9811.6452000000008</v>
      </c>
      <c r="H2481" s="2">
        <f t="shared" si="233"/>
        <v>22870944.961199999</v>
      </c>
    </row>
    <row r="2482" spans="1:8" x14ac:dyDescent="0.35">
      <c r="A2482" s="2">
        <v>2331</v>
      </c>
      <c r="B2482" s="2">
        <v>42329</v>
      </c>
      <c r="C2482" s="2">
        <f t="shared" si="228"/>
        <v>4.2328999999999999</v>
      </c>
      <c r="D2482" s="2">
        <f t="shared" si="229"/>
        <v>5433561</v>
      </c>
      <c r="E2482" s="2">
        <f t="shared" si="230"/>
        <v>12665630691</v>
      </c>
      <c r="F2482" s="2">
        <f t="shared" si="231"/>
        <v>29523585140721</v>
      </c>
      <c r="G2482" s="2">
        <f t="shared" si="232"/>
        <v>9866.8899000000001</v>
      </c>
      <c r="H2482" s="2">
        <f t="shared" si="233"/>
        <v>22999720.356899999</v>
      </c>
    </row>
    <row r="2483" spans="1:8" x14ac:dyDescent="0.35">
      <c r="A2483" s="2">
        <v>2331</v>
      </c>
      <c r="B2483" s="2">
        <v>41331</v>
      </c>
      <c r="C2483" s="2">
        <f t="shared" si="228"/>
        <v>4.1330999999999998</v>
      </c>
      <c r="D2483" s="2">
        <f t="shared" si="229"/>
        <v>5433561</v>
      </c>
      <c r="E2483" s="2">
        <f t="shared" si="230"/>
        <v>12665630691</v>
      </c>
      <c r="F2483" s="2">
        <f t="shared" si="231"/>
        <v>29523585140721</v>
      </c>
      <c r="G2483" s="2">
        <f t="shared" si="232"/>
        <v>9634.2560999999987</v>
      </c>
      <c r="H2483" s="2">
        <f t="shared" si="233"/>
        <v>22457450.969099998</v>
      </c>
    </row>
    <row r="2484" spans="1:8" x14ac:dyDescent="0.35">
      <c r="A2484" s="2">
        <v>2331</v>
      </c>
      <c r="B2484" s="2">
        <v>43622</v>
      </c>
      <c r="C2484" s="2">
        <f t="shared" si="228"/>
        <v>4.3621999999999996</v>
      </c>
      <c r="D2484" s="2">
        <f t="shared" si="229"/>
        <v>5433561</v>
      </c>
      <c r="E2484" s="2">
        <f t="shared" si="230"/>
        <v>12665630691</v>
      </c>
      <c r="F2484" s="2">
        <f t="shared" si="231"/>
        <v>29523585140721</v>
      </c>
      <c r="G2484" s="2">
        <f t="shared" si="232"/>
        <v>10168.288199999999</v>
      </c>
      <c r="H2484" s="2">
        <f t="shared" si="233"/>
        <v>23702279.794199999</v>
      </c>
    </row>
    <row r="2485" spans="1:8" x14ac:dyDescent="0.35">
      <c r="A2485" s="2">
        <v>2331</v>
      </c>
      <c r="B2485" s="2">
        <v>44965</v>
      </c>
      <c r="C2485" s="2">
        <f t="shared" si="228"/>
        <v>4.4965000000000002</v>
      </c>
      <c r="D2485" s="2">
        <f t="shared" si="229"/>
        <v>5433561</v>
      </c>
      <c r="E2485" s="2">
        <f t="shared" si="230"/>
        <v>12665630691</v>
      </c>
      <c r="F2485" s="2">
        <f t="shared" si="231"/>
        <v>29523585140721</v>
      </c>
      <c r="G2485" s="2">
        <f t="shared" si="232"/>
        <v>10481.3415</v>
      </c>
      <c r="H2485" s="2">
        <f t="shared" si="233"/>
        <v>24432007.036499999</v>
      </c>
    </row>
    <row r="2486" spans="1:8" x14ac:dyDescent="0.35">
      <c r="A2486" s="2">
        <v>2331</v>
      </c>
      <c r="B2486" s="2">
        <v>44341</v>
      </c>
      <c r="C2486" s="2">
        <f t="shared" si="228"/>
        <v>4.4340999999999999</v>
      </c>
      <c r="D2486" s="2">
        <f t="shared" si="229"/>
        <v>5433561</v>
      </c>
      <c r="E2486" s="2">
        <f t="shared" si="230"/>
        <v>12665630691</v>
      </c>
      <c r="F2486" s="2">
        <f t="shared" si="231"/>
        <v>29523585140721</v>
      </c>
      <c r="G2486" s="2">
        <f t="shared" si="232"/>
        <v>10335.8871</v>
      </c>
      <c r="H2486" s="2">
        <f t="shared" si="233"/>
        <v>24092952.8301</v>
      </c>
    </row>
    <row r="2487" spans="1:8" x14ac:dyDescent="0.35">
      <c r="A2487" s="2">
        <v>2331</v>
      </c>
      <c r="B2487" s="2">
        <v>45309</v>
      </c>
      <c r="C2487" s="2">
        <f t="shared" si="228"/>
        <v>4.5308999999999999</v>
      </c>
      <c r="D2487" s="2">
        <f t="shared" si="229"/>
        <v>5433561</v>
      </c>
      <c r="E2487" s="2">
        <f t="shared" si="230"/>
        <v>12665630691</v>
      </c>
      <c r="F2487" s="2">
        <f t="shared" si="231"/>
        <v>29523585140721</v>
      </c>
      <c r="G2487" s="2">
        <f t="shared" si="232"/>
        <v>10561.527899999999</v>
      </c>
      <c r="H2487" s="2">
        <f t="shared" si="233"/>
        <v>24618921.534899998</v>
      </c>
    </row>
    <row r="2488" spans="1:8" x14ac:dyDescent="0.35">
      <c r="A2488" s="2">
        <v>2331</v>
      </c>
      <c r="B2488" s="2">
        <v>44341</v>
      </c>
      <c r="C2488" s="2">
        <f t="shared" si="228"/>
        <v>4.4340999999999999</v>
      </c>
      <c r="D2488" s="2">
        <f t="shared" si="229"/>
        <v>5433561</v>
      </c>
      <c r="E2488" s="2">
        <f t="shared" si="230"/>
        <v>12665630691</v>
      </c>
      <c r="F2488" s="2">
        <f t="shared" si="231"/>
        <v>29523585140721</v>
      </c>
      <c r="G2488" s="2">
        <f t="shared" si="232"/>
        <v>10335.8871</v>
      </c>
      <c r="H2488" s="2">
        <f t="shared" si="233"/>
        <v>24092952.8301</v>
      </c>
    </row>
    <row r="2489" spans="1:8" x14ac:dyDescent="0.35">
      <c r="A2489" s="2">
        <v>788</v>
      </c>
      <c r="B2489" s="2">
        <v>75000</v>
      </c>
      <c r="C2489" s="2">
        <f t="shared" si="228"/>
        <v>7.5</v>
      </c>
      <c r="D2489" s="2">
        <f t="shared" si="229"/>
        <v>620944</v>
      </c>
      <c r="E2489" s="2">
        <f t="shared" si="230"/>
        <v>489303872</v>
      </c>
      <c r="F2489" s="2">
        <f t="shared" si="231"/>
        <v>385571451136</v>
      </c>
      <c r="G2489" s="2">
        <f t="shared" si="232"/>
        <v>5910</v>
      </c>
      <c r="H2489" s="2">
        <f t="shared" si="233"/>
        <v>4657080</v>
      </c>
    </row>
    <row r="2490" spans="1:8" x14ac:dyDescent="0.35">
      <c r="A2490" s="2">
        <v>788</v>
      </c>
      <c r="B2490" s="2">
        <v>75000</v>
      </c>
      <c r="C2490" s="2">
        <f t="shared" si="228"/>
        <v>7.5</v>
      </c>
      <c r="D2490" s="2">
        <f t="shared" si="229"/>
        <v>620944</v>
      </c>
      <c r="E2490" s="2">
        <f t="shared" si="230"/>
        <v>489303872</v>
      </c>
      <c r="F2490" s="2">
        <f t="shared" si="231"/>
        <v>385571451136</v>
      </c>
      <c r="G2490" s="2">
        <f t="shared" si="232"/>
        <v>5910</v>
      </c>
      <c r="H2490" s="2">
        <f t="shared" si="233"/>
        <v>4657080</v>
      </c>
    </row>
    <row r="2491" spans="1:8" x14ac:dyDescent="0.35">
      <c r="A2491" s="2">
        <v>788</v>
      </c>
      <c r="B2491" s="2">
        <v>75000</v>
      </c>
      <c r="C2491" s="2">
        <f t="shared" si="228"/>
        <v>7.5</v>
      </c>
      <c r="D2491" s="2">
        <f t="shared" si="229"/>
        <v>620944</v>
      </c>
      <c r="E2491" s="2">
        <f t="shared" si="230"/>
        <v>489303872</v>
      </c>
      <c r="F2491" s="2">
        <f t="shared" si="231"/>
        <v>385571451136</v>
      </c>
      <c r="G2491" s="2">
        <f t="shared" si="232"/>
        <v>5910</v>
      </c>
      <c r="H2491" s="2">
        <f t="shared" si="233"/>
        <v>4657080</v>
      </c>
    </row>
    <row r="2492" spans="1:8" x14ac:dyDescent="0.35">
      <c r="A2492" s="2">
        <v>788</v>
      </c>
      <c r="B2492" s="2">
        <v>75000</v>
      </c>
      <c r="C2492" s="2">
        <f t="shared" si="228"/>
        <v>7.5</v>
      </c>
      <c r="D2492" s="2">
        <f t="shared" si="229"/>
        <v>620944</v>
      </c>
      <c r="E2492" s="2">
        <f t="shared" si="230"/>
        <v>489303872</v>
      </c>
      <c r="F2492" s="2">
        <f t="shared" si="231"/>
        <v>385571451136</v>
      </c>
      <c r="G2492" s="2">
        <f t="shared" si="232"/>
        <v>5910</v>
      </c>
      <c r="H2492" s="2">
        <f t="shared" si="233"/>
        <v>4657080</v>
      </c>
    </row>
    <row r="2493" spans="1:8" x14ac:dyDescent="0.35">
      <c r="A2493" s="2">
        <v>788</v>
      </c>
      <c r="B2493" s="2">
        <v>91492</v>
      </c>
      <c r="C2493" s="2">
        <f t="shared" si="228"/>
        <v>9.1492000000000004</v>
      </c>
      <c r="D2493" s="2">
        <f t="shared" si="229"/>
        <v>620944</v>
      </c>
      <c r="E2493" s="2">
        <f t="shared" si="230"/>
        <v>489303872</v>
      </c>
      <c r="F2493" s="2">
        <f t="shared" si="231"/>
        <v>385571451136</v>
      </c>
      <c r="G2493" s="2">
        <f t="shared" si="232"/>
        <v>7209.5696000000007</v>
      </c>
      <c r="H2493" s="2">
        <f t="shared" si="233"/>
        <v>5681140.8448000001</v>
      </c>
    </row>
    <row r="2494" spans="1:8" x14ac:dyDescent="0.35">
      <c r="A2494" s="2">
        <v>788</v>
      </c>
      <c r="B2494" s="2">
        <v>75000</v>
      </c>
      <c r="C2494" s="2">
        <f t="shared" si="228"/>
        <v>7.5</v>
      </c>
      <c r="D2494" s="2">
        <f t="shared" si="229"/>
        <v>620944</v>
      </c>
      <c r="E2494" s="2">
        <f t="shared" si="230"/>
        <v>489303872</v>
      </c>
      <c r="F2494" s="2">
        <f t="shared" si="231"/>
        <v>385571451136</v>
      </c>
      <c r="G2494" s="2">
        <f t="shared" si="232"/>
        <v>5910</v>
      </c>
      <c r="H2494" s="2">
        <f t="shared" si="233"/>
        <v>4657080</v>
      </c>
    </row>
    <row r="2495" spans="1:8" x14ac:dyDescent="0.35">
      <c r="A2495" s="2">
        <v>788</v>
      </c>
      <c r="B2495" s="2">
        <v>61660</v>
      </c>
      <c r="C2495" s="2">
        <f t="shared" si="228"/>
        <v>6.1660000000000004</v>
      </c>
      <c r="D2495" s="2">
        <f t="shared" si="229"/>
        <v>620944</v>
      </c>
      <c r="E2495" s="2">
        <f t="shared" si="230"/>
        <v>489303872</v>
      </c>
      <c r="F2495" s="2">
        <f t="shared" si="231"/>
        <v>385571451136</v>
      </c>
      <c r="G2495" s="2">
        <f t="shared" si="232"/>
        <v>4858.808</v>
      </c>
      <c r="H2495" s="2">
        <f t="shared" si="233"/>
        <v>3828740.7040000004</v>
      </c>
    </row>
    <row r="2496" spans="1:8" x14ac:dyDescent="0.35">
      <c r="A2496" s="2">
        <v>788</v>
      </c>
      <c r="B2496" s="2">
        <v>50000</v>
      </c>
      <c r="C2496" s="2">
        <f t="shared" si="228"/>
        <v>5</v>
      </c>
      <c r="D2496" s="2">
        <f t="shared" si="229"/>
        <v>620944</v>
      </c>
      <c r="E2496" s="2">
        <f t="shared" si="230"/>
        <v>489303872</v>
      </c>
      <c r="F2496" s="2">
        <f t="shared" si="231"/>
        <v>385571451136</v>
      </c>
      <c r="G2496" s="2">
        <f t="shared" si="232"/>
        <v>3940</v>
      </c>
      <c r="H2496" s="2">
        <f t="shared" si="233"/>
        <v>3104720</v>
      </c>
    </row>
    <row r="2497" spans="1:8" x14ac:dyDescent="0.35">
      <c r="A2497" s="2">
        <v>788</v>
      </c>
      <c r="B2497" s="2">
        <v>55000</v>
      </c>
      <c r="C2497" s="2">
        <f t="shared" si="228"/>
        <v>5.5</v>
      </c>
      <c r="D2497" s="2">
        <f t="shared" si="229"/>
        <v>620944</v>
      </c>
      <c r="E2497" s="2">
        <f t="shared" si="230"/>
        <v>489303872</v>
      </c>
      <c r="F2497" s="2">
        <f t="shared" si="231"/>
        <v>385571451136</v>
      </c>
      <c r="G2497" s="2">
        <f t="shared" si="232"/>
        <v>4334</v>
      </c>
      <c r="H2497" s="2">
        <f t="shared" si="233"/>
        <v>3415192</v>
      </c>
    </row>
    <row r="2498" spans="1:8" x14ac:dyDescent="0.35">
      <c r="A2498" s="2">
        <v>788</v>
      </c>
      <c r="B2498" s="2">
        <v>53162</v>
      </c>
      <c r="C2498" s="2">
        <f t="shared" si="228"/>
        <v>5.3162000000000003</v>
      </c>
      <c r="D2498" s="2">
        <f t="shared" si="229"/>
        <v>620944</v>
      </c>
      <c r="E2498" s="2">
        <f t="shared" si="230"/>
        <v>489303872</v>
      </c>
      <c r="F2498" s="2">
        <f t="shared" si="231"/>
        <v>385571451136</v>
      </c>
      <c r="G2498" s="2">
        <f t="shared" si="232"/>
        <v>4189.1656000000003</v>
      </c>
      <c r="H2498" s="2">
        <f t="shared" si="233"/>
        <v>3301062.4928000001</v>
      </c>
    </row>
    <row r="2499" spans="1:8" x14ac:dyDescent="0.35">
      <c r="A2499" s="2">
        <v>788</v>
      </c>
      <c r="B2499" s="2">
        <v>46491</v>
      </c>
      <c r="C2499" s="2">
        <f t="shared" ref="C2499:C2562" si="234">B2499/10000</f>
        <v>4.6490999999999998</v>
      </c>
      <c r="D2499" s="2">
        <f t="shared" ref="D2499:D2562" si="235">A2499^2</f>
        <v>620944</v>
      </c>
      <c r="E2499" s="2">
        <f t="shared" ref="E2499:E2562" si="236">A2499^3</f>
        <v>489303872</v>
      </c>
      <c r="F2499" s="2">
        <f t="shared" ref="F2499:F2562" si="237">A2499^4</f>
        <v>385571451136</v>
      </c>
      <c r="G2499" s="2">
        <f t="shared" ref="G2499:G2562" si="238">A2499*C2499</f>
        <v>3663.4908</v>
      </c>
      <c r="H2499" s="2">
        <f t="shared" ref="H2499:H2562" si="239">D2499*C2499</f>
        <v>2886830.7503999998</v>
      </c>
    </row>
    <row r="2500" spans="1:8" x14ac:dyDescent="0.35">
      <c r="A2500" s="2">
        <v>788</v>
      </c>
      <c r="B2500" s="2">
        <v>51375</v>
      </c>
      <c r="C2500" s="2">
        <f t="shared" si="234"/>
        <v>5.1375000000000002</v>
      </c>
      <c r="D2500" s="2">
        <f t="shared" si="235"/>
        <v>620944</v>
      </c>
      <c r="E2500" s="2">
        <f t="shared" si="236"/>
        <v>489303872</v>
      </c>
      <c r="F2500" s="2">
        <f t="shared" si="237"/>
        <v>385571451136</v>
      </c>
      <c r="G2500" s="2">
        <f t="shared" si="238"/>
        <v>4048.3500000000004</v>
      </c>
      <c r="H2500" s="2">
        <f t="shared" si="239"/>
        <v>3190099.8000000003</v>
      </c>
    </row>
    <row r="2501" spans="1:8" x14ac:dyDescent="0.35">
      <c r="A2501" s="2">
        <v>788</v>
      </c>
      <c r="B2501" s="2">
        <v>70000</v>
      </c>
      <c r="C2501" s="2">
        <f t="shared" si="234"/>
        <v>7</v>
      </c>
      <c r="D2501" s="2">
        <f t="shared" si="235"/>
        <v>620944</v>
      </c>
      <c r="E2501" s="2">
        <f t="shared" si="236"/>
        <v>489303872</v>
      </c>
      <c r="F2501" s="2">
        <f t="shared" si="237"/>
        <v>385571451136</v>
      </c>
      <c r="G2501" s="2">
        <f t="shared" si="238"/>
        <v>5516</v>
      </c>
      <c r="H2501" s="2">
        <f t="shared" si="239"/>
        <v>4346608</v>
      </c>
    </row>
    <row r="2502" spans="1:8" x14ac:dyDescent="0.35">
      <c r="A2502" s="2">
        <v>788</v>
      </c>
      <c r="B2502" s="2">
        <v>33333</v>
      </c>
      <c r="C2502" s="2">
        <f t="shared" si="234"/>
        <v>3.3332999999999999</v>
      </c>
      <c r="D2502" s="2">
        <f t="shared" si="235"/>
        <v>620944</v>
      </c>
      <c r="E2502" s="2">
        <f t="shared" si="236"/>
        <v>489303872</v>
      </c>
      <c r="F2502" s="2">
        <f t="shared" si="237"/>
        <v>385571451136</v>
      </c>
      <c r="G2502" s="2">
        <f t="shared" si="238"/>
        <v>2626.6403999999998</v>
      </c>
      <c r="H2502" s="2">
        <f t="shared" si="239"/>
        <v>2069792.6351999999</v>
      </c>
    </row>
    <row r="2503" spans="1:8" x14ac:dyDescent="0.35">
      <c r="A2503" s="2">
        <v>788</v>
      </c>
      <c r="B2503" s="2">
        <v>34000</v>
      </c>
      <c r="C2503" s="2">
        <f t="shared" si="234"/>
        <v>3.4</v>
      </c>
      <c r="D2503" s="2">
        <f t="shared" si="235"/>
        <v>620944</v>
      </c>
      <c r="E2503" s="2">
        <f t="shared" si="236"/>
        <v>489303872</v>
      </c>
      <c r="F2503" s="2">
        <f t="shared" si="237"/>
        <v>385571451136</v>
      </c>
      <c r="G2503" s="2">
        <f t="shared" si="238"/>
        <v>2679.2</v>
      </c>
      <c r="H2503" s="2">
        <f t="shared" si="239"/>
        <v>2111209.6</v>
      </c>
    </row>
    <row r="2504" spans="1:8" x14ac:dyDescent="0.35">
      <c r="A2504" s="2">
        <v>788</v>
      </c>
      <c r="B2504" s="2">
        <v>37995</v>
      </c>
      <c r="C2504" s="2">
        <f t="shared" si="234"/>
        <v>3.7995000000000001</v>
      </c>
      <c r="D2504" s="2">
        <f t="shared" si="235"/>
        <v>620944</v>
      </c>
      <c r="E2504" s="2">
        <f t="shared" si="236"/>
        <v>489303872</v>
      </c>
      <c r="F2504" s="2">
        <f t="shared" si="237"/>
        <v>385571451136</v>
      </c>
      <c r="G2504" s="2">
        <f t="shared" si="238"/>
        <v>2994.0059999999999</v>
      </c>
      <c r="H2504" s="2">
        <f t="shared" si="239"/>
        <v>2359276.7280000001</v>
      </c>
    </row>
    <row r="2505" spans="1:8" x14ac:dyDescent="0.35">
      <c r="A2505" s="2">
        <v>788</v>
      </c>
      <c r="B2505" s="2">
        <v>39549</v>
      </c>
      <c r="C2505" s="2">
        <f t="shared" si="234"/>
        <v>3.9548999999999999</v>
      </c>
      <c r="D2505" s="2">
        <f t="shared" si="235"/>
        <v>620944</v>
      </c>
      <c r="E2505" s="2">
        <f t="shared" si="236"/>
        <v>489303872</v>
      </c>
      <c r="F2505" s="2">
        <f t="shared" si="237"/>
        <v>385571451136</v>
      </c>
      <c r="G2505" s="2">
        <f t="shared" si="238"/>
        <v>3116.4611999999997</v>
      </c>
      <c r="H2505" s="2">
        <f t="shared" si="239"/>
        <v>2455771.4255999997</v>
      </c>
    </row>
    <row r="2506" spans="1:8" x14ac:dyDescent="0.35">
      <c r="A2506" s="2">
        <v>788</v>
      </c>
      <c r="B2506" s="2">
        <v>39342</v>
      </c>
      <c r="C2506" s="2">
        <f t="shared" si="234"/>
        <v>3.9342000000000001</v>
      </c>
      <c r="D2506" s="2">
        <f t="shared" si="235"/>
        <v>620944</v>
      </c>
      <c r="E2506" s="2">
        <f t="shared" si="236"/>
        <v>489303872</v>
      </c>
      <c r="F2506" s="2">
        <f t="shared" si="237"/>
        <v>385571451136</v>
      </c>
      <c r="G2506" s="2">
        <f t="shared" si="238"/>
        <v>3100.1496000000002</v>
      </c>
      <c r="H2506" s="2">
        <f t="shared" si="239"/>
        <v>2442917.8848000001</v>
      </c>
    </row>
    <row r="2507" spans="1:8" x14ac:dyDescent="0.35">
      <c r="A2507" s="2">
        <v>788</v>
      </c>
      <c r="B2507" s="2">
        <v>38675</v>
      </c>
      <c r="C2507" s="2">
        <f t="shared" si="234"/>
        <v>3.8675000000000002</v>
      </c>
      <c r="D2507" s="2">
        <f t="shared" si="235"/>
        <v>620944</v>
      </c>
      <c r="E2507" s="2">
        <f t="shared" si="236"/>
        <v>489303872</v>
      </c>
      <c r="F2507" s="2">
        <f t="shared" si="237"/>
        <v>385571451136</v>
      </c>
      <c r="G2507" s="2">
        <f t="shared" si="238"/>
        <v>3047.59</v>
      </c>
      <c r="H2507" s="2">
        <f t="shared" si="239"/>
        <v>2401500.92</v>
      </c>
    </row>
    <row r="2508" spans="1:8" x14ac:dyDescent="0.35">
      <c r="A2508" s="2">
        <v>788</v>
      </c>
      <c r="B2508" s="2">
        <v>38008</v>
      </c>
      <c r="C2508" s="2">
        <f t="shared" si="234"/>
        <v>3.8008000000000002</v>
      </c>
      <c r="D2508" s="2">
        <f t="shared" si="235"/>
        <v>620944</v>
      </c>
      <c r="E2508" s="2">
        <f t="shared" si="236"/>
        <v>489303872</v>
      </c>
      <c r="F2508" s="2">
        <f t="shared" si="237"/>
        <v>385571451136</v>
      </c>
      <c r="G2508" s="2">
        <f t="shared" si="238"/>
        <v>2995.0304000000001</v>
      </c>
      <c r="H2508" s="2">
        <f t="shared" si="239"/>
        <v>2360083.9552000002</v>
      </c>
    </row>
    <row r="2509" spans="1:8" x14ac:dyDescent="0.35">
      <c r="A2509" s="2">
        <v>788</v>
      </c>
      <c r="B2509" s="2">
        <v>37340</v>
      </c>
      <c r="C2509" s="2">
        <f t="shared" si="234"/>
        <v>3.734</v>
      </c>
      <c r="D2509" s="2">
        <f t="shared" si="235"/>
        <v>620944</v>
      </c>
      <c r="E2509" s="2">
        <f t="shared" si="236"/>
        <v>489303872</v>
      </c>
      <c r="F2509" s="2">
        <f t="shared" si="237"/>
        <v>385571451136</v>
      </c>
      <c r="G2509" s="2">
        <f t="shared" si="238"/>
        <v>2942.3919999999998</v>
      </c>
      <c r="H2509" s="2">
        <f t="shared" si="239"/>
        <v>2318604.8960000002</v>
      </c>
    </row>
    <row r="2510" spans="1:8" x14ac:dyDescent="0.35">
      <c r="A2510" s="2">
        <v>788</v>
      </c>
      <c r="B2510" s="2">
        <v>36673</v>
      </c>
      <c r="C2510" s="2">
        <f t="shared" si="234"/>
        <v>3.6673</v>
      </c>
      <c r="D2510" s="2">
        <f t="shared" si="235"/>
        <v>620944</v>
      </c>
      <c r="E2510" s="2">
        <f t="shared" si="236"/>
        <v>489303872</v>
      </c>
      <c r="F2510" s="2">
        <f t="shared" si="237"/>
        <v>385571451136</v>
      </c>
      <c r="G2510" s="2">
        <f t="shared" si="238"/>
        <v>2889.8323999999998</v>
      </c>
      <c r="H2510" s="2">
        <f t="shared" si="239"/>
        <v>2277187.9312</v>
      </c>
    </row>
    <row r="2511" spans="1:8" x14ac:dyDescent="0.35">
      <c r="A2511" s="2">
        <v>788</v>
      </c>
      <c r="B2511" s="2">
        <v>36005</v>
      </c>
      <c r="C2511" s="2">
        <f t="shared" si="234"/>
        <v>3.6004999999999998</v>
      </c>
      <c r="D2511" s="2">
        <f t="shared" si="235"/>
        <v>620944</v>
      </c>
      <c r="E2511" s="2">
        <f t="shared" si="236"/>
        <v>489303872</v>
      </c>
      <c r="F2511" s="2">
        <f t="shared" si="237"/>
        <v>385571451136</v>
      </c>
      <c r="G2511" s="2">
        <f t="shared" si="238"/>
        <v>2837.194</v>
      </c>
      <c r="H2511" s="2">
        <f t="shared" si="239"/>
        <v>2235708.872</v>
      </c>
    </row>
    <row r="2512" spans="1:8" x14ac:dyDescent="0.35">
      <c r="A2512" s="2">
        <v>788</v>
      </c>
      <c r="B2512" s="2">
        <v>35338</v>
      </c>
      <c r="C2512" s="2">
        <f t="shared" si="234"/>
        <v>3.5337999999999998</v>
      </c>
      <c r="D2512" s="2">
        <f t="shared" si="235"/>
        <v>620944</v>
      </c>
      <c r="E2512" s="2">
        <f t="shared" si="236"/>
        <v>489303872</v>
      </c>
      <c r="F2512" s="2">
        <f t="shared" si="237"/>
        <v>385571451136</v>
      </c>
      <c r="G2512" s="2">
        <f t="shared" si="238"/>
        <v>2784.6343999999999</v>
      </c>
      <c r="H2512" s="2">
        <f t="shared" si="239"/>
        <v>2194291.9071999998</v>
      </c>
    </row>
    <row r="2513" spans="1:8" x14ac:dyDescent="0.35">
      <c r="A2513" s="2">
        <v>788</v>
      </c>
      <c r="B2513" s="2">
        <v>34670</v>
      </c>
      <c r="C2513" s="2">
        <f t="shared" si="234"/>
        <v>3.4670000000000001</v>
      </c>
      <c r="D2513" s="2">
        <f t="shared" si="235"/>
        <v>620944</v>
      </c>
      <c r="E2513" s="2">
        <f t="shared" si="236"/>
        <v>489303872</v>
      </c>
      <c r="F2513" s="2">
        <f t="shared" si="237"/>
        <v>385571451136</v>
      </c>
      <c r="G2513" s="2">
        <f t="shared" si="238"/>
        <v>2731.9960000000001</v>
      </c>
      <c r="H2513" s="2">
        <f t="shared" si="239"/>
        <v>2152812.8480000002</v>
      </c>
    </row>
    <row r="2514" spans="1:8" x14ac:dyDescent="0.35">
      <c r="A2514" s="2">
        <v>788</v>
      </c>
      <c r="B2514" s="2">
        <v>34003</v>
      </c>
      <c r="C2514" s="2">
        <f t="shared" si="234"/>
        <v>3.4003000000000001</v>
      </c>
      <c r="D2514" s="2">
        <f t="shared" si="235"/>
        <v>620944</v>
      </c>
      <c r="E2514" s="2">
        <f t="shared" si="236"/>
        <v>489303872</v>
      </c>
      <c r="F2514" s="2">
        <f t="shared" si="237"/>
        <v>385571451136</v>
      </c>
      <c r="G2514" s="2">
        <f t="shared" si="238"/>
        <v>2679.4364</v>
      </c>
      <c r="H2514" s="2">
        <f t="shared" si="239"/>
        <v>2111395.8832</v>
      </c>
    </row>
    <row r="2515" spans="1:8" x14ac:dyDescent="0.35">
      <c r="A2515" s="2">
        <v>788</v>
      </c>
      <c r="B2515" s="2">
        <v>33782</v>
      </c>
      <c r="C2515" s="2">
        <f t="shared" si="234"/>
        <v>3.3782000000000001</v>
      </c>
      <c r="D2515" s="2">
        <f t="shared" si="235"/>
        <v>620944</v>
      </c>
      <c r="E2515" s="2">
        <f t="shared" si="236"/>
        <v>489303872</v>
      </c>
      <c r="F2515" s="2">
        <f t="shared" si="237"/>
        <v>385571451136</v>
      </c>
      <c r="G2515" s="2">
        <f t="shared" si="238"/>
        <v>2662.0216</v>
      </c>
      <c r="H2515" s="2">
        <f t="shared" si="239"/>
        <v>2097673.0208000001</v>
      </c>
    </row>
    <row r="2516" spans="1:8" x14ac:dyDescent="0.35">
      <c r="A2516" s="2">
        <v>788</v>
      </c>
      <c r="B2516" s="2">
        <v>34134</v>
      </c>
      <c r="C2516" s="2">
        <f t="shared" si="234"/>
        <v>3.4134000000000002</v>
      </c>
      <c r="D2516" s="2">
        <f t="shared" si="235"/>
        <v>620944</v>
      </c>
      <c r="E2516" s="2">
        <f t="shared" si="236"/>
        <v>489303872</v>
      </c>
      <c r="F2516" s="2">
        <f t="shared" si="237"/>
        <v>385571451136</v>
      </c>
      <c r="G2516" s="2">
        <f t="shared" si="238"/>
        <v>2689.7592</v>
      </c>
      <c r="H2516" s="2">
        <f t="shared" si="239"/>
        <v>2119530.2496000002</v>
      </c>
    </row>
    <row r="2517" spans="1:8" x14ac:dyDescent="0.35">
      <c r="A2517" s="2">
        <v>788</v>
      </c>
      <c r="B2517" s="2">
        <v>34486</v>
      </c>
      <c r="C2517" s="2">
        <f t="shared" si="234"/>
        <v>3.4485999999999999</v>
      </c>
      <c r="D2517" s="2">
        <f t="shared" si="235"/>
        <v>620944</v>
      </c>
      <c r="E2517" s="2">
        <f t="shared" si="236"/>
        <v>489303872</v>
      </c>
      <c r="F2517" s="2">
        <f t="shared" si="237"/>
        <v>385571451136</v>
      </c>
      <c r="G2517" s="2">
        <f t="shared" si="238"/>
        <v>2717.4967999999999</v>
      </c>
      <c r="H2517" s="2">
        <f t="shared" si="239"/>
        <v>2141387.4783999999</v>
      </c>
    </row>
    <row r="2518" spans="1:8" x14ac:dyDescent="0.35">
      <c r="A2518" s="2">
        <v>788</v>
      </c>
      <c r="B2518" s="2">
        <v>34837</v>
      </c>
      <c r="C2518" s="2">
        <f t="shared" si="234"/>
        <v>3.4836999999999998</v>
      </c>
      <c r="D2518" s="2">
        <f t="shared" si="235"/>
        <v>620944</v>
      </c>
      <c r="E2518" s="2">
        <f t="shared" si="236"/>
        <v>489303872</v>
      </c>
      <c r="F2518" s="2">
        <f t="shared" si="237"/>
        <v>385571451136</v>
      </c>
      <c r="G2518" s="2">
        <f t="shared" si="238"/>
        <v>2745.1556</v>
      </c>
      <c r="H2518" s="2">
        <f t="shared" si="239"/>
        <v>2163182.6127999998</v>
      </c>
    </row>
    <row r="2519" spans="1:8" x14ac:dyDescent="0.35">
      <c r="A2519" s="2">
        <v>691</v>
      </c>
      <c r="B2519" s="2">
        <v>20184</v>
      </c>
      <c r="C2519" s="2">
        <f t="shared" si="234"/>
        <v>2.0184000000000002</v>
      </c>
      <c r="D2519" s="2">
        <f t="shared" si="235"/>
        <v>477481</v>
      </c>
      <c r="E2519" s="2">
        <f t="shared" si="236"/>
        <v>329939371</v>
      </c>
      <c r="F2519" s="2">
        <f t="shared" si="237"/>
        <v>227988105361</v>
      </c>
      <c r="G2519" s="2">
        <f t="shared" si="238"/>
        <v>1394.7144000000001</v>
      </c>
      <c r="H2519" s="2">
        <f t="shared" si="239"/>
        <v>963747.65040000004</v>
      </c>
    </row>
    <row r="2520" spans="1:8" x14ac:dyDescent="0.35">
      <c r="A2520" s="2">
        <v>691</v>
      </c>
      <c r="B2520" s="2">
        <v>18306</v>
      </c>
      <c r="C2520" s="2">
        <f t="shared" si="234"/>
        <v>1.8306</v>
      </c>
      <c r="D2520" s="2">
        <f t="shared" si="235"/>
        <v>477481</v>
      </c>
      <c r="E2520" s="2">
        <f t="shared" si="236"/>
        <v>329939371</v>
      </c>
      <c r="F2520" s="2">
        <f t="shared" si="237"/>
        <v>227988105361</v>
      </c>
      <c r="G2520" s="2">
        <f t="shared" si="238"/>
        <v>1264.9446</v>
      </c>
      <c r="H2520" s="2">
        <f t="shared" si="239"/>
        <v>874076.71860000002</v>
      </c>
    </row>
    <row r="2521" spans="1:8" x14ac:dyDescent="0.35">
      <c r="A2521" s="2">
        <v>691</v>
      </c>
      <c r="B2521" s="2">
        <v>15385</v>
      </c>
      <c r="C2521" s="2">
        <f t="shared" si="234"/>
        <v>1.5385</v>
      </c>
      <c r="D2521" s="2">
        <f t="shared" si="235"/>
        <v>477481</v>
      </c>
      <c r="E2521" s="2">
        <f t="shared" si="236"/>
        <v>329939371</v>
      </c>
      <c r="F2521" s="2">
        <f t="shared" si="237"/>
        <v>227988105361</v>
      </c>
      <c r="G2521" s="2">
        <f t="shared" si="238"/>
        <v>1063.1034999999999</v>
      </c>
      <c r="H2521" s="2">
        <f t="shared" si="239"/>
        <v>734604.51850000001</v>
      </c>
    </row>
    <row r="2522" spans="1:8" x14ac:dyDescent="0.35">
      <c r="A2522" s="2">
        <v>691</v>
      </c>
      <c r="B2522" s="2">
        <v>18000</v>
      </c>
      <c r="C2522" s="2">
        <f t="shared" si="234"/>
        <v>1.8</v>
      </c>
      <c r="D2522" s="2">
        <f t="shared" si="235"/>
        <v>477481</v>
      </c>
      <c r="E2522" s="2">
        <f t="shared" si="236"/>
        <v>329939371</v>
      </c>
      <c r="F2522" s="2">
        <f t="shared" si="237"/>
        <v>227988105361</v>
      </c>
      <c r="G2522" s="2">
        <f t="shared" si="238"/>
        <v>1243.8</v>
      </c>
      <c r="H2522" s="2">
        <f t="shared" si="239"/>
        <v>859465.8</v>
      </c>
    </row>
    <row r="2523" spans="1:8" x14ac:dyDescent="0.35">
      <c r="A2523" s="2">
        <v>691</v>
      </c>
      <c r="B2523" s="2">
        <v>17268</v>
      </c>
      <c r="C2523" s="2">
        <f t="shared" si="234"/>
        <v>1.7267999999999999</v>
      </c>
      <c r="D2523" s="2">
        <f t="shared" si="235"/>
        <v>477481</v>
      </c>
      <c r="E2523" s="2">
        <f t="shared" si="236"/>
        <v>329939371</v>
      </c>
      <c r="F2523" s="2">
        <f t="shared" si="237"/>
        <v>227988105361</v>
      </c>
      <c r="G2523" s="2">
        <f t="shared" si="238"/>
        <v>1193.2187999999999</v>
      </c>
      <c r="H2523" s="2">
        <f t="shared" si="239"/>
        <v>824514.19079999998</v>
      </c>
    </row>
    <row r="2524" spans="1:8" x14ac:dyDescent="0.35">
      <c r="A2524" s="2">
        <v>691</v>
      </c>
      <c r="B2524" s="2">
        <v>27093</v>
      </c>
      <c r="C2524" s="2">
        <f t="shared" si="234"/>
        <v>2.7092999999999998</v>
      </c>
      <c r="D2524" s="2">
        <f t="shared" si="235"/>
        <v>477481</v>
      </c>
      <c r="E2524" s="2">
        <f t="shared" si="236"/>
        <v>329939371</v>
      </c>
      <c r="F2524" s="2">
        <f t="shared" si="237"/>
        <v>227988105361</v>
      </c>
      <c r="G2524" s="2">
        <f t="shared" si="238"/>
        <v>1872.1262999999999</v>
      </c>
      <c r="H2524" s="2">
        <f t="shared" si="239"/>
        <v>1293639.2733</v>
      </c>
    </row>
    <row r="2525" spans="1:8" x14ac:dyDescent="0.35">
      <c r="A2525" s="2">
        <v>691</v>
      </c>
      <c r="B2525" s="2">
        <v>24566</v>
      </c>
      <c r="C2525" s="2">
        <f t="shared" si="234"/>
        <v>2.4565999999999999</v>
      </c>
      <c r="D2525" s="2">
        <f t="shared" si="235"/>
        <v>477481</v>
      </c>
      <c r="E2525" s="2">
        <f t="shared" si="236"/>
        <v>329939371</v>
      </c>
      <c r="F2525" s="2">
        <f t="shared" si="237"/>
        <v>227988105361</v>
      </c>
      <c r="G2525" s="2">
        <f t="shared" si="238"/>
        <v>1697.5105999999998</v>
      </c>
      <c r="H2525" s="2">
        <f t="shared" si="239"/>
        <v>1172979.8245999999</v>
      </c>
    </row>
    <row r="2526" spans="1:8" x14ac:dyDescent="0.35">
      <c r="A2526" s="2">
        <v>691</v>
      </c>
      <c r="B2526" s="2">
        <v>24908</v>
      </c>
      <c r="C2526" s="2">
        <f t="shared" si="234"/>
        <v>2.4908000000000001</v>
      </c>
      <c r="D2526" s="2">
        <f t="shared" si="235"/>
        <v>477481</v>
      </c>
      <c r="E2526" s="2">
        <f t="shared" si="236"/>
        <v>329939371</v>
      </c>
      <c r="F2526" s="2">
        <f t="shared" si="237"/>
        <v>227988105361</v>
      </c>
      <c r="G2526" s="2">
        <f t="shared" si="238"/>
        <v>1721.1428000000001</v>
      </c>
      <c r="H2526" s="2">
        <f t="shared" si="239"/>
        <v>1189309.6748000002</v>
      </c>
    </row>
    <row r="2527" spans="1:8" x14ac:dyDescent="0.35">
      <c r="A2527" s="2">
        <v>691</v>
      </c>
      <c r="B2527" s="2">
        <v>37900</v>
      </c>
      <c r="C2527" s="2">
        <f t="shared" si="234"/>
        <v>3.79</v>
      </c>
      <c r="D2527" s="2">
        <f t="shared" si="235"/>
        <v>477481</v>
      </c>
      <c r="E2527" s="2">
        <f t="shared" si="236"/>
        <v>329939371</v>
      </c>
      <c r="F2527" s="2">
        <f t="shared" si="237"/>
        <v>227988105361</v>
      </c>
      <c r="G2527" s="2">
        <f t="shared" si="238"/>
        <v>2618.89</v>
      </c>
      <c r="H2527" s="2">
        <f t="shared" si="239"/>
        <v>1809652.99</v>
      </c>
    </row>
    <row r="2528" spans="1:8" x14ac:dyDescent="0.35">
      <c r="A2528" s="2">
        <v>691</v>
      </c>
      <c r="B2528" s="2">
        <v>26100</v>
      </c>
      <c r="C2528" s="2">
        <f t="shared" si="234"/>
        <v>2.61</v>
      </c>
      <c r="D2528" s="2">
        <f t="shared" si="235"/>
        <v>477481</v>
      </c>
      <c r="E2528" s="2">
        <f t="shared" si="236"/>
        <v>329939371</v>
      </c>
      <c r="F2528" s="2">
        <f t="shared" si="237"/>
        <v>227988105361</v>
      </c>
      <c r="G2528" s="2">
        <f t="shared" si="238"/>
        <v>1803.51</v>
      </c>
      <c r="H2528" s="2">
        <f t="shared" si="239"/>
        <v>1246225.4099999999</v>
      </c>
    </row>
    <row r="2529" spans="1:8" x14ac:dyDescent="0.35">
      <c r="A2529" s="2">
        <v>691</v>
      </c>
      <c r="B2529" s="2">
        <v>28523</v>
      </c>
      <c r="C2529" s="2">
        <f t="shared" si="234"/>
        <v>2.8523000000000001</v>
      </c>
      <c r="D2529" s="2">
        <f t="shared" si="235"/>
        <v>477481</v>
      </c>
      <c r="E2529" s="2">
        <f t="shared" si="236"/>
        <v>329939371</v>
      </c>
      <c r="F2529" s="2">
        <f t="shared" si="237"/>
        <v>227988105361</v>
      </c>
      <c r="G2529" s="2">
        <f t="shared" si="238"/>
        <v>1970.9393</v>
      </c>
      <c r="H2529" s="2">
        <f t="shared" si="239"/>
        <v>1361919.0563000001</v>
      </c>
    </row>
    <row r="2530" spans="1:8" x14ac:dyDescent="0.35">
      <c r="A2530" s="2">
        <v>691</v>
      </c>
      <c r="B2530" s="2">
        <v>36408</v>
      </c>
      <c r="C2530" s="2">
        <f t="shared" si="234"/>
        <v>3.6408</v>
      </c>
      <c r="D2530" s="2">
        <f t="shared" si="235"/>
        <v>477481</v>
      </c>
      <c r="E2530" s="2">
        <f t="shared" si="236"/>
        <v>329939371</v>
      </c>
      <c r="F2530" s="2">
        <f t="shared" si="237"/>
        <v>227988105361</v>
      </c>
      <c r="G2530" s="2">
        <f t="shared" si="238"/>
        <v>2515.7928000000002</v>
      </c>
      <c r="H2530" s="2">
        <f t="shared" si="239"/>
        <v>1738412.8248000001</v>
      </c>
    </row>
    <row r="2531" spans="1:8" x14ac:dyDescent="0.35">
      <c r="A2531" s="2">
        <v>691</v>
      </c>
      <c r="B2531" s="2">
        <v>32844</v>
      </c>
      <c r="C2531" s="2">
        <f t="shared" si="234"/>
        <v>3.2844000000000002</v>
      </c>
      <c r="D2531" s="2">
        <f t="shared" si="235"/>
        <v>477481</v>
      </c>
      <c r="E2531" s="2">
        <f t="shared" si="236"/>
        <v>329939371</v>
      </c>
      <c r="F2531" s="2">
        <f t="shared" si="237"/>
        <v>227988105361</v>
      </c>
      <c r="G2531" s="2">
        <f t="shared" si="238"/>
        <v>2269.5204000000003</v>
      </c>
      <c r="H2531" s="2">
        <f t="shared" si="239"/>
        <v>1568238.5964000002</v>
      </c>
    </row>
    <row r="2532" spans="1:8" x14ac:dyDescent="0.35">
      <c r="A2532" s="2">
        <v>691</v>
      </c>
      <c r="B2532" s="2">
        <v>31415</v>
      </c>
      <c r="C2532" s="2">
        <f t="shared" si="234"/>
        <v>3.1415000000000002</v>
      </c>
      <c r="D2532" s="2">
        <f t="shared" si="235"/>
        <v>477481</v>
      </c>
      <c r="E2532" s="2">
        <f t="shared" si="236"/>
        <v>329939371</v>
      </c>
      <c r="F2532" s="2">
        <f t="shared" si="237"/>
        <v>227988105361</v>
      </c>
      <c r="G2532" s="2">
        <f t="shared" si="238"/>
        <v>2170.7764999999999</v>
      </c>
      <c r="H2532" s="2">
        <f t="shared" si="239"/>
        <v>1500006.5615000001</v>
      </c>
    </row>
    <row r="2533" spans="1:8" x14ac:dyDescent="0.35">
      <c r="A2533" s="2">
        <v>691</v>
      </c>
      <c r="B2533" s="2">
        <v>30707</v>
      </c>
      <c r="C2533" s="2">
        <f t="shared" si="234"/>
        <v>3.0707</v>
      </c>
      <c r="D2533" s="2">
        <f t="shared" si="235"/>
        <v>477481</v>
      </c>
      <c r="E2533" s="2">
        <f t="shared" si="236"/>
        <v>329939371</v>
      </c>
      <c r="F2533" s="2">
        <f t="shared" si="237"/>
        <v>227988105361</v>
      </c>
      <c r="G2533" s="2">
        <f t="shared" si="238"/>
        <v>2121.8537000000001</v>
      </c>
      <c r="H2533" s="2">
        <f t="shared" si="239"/>
        <v>1466200.9066999999</v>
      </c>
    </row>
    <row r="2534" spans="1:8" x14ac:dyDescent="0.35">
      <c r="A2534" s="2">
        <v>691</v>
      </c>
      <c r="B2534" s="2">
        <v>52616</v>
      </c>
      <c r="C2534" s="2">
        <f t="shared" si="234"/>
        <v>5.2615999999999996</v>
      </c>
      <c r="D2534" s="2">
        <f t="shared" si="235"/>
        <v>477481</v>
      </c>
      <c r="E2534" s="2">
        <f t="shared" si="236"/>
        <v>329939371</v>
      </c>
      <c r="F2534" s="2">
        <f t="shared" si="237"/>
        <v>227988105361</v>
      </c>
      <c r="G2534" s="2">
        <f t="shared" si="238"/>
        <v>3635.7655999999997</v>
      </c>
      <c r="H2534" s="2">
        <f t="shared" si="239"/>
        <v>2512314.0296</v>
      </c>
    </row>
    <row r="2535" spans="1:8" x14ac:dyDescent="0.35">
      <c r="A2535" s="2">
        <v>691</v>
      </c>
      <c r="B2535" s="2">
        <v>43558</v>
      </c>
      <c r="C2535" s="2">
        <f t="shared" si="234"/>
        <v>4.3558000000000003</v>
      </c>
      <c r="D2535" s="2">
        <f t="shared" si="235"/>
        <v>477481</v>
      </c>
      <c r="E2535" s="2">
        <f t="shared" si="236"/>
        <v>329939371</v>
      </c>
      <c r="F2535" s="2">
        <f t="shared" si="237"/>
        <v>227988105361</v>
      </c>
      <c r="G2535" s="2">
        <f t="shared" si="238"/>
        <v>3009.8578000000002</v>
      </c>
      <c r="H2535" s="2">
        <f t="shared" si="239"/>
        <v>2079811.7398000001</v>
      </c>
    </row>
    <row r="2536" spans="1:8" x14ac:dyDescent="0.35">
      <c r="A2536" s="2">
        <v>691</v>
      </c>
      <c r="B2536" s="2">
        <v>51740</v>
      </c>
      <c r="C2536" s="2">
        <f t="shared" si="234"/>
        <v>5.1740000000000004</v>
      </c>
      <c r="D2536" s="2">
        <f t="shared" si="235"/>
        <v>477481</v>
      </c>
      <c r="E2536" s="2">
        <f t="shared" si="236"/>
        <v>329939371</v>
      </c>
      <c r="F2536" s="2">
        <f t="shared" si="237"/>
        <v>227988105361</v>
      </c>
      <c r="G2536" s="2">
        <f t="shared" si="238"/>
        <v>3575.2340000000004</v>
      </c>
      <c r="H2536" s="2">
        <f t="shared" si="239"/>
        <v>2470486.6940000001</v>
      </c>
    </row>
    <row r="2537" spans="1:8" x14ac:dyDescent="0.35">
      <c r="A2537" s="2">
        <v>691</v>
      </c>
      <c r="B2537" s="2">
        <v>58186</v>
      </c>
      <c r="C2537" s="2">
        <f t="shared" si="234"/>
        <v>5.8186</v>
      </c>
      <c r="D2537" s="2">
        <f t="shared" si="235"/>
        <v>477481</v>
      </c>
      <c r="E2537" s="2">
        <f t="shared" si="236"/>
        <v>329939371</v>
      </c>
      <c r="F2537" s="2">
        <f t="shared" si="237"/>
        <v>227988105361</v>
      </c>
      <c r="G2537" s="2">
        <f t="shared" si="238"/>
        <v>4020.6525999999999</v>
      </c>
      <c r="H2537" s="2">
        <f t="shared" si="239"/>
        <v>2778270.9465999999</v>
      </c>
    </row>
    <row r="2538" spans="1:8" x14ac:dyDescent="0.35">
      <c r="A2538" s="2">
        <v>691</v>
      </c>
      <c r="B2538" s="2">
        <v>62517</v>
      </c>
      <c r="C2538" s="2">
        <f t="shared" si="234"/>
        <v>6.2516999999999996</v>
      </c>
      <c r="D2538" s="2">
        <f t="shared" si="235"/>
        <v>477481</v>
      </c>
      <c r="E2538" s="2">
        <f t="shared" si="236"/>
        <v>329939371</v>
      </c>
      <c r="F2538" s="2">
        <f t="shared" si="237"/>
        <v>227988105361</v>
      </c>
      <c r="G2538" s="2">
        <f t="shared" si="238"/>
        <v>4319.9246999999996</v>
      </c>
      <c r="H2538" s="2">
        <f t="shared" si="239"/>
        <v>2985067.9676999999</v>
      </c>
    </row>
    <row r="2539" spans="1:8" x14ac:dyDescent="0.35">
      <c r="A2539" s="2">
        <v>691</v>
      </c>
      <c r="B2539" s="2">
        <v>66592</v>
      </c>
      <c r="C2539" s="2">
        <f t="shared" si="234"/>
        <v>6.6592000000000002</v>
      </c>
      <c r="D2539" s="2">
        <f t="shared" si="235"/>
        <v>477481</v>
      </c>
      <c r="E2539" s="2">
        <f t="shared" si="236"/>
        <v>329939371</v>
      </c>
      <c r="F2539" s="2">
        <f t="shared" si="237"/>
        <v>227988105361</v>
      </c>
      <c r="G2539" s="2">
        <f t="shared" si="238"/>
        <v>4601.5072</v>
      </c>
      <c r="H2539" s="2">
        <f t="shared" si="239"/>
        <v>3179641.4752000002</v>
      </c>
    </row>
    <row r="2540" spans="1:8" x14ac:dyDescent="0.35">
      <c r="A2540" s="2">
        <v>691</v>
      </c>
      <c r="B2540" s="2">
        <v>71960</v>
      </c>
      <c r="C2540" s="2">
        <f t="shared" si="234"/>
        <v>7.1959999999999997</v>
      </c>
      <c r="D2540" s="2">
        <f t="shared" si="235"/>
        <v>477481</v>
      </c>
      <c r="E2540" s="2">
        <f t="shared" si="236"/>
        <v>329939371</v>
      </c>
      <c r="F2540" s="2">
        <f t="shared" si="237"/>
        <v>227988105361</v>
      </c>
      <c r="G2540" s="2">
        <f t="shared" si="238"/>
        <v>4972.4359999999997</v>
      </c>
      <c r="H2540" s="2">
        <f t="shared" si="239"/>
        <v>3435953.2760000001</v>
      </c>
    </row>
    <row r="2541" spans="1:8" x14ac:dyDescent="0.35">
      <c r="A2541" s="2">
        <v>691</v>
      </c>
      <c r="B2541" s="2">
        <v>72909</v>
      </c>
      <c r="C2541" s="2">
        <f t="shared" si="234"/>
        <v>7.2908999999999997</v>
      </c>
      <c r="D2541" s="2">
        <f t="shared" si="235"/>
        <v>477481</v>
      </c>
      <c r="E2541" s="2">
        <f t="shared" si="236"/>
        <v>329939371</v>
      </c>
      <c r="F2541" s="2">
        <f t="shared" si="237"/>
        <v>227988105361</v>
      </c>
      <c r="G2541" s="2">
        <f t="shared" si="238"/>
        <v>5038.0118999999995</v>
      </c>
      <c r="H2541" s="2">
        <f t="shared" si="239"/>
        <v>3481266.2228999999</v>
      </c>
    </row>
    <row r="2542" spans="1:8" x14ac:dyDescent="0.35">
      <c r="A2542" s="2">
        <v>691</v>
      </c>
      <c r="B2542" s="2">
        <v>70534</v>
      </c>
      <c r="C2542" s="2">
        <f t="shared" si="234"/>
        <v>7.0533999999999999</v>
      </c>
      <c r="D2542" s="2">
        <f t="shared" si="235"/>
        <v>477481</v>
      </c>
      <c r="E2542" s="2">
        <f t="shared" si="236"/>
        <v>329939371</v>
      </c>
      <c r="F2542" s="2">
        <f t="shared" si="237"/>
        <v>227988105361</v>
      </c>
      <c r="G2542" s="2">
        <f t="shared" si="238"/>
        <v>4873.8994000000002</v>
      </c>
      <c r="H2542" s="2">
        <f t="shared" si="239"/>
        <v>3367864.4854000001</v>
      </c>
    </row>
    <row r="2543" spans="1:8" x14ac:dyDescent="0.35">
      <c r="A2543" s="2">
        <v>1622</v>
      </c>
      <c r="B2543" s="2">
        <v>20608</v>
      </c>
      <c r="C2543" s="2">
        <f t="shared" si="234"/>
        <v>2.0608</v>
      </c>
      <c r="D2543" s="2">
        <f t="shared" si="235"/>
        <v>2630884</v>
      </c>
      <c r="E2543" s="2">
        <f t="shared" si="236"/>
        <v>4267293848</v>
      </c>
      <c r="F2543" s="2">
        <f t="shared" si="237"/>
        <v>6921550621456</v>
      </c>
      <c r="G2543" s="2">
        <f t="shared" si="238"/>
        <v>3342.6176</v>
      </c>
      <c r="H2543" s="2">
        <f t="shared" si="239"/>
        <v>5421725.7472000001</v>
      </c>
    </row>
    <row r="2544" spans="1:8" x14ac:dyDescent="0.35">
      <c r="A2544" s="2">
        <v>1622</v>
      </c>
      <c r="B2544" s="2">
        <v>20522</v>
      </c>
      <c r="C2544" s="2">
        <f t="shared" si="234"/>
        <v>2.0522</v>
      </c>
      <c r="D2544" s="2">
        <f t="shared" si="235"/>
        <v>2630884</v>
      </c>
      <c r="E2544" s="2">
        <f t="shared" si="236"/>
        <v>4267293848</v>
      </c>
      <c r="F2544" s="2">
        <f t="shared" si="237"/>
        <v>6921550621456</v>
      </c>
      <c r="G2544" s="2">
        <f t="shared" si="238"/>
        <v>3328.6684</v>
      </c>
      <c r="H2544" s="2">
        <f t="shared" si="239"/>
        <v>5399100.1447999999</v>
      </c>
    </row>
    <row r="2545" spans="1:8" x14ac:dyDescent="0.35">
      <c r="A2545" s="2">
        <v>1622</v>
      </c>
      <c r="B2545" s="2">
        <v>20147</v>
      </c>
      <c r="C2545" s="2">
        <f t="shared" si="234"/>
        <v>2.0146999999999999</v>
      </c>
      <c r="D2545" s="2">
        <f t="shared" si="235"/>
        <v>2630884</v>
      </c>
      <c r="E2545" s="2">
        <f t="shared" si="236"/>
        <v>4267293848</v>
      </c>
      <c r="F2545" s="2">
        <f t="shared" si="237"/>
        <v>6921550621456</v>
      </c>
      <c r="G2545" s="2">
        <f t="shared" si="238"/>
        <v>3267.8433999999997</v>
      </c>
      <c r="H2545" s="2">
        <f t="shared" si="239"/>
        <v>5300441.9947999995</v>
      </c>
    </row>
    <row r="2546" spans="1:8" x14ac:dyDescent="0.35">
      <c r="A2546" s="2">
        <v>1622</v>
      </c>
      <c r="B2546" s="2">
        <v>20853</v>
      </c>
      <c r="C2546" s="2">
        <f t="shared" si="234"/>
        <v>2.0853000000000002</v>
      </c>
      <c r="D2546" s="2">
        <f t="shared" si="235"/>
        <v>2630884</v>
      </c>
      <c r="E2546" s="2">
        <f t="shared" si="236"/>
        <v>4267293848</v>
      </c>
      <c r="F2546" s="2">
        <f t="shared" si="237"/>
        <v>6921550621456</v>
      </c>
      <c r="G2546" s="2">
        <f t="shared" si="238"/>
        <v>3382.3566000000001</v>
      </c>
      <c r="H2546" s="2">
        <f t="shared" si="239"/>
        <v>5486182.4052000009</v>
      </c>
    </row>
    <row r="2547" spans="1:8" x14ac:dyDescent="0.35">
      <c r="A2547" s="2">
        <v>1622</v>
      </c>
      <c r="B2547" s="2">
        <v>19556</v>
      </c>
      <c r="C2547" s="2">
        <f t="shared" si="234"/>
        <v>1.9556</v>
      </c>
      <c r="D2547" s="2">
        <f t="shared" si="235"/>
        <v>2630884</v>
      </c>
      <c r="E2547" s="2">
        <f t="shared" si="236"/>
        <v>4267293848</v>
      </c>
      <c r="F2547" s="2">
        <f t="shared" si="237"/>
        <v>6921550621456</v>
      </c>
      <c r="G2547" s="2">
        <f t="shared" si="238"/>
        <v>3171.9832000000001</v>
      </c>
      <c r="H2547" s="2">
        <f t="shared" si="239"/>
        <v>5144956.7504000003</v>
      </c>
    </row>
    <row r="2548" spans="1:8" x14ac:dyDescent="0.35">
      <c r="A2548" s="2">
        <v>1622</v>
      </c>
      <c r="B2548" s="2">
        <v>22534</v>
      </c>
      <c r="C2548" s="2">
        <f t="shared" si="234"/>
        <v>2.2534000000000001</v>
      </c>
      <c r="D2548" s="2">
        <f t="shared" si="235"/>
        <v>2630884</v>
      </c>
      <c r="E2548" s="2">
        <f t="shared" si="236"/>
        <v>4267293848</v>
      </c>
      <c r="F2548" s="2">
        <f t="shared" si="237"/>
        <v>6921550621456</v>
      </c>
      <c r="G2548" s="2">
        <f t="shared" si="238"/>
        <v>3655.0147999999999</v>
      </c>
      <c r="H2548" s="2">
        <f t="shared" si="239"/>
        <v>5928434.0055999998</v>
      </c>
    </row>
    <row r="2549" spans="1:8" x14ac:dyDescent="0.35">
      <c r="A2549" s="2">
        <v>1622</v>
      </c>
      <c r="B2549" s="2">
        <v>21745</v>
      </c>
      <c r="C2549" s="2">
        <f t="shared" si="234"/>
        <v>2.1745000000000001</v>
      </c>
      <c r="D2549" s="2">
        <f t="shared" si="235"/>
        <v>2630884</v>
      </c>
      <c r="E2549" s="2">
        <f t="shared" si="236"/>
        <v>4267293848</v>
      </c>
      <c r="F2549" s="2">
        <f t="shared" si="237"/>
        <v>6921550621456</v>
      </c>
      <c r="G2549" s="2">
        <f t="shared" si="238"/>
        <v>3527.0390000000002</v>
      </c>
      <c r="H2549" s="2">
        <f t="shared" si="239"/>
        <v>5720857.2580000004</v>
      </c>
    </row>
    <row r="2550" spans="1:8" x14ac:dyDescent="0.35">
      <c r="A2550" s="2">
        <v>1622</v>
      </c>
      <c r="B2550" s="2">
        <v>20497</v>
      </c>
      <c r="C2550" s="2">
        <f t="shared" si="234"/>
        <v>2.0497000000000001</v>
      </c>
      <c r="D2550" s="2">
        <f t="shared" si="235"/>
        <v>2630884</v>
      </c>
      <c r="E2550" s="2">
        <f t="shared" si="236"/>
        <v>4267293848</v>
      </c>
      <c r="F2550" s="2">
        <f t="shared" si="237"/>
        <v>6921550621456</v>
      </c>
      <c r="G2550" s="2">
        <f t="shared" si="238"/>
        <v>3324.6134000000002</v>
      </c>
      <c r="H2550" s="2">
        <f t="shared" si="239"/>
        <v>5392522.9347999999</v>
      </c>
    </row>
    <row r="2551" spans="1:8" x14ac:dyDescent="0.35">
      <c r="A2551" s="2">
        <v>1622</v>
      </c>
      <c r="B2551" s="2">
        <v>23521</v>
      </c>
      <c r="C2551" s="2">
        <f t="shared" si="234"/>
        <v>2.3521000000000001</v>
      </c>
      <c r="D2551" s="2">
        <f t="shared" si="235"/>
        <v>2630884</v>
      </c>
      <c r="E2551" s="2">
        <f t="shared" si="236"/>
        <v>4267293848</v>
      </c>
      <c r="F2551" s="2">
        <f t="shared" si="237"/>
        <v>6921550621456</v>
      </c>
      <c r="G2551" s="2">
        <f t="shared" si="238"/>
        <v>3815.1062000000002</v>
      </c>
      <c r="H2551" s="2">
        <f t="shared" si="239"/>
        <v>6188102.2564000003</v>
      </c>
    </row>
    <row r="2552" spans="1:8" x14ac:dyDescent="0.35">
      <c r="A2552" s="2">
        <v>1622</v>
      </c>
      <c r="B2552" s="2">
        <v>24158</v>
      </c>
      <c r="C2552" s="2">
        <f t="shared" si="234"/>
        <v>2.4157999999999999</v>
      </c>
      <c r="D2552" s="2">
        <f t="shared" si="235"/>
        <v>2630884</v>
      </c>
      <c r="E2552" s="2">
        <f t="shared" si="236"/>
        <v>4267293848</v>
      </c>
      <c r="F2552" s="2">
        <f t="shared" si="237"/>
        <v>6921550621456</v>
      </c>
      <c r="G2552" s="2">
        <f t="shared" si="238"/>
        <v>3918.4276</v>
      </c>
      <c r="H2552" s="2">
        <f t="shared" si="239"/>
        <v>6355689.5671999995</v>
      </c>
    </row>
    <row r="2553" spans="1:8" x14ac:dyDescent="0.35">
      <c r="A2553" s="2">
        <v>1622</v>
      </c>
      <c r="B2553" s="2">
        <v>24098</v>
      </c>
      <c r="C2553" s="2">
        <f t="shared" si="234"/>
        <v>2.4098000000000002</v>
      </c>
      <c r="D2553" s="2">
        <f t="shared" si="235"/>
        <v>2630884</v>
      </c>
      <c r="E2553" s="2">
        <f t="shared" si="236"/>
        <v>4267293848</v>
      </c>
      <c r="F2553" s="2">
        <f t="shared" si="237"/>
        <v>6921550621456</v>
      </c>
      <c r="G2553" s="2">
        <f t="shared" si="238"/>
        <v>3908.6956000000005</v>
      </c>
      <c r="H2553" s="2">
        <f t="shared" si="239"/>
        <v>6339904.2632000009</v>
      </c>
    </row>
    <row r="2554" spans="1:8" x14ac:dyDescent="0.35">
      <c r="A2554" s="2">
        <v>1622</v>
      </c>
      <c r="B2554" s="2">
        <v>23788</v>
      </c>
      <c r="C2554" s="2">
        <f t="shared" si="234"/>
        <v>2.3788</v>
      </c>
      <c r="D2554" s="2">
        <f t="shared" si="235"/>
        <v>2630884</v>
      </c>
      <c r="E2554" s="2">
        <f t="shared" si="236"/>
        <v>4267293848</v>
      </c>
      <c r="F2554" s="2">
        <f t="shared" si="237"/>
        <v>6921550621456</v>
      </c>
      <c r="G2554" s="2">
        <f t="shared" si="238"/>
        <v>3858.4135999999999</v>
      </c>
      <c r="H2554" s="2">
        <f t="shared" si="239"/>
        <v>6258346.8591999998</v>
      </c>
    </row>
    <row r="2555" spans="1:8" x14ac:dyDescent="0.35">
      <c r="A2555" s="2">
        <v>1622</v>
      </c>
      <c r="B2555" s="2">
        <v>24180</v>
      </c>
      <c r="C2555" s="2">
        <f t="shared" si="234"/>
        <v>2.4180000000000001</v>
      </c>
      <c r="D2555" s="2">
        <f t="shared" si="235"/>
        <v>2630884</v>
      </c>
      <c r="E2555" s="2">
        <f t="shared" si="236"/>
        <v>4267293848</v>
      </c>
      <c r="F2555" s="2">
        <f t="shared" si="237"/>
        <v>6921550621456</v>
      </c>
      <c r="G2555" s="2">
        <f t="shared" si="238"/>
        <v>3921.9960000000001</v>
      </c>
      <c r="H2555" s="2">
        <f t="shared" si="239"/>
        <v>6361477.5120000001</v>
      </c>
    </row>
    <row r="2556" spans="1:8" x14ac:dyDescent="0.35">
      <c r="A2556" s="2">
        <v>1622</v>
      </c>
      <c r="B2556" s="2">
        <v>24244</v>
      </c>
      <c r="C2556" s="2">
        <f t="shared" si="234"/>
        <v>2.4243999999999999</v>
      </c>
      <c r="D2556" s="2">
        <f t="shared" si="235"/>
        <v>2630884</v>
      </c>
      <c r="E2556" s="2">
        <f t="shared" si="236"/>
        <v>4267293848</v>
      </c>
      <c r="F2556" s="2">
        <f t="shared" si="237"/>
        <v>6921550621456</v>
      </c>
      <c r="G2556" s="2">
        <f t="shared" si="238"/>
        <v>3932.3768</v>
      </c>
      <c r="H2556" s="2">
        <f t="shared" si="239"/>
        <v>6378315.1695999997</v>
      </c>
    </row>
    <row r="2557" spans="1:8" x14ac:dyDescent="0.35">
      <c r="A2557" s="2">
        <v>1622</v>
      </c>
      <c r="B2557" s="2">
        <v>26128</v>
      </c>
      <c r="C2557" s="2">
        <f t="shared" si="234"/>
        <v>2.6128</v>
      </c>
      <c r="D2557" s="2">
        <f t="shared" si="235"/>
        <v>2630884</v>
      </c>
      <c r="E2557" s="2">
        <f t="shared" si="236"/>
        <v>4267293848</v>
      </c>
      <c r="F2557" s="2">
        <f t="shared" si="237"/>
        <v>6921550621456</v>
      </c>
      <c r="G2557" s="2">
        <f t="shared" si="238"/>
        <v>4237.9615999999996</v>
      </c>
      <c r="H2557" s="2">
        <f t="shared" si="239"/>
        <v>6873973.7152000004</v>
      </c>
    </row>
    <row r="2558" spans="1:8" x14ac:dyDescent="0.35">
      <c r="A2558" s="2">
        <v>1622</v>
      </c>
      <c r="B2558" s="2">
        <v>28739</v>
      </c>
      <c r="C2558" s="2">
        <f t="shared" si="234"/>
        <v>2.8738999999999999</v>
      </c>
      <c r="D2558" s="2">
        <f t="shared" si="235"/>
        <v>2630884</v>
      </c>
      <c r="E2558" s="2">
        <f t="shared" si="236"/>
        <v>4267293848</v>
      </c>
      <c r="F2558" s="2">
        <f t="shared" si="237"/>
        <v>6921550621456</v>
      </c>
      <c r="G2558" s="2">
        <f t="shared" si="238"/>
        <v>4661.4657999999999</v>
      </c>
      <c r="H2558" s="2">
        <f t="shared" si="239"/>
        <v>7560897.5275999997</v>
      </c>
    </row>
    <row r="2559" spans="1:8" x14ac:dyDescent="0.35">
      <c r="A2559" s="2">
        <v>1622</v>
      </c>
      <c r="B2559" s="2">
        <v>29338</v>
      </c>
      <c r="C2559" s="2">
        <f t="shared" si="234"/>
        <v>2.9338000000000002</v>
      </c>
      <c r="D2559" s="2">
        <f t="shared" si="235"/>
        <v>2630884</v>
      </c>
      <c r="E2559" s="2">
        <f t="shared" si="236"/>
        <v>4267293848</v>
      </c>
      <c r="F2559" s="2">
        <f t="shared" si="237"/>
        <v>6921550621456</v>
      </c>
      <c r="G2559" s="2">
        <f t="shared" si="238"/>
        <v>4758.6235999999999</v>
      </c>
      <c r="H2559" s="2">
        <f t="shared" si="239"/>
        <v>7718487.4792000009</v>
      </c>
    </row>
    <row r="2560" spans="1:8" x14ac:dyDescent="0.35">
      <c r="A2560" s="2">
        <v>1622</v>
      </c>
      <c r="B2560" s="2">
        <v>28895</v>
      </c>
      <c r="C2560" s="2">
        <f t="shared" si="234"/>
        <v>2.8895</v>
      </c>
      <c r="D2560" s="2">
        <f t="shared" si="235"/>
        <v>2630884</v>
      </c>
      <c r="E2560" s="2">
        <f t="shared" si="236"/>
        <v>4267293848</v>
      </c>
      <c r="F2560" s="2">
        <f t="shared" si="237"/>
        <v>6921550621456</v>
      </c>
      <c r="G2560" s="2">
        <f t="shared" si="238"/>
        <v>4686.7690000000002</v>
      </c>
      <c r="H2560" s="2">
        <f t="shared" si="239"/>
        <v>7601939.318</v>
      </c>
    </row>
    <row r="2561" spans="1:8" x14ac:dyDescent="0.35">
      <c r="A2561" s="2">
        <v>1622</v>
      </c>
      <c r="B2561" s="2">
        <v>29974</v>
      </c>
      <c r="C2561" s="2">
        <f t="shared" si="234"/>
        <v>2.9973999999999998</v>
      </c>
      <c r="D2561" s="2">
        <f t="shared" si="235"/>
        <v>2630884</v>
      </c>
      <c r="E2561" s="2">
        <f t="shared" si="236"/>
        <v>4267293848</v>
      </c>
      <c r="F2561" s="2">
        <f t="shared" si="237"/>
        <v>6921550621456</v>
      </c>
      <c r="G2561" s="2">
        <f t="shared" si="238"/>
        <v>4861.7828</v>
      </c>
      <c r="H2561" s="2">
        <f t="shared" si="239"/>
        <v>7885811.7015999993</v>
      </c>
    </row>
    <row r="2562" spans="1:8" x14ac:dyDescent="0.35">
      <c r="A2562" s="2">
        <v>1622</v>
      </c>
      <c r="B2562" s="2">
        <v>29503</v>
      </c>
      <c r="C2562" s="2">
        <f t="shared" si="234"/>
        <v>2.9502999999999999</v>
      </c>
      <c r="D2562" s="2">
        <f t="shared" si="235"/>
        <v>2630884</v>
      </c>
      <c r="E2562" s="2">
        <f t="shared" si="236"/>
        <v>4267293848</v>
      </c>
      <c r="F2562" s="2">
        <f t="shared" si="237"/>
        <v>6921550621456</v>
      </c>
      <c r="G2562" s="2">
        <f t="shared" si="238"/>
        <v>4785.3865999999998</v>
      </c>
      <c r="H2562" s="2">
        <f t="shared" si="239"/>
        <v>7761897.0652000001</v>
      </c>
    </row>
    <row r="2563" spans="1:8" x14ac:dyDescent="0.35">
      <c r="A2563" s="2">
        <v>1622</v>
      </c>
      <c r="B2563" s="2">
        <v>30441</v>
      </c>
      <c r="C2563" s="2">
        <f t="shared" ref="C2563:C2626" si="240">B2563/10000</f>
        <v>3.0440999999999998</v>
      </c>
      <c r="D2563" s="2">
        <f t="shared" ref="D2563:D2626" si="241">A2563^2</f>
        <v>2630884</v>
      </c>
      <c r="E2563" s="2">
        <f t="shared" ref="E2563:E2626" si="242">A2563^3</f>
        <v>4267293848</v>
      </c>
      <c r="F2563" s="2">
        <f t="shared" ref="F2563:F2626" si="243">A2563^4</f>
        <v>6921550621456</v>
      </c>
      <c r="G2563" s="2">
        <f t="shared" ref="G2563:G2626" si="244">A2563*C2563</f>
        <v>4937.5301999999992</v>
      </c>
      <c r="H2563" s="2">
        <f t="shared" ref="H2563:H2626" si="245">D2563*C2563</f>
        <v>8008673.9843999995</v>
      </c>
    </row>
    <row r="2564" spans="1:8" x14ac:dyDescent="0.35">
      <c r="A2564" s="2">
        <v>1622</v>
      </c>
      <c r="B2564" s="2">
        <v>29974</v>
      </c>
      <c r="C2564" s="2">
        <f t="shared" si="240"/>
        <v>2.9973999999999998</v>
      </c>
      <c r="D2564" s="2">
        <f t="shared" si="241"/>
        <v>2630884</v>
      </c>
      <c r="E2564" s="2">
        <f t="shared" si="242"/>
        <v>4267293848</v>
      </c>
      <c r="F2564" s="2">
        <f t="shared" si="243"/>
        <v>6921550621456</v>
      </c>
      <c r="G2564" s="2">
        <f t="shared" si="244"/>
        <v>4861.7828</v>
      </c>
      <c r="H2564" s="2">
        <f t="shared" si="245"/>
        <v>7885811.7015999993</v>
      </c>
    </row>
    <row r="2565" spans="1:8" x14ac:dyDescent="0.35">
      <c r="A2565" s="2">
        <v>1622</v>
      </c>
      <c r="B2565" s="2">
        <v>29079</v>
      </c>
      <c r="C2565" s="2">
        <f t="shared" si="240"/>
        <v>2.9079000000000002</v>
      </c>
      <c r="D2565" s="2">
        <f t="shared" si="241"/>
        <v>2630884</v>
      </c>
      <c r="E2565" s="2">
        <f t="shared" si="242"/>
        <v>4267293848</v>
      </c>
      <c r="F2565" s="2">
        <f t="shared" si="243"/>
        <v>6921550621456</v>
      </c>
      <c r="G2565" s="2">
        <f t="shared" si="244"/>
        <v>4716.6138000000001</v>
      </c>
      <c r="H2565" s="2">
        <f t="shared" si="245"/>
        <v>7650347.5836000005</v>
      </c>
    </row>
    <row r="2566" spans="1:8" x14ac:dyDescent="0.35">
      <c r="A2566" s="2">
        <v>1622</v>
      </c>
      <c r="B2566" s="2">
        <v>29921</v>
      </c>
      <c r="C2566" s="2">
        <f t="shared" si="240"/>
        <v>2.9921000000000002</v>
      </c>
      <c r="D2566" s="2">
        <f t="shared" si="241"/>
        <v>2630884</v>
      </c>
      <c r="E2566" s="2">
        <f t="shared" si="242"/>
        <v>4267293848</v>
      </c>
      <c r="F2566" s="2">
        <f t="shared" si="243"/>
        <v>6921550621456</v>
      </c>
      <c r="G2566" s="2">
        <f t="shared" si="244"/>
        <v>4853.1862000000001</v>
      </c>
      <c r="H2566" s="2">
        <f t="shared" si="245"/>
        <v>7871868.0164000001</v>
      </c>
    </row>
    <row r="2567" spans="1:8" x14ac:dyDescent="0.35">
      <c r="A2567" s="2">
        <v>1622</v>
      </c>
      <c r="B2567" s="2">
        <v>31867</v>
      </c>
      <c r="C2567" s="2">
        <f t="shared" si="240"/>
        <v>3.1867000000000001</v>
      </c>
      <c r="D2567" s="2">
        <f t="shared" si="241"/>
        <v>2630884</v>
      </c>
      <c r="E2567" s="2">
        <f t="shared" si="242"/>
        <v>4267293848</v>
      </c>
      <c r="F2567" s="2">
        <f t="shared" si="243"/>
        <v>6921550621456</v>
      </c>
      <c r="G2567" s="2">
        <f t="shared" si="244"/>
        <v>5168.8274000000001</v>
      </c>
      <c r="H2567" s="2">
        <f t="shared" si="245"/>
        <v>8383838.0427999999</v>
      </c>
    </row>
    <row r="2568" spans="1:8" x14ac:dyDescent="0.35">
      <c r="A2568" s="2">
        <v>1622</v>
      </c>
      <c r="B2568" s="2">
        <v>31865</v>
      </c>
      <c r="C2568" s="2">
        <f t="shared" si="240"/>
        <v>3.1865000000000001</v>
      </c>
      <c r="D2568" s="2">
        <f t="shared" si="241"/>
        <v>2630884</v>
      </c>
      <c r="E2568" s="2">
        <f t="shared" si="242"/>
        <v>4267293848</v>
      </c>
      <c r="F2568" s="2">
        <f t="shared" si="243"/>
        <v>6921550621456</v>
      </c>
      <c r="G2568" s="2">
        <f t="shared" si="244"/>
        <v>5168.5030000000006</v>
      </c>
      <c r="H2568" s="2">
        <f t="shared" si="245"/>
        <v>8383311.8660000004</v>
      </c>
    </row>
    <row r="2569" spans="1:8" x14ac:dyDescent="0.35">
      <c r="A2569" s="2">
        <v>1622</v>
      </c>
      <c r="B2569" s="2">
        <v>31463</v>
      </c>
      <c r="C2569" s="2">
        <f t="shared" si="240"/>
        <v>3.1463000000000001</v>
      </c>
      <c r="D2569" s="2">
        <f t="shared" si="241"/>
        <v>2630884</v>
      </c>
      <c r="E2569" s="2">
        <f t="shared" si="242"/>
        <v>4267293848</v>
      </c>
      <c r="F2569" s="2">
        <f t="shared" si="243"/>
        <v>6921550621456</v>
      </c>
      <c r="G2569" s="2">
        <f t="shared" si="244"/>
        <v>5103.2986000000001</v>
      </c>
      <c r="H2569" s="2">
        <f t="shared" si="245"/>
        <v>8277550.3292000005</v>
      </c>
    </row>
    <row r="2570" spans="1:8" x14ac:dyDescent="0.35">
      <c r="A2570" s="2">
        <v>1622</v>
      </c>
      <c r="B2570" s="2">
        <v>30586</v>
      </c>
      <c r="C2570" s="2">
        <f t="shared" si="240"/>
        <v>3.0586000000000002</v>
      </c>
      <c r="D2570" s="2">
        <f t="shared" si="241"/>
        <v>2630884</v>
      </c>
      <c r="E2570" s="2">
        <f t="shared" si="242"/>
        <v>4267293848</v>
      </c>
      <c r="F2570" s="2">
        <f t="shared" si="243"/>
        <v>6921550621456</v>
      </c>
      <c r="G2570" s="2">
        <f t="shared" si="244"/>
        <v>4961.0492000000004</v>
      </c>
      <c r="H2570" s="2">
        <f t="shared" si="245"/>
        <v>8046821.8024000004</v>
      </c>
    </row>
    <row r="2571" spans="1:8" x14ac:dyDescent="0.35">
      <c r="A2571" s="2">
        <v>1622</v>
      </c>
      <c r="B2571" s="2">
        <v>28506</v>
      </c>
      <c r="C2571" s="2">
        <f t="shared" si="240"/>
        <v>2.8506</v>
      </c>
      <c r="D2571" s="2">
        <f t="shared" si="241"/>
        <v>2630884</v>
      </c>
      <c r="E2571" s="2">
        <f t="shared" si="242"/>
        <v>4267293848</v>
      </c>
      <c r="F2571" s="2">
        <f t="shared" si="243"/>
        <v>6921550621456</v>
      </c>
      <c r="G2571" s="2">
        <f t="shared" si="244"/>
        <v>4623.6732000000002</v>
      </c>
      <c r="H2571" s="2">
        <f t="shared" si="245"/>
        <v>7499597.9304</v>
      </c>
    </row>
    <row r="2572" spans="1:8" x14ac:dyDescent="0.35">
      <c r="A2572" s="2">
        <v>1622</v>
      </c>
      <c r="B2572" s="2">
        <v>29118</v>
      </c>
      <c r="C2572" s="2">
        <f t="shared" si="240"/>
        <v>2.9117999999999999</v>
      </c>
      <c r="D2572" s="2">
        <f t="shared" si="241"/>
        <v>2630884</v>
      </c>
      <c r="E2572" s="2">
        <f t="shared" si="242"/>
        <v>4267293848</v>
      </c>
      <c r="F2572" s="2">
        <f t="shared" si="243"/>
        <v>6921550621456</v>
      </c>
      <c r="G2572" s="2">
        <f t="shared" si="244"/>
        <v>4722.9395999999997</v>
      </c>
      <c r="H2572" s="2">
        <f t="shared" si="245"/>
        <v>7660608.0312000001</v>
      </c>
    </row>
    <row r="2573" spans="1:8" x14ac:dyDescent="0.35">
      <c r="A2573" s="2">
        <v>1500</v>
      </c>
      <c r="B2573" s="2">
        <v>20000</v>
      </c>
      <c r="C2573" s="2">
        <f t="shared" si="240"/>
        <v>2</v>
      </c>
      <c r="D2573" s="2">
        <f t="shared" si="241"/>
        <v>2250000</v>
      </c>
      <c r="E2573" s="2">
        <f t="shared" si="242"/>
        <v>3375000000</v>
      </c>
      <c r="F2573" s="2">
        <f t="shared" si="243"/>
        <v>5062500000000</v>
      </c>
      <c r="G2573" s="2">
        <f t="shared" si="244"/>
        <v>3000</v>
      </c>
      <c r="H2573" s="2">
        <f t="shared" si="245"/>
        <v>4500000</v>
      </c>
    </row>
    <row r="2574" spans="1:8" x14ac:dyDescent="0.35">
      <c r="A2574" s="2">
        <v>1500</v>
      </c>
      <c r="B2574" s="2">
        <v>20000</v>
      </c>
      <c r="C2574" s="2">
        <f t="shared" si="240"/>
        <v>2</v>
      </c>
      <c r="D2574" s="2">
        <f t="shared" si="241"/>
        <v>2250000</v>
      </c>
      <c r="E2574" s="2">
        <f t="shared" si="242"/>
        <v>3375000000</v>
      </c>
      <c r="F2574" s="2">
        <f t="shared" si="243"/>
        <v>5062500000000</v>
      </c>
      <c r="G2574" s="2">
        <f t="shared" si="244"/>
        <v>3000</v>
      </c>
      <c r="H2574" s="2">
        <f t="shared" si="245"/>
        <v>4500000</v>
      </c>
    </row>
    <row r="2575" spans="1:8" x14ac:dyDescent="0.35">
      <c r="A2575" s="2">
        <v>1500</v>
      </c>
      <c r="B2575" s="2">
        <v>21305</v>
      </c>
      <c r="C2575" s="2">
        <f t="shared" si="240"/>
        <v>2.1305000000000001</v>
      </c>
      <c r="D2575" s="2">
        <f t="shared" si="241"/>
        <v>2250000</v>
      </c>
      <c r="E2575" s="2">
        <f t="shared" si="242"/>
        <v>3375000000</v>
      </c>
      <c r="F2575" s="2">
        <f t="shared" si="243"/>
        <v>5062500000000</v>
      </c>
      <c r="G2575" s="2">
        <f t="shared" si="244"/>
        <v>3195.75</v>
      </c>
      <c r="H2575" s="2">
        <f t="shared" si="245"/>
        <v>4793625</v>
      </c>
    </row>
    <row r="2576" spans="1:8" x14ac:dyDescent="0.35">
      <c r="A2576" s="2">
        <v>1500</v>
      </c>
      <c r="B2576" s="2">
        <v>25873</v>
      </c>
      <c r="C2576" s="2">
        <f t="shared" si="240"/>
        <v>2.5872999999999999</v>
      </c>
      <c r="D2576" s="2">
        <f t="shared" si="241"/>
        <v>2250000</v>
      </c>
      <c r="E2576" s="2">
        <f t="shared" si="242"/>
        <v>3375000000</v>
      </c>
      <c r="F2576" s="2">
        <f t="shared" si="243"/>
        <v>5062500000000</v>
      </c>
      <c r="G2576" s="2">
        <f t="shared" si="244"/>
        <v>3880.95</v>
      </c>
      <c r="H2576" s="2">
        <f t="shared" si="245"/>
        <v>5821425</v>
      </c>
    </row>
    <row r="2577" spans="1:8" x14ac:dyDescent="0.35">
      <c r="A2577" s="2">
        <v>1500</v>
      </c>
      <c r="B2577" s="2">
        <v>26361</v>
      </c>
      <c r="C2577" s="2">
        <f t="shared" si="240"/>
        <v>2.6360999999999999</v>
      </c>
      <c r="D2577" s="2">
        <f t="shared" si="241"/>
        <v>2250000</v>
      </c>
      <c r="E2577" s="2">
        <f t="shared" si="242"/>
        <v>3375000000</v>
      </c>
      <c r="F2577" s="2">
        <f t="shared" si="243"/>
        <v>5062500000000</v>
      </c>
      <c r="G2577" s="2">
        <f t="shared" si="244"/>
        <v>3954.1499999999996</v>
      </c>
      <c r="H2577" s="2">
        <f t="shared" si="245"/>
        <v>5931225</v>
      </c>
    </row>
    <row r="2578" spans="1:8" x14ac:dyDescent="0.35">
      <c r="A2578" s="2">
        <v>1500</v>
      </c>
      <c r="B2578" s="2">
        <v>26237</v>
      </c>
      <c r="C2578" s="2">
        <f t="shared" si="240"/>
        <v>2.6236999999999999</v>
      </c>
      <c r="D2578" s="2">
        <f t="shared" si="241"/>
        <v>2250000</v>
      </c>
      <c r="E2578" s="2">
        <f t="shared" si="242"/>
        <v>3375000000</v>
      </c>
      <c r="F2578" s="2">
        <f t="shared" si="243"/>
        <v>5062500000000</v>
      </c>
      <c r="G2578" s="2">
        <f t="shared" si="244"/>
        <v>3935.5499999999997</v>
      </c>
      <c r="H2578" s="2">
        <f t="shared" si="245"/>
        <v>5903325</v>
      </c>
    </row>
    <row r="2579" spans="1:8" x14ac:dyDescent="0.35">
      <c r="A2579" s="2">
        <v>1500</v>
      </c>
      <c r="B2579" s="2">
        <v>27169</v>
      </c>
      <c r="C2579" s="2">
        <f t="shared" si="240"/>
        <v>2.7168999999999999</v>
      </c>
      <c r="D2579" s="2">
        <f t="shared" si="241"/>
        <v>2250000</v>
      </c>
      <c r="E2579" s="2">
        <f t="shared" si="242"/>
        <v>3375000000</v>
      </c>
      <c r="F2579" s="2">
        <f t="shared" si="243"/>
        <v>5062500000000</v>
      </c>
      <c r="G2579" s="2">
        <f t="shared" si="244"/>
        <v>4075.35</v>
      </c>
      <c r="H2579" s="2">
        <f t="shared" si="245"/>
        <v>6113025</v>
      </c>
    </row>
    <row r="2580" spans="1:8" x14ac:dyDescent="0.35">
      <c r="A2580" s="2">
        <v>1500</v>
      </c>
      <c r="B2580" s="2">
        <v>27453</v>
      </c>
      <c r="C2580" s="2">
        <f t="shared" si="240"/>
        <v>2.7452999999999999</v>
      </c>
      <c r="D2580" s="2">
        <f t="shared" si="241"/>
        <v>2250000</v>
      </c>
      <c r="E2580" s="2">
        <f t="shared" si="242"/>
        <v>3375000000</v>
      </c>
      <c r="F2580" s="2">
        <f t="shared" si="243"/>
        <v>5062500000000</v>
      </c>
      <c r="G2580" s="2">
        <f t="shared" si="244"/>
        <v>4117.95</v>
      </c>
      <c r="H2580" s="2">
        <f t="shared" si="245"/>
        <v>6176925</v>
      </c>
    </row>
    <row r="2581" spans="1:8" x14ac:dyDescent="0.35">
      <c r="A2581" s="2">
        <v>1500</v>
      </c>
      <c r="B2581" s="2">
        <v>25759</v>
      </c>
      <c r="C2581" s="2">
        <f t="shared" si="240"/>
        <v>2.5758999999999999</v>
      </c>
      <c r="D2581" s="2">
        <f t="shared" si="241"/>
        <v>2250000</v>
      </c>
      <c r="E2581" s="2">
        <f t="shared" si="242"/>
        <v>3375000000</v>
      </c>
      <c r="F2581" s="2">
        <f t="shared" si="243"/>
        <v>5062500000000</v>
      </c>
      <c r="G2581" s="2">
        <f t="shared" si="244"/>
        <v>3863.85</v>
      </c>
      <c r="H2581" s="2">
        <f t="shared" si="245"/>
        <v>5795775</v>
      </c>
    </row>
    <row r="2582" spans="1:8" x14ac:dyDescent="0.35">
      <c r="A2582" s="2">
        <v>1500</v>
      </c>
      <c r="B2582" s="2">
        <v>25822</v>
      </c>
      <c r="C2582" s="2">
        <f t="shared" si="240"/>
        <v>2.5821999999999998</v>
      </c>
      <c r="D2582" s="2">
        <f t="shared" si="241"/>
        <v>2250000</v>
      </c>
      <c r="E2582" s="2">
        <f t="shared" si="242"/>
        <v>3375000000</v>
      </c>
      <c r="F2582" s="2">
        <f t="shared" si="243"/>
        <v>5062500000000</v>
      </c>
      <c r="G2582" s="2">
        <f t="shared" si="244"/>
        <v>3873.2999999999997</v>
      </c>
      <c r="H2582" s="2">
        <f t="shared" si="245"/>
        <v>5809950</v>
      </c>
    </row>
    <row r="2583" spans="1:8" x14ac:dyDescent="0.35">
      <c r="A2583" s="2">
        <v>1500</v>
      </c>
      <c r="B2583" s="2">
        <v>26726</v>
      </c>
      <c r="C2583" s="2">
        <f t="shared" si="240"/>
        <v>2.6726000000000001</v>
      </c>
      <c r="D2583" s="2">
        <f t="shared" si="241"/>
        <v>2250000</v>
      </c>
      <c r="E2583" s="2">
        <f t="shared" si="242"/>
        <v>3375000000</v>
      </c>
      <c r="F2583" s="2">
        <f t="shared" si="243"/>
        <v>5062500000000</v>
      </c>
      <c r="G2583" s="2">
        <f t="shared" si="244"/>
        <v>4008.9</v>
      </c>
      <c r="H2583" s="2">
        <f t="shared" si="245"/>
        <v>6013350</v>
      </c>
    </row>
    <row r="2584" spans="1:8" x14ac:dyDescent="0.35">
      <c r="A2584" s="2">
        <v>1500</v>
      </c>
      <c r="B2584" s="2">
        <v>26742</v>
      </c>
      <c r="C2584" s="2">
        <f t="shared" si="240"/>
        <v>2.6741999999999999</v>
      </c>
      <c r="D2584" s="2">
        <f t="shared" si="241"/>
        <v>2250000</v>
      </c>
      <c r="E2584" s="2">
        <f t="shared" si="242"/>
        <v>3375000000</v>
      </c>
      <c r="F2584" s="2">
        <f t="shared" si="243"/>
        <v>5062500000000</v>
      </c>
      <c r="G2584" s="2">
        <f t="shared" si="244"/>
        <v>4011.2999999999997</v>
      </c>
      <c r="H2584" s="2">
        <f t="shared" si="245"/>
        <v>6016950</v>
      </c>
    </row>
    <row r="2585" spans="1:8" x14ac:dyDescent="0.35">
      <c r="A2585" s="2">
        <v>1500</v>
      </c>
      <c r="B2585" s="2">
        <v>26651</v>
      </c>
      <c r="C2585" s="2">
        <f t="shared" si="240"/>
        <v>2.6650999999999998</v>
      </c>
      <c r="D2585" s="2">
        <f t="shared" si="241"/>
        <v>2250000</v>
      </c>
      <c r="E2585" s="2">
        <f t="shared" si="242"/>
        <v>3375000000</v>
      </c>
      <c r="F2585" s="2">
        <f t="shared" si="243"/>
        <v>5062500000000</v>
      </c>
      <c r="G2585" s="2">
        <f t="shared" si="244"/>
        <v>3997.6499999999996</v>
      </c>
      <c r="H2585" s="2">
        <f t="shared" si="245"/>
        <v>5996475</v>
      </c>
    </row>
    <row r="2586" spans="1:8" x14ac:dyDescent="0.35">
      <c r="A2586" s="2">
        <v>1500</v>
      </c>
      <c r="B2586" s="2">
        <v>26489</v>
      </c>
      <c r="C2586" s="2">
        <f t="shared" si="240"/>
        <v>2.6488999999999998</v>
      </c>
      <c r="D2586" s="2">
        <f t="shared" si="241"/>
        <v>2250000</v>
      </c>
      <c r="E2586" s="2">
        <f t="shared" si="242"/>
        <v>3375000000</v>
      </c>
      <c r="F2586" s="2">
        <f t="shared" si="243"/>
        <v>5062500000000</v>
      </c>
      <c r="G2586" s="2">
        <f t="shared" si="244"/>
        <v>3973.35</v>
      </c>
      <c r="H2586" s="2">
        <f t="shared" si="245"/>
        <v>5960025</v>
      </c>
    </row>
    <row r="2587" spans="1:8" x14ac:dyDescent="0.35">
      <c r="A2587" s="2">
        <v>1500</v>
      </c>
      <c r="B2587" s="2">
        <v>30000</v>
      </c>
      <c r="C2587" s="2">
        <f t="shared" si="240"/>
        <v>3</v>
      </c>
      <c r="D2587" s="2">
        <f t="shared" si="241"/>
        <v>2250000</v>
      </c>
      <c r="E2587" s="2">
        <f t="shared" si="242"/>
        <v>3375000000</v>
      </c>
      <c r="F2587" s="2">
        <f t="shared" si="243"/>
        <v>5062500000000</v>
      </c>
      <c r="G2587" s="2">
        <f t="shared" si="244"/>
        <v>4500</v>
      </c>
      <c r="H2587" s="2">
        <f t="shared" si="245"/>
        <v>6750000</v>
      </c>
    </row>
    <row r="2588" spans="1:8" x14ac:dyDescent="0.35">
      <c r="A2588" s="2">
        <v>1500</v>
      </c>
      <c r="B2588" s="2">
        <v>15384</v>
      </c>
      <c r="C2588" s="2">
        <f t="shared" si="240"/>
        <v>1.5384</v>
      </c>
      <c r="D2588" s="2">
        <f t="shared" si="241"/>
        <v>2250000</v>
      </c>
      <c r="E2588" s="2">
        <f t="shared" si="242"/>
        <v>3375000000</v>
      </c>
      <c r="F2588" s="2">
        <f t="shared" si="243"/>
        <v>5062500000000</v>
      </c>
      <c r="G2588" s="2">
        <f t="shared" si="244"/>
        <v>2307.6</v>
      </c>
      <c r="H2588" s="2">
        <f t="shared" si="245"/>
        <v>3461400</v>
      </c>
    </row>
    <row r="2589" spans="1:8" x14ac:dyDescent="0.35">
      <c r="A2589" s="2">
        <v>1500</v>
      </c>
      <c r="B2589" s="2">
        <v>15330</v>
      </c>
      <c r="C2589" s="2">
        <f t="shared" si="240"/>
        <v>1.5329999999999999</v>
      </c>
      <c r="D2589" s="2">
        <f t="shared" si="241"/>
        <v>2250000</v>
      </c>
      <c r="E2589" s="2">
        <f t="shared" si="242"/>
        <v>3375000000</v>
      </c>
      <c r="F2589" s="2">
        <f t="shared" si="243"/>
        <v>5062500000000</v>
      </c>
      <c r="G2589" s="2">
        <f t="shared" si="244"/>
        <v>2299.5</v>
      </c>
      <c r="H2589" s="2">
        <f t="shared" si="245"/>
        <v>3449250</v>
      </c>
    </row>
    <row r="2590" spans="1:8" x14ac:dyDescent="0.35">
      <c r="A2590" s="2">
        <v>1500</v>
      </c>
      <c r="B2590" s="2">
        <v>15215</v>
      </c>
      <c r="C2590" s="2">
        <f t="shared" si="240"/>
        <v>1.5215000000000001</v>
      </c>
      <c r="D2590" s="2">
        <f t="shared" si="241"/>
        <v>2250000</v>
      </c>
      <c r="E2590" s="2">
        <f t="shared" si="242"/>
        <v>3375000000</v>
      </c>
      <c r="F2590" s="2">
        <f t="shared" si="243"/>
        <v>5062500000000</v>
      </c>
      <c r="G2590" s="2">
        <f t="shared" si="244"/>
        <v>2282.25</v>
      </c>
      <c r="H2590" s="2">
        <f t="shared" si="245"/>
        <v>3423375</v>
      </c>
    </row>
    <row r="2591" spans="1:8" x14ac:dyDescent="0.35">
      <c r="A2591" s="2">
        <v>1500</v>
      </c>
      <c r="B2591" s="2">
        <v>14722</v>
      </c>
      <c r="C2591" s="2">
        <f t="shared" si="240"/>
        <v>1.4722</v>
      </c>
      <c r="D2591" s="2">
        <f t="shared" si="241"/>
        <v>2250000</v>
      </c>
      <c r="E2591" s="2">
        <f t="shared" si="242"/>
        <v>3375000000</v>
      </c>
      <c r="F2591" s="2">
        <f t="shared" si="243"/>
        <v>5062500000000</v>
      </c>
      <c r="G2591" s="2">
        <f t="shared" si="244"/>
        <v>2208.2999999999997</v>
      </c>
      <c r="H2591" s="2">
        <f t="shared" si="245"/>
        <v>3312450</v>
      </c>
    </row>
    <row r="2592" spans="1:8" x14ac:dyDescent="0.35">
      <c r="A2592" s="2">
        <v>1500</v>
      </c>
      <c r="B2592" s="2">
        <v>12313</v>
      </c>
      <c r="C2592" s="2">
        <f t="shared" si="240"/>
        <v>1.2313000000000001</v>
      </c>
      <c r="D2592" s="2">
        <f t="shared" si="241"/>
        <v>2250000</v>
      </c>
      <c r="E2592" s="2">
        <f t="shared" si="242"/>
        <v>3375000000</v>
      </c>
      <c r="F2592" s="2">
        <f t="shared" si="243"/>
        <v>5062500000000</v>
      </c>
      <c r="G2592" s="2">
        <f t="shared" si="244"/>
        <v>1846.95</v>
      </c>
      <c r="H2592" s="2">
        <f t="shared" si="245"/>
        <v>2770425</v>
      </c>
    </row>
    <row r="2593" spans="1:8" x14ac:dyDescent="0.35">
      <c r="A2593" s="2">
        <v>1500</v>
      </c>
      <c r="B2593" s="2">
        <v>15105</v>
      </c>
      <c r="C2593" s="2">
        <f t="shared" si="240"/>
        <v>1.5105</v>
      </c>
      <c r="D2593" s="2">
        <f t="shared" si="241"/>
        <v>2250000</v>
      </c>
      <c r="E2593" s="2">
        <f t="shared" si="242"/>
        <v>3375000000</v>
      </c>
      <c r="F2593" s="2">
        <f t="shared" si="243"/>
        <v>5062500000000</v>
      </c>
      <c r="G2593" s="2">
        <f t="shared" si="244"/>
        <v>2265.75</v>
      </c>
      <c r="H2593" s="2">
        <f t="shared" si="245"/>
        <v>3398625</v>
      </c>
    </row>
    <row r="2594" spans="1:8" x14ac:dyDescent="0.35">
      <c r="A2594" s="2">
        <v>1500</v>
      </c>
      <c r="B2594" s="2">
        <v>17587</v>
      </c>
      <c r="C2594" s="2">
        <f t="shared" si="240"/>
        <v>1.7586999999999999</v>
      </c>
      <c r="D2594" s="2">
        <f t="shared" si="241"/>
        <v>2250000</v>
      </c>
      <c r="E2594" s="2">
        <f t="shared" si="242"/>
        <v>3375000000</v>
      </c>
      <c r="F2594" s="2">
        <f t="shared" si="243"/>
        <v>5062500000000</v>
      </c>
      <c r="G2594" s="2">
        <f t="shared" si="244"/>
        <v>2638.0499999999997</v>
      </c>
      <c r="H2594" s="2">
        <f t="shared" si="245"/>
        <v>3957075</v>
      </c>
    </row>
    <row r="2595" spans="1:8" x14ac:dyDescent="0.35">
      <c r="A2595" s="2">
        <v>1500</v>
      </c>
      <c r="B2595" s="2">
        <v>30970</v>
      </c>
      <c r="C2595" s="2">
        <f t="shared" si="240"/>
        <v>3.097</v>
      </c>
      <c r="D2595" s="2">
        <f t="shared" si="241"/>
        <v>2250000</v>
      </c>
      <c r="E2595" s="2">
        <f t="shared" si="242"/>
        <v>3375000000</v>
      </c>
      <c r="F2595" s="2">
        <f t="shared" si="243"/>
        <v>5062500000000</v>
      </c>
      <c r="G2595" s="2">
        <f t="shared" si="244"/>
        <v>4645.5</v>
      </c>
      <c r="H2595" s="2">
        <f t="shared" si="245"/>
        <v>6968250</v>
      </c>
    </row>
    <row r="2596" spans="1:8" x14ac:dyDescent="0.35">
      <c r="A2596" s="2">
        <v>1500</v>
      </c>
      <c r="B2596" s="2">
        <v>30898</v>
      </c>
      <c r="C2596" s="2">
        <f t="shared" si="240"/>
        <v>3.0897999999999999</v>
      </c>
      <c r="D2596" s="2">
        <f t="shared" si="241"/>
        <v>2250000</v>
      </c>
      <c r="E2596" s="2">
        <f t="shared" si="242"/>
        <v>3375000000</v>
      </c>
      <c r="F2596" s="2">
        <f t="shared" si="243"/>
        <v>5062500000000</v>
      </c>
      <c r="G2596" s="2">
        <f t="shared" si="244"/>
        <v>4634.7</v>
      </c>
      <c r="H2596" s="2">
        <f t="shared" si="245"/>
        <v>6952050</v>
      </c>
    </row>
    <row r="2597" spans="1:8" x14ac:dyDescent="0.35">
      <c r="A2597" s="2">
        <v>1500</v>
      </c>
      <c r="B2597" s="2">
        <v>27642</v>
      </c>
      <c r="C2597" s="2">
        <f t="shared" si="240"/>
        <v>2.7642000000000002</v>
      </c>
      <c r="D2597" s="2">
        <f t="shared" si="241"/>
        <v>2250000</v>
      </c>
      <c r="E2597" s="2">
        <f t="shared" si="242"/>
        <v>3375000000</v>
      </c>
      <c r="F2597" s="2">
        <f t="shared" si="243"/>
        <v>5062500000000</v>
      </c>
      <c r="G2597" s="2">
        <f t="shared" si="244"/>
        <v>4146.3</v>
      </c>
      <c r="H2597" s="2">
        <f t="shared" si="245"/>
        <v>6219450.0000000009</v>
      </c>
    </row>
    <row r="2598" spans="1:8" x14ac:dyDescent="0.35">
      <c r="A2598" s="2">
        <v>1500</v>
      </c>
      <c r="B2598" s="2">
        <v>28451</v>
      </c>
      <c r="C2598" s="2">
        <f t="shared" si="240"/>
        <v>2.8451</v>
      </c>
      <c r="D2598" s="2">
        <f t="shared" si="241"/>
        <v>2250000</v>
      </c>
      <c r="E2598" s="2">
        <f t="shared" si="242"/>
        <v>3375000000</v>
      </c>
      <c r="F2598" s="2">
        <f t="shared" si="243"/>
        <v>5062500000000</v>
      </c>
      <c r="G2598" s="2">
        <f t="shared" si="244"/>
        <v>4267.6499999999996</v>
      </c>
      <c r="H2598" s="2">
        <f t="shared" si="245"/>
        <v>6401475</v>
      </c>
    </row>
    <row r="2599" spans="1:8" x14ac:dyDescent="0.35">
      <c r="A2599" s="2">
        <v>1500</v>
      </c>
      <c r="B2599" s="2">
        <v>31192</v>
      </c>
      <c r="C2599" s="2">
        <f t="shared" si="240"/>
        <v>3.1192000000000002</v>
      </c>
      <c r="D2599" s="2">
        <f t="shared" si="241"/>
        <v>2250000</v>
      </c>
      <c r="E2599" s="2">
        <f t="shared" si="242"/>
        <v>3375000000</v>
      </c>
      <c r="F2599" s="2">
        <f t="shared" si="243"/>
        <v>5062500000000</v>
      </c>
      <c r="G2599" s="2">
        <f t="shared" si="244"/>
        <v>4678.8</v>
      </c>
      <c r="H2599" s="2">
        <f t="shared" si="245"/>
        <v>7018200</v>
      </c>
    </row>
    <row r="2600" spans="1:8" x14ac:dyDescent="0.35">
      <c r="A2600" s="2">
        <v>1500</v>
      </c>
      <c r="B2600" s="2">
        <v>31186</v>
      </c>
      <c r="C2600" s="2">
        <f t="shared" si="240"/>
        <v>3.1185999999999998</v>
      </c>
      <c r="D2600" s="2">
        <f t="shared" si="241"/>
        <v>2250000</v>
      </c>
      <c r="E2600" s="2">
        <f t="shared" si="242"/>
        <v>3375000000</v>
      </c>
      <c r="F2600" s="2">
        <f t="shared" si="243"/>
        <v>5062500000000</v>
      </c>
      <c r="G2600" s="2">
        <f t="shared" si="244"/>
        <v>4677.8999999999996</v>
      </c>
      <c r="H2600" s="2">
        <f t="shared" si="245"/>
        <v>7016850</v>
      </c>
    </row>
    <row r="2601" spans="1:8" x14ac:dyDescent="0.35">
      <c r="A2601" s="2">
        <v>1500</v>
      </c>
      <c r="B2601" s="2">
        <v>31160</v>
      </c>
      <c r="C2601" s="2">
        <f t="shared" si="240"/>
        <v>3.1160000000000001</v>
      </c>
      <c r="D2601" s="2">
        <f t="shared" si="241"/>
        <v>2250000</v>
      </c>
      <c r="E2601" s="2">
        <f t="shared" si="242"/>
        <v>3375000000</v>
      </c>
      <c r="F2601" s="2">
        <f t="shared" si="243"/>
        <v>5062500000000</v>
      </c>
      <c r="G2601" s="2">
        <f t="shared" si="244"/>
        <v>4674</v>
      </c>
      <c r="H2601" s="2">
        <f t="shared" si="245"/>
        <v>7011000</v>
      </c>
    </row>
    <row r="2602" spans="1:8" x14ac:dyDescent="0.35">
      <c r="A2602" s="2">
        <v>1500</v>
      </c>
      <c r="B2602" s="2">
        <v>30340</v>
      </c>
      <c r="C2602" s="2">
        <f t="shared" si="240"/>
        <v>3.0339999999999998</v>
      </c>
      <c r="D2602" s="2">
        <f t="shared" si="241"/>
        <v>2250000</v>
      </c>
      <c r="E2602" s="2">
        <f t="shared" si="242"/>
        <v>3375000000</v>
      </c>
      <c r="F2602" s="2">
        <f t="shared" si="243"/>
        <v>5062500000000</v>
      </c>
      <c r="G2602" s="2">
        <f t="shared" si="244"/>
        <v>4551</v>
      </c>
      <c r="H2602" s="2">
        <f t="shared" si="245"/>
        <v>6826500</v>
      </c>
    </row>
    <row r="2603" spans="1:8" x14ac:dyDescent="0.35">
      <c r="A2603" s="2">
        <v>1168</v>
      </c>
      <c r="B2603" s="2">
        <v>6998</v>
      </c>
      <c r="C2603" s="2">
        <f t="shared" si="240"/>
        <v>0.69979999999999998</v>
      </c>
      <c r="D2603" s="2">
        <f t="shared" si="241"/>
        <v>1364224</v>
      </c>
      <c r="E2603" s="2">
        <f t="shared" si="242"/>
        <v>1593413632</v>
      </c>
      <c r="F2603" s="2">
        <f t="shared" si="243"/>
        <v>1861107122176</v>
      </c>
      <c r="G2603" s="2">
        <f t="shared" si="244"/>
        <v>817.3664</v>
      </c>
      <c r="H2603" s="2">
        <f t="shared" si="245"/>
        <v>954683.95519999997</v>
      </c>
    </row>
    <row r="2604" spans="1:8" x14ac:dyDescent="0.35">
      <c r="A2604" s="2">
        <v>1168</v>
      </c>
      <c r="B2604" s="2">
        <v>11508</v>
      </c>
      <c r="C2604" s="2">
        <f t="shared" si="240"/>
        <v>1.1508</v>
      </c>
      <c r="D2604" s="2">
        <f t="shared" si="241"/>
        <v>1364224</v>
      </c>
      <c r="E2604" s="2">
        <f t="shared" si="242"/>
        <v>1593413632</v>
      </c>
      <c r="F2604" s="2">
        <f t="shared" si="243"/>
        <v>1861107122176</v>
      </c>
      <c r="G2604" s="2">
        <f t="shared" si="244"/>
        <v>1344.1344000000001</v>
      </c>
      <c r="H2604" s="2">
        <f t="shared" si="245"/>
        <v>1569948.9792000002</v>
      </c>
    </row>
    <row r="2605" spans="1:8" x14ac:dyDescent="0.35">
      <c r="A2605" s="2">
        <v>1168</v>
      </c>
      <c r="B2605" s="2">
        <v>14963</v>
      </c>
      <c r="C2605" s="2">
        <f t="shared" si="240"/>
        <v>1.4963</v>
      </c>
      <c r="D2605" s="2">
        <f t="shared" si="241"/>
        <v>1364224</v>
      </c>
      <c r="E2605" s="2">
        <f t="shared" si="242"/>
        <v>1593413632</v>
      </c>
      <c r="F2605" s="2">
        <f t="shared" si="243"/>
        <v>1861107122176</v>
      </c>
      <c r="G2605" s="2">
        <f t="shared" si="244"/>
        <v>1747.6784</v>
      </c>
      <c r="H2605" s="2">
        <f t="shared" si="245"/>
        <v>2041288.3711999999</v>
      </c>
    </row>
    <row r="2606" spans="1:8" x14ac:dyDescent="0.35">
      <c r="A2606" s="2">
        <v>1168</v>
      </c>
      <c r="B2606" s="2">
        <v>13931</v>
      </c>
      <c r="C2606" s="2">
        <f t="shared" si="240"/>
        <v>1.3931</v>
      </c>
      <c r="D2606" s="2">
        <f t="shared" si="241"/>
        <v>1364224</v>
      </c>
      <c r="E2606" s="2">
        <f t="shared" si="242"/>
        <v>1593413632</v>
      </c>
      <c r="F2606" s="2">
        <f t="shared" si="243"/>
        <v>1861107122176</v>
      </c>
      <c r="G2606" s="2">
        <f t="shared" si="244"/>
        <v>1627.1407999999999</v>
      </c>
      <c r="H2606" s="2">
        <f t="shared" si="245"/>
        <v>1900500.4543999999</v>
      </c>
    </row>
    <row r="2607" spans="1:8" x14ac:dyDescent="0.35">
      <c r="A2607" s="2">
        <v>1168</v>
      </c>
      <c r="B2607" s="2">
        <v>13098</v>
      </c>
      <c r="C2607" s="2">
        <f t="shared" si="240"/>
        <v>1.3098000000000001</v>
      </c>
      <c r="D2607" s="2">
        <f t="shared" si="241"/>
        <v>1364224</v>
      </c>
      <c r="E2607" s="2">
        <f t="shared" si="242"/>
        <v>1593413632</v>
      </c>
      <c r="F2607" s="2">
        <f t="shared" si="243"/>
        <v>1861107122176</v>
      </c>
      <c r="G2607" s="2">
        <f t="shared" si="244"/>
        <v>1529.8464000000001</v>
      </c>
      <c r="H2607" s="2">
        <f t="shared" si="245"/>
        <v>1786860.5952000001</v>
      </c>
    </row>
    <row r="2608" spans="1:8" x14ac:dyDescent="0.35">
      <c r="A2608" s="2">
        <v>1168</v>
      </c>
      <c r="B2608" s="2">
        <v>15665</v>
      </c>
      <c r="C2608" s="2">
        <f t="shared" si="240"/>
        <v>1.5665</v>
      </c>
      <c r="D2608" s="2">
        <f t="shared" si="241"/>
        <v>1364224</v>
      </c>
      <c r="E2608" s="2">
        <f t="shared" si="242"/>
        <v>1593413632</v>
      </c>
      <c r="F2608" s="2">
        <f t="shared" si="243"/>
        <v>1861107122176</v>
      </c>
      <c r="G2608" s="2">
        <f t="shared" si="244"/>
        <v>1829.672</v>
      </c>
      <c r="H2608" s="2">
        <f t="shared" si="245"/>
        <v>2137056.8960000002</v>
      </c>
    </row>
    <row r="2609" spans="1:8" x14ac:dyDescent="0.35">
      <c r="A2609" s="2">
        <v>1168</v>
      </c>
      <c r="B2609" s="2">
        <v>18509</v>
      </c>
      <c r="C2609" s="2">
        <f t="shared" si="240"/>
        <v>1.8509</v>
      </c>
      <c r="D2609" s="2">
        <f t="shared" si="241"/>
        <v>1364224</v>
      </c>
      <c r="E2609" s="2">
        <f t="shared" si="242"/>
        <v>1593413632</v>
      </c>
      <c r="F2609" s="2">
        <f t="shared" si="243"/>
        <v>1861107122176</v>
      </c>
      <c r="G2609" s="2">
        <f t="shared" si="244"/>
        <v>2161.8512000000001</v>
      </c>
      <c r="H2609" s="2">
        <f t="shared" si="245"/>
        <v>2525042.2015999998</v>
      </c>
    </row>
    <row r="2610" spans="1:8" x14ac:dyDescent="0.35">
      <c r="A2610" s="2">
        <v>1168</v>
      </c>
      <c r="B2610" s="2">
        <v>11975</v>
      </c>
      <c r="C2610" s="2">
        <f t="shared" si="240"/>
        <v>1.1975</v>
      </c>
      <c r="D2610" s="2">
        <f t="shared" si="241"/>
        <v>1364224</v>
      </c>
      <c r="E2610" s="2">
        <f t="shared" si="242"/>
        <v>1593413632</v>
      </c>
      <c r="F2610" s="2">
        <f t="shared" si="243"/>
        <v>1861107122176</v>
      </c>
      <c r="G2610" s="2">
        <f t="shared" si="244"/>
        <v>1398.68</v>
      </c>
      <c r="H2610" s="2">
        <f t="shared" si="245"/>
        <v>1633658.24</v>
      </c>
    </row>
    <row r="2611" spans="1:8" x14ac:dyDescent="0.35">
      <c r="A2611" s="2">
        <v>1168</v>
      </c>
      <c r="B2611" s="2">
        <v>9498</v>
      </c>
      <c r="C2611" s="2">
        <f t="shared" si="240"/>
        <v>0.94979999999999998</v>
      </c>
      <c r="D2611" s="2">
        <f t="shared" si="241"/>
        <v>1364224</v>
      </c>
      <c r="E2611" s="2">
        <f t="shared" si="242"/>
        <v>1593413632</v>
      </c>
      <c r="F2611" s="2">
        <f t="shared" si="243"/>
        <v>1861107122176</v>
      </c>
      <c r="G2611" s="2">
        <f t="shared" si="244"/>
        <v>1109.3663999999999</v>
      </c>
      <c r="H2611" s="2">
        <f t="shared" si="245"/>
        <v>1295739.9552</v>
      </c>
    </row>
    <row r="2612" spans="1:8" x14ac:dyDescent="0.35">
      <c r="A2612" s="2">
        <v>1168</v>
      </c>
      <c r="B2612" s="2">
        <v>12221</v>
      </c>
      <c r="C2612" s="2">
        <f t="shared" si="240"/>
        <v>1.2221</v>
      </c>
      <c r="D2612" s="2">
        <f t="shared" si="241"/>
        <v>1364224</v>
      </c>
      <c r="E2612" s="2">
        <f t="shared" si="242"/>
        <v>1593413632</v>
      </c>
      <c r="F2612" s="2">
        <f t="shared" si="243"/>
        <v>1861107122176</v>
      </c>
      <c r="G2612" s="2">
        <f t="shared" si="244"/>
        <v>1427.4128000000001</v>
      </c>
      <c r="H2612" s="2">
        <f t="shared" si="245"/>
        <v>1667218.1503999999</v>
      </c>
    </row>
    <row r="2613" spans="1:8" x14ac:dyDescent="0.35">
      <c r="A2613" s="2">
        <v>1168</v>
      </c>
      <c r="B2613" s="2">
        <v>13320</v>
      </c>
      <c r="C2613" s="2">
        <f t="shared" si="240"/>
        <v>1.3320000000000001</v>
      </c>
      <c r="D2613" s="2">
        <f t="shared" si="241"/>
        <v>1364224</v>
      </c>
      <c r="E2613" s="2">
        <f t="shared" si="242"/>
        <v>1593413632</v>
      </c>
      <c r="F2613" s="2">
        <f t="shared" si="243"/>
        <v>1861107122176</v>
      </c>
      <c r="G2613" s="2">
        <f t="shared" si="244"/>
        <v>1555.7760000000001</v>
      </c>
      <c r="H2613" s="2">
        <f t="shared" si="245"/>
        <v>1817146.368</v>
      </c>
    </row>
    <row r="2614" spans="1:8" x14ac:dyDescent="0.35">
      <c r="A2614" s="2">
        <v>1168</v>
      </c>
      <c r="B2614" s="2">
        <v>26977</v>
      </c>
      <c r="C2614" s="2">
        <f t="shared" si="240"/>
        <v>2.6977000000000002</v>
      </c>
      <c r="D2614" s="2">
        <f t="shared" si="241"/>
        <v>1364224</v>
      </c>
      <c r="E2614" s="2">
        <f t="shared" si="242"/>
        <v>1593413632</v>
      </c>
      <c r="F2614" s="2">
        <f t="shared" si="243"/>
        <v>1861107122176</v>
      </c>
      <c r="G2614" s="2">
        <f t="shared" si="244"/>
        <v>3150.9136000000003</v>
      </c>
      <c r="H2614" s="2">
        <f t="shared" si="245"/>
        <v>3680267.0848000003</v>
      </c>
    </row>
    <row r="2615" spans="1:8" x14ac:dyDescent="0.35">
      <c r="A2615" s="2">
        <v>1168</v>
      </c>
      <c r="B2615" s="2">
        <v>20441</v>
      </c>
      <c r="C2615" s="2">
        <f t="shared" si="240"/>
        <v>2.0440999999999998</v>
      </c>
      <c r="D2615" s="2">
        <f t="shared" si="241"/>
        <v>1364224</v>
      </c>
      <c r="E2615" s="2">
        <f t="shared" si="242"/>
        <v>1593413632</v>
      </c>
      <c r="F2615" s="2">
        <f t="shared" si="243"/>
        <v>1861107122176</v>
      </c>
      <c r="G2615" s="2">
        <f t="shared" si="244"/>
        <v>2387.5087999999996</v>
      </c>
      <c r="H2615" s="2">
        <f t="shared" si="245"/>
        <v>2788610.2783999997</v>
      </c>
    </row>
    <row r="2616" spans="1:8" x14ac:dyDescent="0.35">
      <c r="A2616" s="2">
        <v>1168</v>
      </c>
      <c r="B2616" s="2">
        <v>21254</v>
      </c>
      <c r="C2616" s="2">
        <f t="shared" si="240"/>
        <v>2.1254</v>
      </c>
      <c r="D2616" s="2">
        <f t="shared" si="241"/>
        <v>1364224</v>
      </c>
      <c r="E2616" s="2">
        <f t="shared" si="242"/>
        <v>1593413632</v>
      </c>
      <c r="F2616" s="2">
        <f t="shared" si="243"/>
        <v>1861107122176</v>
      </c>
      <c r="G2616" s="2">
        <f t="shared" si="244"/>
        <v>2482.4672</v>
      </c>
      <c r="H2616" s="2">
        <f t="shared" si="245"/>
        <v>2899521.6896000002</v>
      </c>
    </row>
    <row r="2617" spans="1:8" x14ac:dyDescent="0.35">
      <c r="A2617" s="2">
        <v>1168</v>
      </c>
      <c r="B2617" s="2">
        <v>19223</v>
      </c>
      <c r="C2617" s="2">
        <f t="shared" si="240"/>
        <v>1.9222999999999999</v>
      </c>
      <c r="D2617" s="2">
        <f t="shared" si="241"/>
        <v>1364224</v>
      </c>
      <c r="E2617" s="2">
        <f t="shared" si="242"/>
        <v>1593413632</v>
      </c>
      <c r="F2617" s="2">
        <f t="shared" si="243"/>
        <v>1861107122176</v>
      </c>
      <c r="G2617" s="2">
        <f t="shared" si="244"/>
        <v>2245.2464</v>
      </c>
      <c r="H2617" s="2">
        <f t="shared" si="245"/>
        <v>2622447.7952000001</v>
      </c>
    </row>
    <row r="2618" spans="1:8" x14ac:dyDescent="0.35">
      <c r="A2618" s="2">
        <v>1168</v>
      </c>
      <c r="B2618" s="2">
        <v>19324</v>
      </c>
      <c r="C2618" s="2">
        <f t="shared" si="240"/>
        <v>1.9323999999999999</v>
      </c>
      <c r="D2618" s="2">
        <f t="shared" si="241"/>
        <v>1364224</v>
      </c>
      <c r="E2618" s="2">
        <f t="shared" si="242"/>
        <v>1593413632</v>
      </c>
      <c r="F2618" s="2">
        <f t="shared" si="243"/>
        <v>1861107122176</v>
      </c>
      <c r="G2618" s="2">
        <f t="shared" si="244"/>
        <v>2257.0432000000001</v>
      </c>
      <c r="H2618" s="2">
        <f t="shared" si="245"/>
        <v>2636226.4575999998</v>
      </c>
    </row>
    <row r="2619" spans="1:8" x14ac:dyDescent="0.35">
      <c r="A2619" s="2">
        <v>1168</v>
      </c>
      <c r="B2619" s="2">
        <v>21627</v>
      </c>
      <c r="C2619" s="2">
        <f t="shared" si="240"/>
        <v>2.1627000000000001</v>
      </c>
      <c r="D2619" s="2">
        <f t="shared" si="241"/>
        <v>1364224</v>
      </c>
      <c r="E2619" s="2">
        <f t="shared" si="242"/>
        <v>1593413632</v>
      </c>
      <c r="F2619" s="2">
        <f t="shared" si="243"/>
        <v>1861107122176</v>
      </c>
      <c r="G2619" s="2">
        <f t="shared" si="244"/>
        <v>2526.0336000000002</v>
      </c>
      <c r="H2619" s="2">
        <f t="shared" si="245"/>
        <v>2950407.2448</v>
      </c>
    </row>
    <row r="2620" spans="1:8" x14ac:dyDescent="0.35">
      <c r="A2620" s="2">
        <v>1168</v>
      </c>
      <c r="B2620" s="2">
        <v>21228</v>
      </c>
      <c r="C2620" s="2">
        <f t="shared" si="240"/>
        <v>2.1227999999999998</v>
      </c>
      <c r="D2620" s="2">
        <f t="shared" si="241"/>
        <v>1364224</v>
      </c>
      <c r="E2620" s="2">
        <f t="shared" si="242"/>
        <v>1593413632</v>
      </c>
      <c r="F2620" s="2">
        <f t="shared" si="243"/>
        <v>1861107122176</v>
      </c>
      <c r="G2620" s="2">
        <f t="shared" si="244"/>
        <v>2479.4303999999997</v>
      </c>
      <c r="H2620" s="2">
        <f t="shared" si="245"/>
        <v>2895974.7071999996</v>
      </c>
    </row>
    <row r="2621" spans="1:8" x14ac:dyDescent="0.35">
      <c r="A2621" s="2">
        <v>1168</v>
      </c>
      <c r="B2621" s="2">
        <v>22090</v>
      </c>
      <c r="C2621" s="2">
        <f t="shared" si="240"/>
        <v>2.2090000000000001</v>
      </c>
      <c r="D2621" s="2">
        <f t="shared" si="241"/>
        <v>1364224</v>
      </c>
      <c r="E2621" s="2">
        <f t="shared" si="242"/>
        <v>1593413632</v>
      </c>
      <c r="F2621" s="2">
        <f t="shared" si="243"/>
        <v>1861107122176</v>
      </c>
      <c r="G2621" s="2">
        <f t="shared" si="244"/>
        <v>2580.1120000000001</v>
      </c>
      <c r="H2621" s="2">
        <f t="shared" si="245"/>
        <v>3013570.8160000001</v>
      </c>
    </row>
    <row r="2622" spans="1:8" x14ac:dyDescent="0.35">
      <c r="A2622" s="2">
        <v>1168</v>
      </c>
      <c r="B2622" s="2">
        <v>24830</v>
      </c>
      <c r="C2622" s="2">
        <f t="shared" si="240"/>
        <v>2.4830000000000001</v>
      </c>
      <c r="D2622" s="2">
        <f t="shared" si="241"/>
        <v>1364224</v>
      </c>
      <c r="E2622" s="2">
        <f t="shared" si="242"/>
        <v>1593413632</v>
      </c>
      <c r="F2622" s="2">
        <f t="shared" si="243"/>
        <v>1861107122176</v>
      </c>
      <c r="G2622" s="2">
        <f t="shared" si="244"/>
        <v>2900.1440000000002</v>
      </c>
      <c r="H2622" s="2">
        <f t="shared" si="245"/>
        <v>3387368.1920000003</v>
      </c>
    </row>
    <row r="2623" spans="1:8" x14ac:dyDescent="0.35">
      <c r="A2623" s="2">
        <v>1168</v>
      </c>
      <c r="B2623" s="2">
        <v>22836</v>
      </c>
      <c r="C2623" s="2">
        <f t="shared" si="240"/>
        <v>2.2835999999999999</v>
      </c>
      <c r="D2623" s="2">
        <f t="shared" si="241"/>
        <v>1364224</v>
      </c>
      <c r="E2623" s="2">
        <f t="shared" si="242"/>
        <v>1593413632</v>
      </c>
      <c r="F2623" s="2">
        <f t="shared" si="243"/>
        <v>1861107122176</v>
      </c>
      <c r="G2623" s="2">
        <f t="shared" si="244"/>
        <v>2667.2447999999999</v>
      </c>
      <c r="H2623" s="2">
        <f t="shared" si="245"/>
        <v>3115341.9263999998</v>
      </c>
    </row>
    <row r="2624" spans="1:8" x14ac:dyDescent="0.35">
      <c r="A2624" s="2">
        <v>1168</v>
      </c>
      <c r="B2624" s="2">
        <v>23441</v>
      </c>
      <c r="C2624" s="2">
        <f t="shared" si="240"/>
        <v>2.3441000000000001</v>
      </c>
      <c r="D2624" s="2">
        <f t="shared" si="241"/>
        <v>1364224</v>
      </c>
      <c r="E2624" s="2">
        <f t="shared" si="242"/>
        <v>1593413632</v>
      </c>
      <c r="F2624" s="2">
        <f t="shared" si="243"/>
        <v>1861107122176</v>
      </c>
      <c r="G2624" s="2">
        <f t="shared" si="244"/>
        <v>2737.9088000000002</v>
      </c>
      <c r="H2624" s="2">
        <f t="shared" si="245"/>
        <v>3197877.4783999999</v>
      </c>
    </row>
    <row r="2625" spans="1:8" x14ac:dyDescent="0.35">
      <c r="A2625" s="2">
        <v>1168</v>
      </c>
      <c r="B2625" s="2">
        <v>26540</v>
      </c>
      <c r="C2625" s="2">
        <f t="shared" si="240"/>
        <v>2.6539999999999999</v>
      </c>
      <c r="D2625" s="2">
        <f t="shared" si="241"/>
        <v>1364224</v>
      </c>
      <c r="E2625" s="2">
        <f t="shared" si="242"/>
        <v>1593413632</v>
      </c>
      <c r="F2625" s="2">
        <f t="shared" si="243"/>
        <v>1861107122176</v>
      </c>
      <c r="G2625" s="2">
        <f t="shared" si="244"/>
        <v>3099.8719999999998</v>
      </c>
      <c r="H2625" s="2">
        <f t="shared" si="245"/>
        <v>3620650.4959999998</v>
      </c>
    </row>
    <row r="2626" spans="1:8" x14ac:dyDescent="0.35">
      <c r="A2626" s="2">
        <v>1168</v>
      </c>
      <c r="B2626" s="2">
        <v>23228</v>
      </c>
      <c r="C2626" s="2">
        <f t="shared" si="240"/>
        <v>2.3228</v>
      </c>
      <c r="D2626" s="2">
        <f t="shared" si="241"/>
        <v>1364224</v>
      </c>
      <c r="E2626" s="2">
        <f t="shared" si="242"/>
        <v>1593413632</v>
      </c>
      <c r="F2626" s="2">
        <f t="shared" si="243"/>
        <v>1861107122176</v>
      </c>
      <c r="G2626" s="2">
        <f t="shared" si="244"/>
        <v>2713.0304000000001</v>
      </c>
      <c r="H2626" s="2">
        <f t="shared" si="245"/>
        <v>3168819.5071999999</v>
      </c>
    </row>
    <row r="2627" spans="1:8" x14ac:dyDescent="0.35">
      <c r="A2627" s="2">
        <v>1168</v>
      </c>
      <c r="B2627" s="2">
        <v>25101</v>
      </c>
      <c r="C2627" s="2">
        <f t="shared" ref="C2627:C2690" si="246">B2627/10000</f>
        <v>2.5101</v>
      </c>
      <c r="D2627" s="2">
        <f t="shared" ref="D2627:D2690" si="247">A2627^2</f>
        <v>1364224</v>
      </c>
      <c r="E2627" s="2">
        <f t="shared" ref="E2627:E2690" si="248">A2627^3</f>
        <v>1593413632</v>
      </c>
      <c r="F2627" s="2">
        <f t="shared" ref="F2627:F2690" si="249">A2627^4</f>
        <v>1861107122176</v>
      </c>
      <c r="G2627" s="2">
        <f t="shared" ref="G2627:G2690" si="250">A2627*C2627</f>
        <v>2931.7968000000001</v>
      </c>
      <c r="H2627" s="2">
        <f t="shared" ref="H2627:H2690" si="251">D2627*C2627</f>
        <v>3424338.6623999998</v>
      </c>
    </row>
    <row r="2628" spans="1:8" x14ac:dyDescent="0.35">
      <c r="A2628" s="2">
        <v>1168</v>
      </c>
      <c r="B2628" s="2">
        <v>16724</v>
      </c>
      <c r="C2628" s="2">
        <f t="shared" si="246"/>
        <v>1.6724000000000001</v>
      </c>
      <c r="D2628" s="2">
        <f t="shared" si="247"/>
        <v>1364224</v>
      </c>
      <c r="E2628" s="2">
        <f t="shared" si="248"/>
        <v>1593413632</v>
      </c>
      <c r="F2628" s="2">
        <f t="shared" si="249"/>
        <v>1861107122176</v>
      </c>
      <c r="G2628" s="2">
        <f t="shared" si="250"/>
        <v>1953.3632000000002</v>
      </c>
      <c r="H2628" s="2">
        <f t="shared" si="251"/>
        <v>2281528.2176000001</v>
      </c>
    </row>
    <row r="2629" spans="1:8" x14ac:dyDescent="0.35">
      <c r="A2629" s="2">
        <v>1168</v>
      </c>
      <c r="B2629" s="2">
        <v>28233</v>
      </c>
      <c r="C2629" s="2">
        <f t="shared" si="246"/>
        <v>2.8233000000000001</v>
      </c>
      <c r="D2629" s="2">
        <f t="shared" si="247"/>
        <v>1364224</v>
      </c>
      <c r="E2629" s="2">
        <f t="shared" si="248"/>
        <v>1593413632</v>
      </c>
      <c r="F2629" s="2">
        <f t="shared" si="249"/>
        <v>1861107122176</v>
      </c>
      <c r="G2629" s="2">
        <f t="shared" si="250"/>
        <v>3297.6144000000004</v>
      </c>
      <c r="H2629" s="2">
        <f t="shared" si="251"/>
        <v>3851613.6192000001</v>
      </c>
    </row>
    <row r="2630" spans="1:8" x14ac:dyDescent="0.35">
      <c r="A2630" s="2">
        <v>1168</v>
      </c>
      <c r="B2630" s="2">
        <v>17633</v>
      </c>
      <c r="C2630" s="2">
        <f t="shared" si="246"/>
        <v>1.7633000000000001</v>
      </c>
      <c r="D2630" s="2">
        <f t="shared" si="247"/>
        <v>1364224</v>
      </c>
      <c r="E2630" s="2">
        <f t="shared" si="248"/>
        <v>1593413632</v>
      </c>
      <c r="F2630" s="2">
        <f t="shared" si="249"/>
        <v>1861107122176</v>
      </c>
      <c r="G2630" s="2">
        <f t="shared" si="250"/>
        <v>2059.5344</v>
      </c>
      <c r="H2630" s="2">
        <f t="shared" si="251"/>
        <v>2405536.1792000001</v>
      </c>
    </row>
    <row r="2631" spans="1:8" x14ac:dyDescent="0.35">
      <c r="A2631" s="2">
        <v>1168</v>
      </c>
      <c r="B2631" s="2">
        <v>17273</v>
      </c>
      <c r="C2631" s="2">
        <f t="shared" si="246"/>
        <v>1.7273000000000001</v>
      </c>
      <c r="D2631" s="2">
        <f t="shared" si="247"/>
        <v>1364224</v>
      </c>
      <c r="E2631" s="2">
        <f t="shared" si="248"/>
        <v>1593413632</v>
      </c>
      <c r="F2631" s="2">
        <f t="shared" si="249"/>
        <v>1861107122176</v>
      </c>
      <c r="G2631" s="2">
        <f t="shared" si="250"/>
        <v>2017.4864</v>
      </c>
      <c r="H2631" s="2">
        <f t="shared" si="251"/>
        <v>2356424.1151999999</v>
      </c>
    </row>
    <row r="2632" spans="1:8" x14ac:dyDescent="0.35">
      <c r="A2632" s="2">
        <v>1168</v>
      </c>
      <c r="B2632" s="2">
        <v>16536</v>
      </c>
      <c r="C2632" s="2">
        <f t="shared" si="246"/>
        <v>1.6536</v>
      </c>
      <c r="D2632" s="2">
        <f t="shared" si="247"/>
        <v>1364224</v>
      </c>
      <c r="E2632" s="2">
        <f t="shared" si="248"/>
        <v>1593413632</v>
      </c>
      <c r="F2632" s="2">
        <f t="shared" si="249"/>
        <v>1861107122176</v>
      </c>
      <c r="G2632" s="2">
        <f t="shared" si="250"/>
        <v>1931.4048</v>
      </c>
      <c r="H2632" s="2">
        <f t="shared" si="251"/>
        <v>2255880.8064000001</v>
      </c>
    </row>
    <row r="2633" spans="1:8" x14ac:dyDescent="0.35">
      <c r="A2633" s="2">
        <v>2200</v>
      </c>
      <c r="B2633" s="2">
        <v>20831</v>
      </c>
      <c r="C2633" s="2">
        <f t="shared" si="246"/>
        <v>2.0831</v>
      </c>
      <c r="D2633" s="2">
        <f t="shared" si="247"/>
        <v>4840000</v>
      </c>
      <c r="E2633" s="2">
        <f t="shared" si="248"/>
        <v>10648000000</v>
      </c>
      <c r="F2633" s="2">
        <f t="shared" si="249"/>
        <v>23425600000000</v>
      </c>
      <c r="G2633" s="2">
        <f t="shared" si="250"/>
        <v>4582.82</v>
      </c>
      <c r="H2633" s="2">
        <f t="shared" si="251"/>
        <v>10082204</v>
      </c>
    </row>
    <row r="2634" spans="1:8" x14ac:dyDescent="0.35">
      <c r="A2634" s="2">
        <v>2200</v>
      </c>
      <c r="B2634" s="2">
        <v>21768</v>
      </c>
      <c r="C2634" s="2">
        <f t="shared" si="246"/>
        <v>2.1768000000000001</v>
      </c>
      <c r="D2634" s="2">
        <f t="shared" si="247"/>
        <v>4840000</v>
      </c>
      <c r="E2634" s="2">
        <f t="shared" si="248"/>
        <v>10648000000</v>
      </c>
      <c r="F2634" s="2">
        <f t="shared" si="249"/>
        <v>23425600000000</v>
      </c>
      <c r="G2634" s="2">
        <f t="shared" si="250"/>
        <v>4788.96</v>
      </c>
      <c r="H2634" s="2">
        <f t="shared" si="251"/>
        <v>10535712</v>
      </c>
    </row>
    <row r="2635" spans="1:8" x14ac:dyDescent="0.35">
      <c r="A2635" s="2">
        <v>2200</v>
      </c>
      <c r="B2635" s="2">
        <v>24478</v>
      </c>
      <c r="C2635" s="2">
        <f t="shared" si="246"/>
        <v>2.4478</v>
      </c>
      <c r="D2635" s="2">
        <f t="shared" si="247"/>
        <v>4840000</v>
      </c>
      <c r="E2635" s="2">
        <f t="shared" si="248"/>
        <v>10648000000</v>
      </c>
      <c r="F2635" s="2">
        <f t="shared" si="249"/>
        <v>23425600000000</v>
      </c>
      <c r="G2635" s="2">
        <f t="shared" si="250"/>
        <v>5385.16</v>
      </c>
      <c r="H2635" s="2">
        <f t="shared" si="251"/>
        <v>11847352</v>
      </c>
    </row>
    <row r="2636" spans="1:8" x14ac:dyDescent="0.35">
      <c r="A2636" s="2">
        <v>2200</v>
      </c>
      <c r="B2636" s="2">
        <v>25017</v>
      </c>
      <c r="C2636" s="2">
        <f t="shared" si="246"/>
        <v>2.5017</v>
      </c>
      <c r="D2636" s="2">
        <f t="shared" si="247"/>
        <v>4840000</v>
      </c>
      <c r="E2636" s="2">
        <f t="shared" si="248"/>
        <v>10648000000</v>
      </c>
      <c r="F2636" s="2">
        <f t="shared" si="249"/>
        <v>23425600000000</v>
      </c>
      <c r="G2636" s="2">
        <f t="shared" si="250"/>
        <v>5503.74</v>
      </c>
      <c r="H2636" s="2">
        <f t="shared" si="251"/>
        <v>12108228</v>
      </c>
    </row>
    <row r="2637" spans="1:8" x14ac:dyDescent="0.35">
      <c r="A2637" s="2">
        <v>2200</v>
      </c>
      <c r="B2637" s="2">
        <v>31397</v>
      </c>
      <c r="C2637" s="2">
        <f t="shared" si="246"/>
        <v>3.1396999999999999</v>
      </c>
      <c r="D2637" s="2">
        <f t="shared" si="247"/>
        <v>4840000</v>
      </c>
      <c r="E2637" s="2">
        <f t="shared" si="248"/>
        <v>10648000000</v>
      </c>
      <c r="F2637" s="2">
        <f t="shared" si="249"/>
        <v>23425600000000</v>
      </c>
      <c r="G2637" s="2">
        <f t="shared" si="250"/>
        <v>6907.34</v>
      </c>
      <c r="H2637" s="2">
        <f t="shared" si="251"/>
        <v>15196148</v>
      </c>
    </row>
    <row r="2638" spans="1:8" x14ac:dyDescent="0.35">
      <c r="A2638" s="2">
        <v>2200</v>
      </c>
      <c r="B2638" s="2">
        <v>30769</v>
      </c>
      <c r="C2638" s="2">
        <f t="shared" si="246"/>
        <v>3.0769000000000002</v>
      </c>
      <c r="D2638" s="2">
        <f t="shared" si="247"/>
        <v>4840000</v>
      </c>
      <c r="E2638" s="2">
        <f t="shared" si="248"/>
        <v>10648000000</v>
      </c>
      <c r="F2638" s="2">
        <f t="shared" si="249"/>
        <v>23425600000000</v>
      </c>
      <c r="G2638" s="2">
        <f t="shared" si="250"/>
        <v>6769.18</v>
      </c>
      <c r="H2638" s="2">
        <f t="shared" si="251"/>
        <v>14892196</v>
      </c>
    </row>
    <row r="2639" spans="1:8" x14ac:dyDescent="0.35">
      <c r="A2639" s="2">
        <v>2200</v>
      </c>
      <c r="B2639" s="2">
        <v>36703</v>
      </c>
      <c r="C2639" s="2">
        <f t="shared" si="246"/>
        <v>3.6703000000000001</v>
      </c>
      <c r="D2639" s="2">
        <f t="shared" si="247"/>
        <v>4840000</v>
      </c>
      <c r="E2639" s="2">
        <f t="shared" si="248"/>
        <v>10648000000</v>
      </c>
      <c r="F2639" s="2">
        <f t="shared" si="249"/>
        <v>23425600000000</v>
      </c>
      <c r="G2639" s="2">
        <f t="shared" si="250"/>
        <v>8074.66</v>
      </c>
      <c r="H2639" s="2">
        <f t="shared" si="251"/>
        <v>17764252</v>
      </c>
    </row>
    <row r="2640" spans="1:8" x14ac:dyDescent="0.35">
      <c r="A2640" s="2">
        <v>2200</v>
      </c>
      <c r="B2640" s="2">
        <v>32408</v>
      </c>
      <c r="C2640" s="2">
        <f t="shared" si="246"/>
        <v>3.2408000000000001</v>
      </c>
      <c r="D2640" s="2">
        <f t="shared" si="247"/>
        <v>4840000</v>
      </c>
      <c r="E2640" s="2">
        <f t="shared" si="248"/>
        <v>10648000000</v>
      </c>
      <c r="F2640" s="2">
        <f t="shared" si="249"/>
        <v>23425600000000</v>
      </c>
      <c r="G2640" s="2">
        <f t="shared" si="250"/>
        <v>7129.76</v>
      </c>
      <c r="H2640" s="2">
        <f t="shared" si="251"/>
        <v>15685472</v>
      </c>
    </row>
    <row r="2641" spans="1:8" x14ac:dyDescent="0.35">
      <c r="A2641" s="2">
        <v>2200</v>
      </c>
      <c r="B2641" s="2">
        <v>37264</v>
      </c>
      <c r="C2641" s="2">
        <f t="shared" si="246"/>
        <v>3.7263999999999999</v>
      </c>
      <c r="D2641" s="2">
        <f t="shared" si="247"/>
        <v>4840000</v>
      </c>
      <c r="E2641" s="2">
        <f t="shared" si="248"/>
        <v>10648000000</v>
      </c>
      <c r="F2641" s="2">
        <f t="shared" si="249"/>
        <v>23425600000000</v>
      </c>
      <c r="G2641" s="2">
        <f t="shared" si="250"/>
        <v>8198.08</v>
      </c>
      <c r="H2641" s="2">
        <f t="shared" si="251"/>
        <v>18035776</v>
      </c>
    </row>
    <row r="2642" spans="1:8" x14ac:dyDescent="0.35">
      <c r="A2642" s="2">
        <v>2200</v>
      </c>
      <c r="B2642" s="2">
        <v>39204</v>
      </c>
      <c r="C2642" s="2">
        <f t="shared" si="246"/>
        <v>3.9203999999999999</v>
      </c>
      <c r="D2642" s="2">
        <f t="shared" si="247"/>
        <v>4840000</v>
      </c>
      <c r="E2642" s="2">
        <f t="shared" si="248"/>
        <v>10648000000</v>
      </c>
      <c r="F2642" s="2">
        <f t="shared" si="249"/>
        <v>23425600000000</v>
      </c>
      <c r="G2642" s="2">
        <f t="shared" si="250"/>
        <v>8624.8799999999992</v>
      </c>
      <c r="H2642" s="2">
        <f t="shared" si="251"/>
        <v>18974736</v>
      </c>
    </row>
    <row r="2643" spans="1:8" x14ac:dyDescent="0.35">
      <c r="A2643" s="2">
        <v>2200</v>
      </c>
      <c r="B2643" s="2">
        <v>35716</v>
      </c>
      <c r="C2643" s="2">
        <f t="shared" si="246"/>
        <v>3.5716000000000001</v>
      </c>
      <c r="D2643" s="2">
        <f t="shared" si="247"/>
        <v>4840000</v>
      </c>
      <c r="E2643" s="2">
        <f t="shared" si="248"/>
        <v>10648000000</v>
      </c>
      <c r="F2643" s="2">
        <f t="shared" si="249"/>
        <v>23425600000000</v>
      </c>
      <c r="G2643" s="2">
        <f t="shared" si="250"/>
        <v>7857.52</v>
      </c>
      <c r="H2643" s="2">
        <f t="shared" si="251"/>
        <v>17286544</v>
      </c>
    </row>
    <row r="2644" spans="1:8" x14ac:dyDescent="0.35">
      <c r="A2644" s="2">
        <v>2200</v>
      </c>
      <c r="B2644" s="2">
        <v>22653</v>
      </c>
      <c r="C2644" s="2">
        <f t="shared" si="246"/>
        <v>2.2652999999999999</v>
      </c>
      <c r="D2644" s="2">
        <f t="shared" si="247"/>
        <v>4840000</v>
      </c>
      <c r="E2644" s="2">
        <f t="shared" si="248"/>
        <v>10648000000</v>
      </c>
      <c r="F2644" s="2">
        <f t="shared" si="249"/>
        <v>23425600000000</v>
      </c>
      <c r="G2644" s="2">
        <f t="shared" si="250"/>
        <v>4983.66</v>
      </c>
      <c r="H2644" s="2">
        <f t="shared" si="251"/>
        <v>10964052</v>
      </c>
    </row>
    <row r="2645" spans="1:8" x14ac:dyDescent="0.35">
      <c r="A2645" s="2">
        <v>2200</v>
      </c>
      <c r="B2645" s="2">
        <v>23457</v>
      </c>
      <c r="C2645" s="2">
        <f t="shared" si="246"/>
        <v>2.3456999999999999</v>
      </c>
      <c r="D2645" s="2">
        <f t="shared" si="247"/>
        <v>4840000</v>
      </c>
      <c r="E2645" s="2">
        <f t="shared" si="248"/>
        <v>10648000000</v>
      </c>
      <c r="F2645" s="2">
        <f t="shared" si="249"/>
        <v>23425600000000</v>
      </c>
      <c r="G2645" s="2">
        <f t="shared" si="250"/>
        <v>5160.54</v>
      </c>
      <c r="H2645" s="2">
        <f t="shared" si="251"/>
        <v>11353188</v>
      </c>
    </row>
    <row r="2646" spans="1:8" x14ac:dyDescent="0.35">
      <c r="A2646" s="2">
        <v>2200</v>
      </c>
      <c r="B2646" s="2">
        <v>15549</v>
      </c>
      <c r="C2646" s="2">
        <f t="shared" si="246"/>
        <v>1.5548999999999999</v>
      </c>
      <c r="D2646" s="2">
        <f t="shared" si="247"/>
        <v>4840000</v>
      </c>
      <c r="E2646" s="2">
        <f t="shared" si="248"/>
        <v>10648000000</v>
      </c>
      <c r="F2646" s="2">
        <f t="shared" si="249"/>
        <v>23425600000000</v>
      </c>
      <c r="G2646" s="2">
        <f t="shared" si="250"/>
        <v>3420.7799999999997</v>
      </c>
      <c r="H2646" s="2">
        <f t="shared" si="251"/>
        <v>7525716</v>
      </c>
    </row>
    <row r="2647" spans="1:8" x14ac:dyDescent="0.35">
      <c r="A2647" s="2">
        <v>2200</v>
      </c>
      <c r="B2647" s="2">
        <v>22343</v>
      </c>
      <c r="C2647" s="2">
        <f t="shared" si="246"/>
        <v>2.2343000000000002</v>
      </c>
      <c r="D2647" s="2">
        <f t="shared" si="247"/>
        <v>4840000</v>
      </c>
      <c r="E2647" s="2">
        <f t="shared" si="248"/>
        <v>10648000000</v>
      </c>
      <c r="F2647" s="2">
        <f t="shared" si="249"/>
        <v>23425600000000</v>
      </c>
      <c r="G2647" s="2">
        <f t="shared" si="250"/>
        <v>4915.46</v>
      </c>
      <c r="H2647" s="2">
        <f t="shared" si="251"/>
        <v>10814012</v>
      </c>
    </row>
    <row r="2648" spans="1:8" x14ac:dyDescent="0.35">
      <c r="A2648" s="2">
        <v>2200</v>
      </c>
      <c r="B2648" s="2">
        <v>11650</v>
      </c>
      <c r="C2648" s="2">
        <f t="shared" si="246"/>
        <v>1.165</v>
      </c>
      <c r="D2648" s="2">
        <f t="shared" si="247"/>
        <v>4840000</v>
      </c>
      <c r="E2648" s="2">
        <f t="shared" si="248"/>
        <v>10648000000</v>
      </c>
      <c r="F2648" s="2">
        <f t="shared" si="249"/>
        <v>23425600000000</v>
      </c>
      <c r="G2648" s="2">
        <f t="shared" si="250"/>
        <v>2563</v>
      </c>
      <c r="H2648" s="2">
        <f t="shared" si="251"/>
        <v>5638600</v>
      </c>
    </row>
    <row r="2649" spans="1:8" x14ac:dyDescent="0.35">
      <c r="A2649" s="2">
        <v>2200</v>
      </c>
      <c r="B2649" s="2">
        <v>12940</v>
      </c>
      <c r="C2649" s="2">
        <f t="shared" si="246"/>
        <v>1.294</v>
      </c>
      <c r="D2649" s="2">
        <f t="shared" si="247"/>
        <v>4840000</v>
      </c>
      <c r="E2649" s="2">
        <f t="shared" si="248"/>
        <v>10648000000</v>
      </c>
      <c r="F2649" s="2">
        <f t="shared" si="249"/>
        <v>23425600000000</v>
      </c>
      <c r="G2649" s="2">
        <f t="shared" si="250"/>
        <v>2846.8</v>
      </c>
      <c r="H2649" s="2">
        <f t="shared" si="251"/>
        <v>6262960</v>
      </c>
    </row>
    <row r="2650" spans="1:8" x14ac:dyDescent="0.35">
      <c r="A2650" s="2">
        <v>2200</v>
      </c>
      <c r="B2650" s="2">
        <v>9556</v>
      </c>
      <c r="C2650" s="2">
        <f t="shared" si="246"/>
        <v>0.9556</v>
      </c>
      <c r="D2650" s="2">
        <f t="shared" si="247"/>
        <v>4840000</v>
      </c>
      <c r="E2650" s="2">
        <f t="shared" si="248"/>
        <v>10648000000</v>
      </c>
      <c r="F2650" s="2">
        <f t="shared" si="249"/>
        <v>23425600000000</v>
      </c>
      <c r="G2650" s="2">
        <f t="shared" si="250"/>
        <v>2102.3200000000002</v>
      </c>
      <c r="H2650" s="2">
        <f t="shared" si="251"/>
        <v>4625104</v>
      </c>
    </row>
    <row r="2651" spans="1:8" x14ac:dyDescent="0.35">
      <c r="A2651" s="2">
        <v>2200</v>
      </c>
      <c r="B2651" s="2">
        <v>10410</v>
      </c>
      <c r="C2651" s="2">
        <f t="shared" si="246"/>
        <v>1.0409999999999999</v>
      </c>
      <c r="D2651" s="2">
        <f t="shared" si="247"/>
        <v>4840000</v>
      </c>
      <c r="E2651" s="2">
        <f t="shared" si="248"/>
        <v>10648000000</v>
      </c>
      <c r="F2651" s="2">
        <f t="shared" si="249"/>
        <v>23425600000000</v>
      </c>
      <c r="G2651" s="2">
        <f t="shared" si="250"/>
        <v>2290.1999999999998</v>
      </c>
      <c r="H2651" s="2">
        <f t="shared" si="251"/>
        <v>5038440</v>
      </c>
    </row>
    <row r="2652" spans="1:8" x14ac:dyDescent="0.35">
      <c r="A2652" s="2">
        <v>2200</v>
      </c>
      <c r="B2652" s="2">
        <v>8267</v>
      </c>
      <c r="C2652" s="2">
        <f t="shared" si="246"/>
        <v>0.82669999999999999</v>
      </c>
      <c r="D2652" s="2">
        <f t="shared" si="247"/>
        <v>4840000</v>
      </c>
      <c r="E2652" s="2">
        <f t="shared" si="248"/>
        <v>10648000000</v>
      </c>
      <c r="F2652" s="2">
        <f t="shared" si="249"/>
        <v>23425600000000</v>
      </c>
      <c r="G2652" s="2">
        <f t="shared" si="250"/>
        <v>1818.74</v>
      </c>
      <c r="H2652" s="2">
        <f t="shared" si="251"/>
        <v>4001228</v>
      </c>
    </row>
    <row r="2653" spans="1:8" x14ac:dyDescent="0.35">
      <c r="A2653" s="2">
        <v>2200</v>
      </c>
      <c r="B2653" s="2">
        <v>11059</v>
      </c>
      <c r="C2653" s="2">
        <f t="shared" si="246"/>
        <v>1.1059000000000001</v>
      </c>
      <c r="D2653" s="2">
        <f t="shared" si="247"/>
        <v>4840000</v>
      </c>
      <c r="E2653" s="2">
        <f t="shared" si="248"/>
        <v>10648000000</v>
      </c>
      <c r="F2653" s="2">
        <f t="shared" si="249"/>
        <v>23425600000000</v>
      </c>
      <c r="G2653" s="2">
        <f t="shared" si="250"/>
        <v>2432.98</v>
      </c>
      <c r="H2653" s="2">
        <f t="shared" si="251"/>
        <v>5352556.0000000009</v>
      </c>
    </row>
    <row r="2654" spans="1:8" x14ac:dyDescent="0.35">
      <c r="A2654" s="2">
        <v>2200</v>
      </c>
      <c r="B2654" s="2">
        <v>12269</v>
      </c>
      <c r="C2654" s="2">
        <f t="shared" si="246"/>
        <v>1.2269000000000001</v>
      </c>
      <c r="D2654" s="2">
        <f t="shared" si="247"/>
        <v>4840000</v>
      </c>
      <c r="E2654" s="2">
        <f t="shared" si="248"/>
        <v>10648000000</v>
      </c>
      <c r="F2654" s="2">
        <f t="shared" si="249"/>
        <v>23425600000000</v>
      </c>
      <c r="G2654" s="2">
        <f t="shared" si="250"/>
        <v>2699.1800000000003</v>
      </c>
      <c r="H2654" s="2">
        <f t="shared" si="251"/>
        <v>5938196.0000000009</v>
      </c>
    </row>
    <row r="2655" spans="1:8" x14ac:dyDescent="0.35">
      <c r="A2655" s="2">
        <v>2200</v>
      </c>
      <c r="B2655" s="2">
        <v>11398</v>
      </c>
      <c r="C2655" s="2">
        <f t="shared" si="246"/>
        <v>1.1397999999999999</v>
      </c>
      <c r="D2655" s="2">
        <f t="shared" si="247"/>
        <v>4840000</v>
      </c>
      <c r="E2655" s="2">
        <f t="shared" si="248"/>
        <v>10648000000</v>
      </c>
      <c r="F2655" s="2">
        <f t="shared" si="249"/>
        <v>23425600000000</v>
      </c>
      <c r="G2655" s="2">
        <f t="shared" si="250"/>
        <v>2507.56</v>
      </c>
      <c r="H2655" s="2">
        <f t="shared" si="251"/>
        <v>5516632</v>
      </c>
    </row>
    <row r="2656" spans="1:8" x14ac:dyDescent="0.35">
      <c r="A2656" s="2">
        <v>2200</v>
      </c>
      <c r="B2656" s="2">
        <v>11398</v>
      </c>
      <c r="C2656" s="2">
        <f t="shared" si="246"/>
        <v>1.1397999999999999</v>
      </c>
      <c r="D2656" s="2">
        <f t="shared" si="247"/>
        <v>4840000</v>
      </c>
      <c r="E2656" s="2">
        <f t="shared" si="248"/>
        <v>10648000000</v>
      </c>
      <c r="F2656" s="2">
        <f t="shared" si="249"/>
        <v>23425600000000</v>
      </c>
      <c r="G2656" s="2">
        <f t="shared" si="250"/>
        <v>2507.56</v>
      </c>
      <c r="H2656" s="2">
        <f t="shared" si="251"/>
        <v>5516632</v>
      </c>
    </row>
    <row r="2657" spans="1:8" x14ac:dyDescent="0.35">
      <c r="A2657" s="2">
        <v>2200</v>
      </c>
      <c r="B2657" s="2">
        <v>11404</v>
      </c>
      <c r="C2657" s="2">
        <f t="shared" si="246"/>
        <v>1.1404000000000001</v>
      </c>
      <c r="D2657" s="2">
        <f t="shared" si="247"/>
        <v>4840000</v>
      </c>
      <c r="E2657" s="2">
        <f t="shared" si="248"/>
        <v>10648000000</v>
      </c>
      <c r="F2657" s="2">
        <f t="shared" si="249"/>
        <v>23425600000000</v>
      </c>
      <c r="G2657" s="2">
        <f t="shared" si="250"/>
        <v>2508.88</v>
      </c>
      <c r="H2657" s="2">
        <f t="shared" si="251"/>
        <v>5519536</v>
      </c>
    </row>
    <row r="2658" spans="1:8" x14ac:dyDescent="0.35">
      <c r="A2658" s="2">
        <v>2200</v>
      </c>
      <c r="B2658" s="2">
        <v>8768</v>
      </c>
      <c r="C2658" s="2">
        <f t="shared" si="246"/>
        <v>0.87680000000000002</v>
      </c>
      <c r="D2658" s="2">
        <f t="shared" si="247"/>
        <v>4840000</v>
      </c>
      <c r="E2658" s="2">
        <f t="shared" si="248"/>
        <v>10648000000</v>
      </c>
      <c r="F2658" s="2">
        <f t="shared" si="249"/>
        <v>23425600000000</v>
      </c>
      <c r="G2658" s="2">
        <f t="shared" si="250"/>
        <v>1928.96</v>
      </c>
      <c r="H2658" s="2">
        <f t="shared" si="251"/>
        <v>4243712</v>
      </c>
    </row>
    <row r="2659" spans="1:8" x14ac:dyDescent="0.35">
      <c r="A2659" s="2">
        <v>2200</v>
      </c>
      <c r="B2659" s="2">
        <v>11404</v>
      </c>
      <c r="C2659" s="2">
        <f t="shared" si="246"/>
        <v>1.1404000000000001</v>
      </c>
      <c r="D2659" s="2">
        <f t="shared" si="247"/>
        <v>4840000</v>
      </c>
      <c r="E2659" s="2">
        <f t="shared" si="248"/>
        <v>10648000000</v>
      </c>
      <c r="F2659" s="2">
        <f t="shared" si="249"/>
        <v>23425600000000</v>
      </c>
      <c r="G2659" s="2">
        <f t="shared" si="250"/>
        <v>2508.88</v>
      </c>
      <c r="H2659" s="2">
        <f t="shared" si="251"/>
        <v>5519536</v>
      </c>
    </row>
    <row r="2660" spans="1:8" x14ac:dyDescent="0.35">
      <c r="A2660" s="2">
        <v>2200</v>
      </c>
      <c r="B2660" s="2">
        <v>8771</v>
      </c>
      <c r="C2660" s="2">
        <f t="shared" si="246"/>
        <v>0.87709999999999999</v>
      </c>
      <c r="D2660" s="2">
        <f t="shared" si="247"/>
        <v>4840000</v>
      </c>
      <c r="E2660" s="2">
        <f t="shared" si="248"/>
        <v>10648000000</v>
      </c>
      <c r="F2660" s="2">
        <f t="shared" si="249"/>
        <v>23425600000000</v>
      </c>
      <c r="G2660" s="2">
        <f t="shared" si="250"/>
        <v>1929.62</v>
      </c>
      <c r="H2660" s="2">
        <f t="shared" si="251"/>
        <v>4245164</v>
      </c>
    </row>
    <row r="2661" spans="1:8" x14ac:dyDescent="0.35">
      <c r="A2661" s="2">
        <v>2200</v>
      </c>
      <c r="B2661" s="2">
        <v>5721</v>
      </c>
      <c r="C2661" s="2">
        <f t="shared" si="246"/>
        <v>0.57210000000000005</v>
      </c>
      <c r="D2661" s="2">
        <f t="shared" si="247"/>
        <v>4840000</v>
      </c>
      <c r="E2661" s="2">
        <f t="shared" si="248"/>
        <v>10648000000</v>
      </c>
      <c r="F2661" s="2">
        <f t="shared" si="249"/>
        <v>23425600000000</v>
      </c>
      <c r="G2661" s="2">
        <f t="shared" si="250"/>
        <v>1258.6200000000001</v>
      </c>
      <c r="H2661" s="2">
        <f t="shared" si="251"/>
        <v>2768964.0000000005</v>
      </c>
    </row>
    <row r="2662" spans="1:8" x14ac:dyDescent="0.35">
      <c r="A2662" s="2">
        <v>2200</v>
      </c>
      <c r="B2662" s="2">
        <v>8769</v>
      </c>
      <c r="C2662" s="2">
        <f t="shared" si="246"/>
        <v>0.87690000000000001</v>
      </c>
      <c r="D2662" s="2">
        <f t="shared" si="247"/>
        <v>4840000</v>
      </c>
      <c r="E2662" s="2">
        <f t="shared" si="248"/>
        <v>10648000000</v>
      </c>
      <c r="F2662" s="2">
        <f t="shared" si="249"/>
        <v>23425600000000</v>
      </c>
      <c r="G2662" s="2">
        <f t="shared" si="250"/>
        <v>1929.18</v>
      </c>
      <c r="H2662" s="2">
        <f t="shared" si="251"/>
        <v>4244196</v>
      </c>
    </row>
    <row r="2663" spans="1:8" x14ac:dyDescent="0.35">
      <c r="A2663" s="2">
        <v>593</v>
      </c>
      <c r="B2663" s="2">
        <v>45166</v>
      </c>
      <c r="C2663" s="2">
        <f t="shared" si="246"/>
        <v>4.5166000000000004</v>
      </c>
      <c r="D2663" s="2">
        <f t="shared" si="247"/>
        <v>351649</v>
      </c>
      <c r="E2663" s="2">
        <f t="shared" si="248"/>
        <v>208527857</v>
      </c>
      <c r="F2663" s="2">
        <f t="shared" si="249"/>
        <v>123657019201</v>
      </c>
      <c r="G2663" s="2">
        <f t="shared" si="250"/>
        <v>2678.3438000000001</v>
      </c>
      <c r="H2663" s="2">
        <f t="shared" si="251"/>
        <v>1588257.8734000002</v>
      </c>
    </row>
    <row r="2664" spans="1:8" x14ac:dyDescent="0.35">
      <c r="A2664" s="2">
        <v>593</v>
      </c>
      <c r="B2664" s="2">
        <v>50000</v>
      </c>
      <c r="C2664" s="2">
        <f t="shared" si="246"/>
        <v>5</v>
      </c>
      <c r="D2664" s="2">
        <f t="shared" si="247"/>
        <v>351649</v>
      </c>
      <c r="E2664" s="2">
        <f t="shared" si="248"/>
        <v>208527857</v>
      </c>
      <c r="F2664" s="2">
        <f t="shared" si="249"/>
        <v>123657019201</v>
      </c>
      <c r="G2664" s="2">
        <f t="shared" si="250"/>
        <v>2965</v>
      </c>
      <c r="H2664" s="2">
        <f t="shared" si="251"/>
        <v>1758245</v>
      </c>
    </row>
    <row r="2665" spans="1:8" x14ac:dyDescent="0.35">
      <c r="A2665" s="2">
        <v>593</v>
      </c>
      <c r="B2665" s="2">
        <v>51887</v>
      </c>
      <c r="C2665" s="2">
        <f t="shared" si="246"/>
        <v>5.1886999999999999</v>
      </c>
      <c r="D2665" s="2">
        <f t="shared" si="247"/>
        <v>351649</v>
      </c>
      <c r="E2665" s="2">
        <f t="shared" si="248"/>
        <v>208527857</v>
      </c>
      <c r="F2665" s="2">
        <f t="shared" si="249"/>
        <v>123657019201</v>
      </c>
      <c r="G2665" s="2">
        <f t="shared" si="250"/>
        <v>3076.8991000000001</v>
      </c>
      <c r="H2665" s="2">
        <f t="shared" si="251"/>
        <v>1824601.1662999999</v>
      </c>
    </row>
    <row r="2666" spans="1:8" x14ac:dyDescent="0.35">
      <c r="A2666" s="2">
        <v>593</v>
      </c>
      <c r="B2666" s="2">
        <v>50000</v>
      </c>
      <c r="C2666" s="2">
        <f t="shared" si="246"/>
        <v>5</v>
      </c>
      <c r="D2666" s="2">
        <f t="shared" si="247"/>
        <v>351649</v>
      </c>
      <c r="E2666" s="2">
        <f t="shared" si="248"/>
        <v>208527857</v>
      </c>
      <c r="F2666" s="2">
        <f t="shared" si="249"/>
        <v>123657019201</v>
      </c>
      <c r="G2666" s="2">
        <f t="shared" si="250"/>
        <v>2965</v>
      </c>
      <c r="H2666" s="2">
        <f t="shared" si="251"/>
        <v>1758245</v>
      </c>
    </row>
    <row r="2667" spans="1:8" x14ac:dyDescent="0.35">
      <c r="A2667" s="2">
        <v>593</v>
      </c>
      <c r="B2667" s="2">
        <v>49625</v>
      </c>
      <c r="C2667" s="2">
        <f t="shared" si="246"/>
        <v>4.9625000000000004</v>
      </c>
      <c r="D2667" s="2">
        <f t="shared" si="247"/>
        <v>351649</v>
      </c>
      <c r="E2667" s="2">
        <f t="shared" si="248"/>
        <v>208527857</v>
      </c>
      <c r="F2667" s="2">
        <f t="shared" si="249"/>
        <v>123657019201</v>
      </c>
      <c r="G2667" s="2">
        <f t="shared" si="250"/>
        <v>2942.7625000000003</v>
      </c>
      <c r="H2667" s="2">
        <f t="shared" si="251"/>
        <v>1745058.1625000001</v>
      </c>
    </row>
    <row r="2668" spans="1:8" x14ac:dyDescent="0.35">
      <c r="A2668" s="2">
        <v>593</v>
      </c>
      <c r="B2668" s="2">
        <v>49505</v>
      </c>
      <c r="C2668" s="2">
        <f t="shared" si="246"/>
        <v>4.9504999999999999</v>
      </c>
      <c r="D2668" s="2">
        <f t="shared" si="247"/>
        <v>351649</v>
      </c>
      <c r="E2668" s="2">
        <f t="shared" si="248"/>
        <v>208527857</v>
      </c>
      <c r="F2668" s="2">
        <f t="shared" si="249"/>
        <v>123657019201</v>
      </c>
      <c r="G2668" s="2">
        <f t="shared" si="250"/>
        <v>2935.6464999999998</v>
      </c>
      <c r="H2668" s="2">
        <f t="shared" si="251"/>
        <v>1740838.3744999999</v>
      </c>
    </row>
    <row r="2669" spans="1:8" x14ac:dyDescent="0.35">
      <c r="A2669" s="2">
        <v>593</v>
      </c>
      <c r="B2669" s="2">
        <v>50026</v>
      </c>
      <c r="C2669" s="2">
        <f t="shared" si="246"/>
        <v>5.0026000000000002</v>
      </c>
      <c r="D2669" s="2">
        <f t="shared" si="247"/>
        <v>351649</v>
      </c>
      <c r="E2669" s="2">
        <f t="shared" si="248"/>
        <v>208527857</v>
      </c>
      <c r="F2669" s="2">
        <f t="shared" si="249"/>
        <v>123657019201</v>
      </c>
      <c r="G2669" s="2">
        <f t="shared" si="250"/>
        <v>2966.5418</v>
      </c>
      <c r="H2669" s="2">
        <f t="shared" si="251"/>
        <v>1759159.2874</v>
      </c>
    </row>
    <row r="2670" spans="1:8" x14ac:dyDescent="0.35">
      <c r="A2670" s="2">
        <v>593</v>
      </c>
      <c r="B2670" s="2">
        <v>50176</v>
      </c>
      <c r="C2670" s="2">
        <f t="shared" si="246"/>
        <v>5.0175999999999998</v>
      </c>
      <c r="D2670" s="2">
        <f t="shared" si="247"/>
        <v>351649</v>
      </c>
      <c r="E2670" s="2">
        <f t="shared" si="248"/>
        <v>208527857</v>
      </c>
      <c r="F2670" s="2">
        <f t="shared" si="249"/>
        <v>123657019201</v>
      </c>
      <c r="G2670" s="2">
        <f t="shared" si="250"/>
        <v>2975.4367999999999</v>
      </c>
      <c r="H2670" s="2">
        <f t="shared" si="251"/>
        <v>1764434.0223999999</v>
      </c>
    </row>
    <row r="2671" spans="1:8" x14ac:dyDescent="0.35">
      <c r="A2671" s="2">
        <v>593</v>
      </c>
      <c r="B2671" s="2">
        <v>50554</v>
      </c>
      <c r="C2671" s="2">
        <f t="shared" si="246"/>
        <v>5.0553999999999997</v>
      </c>
      <c r="D2671" s="2">
        <f t="shared" si="247"/>
        <v>351649</v>
      </c>
      <c r="E2671" s="2">
        <f t="shared" si="248"/>
        <v>208527857</v>
      </c>
      <c r="F2671" s="2">
        <f t="shared" si="249"/>
        <v>123657019201</v>
      </c>
      <c r="G2671" s="2">
        <f t="shared" si="250"/>
        <v>2997.8521999999998</v>
      </c>
      <c r="H2671" s="2">
        <f t="shared" si="251"/>
        <v>1777726.3546</v>
      </c>
    </row>
    <row r="2672" spans="1:8" x14ac:dyDescent="0.35">
      <c r="A2672" s="2">
        <v>593</v>
      </c>
      <c r="B2672" s="2">
        <v>50045</v>
      </c>
      <c r="C2672" s="2">
        <f t="shared" si="246"/>
        <v>5.0045000000000002</v>
      </c>
      <c r="D2672" s="2">
        <f t="shared" si="247"/>
        <v>351649</v>
      </c>
      <c r="E2672" s="2">
        <f t="shared" si="248"/>
        <v>208527857</v>
      </c>
      <c r="F2672" s="2">
        <f t="shared" si="249"/>
        <v>123657019201</v>
      </c>
      <c r="G2672" s="2">
        <f t="shared" si="250"/>
        <v>2967.6685000000002</v>
      </c>
      <c r="H2672" s="2">
        <f t="shared" si="251"/>
        <v>1759827.4205</v>
      </c>
    </row>
    <row r="2673" spans="1:8" x14ac:dyDescent="0.35">
      <c r="A2673" s="2">
        <v>593</v>
      </c>
      <c r="B2673" s="2">
        <v>51114</v>
      </c>
      <c r="C2673" s="2">
        <f t="shared" si="246"/>
        <v>5.1113999999999997</v>
      </c>
      <c r="D2673" s="2">
        <f t="shared" si="247"/>
        <v>351649</v>
      </c>
      <c r="E2673" s="2">
        <f t="shared" si="248"/>
        <v>208527857</v>
      </c>
      <c r="F2673" s="2">
        <f t="shared" si="249"/>
        <v>123657019201</v>
      </c>
      <c r="G2673" s="2">
        <f t="shared" si="250"/>
        <v>3031.0601999999999</v>
      </c>
      <c r="H2673" s="2">
        <f t="shared" si="251"/>
        <v>1797418.6986</v>
      </c>
    </row>
    <row r="2674" spans="1:8" x14ac:dyDescent="0.35">
      <c r="A2674" s="2">
        <v>593</v>
      </c>
      <c r="B2674" s="2">
        <v>50005</v>
      </c>
      <c r="C2674" s="2">
        <f t="shared" si="246"/>
        <v>5.0004999999999997</v>
      </c>
      <c r="D2674" s="2">
        <f t="shared" si="247"/>
        <v>351649</v>
      </c>
      <c r="E2674" s="2">
        <f t="shared" si="248"/>
        <v>208527857</v>
      </c>
      <c r="F2674" s="2">
        <f t="shared" si="249"/>
        <v>123657019201</v>
      </c>
      <c r="G2674" s="2">
        <f t="shared" si="250"/>
        <v>2965.2964999999999</v>
      </c>
      <c r="H2674" s="2">
        <f t="shared" si="251"/>
        <v>1758420.8244999999</v>
      </c>
    </row>
    <row r="2675" spans="1:8" x14ac:dyDescent="0.35">
      <c r="A2675" s="2">
        <v>593</v>
      </c>
      <c r="B2675" s="2">
        <v>52601</v>
      </c>
      <c r="C2675" s="2">
        <f t="shared" si="246"/>
        <v>5.2601000000000004</v>
      </c>
      <c r="D2675" s="2">
        <f t="shared" si="247"/>
        <v>351649</v>
      </c>
      <c r="E2675" s="2">
        <f t="shared" si="248"/>
        <v>208527857</v>
      </c>
      <c r="F2675" s="2">
        <f t="shared" si="249"/>
        <v>123657019201</v>
      </c>
      <c r="G2675" s="2">
        <f t="shared" si="250"/>
        <v>3119.2393000000002</v>
      </c>
      <c r="H2675" s="2">
        <f t="shared" si="251"/>
        <v>1849708.9049000002</v>
      </c>
    </row>
    <row r="2676" spans="1:8" x14ac:dyDescent="0.35">
      <c r="A2676" s="2">
        <v>593</v>
      </c>
      <c r="B2676" s="2">
        <v>52321</v>
      </c>
      <c r="C2676" s="2">
        <f t="shared" si="246"/>
        <v>5.2321</v>
      </c>
      <c r="D2676" s="2">
        <f t="shared" si="247"/>
        <v>351649</v>
      </c>
      <c r="E2676" s="2">
        <f t="shared" si="248"/>
        <v>208527857</v>
      </c>
      <c r="F2676" s="2">
        <f t="shared" si="249"/>
        <v>123657019201</v>
      </c>
      <c r="G2676" s="2">
        <f t="shared" si="250"/>
        <v>3102.6352999999999</v>
      </c>
      <c r="H2676" s="2">
        <f t="shared" si="251"/>
        <v>1839862.7328999999</v>
      </c>
    </row>
    <row r="2677" spans="1:8" x14ac:dyDescent="0.35">
      <c r="A2677" s="2">
        <v>593</v>
      </c>
      <c r="B2677" s="2">
        <v>60492</v>
      </c>
      <c r="C2677" s="2">
        <f t="shared" si="246"/>
        <v>6.0491999999999999</v>
      </c>
      <c r="D2677" s="2">
        <f t="shared" si="247"/>
        <v>351649</v>
      </c>
      <c r="E2677" s="2">
        <f t="shared" si="248"/>
        <v>208527857</v>
      </c>
      <c r="F2677" s="2">
        <f t="shared" si="249"/>
        <v>123657019201</v>
      </c>
      <c r="G2677" s="2">
        <f t="shared" si="250"/>
        <v>3587.1756</v>
      </c>
      <c r="H2677" s="2">
        <f t="shared" si="251"/>
        <v>2127195.1307999999</v>
      </c>
    </row>
    <row r="2678" spans="1:8" x14ac:dyDescent="0.35">
      <c r="A2678" s="2">
        <v>593</v>
      </c>
      <c r="B2678" s="2">
        <v>61017</v>
      </c>
      <c r="C2678" s="2">
        <f t="shared" si="246"/>
        <v>6.1017000000000001</v>
      </c>
      <c r="D2678" s="2">
        <f t="shared" si="247"/>
        <v>351649</v>
      </c>
      <c r="E2678" s="2">
        <f t="shared" si="248"/>
        <v>208527857</v>
      </c>
      <c r="F2678" s="2">
        <f t="shared" si="249"/>
        <v>123657019201</v>
      </c>
      <c r="G2678" s="2">
        <f t="shared" si="250"/>
        <v>3618.3081000000002</v>
      </c>
      <c r="H2678" s="2">
        <f t="shared" si="251"/>
        <v>2145656.7033000002</v>
      </c>
    </row>
    <row r="2679" spans="1:8" x14ac:dyDescent="0.35">
      <c r="A2679" s="2">
        <v>593</v>
      </c>
      <c r="B2679" s="2">
        <v>60192</v>
      </c>
      <c r="C2679" s="2">
        <f t="shared" si="246"/>
        <v>6.0191999999999997</v>
      </c>
      <c r="D2679" s="2">
        <f t="shared" si="247"/>
        <v>351649</v>
      </c>
      <c r="E2679" s="2">
        <f t="shared" si="248"/>
        <v>208527857</v>
      </c>
      <c r="F2679" s="2">
        <f t="shared" si="249"/>
        <v>123657019201</v>
      </c>
      <c r="G2679" s="2">
        <f t="shared" si="250"/>
        <v>3569.3855999999996</v>
      </c>
      <c r="H2679" s="2">
        <f t="shared" si="251"/>
        <v>2116645.6607999997</v>
      </c>
    </row>
    <row r="2680" spans="1:8" x14ac:dyDescent="0.35">
      <c r="A2680" s="2">
        <v>593</v>
      </c>
      <c r="B2680" s="2">
        <v>70010</v>
      </c>
      <c r="C2680" s="2">
        <f t="shared" si="246"/>
        <v>7.0010000000000003</v>
      </c>
      <c r="D2680" s="2">
        <f t="shared" si="247"/>
        <v>351649</v>
      </c>
      <c r="E2680" s="2">
        <f t="shared" si="248"/>
        <v>208527857</v>
      </c>
      <c r="F2680" s="2">
        <f t="shared" si="249"/>
        <v>123657019201</v>
      </c>
      <c r="G2680" s="2">
        <f t="shared" si="250"/>
        <v>4151.5929999999998</v>
      </c>
      <c r="H2680" s="2">
        <f t="shared" si="251"/>
        <v>2461894.6490000002</v>
      </c>
    </row>
    <row r="2681" spans="1:8" x14ac:dyDescent="0.35">
      <c r="A2681" s="2">
        <v>593</v>
      </c>
      <c r="B2681" s="2">
        <v>70664</v>
      </c>
      <c r="C2681" s="2">
        <f t="shared" si="246"/>
        <v>7.0663999999999998</v>
      </c>
      <c r="D2681" s="2">
        <f t="shared" si="247"/>
        <v>351649</v>
      </c>
      <c r="E2681" s="2">
        <f t="shared" si="248"/>
        <v>208527857</v>
      </c>
      <c r="F2681" s="2">
        <f t="shared" si="249"/>
        <v>123657019201</v>
      </c>
      <c r="G2681" s="2">
        <f t="shared" si="250"/>
        <v>4190.3751999999995</v>
      </c>
      <c r="H2681" s="2">
        <f t="shared" si="251"/>
        <v>2484892.4935999997</v>
      </c>
    </row>
    <row r="2682" spans="1:8" x14ac:dyDescent="0.35">
      <c r="A2682" s="2">
        <v>593</v>
      </c>
      <c r="B2682" s="2">
        <v>70273</v>
      </c>
      <c r="C2682" s="2">
        <f t="shared" si="246"/>
        <v>7.0273000000000003</v>
      </c>
      <c r="D2682" s="2">
        <f t="shared" si="247"/>
        <v>351649</v>
      </c>
      <c r="E2682" s="2">
        <f t="shared" si="248"/>
        <v>208527857</v>
      </c>
      <c r="F2682" s="2">
        <f t="shared" si="249"/>
        <v>123657019201</v>
      </c>
      <c r="G2682" s="2">
        <f t="shared" si="250"/>
        <v>4167.1889000000001</v>
      </c>
      <c r="H2682" s="2">
        <f t="shared" si="251"/>
        <v>2471143.0177000002</v>
      </c>
    </row>
    <row r="2683" spans="1:8" x14ac:dyDescent="0.35">
      <c r="A2683" s="2">
        <v>593</v>
      </c>
      <c r="B2683" s="2">
        <v>69084</v>
      </c>
      <c r="C2683" s="2">
        <f t="shared" si="246"/>
        <v>6.9084000000000003</v>
      </c>
      <c r="D2683" s="2">
        <f t="shared" si="247"/>
        <v>351649</v>
      </c>
      <c r="E2683" s="2">
        <f t="shared" si="248"/>
        <v>208527857</v>
      </c>
      <c r="F2683" s="2">
        <f t="shared" si="249"/>
        <v>123657019201</v>
      </c>
      <c r="G2683" s="2">
        <f t="shared" si="250"/>
        <v>4096.6812</v>
      </c>
      <c r="H2683" s="2">
        <f t="shared" si="251"/>
        <v>2429331.9516000003</v>
      </c>
    </row>
    <row r="2684" spans="1:8" x14ac:dyDescent="0.35">
      <c r="A2684" s="2">
        <v>593</v>
      </c>
      <c r="B2684" s="2">
        <v>75716</v>
      </c>
      <c r="C2684" s="2">
        <f t="shared" si="246"/>
        <v>7.5716000000000001</v>
      </c>
      <c r="D2684" s="2">
        <f t="shared" si="247"/>
        <v>351649</v>
      </c>
      <c r="E2684" s="2">
        <f t="shared" si="248"/>
        <v>208527857</v>
      </c>
      <c r="F2684" s="2">
        <f t="shared" si="249"/>
        <v>123657019201</v>
      </c>
      <c r="G2684" s="2">
        <f t="shared" si="250"/>
        <v>4489.9588000000003</v>
      </c>
      <c r="H2684" s="2">
        <f t="shared" si="251"/>
        <v>2662545.5684000002</v>
      </c>
    </row>
    <row r="2685" spans="1:8" x14ac:dyDescent="0.35">
      <c r="A2685" s="2">
        <v>593</v>
      </c>
      <c r="B2685" s="2">
        <v>77765</v>
      </c>
      <c r="C2685" s="2">
        <f t="shared" si="246"/>
        <v>7.7765000000000004</v>
      </c>
      <c r="D2685" s="2">
        <f t="shared" si="247"/>
        <v>351649</v>
      </c>
      <c r="E2685" s="2">
        <f t="shared" si="248"/>
        <v>208527857</v>
      </c>
      <c r="F2685" s="2">
        <f t="shared" si="249"/>
        <v>123657019201</v>
      </c>
      <c r="G2685" s="2">
        <f t="shared" si="250"/>
        <v>4611.4645</v>
      </c>
      <c r="H2685" s="2">
        <f t="shared" si="251"/>
        <v>2734598.4484999999</v>
      </c>
    </row>
    <row r="2686" spans="1:8" x14ac:dyDescent="0.35">
      <c r="A2686" s="2">
        <v>593</v>
      </c>
      <c r="B2686" s="2">
        <v>86899</v>
      </c>
      <c r="C2686" s="2">
        <f t="shared" si="246"/>
        <v>8.6898999999999997</v>
      </c>
      <c r="D2686" s="2">
        <f t="shared" si="247"/>
        <v>351649</v>
      </c>
      <c r="E2686" s="2">
        <f t="shared" si="248"/>
        <v>208527857</v>
      </c>
      <c r="F2686" s="2">
        <f t="shared" si="249"/>
        <v>123657019201</v>
      </c>
      <c r="G2686" s="2">
        <f t="shared" si="250"/>
        <v>5153.1107000000002</v>
      </c>
      <c r="H2686" s="2">
        <f t="shared" si="251"/>
        <v>3055794.6450999998</v>
      </c>
    </row>
    <row r="2687" spans="1:8" x14ac:dyDescent="0.35">
      <c r="A2687" s="2">
        <v>593</v>
      </c>
      <c r="B2687" s="2">
        <v>90559</v>
      </c>
      <c r="C2687" s="2">
        <f t="shared" si="246"/>
        <v>9.0558999999999994</v>
      </c>
      <c r="D2687" s="2">
        <f t="shared" si="247"/>
        <v>351649</v>
      </c>
      <c r="E2687" s="2">
        <f t="shared" si="248"/>
        <v>208527857</v>
      </c>
      <c r="F2687" s="2">
        <f t="shared" si="249"/>
        <v>123657019201</v>
      </c>
      <c r="G2687" s="2">
        <f t="shared" si="250"/>
        <v>5370.1486999999997</v>
      </c>
      <c r="H2687" s="2">
        <f t="shared" si="251"/>
        <v>3184498.1790999998</v>
      </c>
    </row>
    <row r="2688" spans="1:8" x14ac:dyDescent="0.35">
      <c r="A2688" s="2">
        <v>593</v>
      </c>
      <c r="B2688" s="2">
        <v>73539</v>
      </c>
      <c r="C2688" s="2">
        <f t="shared" si="246"/>
        <v>7.3539000000000003</v>
      </c>
      <c r="D2688" s="2">
        <f t="shared" si="247"/>
        <v>351649</v>
      </c>
      <c r="E2688" s="2">
        <f t="shared" si="248"/>
        <v>208527857</v>
      </c>
      <c r="F2688" s="2">
        <f t="shared" si="249"/>
        <v>123657019201</v>
      </c>
      <c r="G2688" s="2">
        <f t="shared" si="250"/>
        <v>4360.8627000000006</v>
      </c>
      <c r="H2688" s="2">
        <f t="shared" si="251"/>
        <v>2585991.5811000001</v>
      </c>
    </row>
    <row r="2689" spans="1:8" x14ac:dyDescent="0.35">
      <c r="A2689" s="2">
        <v>593</v>
      </c>
      <c r="B2689" s="2">
        <v>81380</v>
      </c>
      <c r="C2689" s="2">
        <f t="shared" si="246"/>
        <v>8.1379999999999999</v>
      </c>
      <c r="D2689" s="2">
        <f t="shared" si="247"/>
        <v>351649</v>
      </c>
      <c r="E2689" s="2">
        <f t="shared" si="248"/>
        <v>208527857</v>
      </c>
      <c r="F2689" s="2">
        <f t="shared" si="249"/>
        <v>123657019201</v>
      </c>
      <c r="G2689" s="2">
        <f t="shared" si="250"/>
        <v>4825.8339999999998</v>
      </c>
      <c r="H2689" s="2">
        <f t="shared" si="251"/>
        <v>2861719.5619999999</v>
      </c>
    </row>
    <row r="2690" spans="1:8" x14ac:dyDescent="0.35">
      <c r="A2690" s="2">
        <v>593</v>
      </c>
      <c r="B2690" s="2">
        <v>74856</v>
      </c>
      <c r="C2690" s="2">
        <f t="shared" si="246"/>
        <v>7.4855999999999998</v>
      </c>
      <c r="D2690" s="2">
        <f t="shared" si="247"/>
        <v>351649</v>
      </c>
      <c r="E2690" s="2">
        <f t="shared" si="248"/>
        <v>208527857</v>
      </c>
      <c r="F2690" s="2">
        <f t="shared" si="249"/>
        <v>123657019201</v>
      </c>
      <c r="G2690" s="2">
        <f t="shared" si="250"/>
        <v>4438.9607999999998</v>
      </c>
      <c r="H2690" s="2">
        <f t="shared" si="251"/>
        <v>2632303.7544</v>
      </c>
    </row>
    <row r="2691" spans="1:8" x14ac:dyDescent="0.35">
      <c r="A2691" s="2">
        <v>593</v>
      </c>
      <c r="B2691" s="2">
        <v>79409</v>
      </c>
      <c r="C2691" s="2">
        <f t="shared" ref="C2691:C2754" si="252">B2691/10000</f>
        <v>7.9409000000000001</v>
      </c>
      <c r="D2691" s="2">
        <f t="shared" ref="D2691:D2754" si="253">A2691^2</f>
        <v>351649</v>
      </c>
      <c r="E2691" s="2">
        <f t="shared" ref="E2691:E2754" si="254">A2691^3</f>
        <v>208527857</v>
      </c>
      <c r="F2691" s="2">
        <f t="shared" ref="F2691:F2754" si="255">A2691^4</f>
        <v>123657019201</v>
      </c>
      <c r="G2691" s="2">
        <f t="shared" ref="G2691:G2754" si="256">A2691*C2691</f>
        <v>4708.9537</v>
      </c>
      <c r="H2691" s="2">
        <f t="shared" ref="H2691:H2754" si="257">D2691*C2691</f>
        <v>2792409.5441000001</v>
      </c>
    </row>
    <row r="2692" spans="1:8" x14ac:dyDescent="0.35">
      <c r="A2692" s="2">
        <v>593</v>
      </c>
      <c r="B2692" s="2">
        <v>79272</v>
      </c>
      <c r="C2692" s="2">
        <f t="shared" si="252"/>
        <v>7.9272</v>
      </c>
      <c r="D2692" s="2">
        <f t="shared" si="253"/>
        <v>351649</v>
      </c>
      <c r="E2692" s="2">
        <f t="shared" si="254"/>
        <v>208527857</v>
      </c>
      <c r="F2692" s="2">
        <f t="shared" si="255"/>
        <v>123657019201</v>
      </c>
      <c r="G2692" s="2">
        <f t="shared" si="256"/>
        <v>4700.8296</v>
      </c>
      <c r="H2692" s="2">
        <f t="shared" si="257"/>
        <v>2787591.9528000001</v>
      </c>
    </row>
    <row r="2693" spans="1:8" x14ac:dyDescent="0.35">
      <c r="A2693" s="2">
        <v>161</v>
      </c>
      <c r="B2693" s="2">
        <v>22794</v>
      </c>
      <c r="C2693" s="2">
        <f t="shared" si="252"/>
        <v>2.2793999999999999</v>
      </c>
      <c r="D2693" s="2">
        <f t="shared" si="253"/>
        <v>25921</v>
      </c>
      <c r="E2693" s="2">
        <f t="shared" si="254"/>
        <v>4173281</v>
      </c>
      <c r="F2693" s="2">
        <f t="shared" si="255"/>
        <v>671898241</v>
      </c>
      <c r="G2693" s="2">
        <f t="shared" si="256"/>
        <v>366.98339999999996</v>
      </c>
      <c r="H2693" s="2">
        <f t="shared" si="257"/>
        <v>59084.327399999995</v>
      </c>
    </row>
    <row r="2694" spans="1:8" x14ac:dyDescent="0.35">
      <c r="A2694" s="2">
        <v>161</v>
      </c>
      <c r="B2694" s="2">
        <v>22746</v>
      </c>
      <c r="C2694" s="2">
        <f t="shared" si="252"/>
        <v>2.2746</v>
      </c>
      <c r="D2694" s="2">
        <f t="shared" si="253"/>
        <v>25921</v>
      </c>
      <c r="E2694" s="2">
        <f t="shared" si="254"/>
        <v>4173281</v>
      </c>
      <c r="F2694" s="2">
        <f t="shared" si="255"/>
        <v>671898241</v>
      </c>
      <c r="G2694" s="2">
        <f t="shared" si="256"/>
        <v>366.2106</v>
      </c>
      <c r="H2694" s="2">
        <f t="shared" si="257"/>
        <v>58959.906600000002</v>
      </c>
    </row>
    <row r="2695" spans="1:8" x14ac:dyDescent="0.35">
      <c r="A2695" s="2">
        <v>161</v>
      </c>
      <c r="B2695" s="2">
        <v>24865</v>
      </c>
      <c r="C2695" s="2">
        <f t="shared" si="252"/>
        <v>2.4864999999999999</v>
      </c>
      <c r="D2695" s="2">
        <f t="shared" si="253"/>
        <v>25921</v>
      </c>
      <c r="E2695" s="2">
        <f t="shared" si="254"/>
        <v>4173281</v>
      </c>
      <c r="F2695" s="2">
        <f t="shared" si="255"/>
        <v>671898241</v>
      </c>
      <c r="G2695" s="2">
        <f t="shared" si="256"/>
        <v>400.32650000000001</v>
      </c>
      <c r="H2695" s="2">
        <f t="shared" si="257"/>
        <v>64452.566500000001</v>
      </c>
    </row>
    <row r="2696" spans="1:8" x14ac:dyDescent="0.35">
      <c r="A2696" s="2">
        <v>161</v>
      </c>
      <c r="B2696" s="2">
        <v>27103</v>
      </c>
      <c r="C2696" s="2">
        <f t="shared" si="252"/>
        <v>2.7103000000000002</v>
      </c>
      <c r="D2696" s="2">
        <f t="shared" si="253"/>
        <v>25921</v>
      </c>
      <c r="E2696" s="2">
        <f t="shared" si="254"/>
        <v>4173281</v>
      </c>
      <c r="F2696" s="2">
        <f t="shared" si="255"/>
        <v>671898241</v>
      </c>
      <c r="G2696" s="2">
        <f t="shared" si="256"/>
        <v>436.35830000000004</v>
      </c>
      <c r="H2696" s="2">
        <f t="shared" si="257"/>
        <v>70253.686300000001</v>
      </c>
    </row>
    <row r="2697" spans="1:8" x14ac:dyDescent="0.35">
      <c r="A2697" s="2">
        <v>161</v>
      </c>
      <c r="B2697" s="2">
        <v>12750</v>
      </c>
      <c r="C2697" s="2">
        <f t="shared" si="252"/>
        <v>1.2749999999999999</v>
      </c>
      <c r="D2697" s="2">
        <f t="shared" si="253"/>
        <v>25921</v>
      </c>
      <c r="E2697" s="2">
        <f t="shared" si="254"/>
        <v>4173281</v>
      </c>
      <c r="F2697" s="2">
        <f t="shared" si="255"/>
        <v>671898241</v>
      </c>
      <c r="G2697" s="2">
        <f t="shared" si="256"/>
        <v>205.27499999999998</v>
      </c>
      <c r="H2697" s="2">
        <f t="shared" si="257"/>
        <v>33049.274999999994</v>
      </c>
    </row>
    <row r="2698" spans="1:8" x14ac:dyDescent="0.35">
      <c r="A2698" s="2">
        <v>161</v>
      </c>
      <c r="B2698" s="2">
        <v>8406</v>
      </c>
      <c r="C2698" s="2">
        <f t="shared" si="252"/>
        <v>0.84060000000000001</v>
      </c>
      <c r="D2698" s="2">
        <f t="shared" si="253"/>
        <v>25921</v>
      </c>
      <c r="E2698" s="2">
        <f t="shared" si="254"/>
        <v>4173281</v>
      </c>
      <c r="F2698" s="2">
        <f t="shared" si="255"/>
        <v>671898241</v>
      </c>
      <c r="G2698" s="2">
        <f t="shared" si="256"/>
        <v>135.3366</v>
      </c>
      <c r="H2698" s="2">
        <f t="shared" si="257"/>
        <v>21789.192600000002</v>
      </c>
    </row>
    <row r="2699" spans="1:8" x14ac:dyDescent="0.35">
      <c r="A2699" s="2">
        <v>161</v>
      </c>
      <c r="B2699" s="2">
        <v>6850</v>
      </c>
      <c r="C2699" s="2">
        <f t="shared" si="252"/>
        <v>0.68500000000000005</v>
      </c>
      <c r="D2699" s="2">
        <f t="shared" si="253"/>
        <v>25921</v>
      </c>
      <c r="E2699" s="2">
        <f t="shared" si="254"/>
        <v>4173281</v>
      </c>
      <c r="F2699" s="2">
        <f t="shared" si="255"/>
        <v>671898241</v>
      </c>
      <c r="G2699" s="2">
        <f t="shared" si="256"/>
        <v>110.28500000000001</v>
      </c>
      <c r="H2699" s="2">
        <f t="shared" si="257"/>
        <v>17755.885000000002</v>
      </c>
    </row>
    <row r="2700" spans="1:8" x14ac:dyDescent="0.35">
      <c r="A2700" s="2">
        <v>161</v>
      </c>
      <c r="B2700" s="2">
        <v>11100</v>
      </c>
      <c r="C2700" s="2">
        <f t="shared" si="252"/>
        <v>1.1100000000000001</v>
      </c>
      <c r="D2700" s="2">
        <f t="shared" si="253"/>
        <v>25921</v>
      </c>
      <c r="E2700" s="2">
        <f t="shared" si="254"/>
        <v>4173281</v>
      </c>
      <c r="F2700" s="2">
        <f t="shared" si="255"/>
        <v>671898241</v>
      </c>
      <c r="G2700" s="2">
        <f t="shared" si="256"/>
        <v>178.71</v>
      </c>
      <c r="H2700" s="2">
        <f t="shared" si="257"/>
        <v>28772.31</v>
      </c>
    </row>
    <row r="2701" spans="1:8" x14ac:dyDescent="0.35">
      <c r="A2701" s="2">
        <v>161</v>
      </c>
      <c r="B2701" s="2">
        <v>3900</v>
      </c>
      <c r="C2701" s="2">
        <f t="shared" si="252"/>
        <v>0.39</v>
      </c>
      <c r="D2701" s="2">
        <f t="shared" si="253"/>
        <v>25921</v>
      </c>
      <c r="E2701" s="2">
        <f t="shared" si="254"/>
        <v>4173281</v>
      </c>
      <c r="F2701" s="2">
        <f t="shared" si="255"/>
        <v>671898241</v>
      </c>
      <c r="G2701" s="2">
        <f t="shared" si="256"/>
        <v>62.79</v>
      </c>
      <c r="H2701" s="2">
        <f t="shared" si="257"/>
        <v>10109.19</v>
      </c>
    </row>
    <row r="2702" spans="1:8" x14ac:dyDescent="0.35">
      <c r="A2702" s="2">
        <v>161</v>
      </c>
      <c r="B2702" s="2">
        <v>11143</v>
      </c>
      <c r="C2702" s="2">
        <f t="shared" si="252"/>
        <v>1.1143000000000001</v>
      </c>
      <c r="D2702" s="2">
        <f t="shared" si="253"/>
        <v>25921</v>
      </c>
      <c r="E2702" s="2">
        <f t="shared" si="254"/>
        <v>4173281</v>
      </c>
      <c r="F2702" s="2">
        <f t="shared" si="255"/>
        <v>671898241</v>
      </c>
      <c r="G2702" s="2">
        <f t="shared" si="256"/>
        <v>179.40230000000003</v>
      </c>
      <c r="H2702" s="2">
        <f t="shared" si="257"/>
        <v>28883.7703</v>
      </c>
    </row>
    <row r="2703" spans="1:8" x14ac:dyDescent="0.35">
      <c r="A2703" s="2">
        <v>161</v>
      </c>
      <c r="B2703" s="2">
        <v>19048</v>
      </c>
      <c r="C2703" s="2">
        <f t="shared" si="252"/>
        <v>1.9048</v>
      </c>
      <c r="D2703" s="2">
        <f t="shared" si="253"/>
        <v>25921</v>
      </c>
      <c r="E2703" s="2">
        <f t="shared" si="254"/>
        <v>4173281</v>
      </c>
      <c r="F2703" s="2">
        <f t="shared" si="255"/>
        <v>671898241</v>
      </c>
      <c r="G2703" s="2">
        <f t="shared" si="256"/>
        <v>306.6728</v>
      </c>
      <c r="H2703" s="2">
        <f t="shared" si="257"/>
        <v>49374.320800000001</v>
      </c>
    </row>
    <row r="2704" spans="1:8" x14ac:dyDescent="0.35">
      <c r="A2704" s="2">
        <v>161</v>
      </c>
      <c r="B2704" s="2">
        <v>22000</v>
      </c>
      <c r="C2704" s="2">
        <f t="shared" si="252"/>
        <v>2.2000000000000002</v>
      </c>
      <c r="D2704" s="2">
        <f t="shared" si="253"/>
        <v>25921</v>
      </c>
      <c r="E2704" s="2">
        <f t="shared" si="254"/>
        <v>4173281</v>
      </c>
      <c r="F2704" s="2">
        <f t="shared" si="255"/>
        <v>671898241</v>
      </c>
      <c r="G2704" s="2">
        <f t="shared" si="256"/>
        <v>354.20000000000005</v>
      </c>
      <c r="H2704" s="2">
        <f t="shared" si="257"/>
        <v>57026.200000000004</v>
      </c>
    </row>
    <row r="2705" spans="1:8" x14ac:dyDescent="0.35">
      <c r="A2705" s="2">
        <v>161</v>
      </c>
      <c r="B2705" s="2">
        <v>21818</v>
      </c>
      <c r="C2705" s="2">
        <f t="shared" si="252"/>
        <v>2.1818</v>
      </c>
      <c r="D2705" s="2">
        <f t="shared" si="253"/>
        <v>25921</v>
      </c>
      <c r="E2705" s="2">
        <f t="shared" si="254"/>
        <v>4173281</v>
      </c>
      <c r="F2705" s="2">
        <f t="shared" si="255"/>
        <v>671898241</v>
      </c>
      <c r="G2705" s="2">
        <f t="shared" si="256"/>
        <v>351.26979999999998</v>
      </c>
      <c r="H2705" s="2">
        <f t="shared" si="257"/>
        <v>56554.4378</v>
      </c>
    </row>
    <row r="2706" spans="1:8" x14ac:dyDescent="0.35">
      <c r="A2706" s="2">
        <v>161</v>
      </c>
      <c r="B2706" s="2">
        <v>24107</v>
      </c>
      <c r="C2706" s="2">
        <f t="shared" si="252"/>
        <v>2.4106999999999998</v>
      </c>
      <c r="D2706" s="2">
        <f t="shared" si="253"/>
        <v>25921</v>
      </c>
      <c r="E2706" s="2">
        <f t="shared" si="254"/>
        <v>4173281</v>
      </c>
      <c r="F2706" s="2">
        <f t="shared" si="255"/>
        <v>671898241</v>
      </c>
      <c r="G2706" s="2">
        <f t="shared" si="256"/>
        <v>388.12269999999995</v>
      </c>
      <c r="H2706" s="2">
        <f t="shared" si="257"/>
        <v>62487.754699999998</v>
      </c>
    </row>
    <row r="2707" spans="1:8" x14ac:dyDescent="0.35">
      <c r="A2707" s="2">
        <v>161</v>
      </c>
      <c r="B2707" s="2">
        <v>13000</v>
      </c>
      <c r="C2707" s="2">
        <f t="shared" si="252"/>
        <v>1.3</v>
      </c>
      <c r="D2707" s="2">
        <f t="shared" si="253"/>
        <v>25921</v>
      </c>
      <c r="E2707" s="2">
        <f t="shared" si="254"/>
        <v>4173281</v>
      </c>
      <c r="F2707" s="2">
        <f t="shared" si="255"/>
        <v>671898241</v>
      </c>
      <c r="G2707" s="2">
        <f t="shared" si="256"/>
        <v>209.3</v>
      </c>
      <c r="H2707" s="2">
        <f t="shared" si="257"/>
        <v>33697.300000000003</v>
      </c>
    </row>
    <row r="2708" spans="1:8" x14ac:dyDescent="0.35">
      <c r="A2708" s="2">
        <v>161</v>
      </c>
      <c r="B2708" s="2">
        <v>11000</v>
      </c>
      <c r="C2708" s="2">
        <f t="shared" si="252"/>
        <v>1.1000000000000001</v>
      </c>
      <c r="D2708" s="2">
        <f t="shared" si="253"/>
        <v>25921</v>
      </c>
      <c r="E2708" s="2">
        <f t="shared" si="254"/>
        <v>4173281</v>
      </c>
      <c r="F2708" s="2">
        <f t="shared" si="255"/>
        <v>671898241</v>
      </c>
      <c r="G2708" s="2">
        <f t="shared" si="256"/>
        <v>177.10000000000002</v>
      </c>
      <c r="H2708" s="2">
        <f t="shared" si="257"/>
        <v>28513.100000000002</v>
      </c>
    </row>
    <row r="2709" spans="1:8" x14ac:dyDescent="0.35">
      <c r="A2709" s="2">
        <v>161</v>
      </c>
      <c r="B2709" s="2">
        <v>16000</v>
      </c>
      <c r="C2709" s="2">
        <f t="shared" si="252"/>
        <v>1.6</v>
      </c>
      <c r="D2709" s="2">
        <f t="shared" si="253"/>
        <v>25921</v>
      </c>
      <c r="E2709" s="2">
        <f t="shared" si="254"/>
        <v>4173281</v>
      </c>
      <c r="F2709" s="2">
        <f t="shared" si="255"/>
        <v>671898241</v>
      </c>
      <c r="G2709" s="2">
        <f t="shared" si="256"/>
        <v>257.60000000000002</v>
      </c>
      <c r="H2709" s="2">
        <f t="shared" si="257"/>
        <v>41473.600000000006</v>
      </c>
    </row>
    <row r="2710" spans="1:8" x14ac:dyDescent="0.35">
      <c r="A2710" s="2">
        <v>161</v>
      </c>
      <c r="B2710" s="2">
        <v>17000</v>
      </c>
      <c r="C2710" s="2">
        <f t="shared" si="252"/>
        <v>1.7</v>
      </c>
      <c r="D2710" s="2">
        <f t="shared" si="253"/>
        <v>25921</v>
      </c>
      <c r="E2710" s="2">
        <f t="shared" si="254"/>
        <v>4173281</v>
      </c>
      <c r="F2710" s="2">
        <f t="shared" si="255"/>
        <v>671898241</v>
      </c>
      <c r="G2710" s="2">
        <f t="shared" si="256"/>
        <v>273.7</v>
      </c>
      <c r="H2710" s="2">
        <f t="shared" si="257"/>
        <v>44065.7</v>
      </c>
    </row>
    <row r="2711" spans="1:8" x14ac:dyDescent="0.35">
      <c r="A2711" s="2">
        <v>161</v>
      </c>
      <c r="B2711" s="2">
        <v>15000</v>
      </c>
      <c r="C2711" s="2">
        <f t="shared" si="252"/>
        <v>1.5</v>
      </c>
      <c r="D2711" s="2">
        <f t="shared" si="253"/>
        <v>25921</v>
      </c>
      <c r="E2711" s="2">
        <f t="shared" si="254"/>
        <v>4173281</v>
      </c>
      <c r="F2711" s="2">
        <f t="shared" si="255"/>
        <v>671898241</v>
      </c>
      <c r="G2711" s="2">
        <f t="shared" si="256"/>
        <v>241.5</v>
      </c>
      <c r="H2711" s="2">
        <f t="shared" si="257"/>
        <v>38881.5</v>
      </c>
    </row>
    <row r="2712" spans="1:8" x14ac:dyDescent="0.35">
      <c r="A2712" s="2">
        <v>161</v>
      </c>
      <c r="B2712" s="2">
        <v>13309</v>
      </c>
      <c r="C2712" s="2">
        <f t="shared" si="252"/>
        <v>1.3309</v>
      </c>
      <c r="D2712" s="2">
        <f t="shared" si="253"/>
        <v>25921</v>
      </c>
      <c r="E2712" s="2">
        <f t="shared" si="254"/>
        <v>4173281</v>
      </c>
      <c r="F2712" s="2">
        <f t="shared" si="255"/>
        <v>671898241</v>
      </c>
      <c r="G2712" s="2">
        <f t="shared" si="256"/>
        <v>214.2749</v>
      </c>
      <c r="H2712" s="2">
        <f t="shared" si="257"/>
        <v>34498.258900000001</v>
      </c>
    </row>
    <row r="2713" spans="1:8" x14ac:dyDescent="0.35">
      <c r="A2713" s="2">
        <v>161</v>
      </c>
      <c r="B2713" s="2">
        <v>11533</v>
      </c>
      <c r="C2713" s="2">
        <f t="shared" si="252"/>
        <v>1.1533</v>
      </c>
      <c r="D2713" s="2">
        <f t="shared" si="253"/>
        <v>25921</v>
      </c>
      <c r="E2713" s="2">
        <f t="shared" si="254"/>
        <v>4173281</v>
      </c>
      <c r="F2713" s="2">
        <f t="shared" si="255"/>
        <v>671898241</v>
      </c>
      <c r="G2713" s="2">
        <f t="shared" si="256"/>
        <v>185.68129999999999</v>
      </c>
      <c r="H2713" s="2">
        <f t="shared" si="257"/>
        <v>29894.689299999998</v>
      </c>
    </row>
    <row r="2714" spans="1:8" x14ac:dyDescent="0.35">
      <c r="A2714" s="2">
        <v>161</v>
      </c>
      <c r="B2714" s="2">
        <v>10298</v>
      </c>
      <c r="C2714" s="2">
        <f t="shared" si="252"/>
        <v>1.0298</v>
      </c>
      <c r="D2714" s="2">
        <f t="shared" si="253"/>
        <v>25921</v>
      </c>
      <c r="E2714" s="2">
        <f t="shared" si="254"/>
        <v>4173281</v>
      </c>
      <c r="F2714" s="2">
        <f t="shared" si="255"/>
        <v>671898241</v>
      </c>
      <c r="G2714" s="2">
        <f t="shared" si="256"/>
        <v>165.7978</v>
      </c>
      <c r="H2714" s="2">
        <f t="shared" si="257"/>
        <v>26693.445800000001</v>
      </c>
    </row>
    <row r="2715" spans="1:8" x14ac:dyDescent="0.35">
      <c r="A2715" s="2">
        <v>161</v>
      </c>
      <c r="B2715" s="2">
        <v>9562</v>
      </c>
      <c r="C2715" s="2">
        <f t="shared" si="252"/>
        <v>0.95620000000000005</v>
      </c>
      <c r="D2715" s="2">
        <f t="shared" si="253"/>
        <v>25921</v>
      </c>
      <c r="E2715" s="2">
        <f t="shared" si="254"/>
        <v>4173281</v>
      </c>
      <c r="F2715" s="2">
        <f t="shared" si="255"/>
        <v>671898241</v>
      </c>
      <c r="G2715" s="2">
        <f t="shared" si="256"/>
        <v>153.94820000000001</v>
      </c>
      <c r="H2715" s="2">
        <f t="shared" si="257"/>
        <v>24785.660200000002</v>
      </c>
    </row>
    <row r="2716" spans="1:8" x14ac:dyDescent="0.35">
      <c r="A2716" s="2">
        <v>161</v>
      </c>
      <c r="B2716" s="2">
        <v>9064</v>
      </c>
      <c r="C2716" s="2">
        <f t="shared" si="252"/>
        <v>0.90639999999999998</v>
      </c>
      <c r="D2716" s="2">
        <f t="shared" si="253"/>
        <v>25921</v>
      </c>
      <c r="E2716" s="2">
        <f t="shared" si="254"/>
        <v>4173281</v>
      </c>
      <c r="F2716" s="2">
        <f t="shared" si="255"/>
        <v>671898241</v>
      </c>
      <c r="G2716" s="2">
        <f t="shared" si="256"/>
        <v>145.93039999999999</v>
      </c>
      <c r="H2716" s="2">
        <f t="shared" si="257"/>
        <v>23494.794399999999</v>
      </c>
    </row>
    <row r="2717" spans="1:8" x14ac:dyDescent="0.35">
      <c r="A2717" s="2">
        <v>1180</v>
      </c>
      <c r="B2717" s="2">
        <v>13571</v>
      </c>
      <c r="C2717" s="2">
        <f t="shared" si="252"/>
        <v>1.3571</v>
      </c>
      <c r="D2717" s="2">
        <f t="shared" si="253"/>
        <v>1392400</v>
      </c>
      <c r="E2717" s="2">
        <f t="shared" si="254"/>
        <v>1643032000</v>
      </c>
      <c r="F2717" s="2">
        <f t="shared" si="255"/>
        <v>1938777760000</v>
      </c>
      <c r="G2717" s="2">
        <f t="shared" si="256"/>
        <v>1601.3779999999999</v>
      </c>
      <c r="H2717" s="2">
        <f t="shared" si="257"/>
        <v>1889626.04</v>
      </c>
    </row>
    <row r="2718" spans="1:8" x14ac:dyDescent="0.35">
      <c r="A2718" s="2">
        <v>1180</v>
      </c>
      <c r="B2718" s="2">
        <v>11053</v>
      </c>
      <c r="C2718" s="2">
        <f t="shared" si="252"/>
        <v>1.1052999999999999</v>
      </c>
      <c r="D2718" s="2">
        <f t="shared" si="253"/>
        <v>1392400</v>
      </c>
      <c r="E2718" s="2">
        <f t="shared" si="254"/>
        <v>1643032000</v>
      </c>
      <c r="F2718" s="2">
        <f t="shared" si="255"/>
        <v>1938777760000</v>
      </c>
      <c r="G2718" s="2">
        <f t="shared" si="256"/>
        <v>1304.2539999999999</v>
      </c>
      <c r="H2718" s="2">
        <f t="shared" si="257"/>
        <v>1539019.72</v>
      </c>
    </row>
    <row r="2719" spans="1:8" x14ac:dyDescent="0.35">
      <c r="A2719" s="2">
        <v>1180</v>
      </c>
      <c r="B2719" s="2">
        <v>12500</v>
      </c>
      <c r="C2719" s="2">
        <f t="shared" si="252"/>
        <v>1.25</v>
      </c>
      <c r="D2719" s="2">
        <f t="shared" si="253"/>
        <v>1392400</v>
      </c>
      <c r="E2719" s="2">
        <f t="shared" si="254"/>
        <v>1643032000</v>
      </c>
      <c r="F2719" s="2">
        <f t="shared" si="255"/>
        <v>1938777760000</v>
      </c>
      <c r="G2719" s="2">
        <f t="shared" si="256"/>
        <v>1475</v>
      </c>
      <c r="H2719" s="2">
        <f t="shared" si="257"/>
        <v>1740500</v>
      </c>
    </row>
    <row r="2720" spans="1:8" x14ac:dyDescent="0.35">
      <c r="A2720" s="2">
        <v>1180</v>
      </c>
      <c r="B2720" s="2">
        <v>14063</v>
      </c>
      <c r="C2720" s="2">
        <f t="shared" si="252"/>
        <v>1.4063000000000001</v>
      </c>
      <c r="D2720" s="2">
        <f t="shared" si="253"/>
        <v>1392400</v>
      </c>
      <c r="E2720" s="2">
        <f t="shared" si="254"/>
        <v>1643032000</v>
      </c>
      <c r="F2720" s="2">
        <f t="shared" si="255"/>
        <v>1938777760000</v>
      </c>
      <c r="G2720" s="2">
        <f t="shared" si="256"/>
        <v>1659.4340000000002</v>
      </c>
      <c r="H2720" s="2">
        <f t="shared" si="257"/>
        <v>1958132.12</v>
      </c>
    </row>
    <row r="2721" spans="1:8" x14ac:dyDescent="0.35">
      <c r="A2721" s="2">
        <v>1180</v>
      </c>
      <c r="B2721" s="2">
        <v>13846</v>
      </c>
      <c r="C2721" s="2">
        <f t="shared" si="252"/>
        <v>1.3846000000000001</v>
      </c>
      <c r="D2721" s="2">
        <f t="shared" si="253"/>
        <v>1392400</v>
      </c>
      <c r="E2721" s="2">
        <f t="shared" si="254"/>
        <v>1643032000</v>
      </c>
      <c r="F2721" s="2">
        <f t="shared" si="255"/>
        <v>1938777760000</v>
      </c>
      <c r="G2721" s="2">
        <f t="shared" si="256"/>
        <v>1633.828</v>
      </c>
      <c r="H2721" s="2">
        <f t="shared" si="257"/>
        <v>1927917.04</v>
      </c>
    </row>
    <row r="2722" spans="1:8" x14ac:dyDescent="0.35">
      <c r="A2722" s="2">
        <v>1180</v>
      </c>
      <c r="B2722" s="2">
        <v>13556</v>
      </c>
      <c r="C2722" s="2">
        <f t="shared" si="252"/>
        <v>1.3555999999999999</v>
      </c>
      <c r="D2722" s="2">
        <f t="shared" si="253"/>
        <v>1392400</v>
      </c>
      <c r="E2722" s="2">
        <f t="shared" si="254"/>
        <v>1643032000</v>
      </c>
      <c r="F2722" s="2">
        <f t="shared" si="255"/>
        <v>1938777760000</v>
      </c>
      <c r="G2722" s="2">
        <f t="shared" si="256"/>
        <v>1599.6079999999999</v>
      </c>
      <c r="H2722" s="2">
        <f t="shared" si="257"/>
        <v>1887537.44</v>
      </c>
    </row>
    <row r="2723" spans="1:8" x14ac:dyDescent="0.35">
      <c r="A2723" s="2">
        <v>1180</v>
      </c>
      <c r="B2723" s="2">
        <v>13600</v>
      </c>
      <c r="C2723" s="2">
        <f t="shared" si="252"/>
        <v>1.36</v>
      </c>
      <c r="D2723" s="2">
        <f t="shared" si="253"/>
        <v>1392400</v>
      </c>
      <c r="E2723" s="2">
        <f t="shared" si="254"/>
        <v>1643032000</v>
      </c>
      <c r="F2723" s="2">
        <f t="shared" si="255"/>
        <v>1938777760000</v>
      </c>
      <c r="G2723" s="2">
        <f t="shared" si="256"/>
        <v>1604.8000000000002</v>
      </c>
      <c r="H2723" s="2">
        <f t="shared" si="257"/>
        <v>1893664.0000000002</v>
      </c>
    </row>
    <row r="2724" spans="1:8" x14ac:dyDescent="0.35">
      <c r="A2724" s="2">
        <v>1180</v>
      </c>
      <c r="B2724" s="2">
        <v>13962</v>
      </c>
      <c r="C2724" s="2">
        <f t="shared" si="252"/>
        <v>1.3962000000000001</v>
      </c>
      <c r="D2724" s="2">
        <f t="shared" si="253"/>
        <v>1392400</v>
      </c>
      <c r="E2724" s="2">
        <f t="shared" si="254"/>
        <v>1643032000</v>
      </c>
      <c r="F2724" s="2">
        <f t="shared" si="255"/>
        <v>1938777760000</v>
      </c>
      <c r="G2724" s="2">
        <f t="shared" si="256"/>
        <v>1647.5160000000001</v>
      </c>
      <c r="H2724" s="2">
        <f t="shared" si="257"/>
        <v>1944068.8800000001</v>
      </c>
    </row>
    <row r="2725" spans="1:8" x14ac:dyDescent="0.35">
      <c r="A2725" s="2">
        <v>1180</v>
      </c>
      <c r="B2725" s="2">
        <v>14000</v>
      </c>
      <c r="C2725" s="2">
        <f t="shared" si="252"/>
        <v>1.4</v>
      </c>
      <c r="D2725" s="2">
        <f t="shared" si="253"/>
        <v>1392400</v>
      </c>
      <c r="E2725" s="2">
        <f t="shared" si="254"/>
        <v>1643032000</v>
      </c>
      <c r="F2725" s="2">
        <f t="shared" si="255"/>
        <v>1938777760000</v>
      </c>
      <c r="G2725" s="2">
        <f t="shared" si="256"/>
        <v>1652</v>
      </c>
      <c r="H2725" s="2">
        <f t="shared" si="257"/>
        <v>1949359.9999999998</v>
      </c>
    </row>
    <row r="2726" spans="1:8" x14ac:dyDescent="0.35">
      <c r="A2726" s="2">
        <v>1180</v>
      </c>
      <c r="B2726" s="2">
        <v>14000</v>
      </c>
      <c r="C2726" s="2">
        <f t="shared" si="252"/>
        <v>1.4</v>
      </c>
      <c r="D2726" s="2">
        <f t="shared" si="253"/>
        <v>1392400</v>
      </c>
      <c r="E2726" s="2">
        <f t="shared" si="254"/>
        <v>1643032000</v>
      </c>
      <c r="F2726" s="2">
        <f t="shared" si="255"/>
        <v>1938777760000</v>
      </c>
      <c r="G2726" s="2">
        <f t="shared" si="256"/>
        <v>1652</v>
      </c>
      <c r="H2726" s="2">
        <f t="shared" si="257"/>
        <v>1949359.9999999998</v>
      </c>
    </row>
    <row r="2727" spans="1:8" x14ac:dyDescent="0.35">
      <c r="A2727" s="2">
        <v>1180</v>
      </c>
      <c r="B2727" s="2">
        <v>14138</v>
      </c>
      <c r="C2727" s="2">
        <f t="shared" si="252"/>
        <v>1.4137999999999999</v>
      </c>
      <c r="D2727" s="2">
        <f t="shared" si="253"/>
        <v>1392400</v>
      </c>
      <c r="E2727" s="2">
        <f t="shared" si="254"/>
        <v>1643032000</v>
      </c>
      <c r="F2727" s="2">
        <f t="shared" si="255"/>
        <v>1938777760000</v>
      </c>
      <c r="G2727" s="2">
        <f t="shared" si="256"/>
        <v>1668.2839999999999</v>
      </c>
      <c r="H2727" s="2">
        <f t="shared" si="257"/>
        <v>1968575.1199999999</v>
      </c>
    </row>
    <row r="2728" spans="1:8" x14ac:dyDescent="0.35">
      <c r="A2728" s="2">
        <v>1180</v>
      </c>
      <c r="B2728" s="2">
        <v>13333</v>
      </c>
      <c r="C2728" s="2">
        <f t="shared" si="252"/>
        <v>1.3332999999999999</v>
      </c>
      <c r="D2728" s="2">
        <f t="shared" si="253"/>
        <v>1392400</v>
      </c>
      <c r="E2728" s="2">
        <f t="shared" si="254"/>
        <v>1643032000</v>
      </c>
      <c r="F2728" s="2">
        <f t="shared" si="255"/>
        <v>1938777760000</v>
      </c>
      <c r="G2728" s="2">
        <f t="shared" si="256"/>
        <v>1573.2939999999999</v>
      </c>
      <c r="H2728" s="2">
        <f t="shared" si="257"/>
        <v>1856486.92</v>
      </c>
    </row>
    <row r="2729" spans="1:8" x14ac:dyDescent="0.35">
      <c r="A2729" s="2">
        <v>1180</v>
      </c>
      <c r="B2729" s="2">
        <v>14063</v>
      </c>
      <c r="C2729" s="2">
        <f t="shared" si="252"/>
        <v>1.4063000000000001</v>
      </c>
      <c r="D2729" s="2">
        <f t="shared" si="253"/>
        <v>1392400</v>
      </c>
      <c r="E2729" s="2">
        <f t="shared" si="254"/>
        <v>1643032000</v>
      </c>
      <c r="F2729" s="2">
        <f t="shared" si="255"/>
        <v>1938777760000</v>
      </c>
      <c r="G2729" s="2">
        <f t="shared" si="256"/>
        <v>1659.4340000000002</v>
      </c>
      <c r="H2729" s="2">
        <f t="shared" si="257"/>
        <v>1958132.12</v>
      </c>
    </row>
    <row r="2730" spans="1:8" x14ac:dyDescent="0.35">
      <c r="A2730" s="2">
        <v>1180</v>
      </c>
      <c r="B2730" s="2">
        <v>13971</v>
      </c>
      <c r="C2730" s="2">
        <f t="shared" si="252"/>
        <v>1.3971</v>
      </c>
      <c r="D2730" s="2">
        <f t="shared" si="253"/>
        <v>1392400</v>
      </c>
      <c r="E2730" s="2">
        <f t="shared" si="254"/>
        <v>1643032000</v>
      </c>
      <c r="F2730" s="2">
        <f t="shared" si="255"/>
        <v>1938777760000</v>
      </c>
      <c r="G2730" s="2">
        <f t="shared" si="256"/>
        <v>1648.578</v>
      </c>
      <c r="H2730" s="2">
        <f t="shared" si="257"/>
        <v>1945322.04</v>
      </c>
    </row>
    <row r="2731" spans="1:8" x14ac:dyDescent="0.35">
      <c r="A2731" s="2">
        <v>1180</v>
      </c>
      <c r="B2731" s="2">
        <v>15139</v>
      </c>
      <c r="C2731" s="2">
        <f t="shared" si="252"/>
        <v>1.5139</v>
      </c>
      <c r="D2731" s="2">
        <f t="shared" si="253"/>
        <v>1392400</v>
      </c>
      <c r="E2731" s="2">
        <f t="shared" si="254"/>
        <v>1643032000</v>
      </c>
      <c r="F2731" s="2">
        <f t="shared" si="255"/>
        <v>1938777760000</v>
      </c>
      <c r="G2731" s="2">
        <f t="shared" si="256"/>
        <v>1786.402</v>
      </c>
      <c r="H2731" s="2">
        <f t="shared" si="257"/>
        <v>2107954.36</v>
      </c>
    </row>
    <row r="2732" spans="1:8" x14ac:dyDescent="0.35">
      <c r="A2732" s="2">
        <v>1180</v>
      </c>
      <c r="B2732" s="2">
        <v>15000</v>
      </c>
      <c r="C2732" s="2">
        <f t="shared" si="252"/>
        <v>1.5</v>
      </c>
      <c r="D2732" s="2">
        <f t="shared" si="253"/>
        <v>1392400</v>
      </c>
      <c r="E2732" s="2">
        <f t="shared" si="254"/>
        <v>1643032000</v>
      </c>
      <c r="F2732" s="2">
        <f t="shared" si="255"/>
        <v>1938777760000</v>
      </c>
      <c r="G2732" s="2">
        <f t="shared" si="256"/>
        <v>1770</v>
      </c>
      <c r="H2732" s="2">
        <f t="shared" si="257"/>
        <v>2088600</v>
      </c>
    </row>
    <row r="2733" spans="1:8" x14ac:dyDescent="0.35">
      <c r="A2733" s="2">
        <v>1180</v>
      </c>
      <c r="B2733" s="2">
        <v>15000</v>
      </c>
      <c r="C2733" s="2">
        <f t="shared" si="252"/>
        <v>1.5</v>
      </c>
      <c r="D2733" s="2">
        <f t="shared" si="253"/>
        <v>1392400</v>
      </c>
      <c r="E2733" s="2">
        <f t="shared" si="254"/>
        <v>1643032000</v>
      </c>
      <c r="F2733" s="2">
        <f t="shared" si="255"/>
        <v>1938777760000</v>
      </c>
      <c r="G2733" s="2">
        <f t="shared" si="256"/>
        <v>1770</v>
      </c>
      <c r="H2733" s="2">
        <f t="shared" si="257"/>
        <v>2088600</v>
      </c>
    </row>
    <row r="2734" spans="1:8" x14ac:dyDescent="0.35">
      <c r="A2734" s="2">
        <v>1180</v>
      </c>
      <c r="B2734" s="2">
        <v>13011</v>
      </c>
      <c r="C2734" s="2">
        <f t="shared" si="252"/>
        <v>1.3010999999999999</v>
      </c>
      <c r="D2734" s="2">
        <f t="shared" si="253"/>
        <v>1392400</v>
      </c>
      <c r="E2734" s="2">
        <f t="shared" si="254"/>
        <v>1643032000</v>
      </c>
      <c r="F2734" s="2">
        <f t="shared" si="255"/>
        <v>1938777760000</v>
      </c>
      <c r="G2734" s="2">
        <f t="shared" si="256"/>
        <v>1535.298</v>
      </c>
      <c r="H2734" s="2">
        <f t="shared" si="257"/>
        <v>1811651.64</v>
      </c>
    </row>
    <row r="2735" spans="1:8" x14ac:dyDescent="0.35">
      <c r="A2735" s="2">
        <v>1180</v>
      </c>
      <c r="B2735" s="2">
        <v>15000</v>
      </c>
      <c r="C2735" s="2">
        <f t="shared" si="252"/>
        <v>1.5</v>
      </c>
      <c r="D2735" s="2">
        <f t="shared" si="253"/>
        <v>1392400</v>
      </c>
      <c r="E2735" s="2">
        <f t="shared" si="254"/>
        <v>1643032000</v>
      </c>
      <c r="F2735" s="2">
        <f t="shared" si="255"/>
        <v>1938777760000</v>
      </c>
      <c r="G2735" s="2">
        <f t="shared" si="256"/>
        <v>1770</v>
      </c>
      <c r="H2735" s="2">
        <f t="shared" si="257"/>
        <v>2088600</v>
      </c>
    </row>
    <row r="2736" spans="1:8" x14ac:dyDescent="0.35">
      <c r="A2736" s="2">
        <v>1180</v>
      </c>
      <c r="B2736" s="2">
        <v>13628</v>
      </c>
      <c r="C2736" s="2">
        <f t="shared" si="252"/>
        <v>1.3628</v>
      </c>
      <c r="D2736" s="2">
        <f t="shared" si="253"/>
        <v>1392400</v>
      </c>
      <c r="E2736" s="2">
        <f t="shared" si="254"/>
        <v>1643032000</v>
      </c>
      <c r="F2736" s="2">
        <f t="shared" si="255"/>
        <v>1938777760000</v>
      </c>
      <c r="G2736" s="2">
        <f t="shared" si="256"/>
        <v>1608.104</v>
      </c>
      <c r="H2736" s="2">
        <f t="shared" si="257"/>
        <v>1897562.72</v>
      </c>
    </row>
    <row r="2737" spans="1:8" x14ac:dyDescent="0.35">
      <c r="A2737" s="2">
        <v>1180</v>
      </c>
      <c r="B2737" s="2">
        <v>13613</v>
      </c>
      <c r="C2737" s="2">
        <f t="shared" si="252"/>
        <v>1.3613</v>
      </c>
      <c r="D2737" s="2">
        <f t="shared" si="253"/>
        <v>1392400</v>
      </c>
      <c r="E2737" s="2">
        <f t="shared" si="254"/>
        <v>1643032000</v>
      </c>
      <c r="F2737" s="2">
        <f t="shared" si="255"/>
        <v>1938777760000</v>
      </c>
      <c r="G2737" s="2">
        <f t="shared" si="256"/>
        <v>1606.3339999999998</v>
      </c>
      <c r="H2737" s="2">
        <f t="shared" si="257"/>
        <v>1895474.1199999999</v>
      </c>
    </row>
    <row r="2738" spans="1:8" x14ac:dyDescent="0.35">
      <c r="A2738" s="2">
        <v>1180</v>
      </c>
      <c r="B2738" s="2">
        <v>13895</v>
      </c>
      <c r="C2738" s="2">
        <f t="shared" si="252"/>
        <v>1.3895</v>
      </c>
      <c r="D2738" s="2">
        <f t="shared" si="253"/>
        <v>1392400</v>
      </c>
      <c r="E2738" s="2">
        <f t="shared" si="254"/>
        <v>1643032000</v>
      </c>
      <c r="F2738" s="2">
        <f t="shared" si="255"/>
        <v>1938777760000</v>
      </c>
      <c r="G2738" s="2">
        <f t="shared" si="256"/>
        <v>1639.61</v>
      </c>
      <c r="H2738" s="2">
        <f t="shared" si="257"/>
        <v>1934739.8</v>
      </c>
    </row>
    <row r="2739" spans="1:8" x14ac:dyDescent="0.35">
      <c r="A2739" s="2">
        <v>1180</v>
      </c>
      <c r="B2739" s="2">
        <v>23926</v>
      </c>
      <c r="C2739" s="2">
        <f t="shared" si="252"/>
        <v>2.3925999999999998</v>
      </c>
      <c r="D2739" s="2">
        <f t="shared" si="253"/>
        <v>1392400</v>
      </c>
      <c r="E2739" s="2">
        <f t="shared" si="254"/>
        <v>1643032000</v>
      </c>
      <c r="F2739" s="2">
        <f t="shared" si="255"/>
        <v>1938777760000</v>
      </c>
      <c r="G2739" s="2">
        <f t="shared" si="256"/>
        <v>2823.268</v>
      </c>
      <c r="H2739" s="2">
        <f t="shared" si="257"/>
        <v>3331456.2399999998</v>
      </c>
    </row>
    <row r="2740" spans="1:8" x14ac:dyDescent="0.35">
      <c r="A2740" s="2">
        <v>1180</v>
      </c>
      <c r="B2740" s="2">
        <v>25070</v>
      </c>
      <c r="C2740" s="2">
        <f t="shared" si="252"/>
        <v>2.5070000000000001</v>
      </c>
      <c r="D2740" s="2">
        <f t="shared" si="253"/>
        <v>1392400</v>
      </c>
      <c r="E2740" s="2">
        <f t="shared" si="254"/>
        <v>1643032000</v>
      </c>
      <c r="F2740" s="2">
        <f t="shared" si="255"/>
        <v>1938777760000</v>
      </c>
      <c r="G2740" s="2">
        <f t="shared" si="256"/>
        <v>2958.26</v>
      </c>
      <c r="H2740" s="2">
        <f t="shared" si="257"/>
        <v>3490746.8000000003</v>
      </c>
    </row>
    <row r="2741" spans="1:8" x14ac:dyDescent="0.35">
      <c r="A2741" s="2">
        <v>1180</v>
      </c>
      <c r="B2741" s="2">
        <v>25889</v>
      </c>
      <c r="C2741" s="2">
        <f t="shared" si="252"/>
        <v>2.5889000000000002</v>
      </c>
      <c r="D2741" s="2">
        <f t="shared" si="253"/>
        <v>1392400</v>
      </c>
      <c r="E2741" s="2">
        <f t="shared" si="254"/>
        <v>1643032000</v>
      </c>
      <c r="F2741" s="2">
        <f t="shared" si="255"/>
        <v>1938777760000</v>
      </c>
      <c r="G2741" s="2">
        <f t="shared" si="256"/>
        <v>3054.902</v>
      </c>
      <c r="H2741" s="2">
        <f t="shared" si="257"/>
        <v>3604784.3600000003</v>
      </c>
    </row>
    <row r="2742" spans="1:8" x14ac:dyDescent="0.35">
      <c r="A2742" s="2">
        <v>1180</v>
      </c>
      <c r="B2742" s="2">
        <v>23043</v>
      </c>
      <c r="C2742" s="2">
        <f t="shared" si="252"/>
        <v>2.3043</v>
      </c>
      <c r="D2742" s="2">
        <f t="shared" si="253"/>
        <v>1392400</v>
      </c>
      <c r="E2742" s="2">
        <f t="shared" si="254"/>
        <v>1643032000</v>
      </c>
      <c r="F2742" s="2">
        <f t="shared" si="255"/>
        <v>1938777760000</v>
      </c>
      <c r="G2742" s="2">
        <f t="shared" si="256"/>
        <v>2719.0740000000001</v>
      </c>
      <c r="H2742" s="2">
        <f t="shared" si="257"/>
        <v>3208507.32</v>
      </c>
    </row>
    <row r="2743" spans="1:8" x14ac:dyDescent="0.35">
      <c r="A2743" s="2">
        <v>1180</v>
      </c>
      <c r="B2743" s="2">
        <v>23011</v>
      </c>
      <c r="C2743" s="2">
        <f t="shared" si="252"/>
        <v>2.3010999999999999</v>
      </c>
      <c r="D2743" s="2">
        <f t="shared" si="253"/>
        <v>1392400</v>
      </c>
      <c r="E2743" s="2">
        <f t="shared" si="254"/>
        <v>1643032000</v>
      </c>
      <c r="F2743" s="2">
        <f t="shared" si="255"/>
        <v>1938777760000</v>
      </c>
      <c r="G2743" s="2">
        <f t="shared" si="256"/>
        <v>2715.2979999999998</v>
      </c>
      <c r="H2743" s="2">
        <f t="shared" si="257"/>
        <v>3204051.6399999997</v>
      </c>
    </row>
    <row r="2744" spans="1:8" x14ac:dyDescent="0.35">
      <c r="A2744" s="2">
        <v>1180</v>
      </c>
      <c r="B2744" s="2">
        <v>24947</v>
      </c>
      <c r="C2744" s="2">
        <f t="shared" si="252"/>
        <v>2.4946999999999999</v>
      </c>
      <c r="D2744" s="2">
        <f t="shared" si="253"/>
        <v>1392400</v>
      </c>
      <c r="E2744" s="2">
        <f t="shared" si="254"/>
        <v>1643032000</v>
      </c>
      <c r="F2744" s="2">
        <f t="shared" si="255"/>
        <v>1938777760000</v>
      </c>
      <c r="G2744" s="2">
        <f t="shared" si="256"/>
        <v>2943.7460000000001</v>
      </c>
      <c r="H2744" s="2">
        <f t="shared" si="257"/>
        <v>3473620.28</v>
      </c>
    </row>
    <row r="2745" spans="1:8" x14ac:dyDescent="0.35">
      <c r="A2745" s="2">
        <v>1180</v>
      </c>
      <c r="B2745" s="2">
        <v>24876</v>
      </c>
      <c r="C2745" s="2">
        <f t="shared" si="252"/>
        <v>2.4876</v>
      </c>
      <c r="D2745" s="2">
        <f t="shared" si="253"/>
        <v>1392400</v>
      </c>
      <c r="E2745" s="2">
        <f t="shared" si="254"/>
        <v>1643032000</v>
      </c>
      <c r="F2745" s="2">
        <f t="shared" si="255"/>
        <v>1938777760000</v>
      </c>
      <c r="G2745" s="2">
        <f t="shared" si="256"/>
        <v>2935.3679999999999</v>
      </c>
      <c r="H2745" s="2">
        <f t="shared" si="257"/>
        <v>3463734.24</v>
      </c>
    </row>
    <row r="2746" spans="1:8" x14ac:dyDescent="0.35">
      <c r="A2746" s="2">
        <v>1180</v>
      </c>
      <c r="B2746" s="2">
        <v>25276</v>
      </c>
      <c r="C2746" s="2">
        <f t="shared" si="252"/>
        <v>2.5276000000000001</v>
      </c>
      <c r="D2746" s="2">
        <f t="shared" si="253"/>
        <v>1392400</v>
      </c>
      <c r="E2746" s="2">
        <f t="shared" si="254"/>
        <v>1643032000</v>
      </c>
      <c r="F2746" s="2">
        <f t="shared" si="255"/>
        <v>1938777760000</v>
      </c>
      <c r="G2746" s="2">
        <f t="shared" si="256"/>
        <v>2982.5680000000002</v>
      </c>
      <c r="H2746" s="2">
        <f t="shared" si="257"/>
        <v>3519430.24</v>
      </c>
    </row>
    <row r="2747" spans="1:8" x14ac:dyDescent="0.35">
      <c r="A2747" s="2">
        <v>565</v>
      </c>
      <c r="B2747" s="2">
        <v>37722</v>
      </c>
      <c r="C2747" s="2">
        <f t="shared" si="252"/>
        <v>3.7722000000000002</v>
      </c>
      <c r="D2747" s="2">
        <f t="shared" si="253"/>
        <v>319225</v>
      </c>
      <c r="E2747" s="2">
        <f t="shared" si="254"/>
        <v>180362125</v>
      </c>
      <c r="F2747" s="2">
        <f t="shared" si="255"/>
        <v>101904600625</v>
      </c>
      <c r="G2747" s="2">
        <f t="shared" si="256"/>
        <v>2131.2930000000001</v>
      </c>
      <c r="H2747" s="2">
        <f t="shared" si="257"/>
        <v>1204180.5450000002</v>
      </c>
    </row>
    <row r="2748" spans="1:8" x14ac:dyDescent="0.35">
      <c r="A2748" s="2">
        <v>565</v>
      </c>
      <c r="B2748" s="2">
        <v>29565</v>
      </c>
      <c r="C2748" s="2">
        <f t="shared" si="252"/>
        <v>2.9565000000000001</v>
      </c>
      <c r="D2748" s="2">
        <f t="shared" si="253"/>
        <v>319225</v>
      </c>
      <c r="E2748" s="2">
        <f t="shared" si="254"/>
        <v>180362125</v>
      </c>
      <c r="F2748" s="2">
        <f t="shared" si="255"/>
        <v>101904600625</v>
      </c>
      <c r="G2748" s="2">
        <f t="shared" si="256"/>
        <v>1670.4225000000001</v>
      </c>
      <c r="H2748" s="2">
        <f t="shared" si="257"/>
        <v>943788.71250000002</v>
      </c>
    </row>
    <row r="2749" spans="1:8" x14ac:dyDescent="0.35">
      <c r="A2749" s="2">
        <v>565</v>
      </c>
      <c r="B2749" s="2">
        <v>35909</v>
      </c>
      <c r="C2749" s="2">
        <f t="shared" si="252"/>
        <v>3.5909</v>
      </c>
      <c r="D2749" s="2">
        <f t="shared" si="253"/>
        <v>319225</v>
      </c>
      <c r="E2749" s="2">
        <f t="shared" si="254"/>
        <v>180362125</v>
      </c>
      <c r="F2749" s="2">
        <f t="shared" si="255"/>
        <v>101904600625</v>
      </c>
      <c r="G2749" s="2">
        <f t="shared" si="256"/>
        <v>2028.8585</v>
      </c>
      <c r="H2749" s="2">
        <f t="shared" si="257"/>
        <v>1146305.0525</v>
      </c>
    </row>
    <row r="2750" spans="1:8" x14ac:dyDescent="0.35">
      <c r="A2750" s="2">
        <v>565</v>
      </c>
      <c r="B2750" s="2">
        <v>36409</v>
      </c>
      <c r="C2750" s="2">
        <f t="shared" si="252"/>
        <v>3.6408999999999998</v>
      </c>
      <c r="D2750" s="2">
        <f t="shared" si="253"/>
        <v>319225</v>
      </c>
      <c r="E2750" s="2">
        <f t="shared" si="254"/>
        <v>180362125</v>
      </c>
      <c r="F2750" s="2">
        <f t="shared" si="255"/>
        <v>101904600625</v>
      </c>
      <c r="G2750" s="2">
        <f t="shared" si="256"/>
        <v>2057.1084999999998</v>
      </c>
      <c r="H2750" s="2">
        <f t="shared" si="257"/>
        <v>1162266.3025</v>
      </c>
    </row>
    <row r="2751" spans="1:8" x14ac:dyDescent="0.35">
      <c r="A2751" s="2">
        <v>565</v>
      </c>
      <c r="B2751" s="2">
        <v>35518</v>
      </c>
      <c r="C2751" s="2">
        <f t="shared" si="252"/>
        <v>3.5518000000000001</v>
      </c>
      <c r="D2751" s="2">
        <f t="shared" si="253"/>
        <v>319225</v>
      </c>
      <c r="E2751" s="2">
        <f t="shared" si="254"/>
        <v>180362125</v>
      </c>
      <c r="F2751" s="2">
        <f t="shared" si="255"/>
        <v>101904600625</v>
      </c>
      <c r="G2751" s="2">
        <f t="shared" si="256"/>
        <v>2006.7670000000001</v>
      </c>
      <c r="H2751" s="2">
        <f t="shared" si="257"/>
        <v>1133823.355</v>
      </c>
    </row>
    <row r="2752" spans="1:8" x14ac:dyDescent="0.35">
      <c r="A2752" s="2">
        <v>565</v>
      </c>
      <c r="B2752" s="2">
        <v>28889</v>
      </c>
      <c r="C2752" s="2">
        <f t="shared" si="252"/>
        <v>2.8889</v>
      </c>
      <c r="D2752" s="2">
        <f t="shared" si="253"/>
        <v>319225</v>
      </c>
      <c r="E2752" s="2">
        <f t="shared" si="254"/>
        <v>180362125</v>
      </c>
      <c r="F2752" s="2">
        <f t="shared" si="255"/>
        <v>101904600625</v>
      </c>
      <c r="G2752" s="2">
        <f t="shared" si="256"/>
        <v>1632.2284999999999</v>
      </c>
      <c r="H2752" s="2">
        <f t="shared" si="257"/>
        <v>922209.10250000004</v>
      </c>
    </row>
    <row r="2753" spans="1:8" x14ac:dyDescent="0.35">
      <c r="A2753" s="2">
        <v>565</v>
      </c>
      <c r="B2753" s="2">
        <v>30286</v>
      </c>
      <c r="C2753" s="2">
        <f t="shared" si="252"/>
        <v>3.0286</v>
      </c>
      <c r="D2753" s="2">
        <f t="shared" si="253"/>
        <v>319225</v>
      </c>
      <c r="E2753" s="2">
        <f t="shared" si="254"/>
        <v>180362125</v>
      </c>
      <c r="F2753" s="2">
        <f t="shared" si="255"/>
        <v>101904600625</v>
      </c>
      <c r="G2753" s="2">
        <f t="shared" si="256"/>
        <v>1711.1589999999999</v>
      </c>
      <c r="H2753" s="2">
        <f t="shared" si="257"/>
        <v>966804.83499999996</v>
      </c>
    </row>
    <row r="2754" spans="1:8" x14ac:dyDescent="0.35">
      <c r="A2754" s="2">
        <v>565</v>
      </c>
      <c r="B2754" s="2">
        <v>29041</v>
      </c>
      <c r="C2754" s="2">
        <f t="shared" si="252"/>
        <v>2.9041000000000001</v>
      </c>
      <c r="D2754" s="2">
        <f t="shared" si="253"/>
        <v>319225</v>
      </c>
      <c r="E2754" s="2">
        <f t="shared" si="254"/>
        <v>180362125</v>
      </c>
      <c r="F2754" s="2">
        <f t="shared" si="255"/>
        <v>101904600625</v>
      </c>
      <c r="G2754" s="2">
        <f t="shared" si="256"/>
        <v>1640.8165000000001</v>
      </c>
      <c r="H2754" s="2">
        <f t="shared" si="257"/>
        <v>927061.32250000001</v>
      </c>
    </row>
    <row r="2755" spans="1:8" x14ac:dyDescent="0.35">
      <c r="A2755" s="2">
        <v>565</v>
      </c>
      <c r="B2755" s="2">
        <v>35595</v>
      </c>
      <c r="C2755" s="2">
        <f t="shared" ref="C2755:C2818" si="258">B2755/10000</f>
        <v>3.5594999999999999</v>
      </c>
      <c r="D2755" s="2">
        <f t="shared" ref="D2755:D2818" si="259">A2755^2</f>
        <v>319225</v>
      </c>
      <c r="E2755" s="2">
        <f t="shared" ref="E2755:E2818" si="260">A2755^3</f>
        <v>180362125</v>
      </c>
      <c r="F2755" s="2">
        <f t="shared" ref="F2755:F2818" si="261">A2755^4</f>
        <v>101904600625</v>
      </c>
      <c r="G2755" s="2">
        <f t="shared" ref="G2755:G2818" si="262">A2755*C2755</f>
        <v>2011.1174999999998</v>
      </c>
      <c r="H2755" s="2">
        <f t="shared" ref="H2755:H2818" si="263">D2755*C2755</f>
        <v>1136281.3875</v>
      </c>
    </row>
    <row r="2756" spans="1:8" x14ac:dyDescent="0.35">
      <c r="A2756" s="2">
        <v>565</v>
      </c>
      <c r="B2756" s="2">
        <v>36548</v>
      </c>
      <c r="C2756" s="2">
        <f t="shared" si="258"/>
        <v>3.6547999999999998</v>
      </c>
      <c r="D2756" s="2">
        <f t="shared" si="259"/>
        <v>319225</v>
      </c>
      <c r="E2756" s="2">
        <f t="shared" si="260"/>
        <v>180362125</v>
      </c>
      <c r="F2756" s="2">
        <f t="shared" si="261"/>
        <v>101904600625</v>
      </c>
      <c r="G2756" s="2">
        <f t="shared" si="262"/>
        <v>2064.962</v>
      </c>
      <c r="H2756" s="2">
        <f t="shared" si="263"/>
        <v>1166703.53</v>
      </c>
    </row>
    <row r="2757" spans="1:8" x14ac:dyDescent="0.35">
      <c r="A2757" s="2">
        <v>565</v>
      </c>
      <c r="B2757" s="2">
        <v>39894</v>
      </c>
      <c r="C2757" s="2">
        <f t="shared" si="258"/>
        <v>3.9893999999999998</v>
      </c>
      <c r="D2757" s="2">
        <f t="shared" si="259"/>
        <v>319225</v>
      </c>
      <c r="E2757" s="2">
        <f t="shared" si="260"/>
        <v>180362125</v>
      </c>
      <c r="F2757" s="2">
        <f t="shared" si="261"/>
        <v>101904600625</v>
      </c>
      <c r="G2757" s="2">
        <f t="shared" si="262"/>
        <v>2254.011</v>
      </c>
      <c r="H2757" s="2">
        <f t="shared" si="263"/>
        <v>1273516.2149999999</v>
      </c>
    </row>
    <row r="2758" spans="1:8" x14ac:dyDescent="0.35">
      <c r="A2758" s="2">
        <v>565</v>
      </c>
      <c r="B2758" s="2">
        <v>37746</v>
      </c>
      <c r="C2758" s="2">
        <f t="shared" si="258"/>
        <v>3.7746</v>
      </c>
      <c r="D2758" s="2">
        <f t="shared" si="259"/>
        <v>319225</v>
      </c>
      <c r="E2758" s="2">
        <f t="shared" si="260"/>
        <v>180362125</v>
      </c>
      <c r="F2758" s="2">
        <f t="shared" si="261"/>
        <v>101904600625</v>
      </c>
      <c r="G2758" s="2">
        <f t="shared" si="262"/>
        <v>2132.6489999999999</v>
      </c>
      <c r="H2758" s="2">
        <f t="shared" si="263"/>
        <v>1204946.6850000001</v>
      </c>
    </row>
    <row r="2759" spans="1:8" x14ac:dyDescent="0.35">
      <c r="A2759" s="2">
        <v>565</v>
      </c>
      <c r="B2759" s="2">
        <v>43458</v>
      </c>
      <c r="C2759" s="2">
        <f t="shared" si="258"/>
        <v>4.3457999999999997</v>
      </c>
      <c r="D2759" s="2">
        <f t="shared" si="259"/>
        <v>319225</v>
      </c>
      <c r="E2759" s="2">
        <f t="shared" si="260"/>
        <v>180362125</v>
      </c>
      <c r="F2759" s="2">
        <f t="shared" si="261"/>
        <v>101904600625</v>
      </c>
      <c r="G2759" s="2">
        <f t="shared" si="262"/>
        <v>2455.377</v>
      </c>
      <c r="H2759" s="2">
        <f t="shared" si="263"/>
        <v>1387288.0049999999</v>
      </c>
    </row>
    <row r="2760" spans="1:8" x14ac:dyDescent="0.35">
      <c r="A2760" s="2">
        <v>565</v>
      </c>
      <c r="B2760" s="2">
        <v>46065</v>
      </c>
      <c r="C2760" s="2">
        <f t="shared" si="258"/>
        <v>4.6064999999999996</v>
      </c>
      <c r="D2760" s="2">
        <f t="shared" si="259"/>
        <v>319225</v>
      </c>
      <c r="E2760" s="2">
        <f t="shared" si="260"/>
        <v>180362125</v>
      </c>
      <c r="F2760" s="2">
        <f t="shared" si="261"/>
        <v>101904600625</v>
      </c>
      <c r="G2760" s="2">
        <f t="shared" si="262"/>
        <v>2602.6724999999997</v>
      </c>
      <c r="H2760" s="2">
        <f t="shared" si="263"/>
        <v>1470509.9624999999</v>
      </c>
    </row>
    <row r="2761" spans="1:8" x14ac:dyDescent="0.35">
      <c r="A2761" s="2">
        <v>565</v>
      </c>
      <c r="B2761" s="2">
        <v>51185</v>
      </c>
      <c r="C2761" s="2">
        <f t="shared" si="258"/>
        <v>5.1185</v>
      </c>
      <c r="D2761" s="2">
        <f t="shared" si="259"/>
        <v>319225</v>
      </c>
      <c r="E2761" s="2">
        <f t="shared" si="260"/>
        <v>180362125</v>
      </c>
      <c r="F2761" s="2">
        <f t="shared" si="261"/>
        <v>101904600625</v>
      </c>
      <c r="G2761" s="2">
        <f t="shared" si="262"/>
        <v>2891.9524999999999</v>
      </c>
      <c r="H2761" s="2">
        <f t="shared" si="263"/>
        <v>1633953.1625000001</v>
      </c>
    </row>
    <row r="2762" spans="1:8" x14ac:dyDescent="0.35">
      <c r="A2762" s="2">
        <v>565</v>
      </c>
      <c r="B2762" s="2">
        <v>50859</v>
      </c>
      <c r="C2762" s="2">
        <f t="shared" si="258"/>
        <v>5.0858999999999996</v>
      </c>
      <c r="D2762" s="2">
        <f t="shared" si="259"/>
        <v>319225</v>
      </c>
      <c r="E2762" s="2">
        <f t="shared" si="260"/>
        <v>180362125</v>
      </c>
      <c r="F2762" s="2">
        <f t="shared" si="261"/>
        <v>101904600625</v>
      </c>
      <c r="G2762" s="2">
        <f t="shared" si="262"/>
        <v>2873.5335</v>
      </c>
      <c r="H2762" s="2">
        <f t="shared" si="263"/>
        <v>1623546.4275</v>
      </c>
    </row>
    <row r="2763" spans="1:8" x14ac:dyDescent="0.35">
      <c r="A2763" s="2">
        <v>565</v>
      </c>
      <c r="B2763" s="2">
        <v>58327</v>
      </c>
      <c r="C2763" s="2">
        <f t="shared" si="258"/>
        <v>5.8327</v>
      </c>
      <c r="D2763" s="2">
        <f t="shared" si="259"/>
        <v>319225</v>
      </c>
      <c r="E2763" s="2">
        <f t="shared" si="260"/>
        <v>180362125</v>
      </c>
      <c r="F2763" s="2">
        <f t="shared" si="261"/>
        <v>101904600625</v>
      </c>
      <c r="G2763" s="2">
        <f t="shared" si="262"/>
        <v>3295.4755</v>
      </c>
      <c r="H2763" s="2">
        <f t="shared" si="263"/>
        <v>1861943.6575</v>
      </c>
    </row>
    <row r="2764" spans="1:8" x14ac:dyDescent="0.35">
      <c r="A2764" s="2">
        <v>565</v>
      </c>
      <c r="B2764" s="2">
        <v>50512</v>
      </c>
      <c r="C2764" s="2">
        <f t="shared" si="258"/>
        <v>5.0511999999999997</v>
      </c>
      <c r="D2764" s="2">
        <f t="shared" si="259"/>
        <v>319225</v>
      </c>
      <c r="E2764" s="2">
        <f t="shared" si="260"/>
        <v>180362125</v>
      </c>
      <c r="F2764" s="2">
        <f t="shared" si="261"/>
        <v>101904600625</v>
      </c>
      <c r="G2764" s="2">
        <f t="shared" si="262"/>
        <v>2853.9279999999999</v>
      </c>
      <c r="H2764" s="2">
        <f t="shared" si="263"/>
        <v>1612469.3199999998</v>
      </c>
    </row>
    <row r="2765" spans="1:8" x14ac:dyDescent="0.35">
      <c r="A2765" s="2">
        <v>565</v>
      </c>
      <c r="B2765" s="2">
        <v>57399</v>
      </c>
      <c r="C2765" s="2">
        <f t="shared" si="258"/>
        <v>5.7398999999999996</v>
      </c>
      <c r="D2765" s="2">
        <f t="shared" si="259"/>
        <v>319225</v>
      </c>
      <c r="E2765" s="2">
        <f t="shared" si="260"/>
        <v>180362125</v>
      </c>
      <c r="F2765" s="2">
        <f t="shared" si="261"/>
        <v>101904600625</v>
      </c>
      <c r="G2765" s="2">
        <f t="shared" si="262"/>
        <v>3243.0434999999998</v>
      </c>
      <c r="H2765" s="2">
        <f t="shared" si="263"/>
        <v>1832319.5774999999</v>
      </c>
    </row>
    <row r="2766" spans="1:8" x14ac:dyDescent="0.35">
      <c r="A2766" s="2">
        <v>565</v>
      </c>
      <c r="B2766" s="2">
        <v>61938</v>
      </c>
      <c r="C2766" s="2">
        <f t="shared" si="258"/>
        <v>6.1938000000000004</v>
      </c>
      <c r="D2766" s="2">
        <f t="shared" si="259"/>
        <v>319225</v>
      </c>
      <c r="E2766" s="2">
        <f t="shared" si="260"/>
        <v>180362125</v>
      </c>
      <c r="F2766" s="2">
        <f t="shared" si="261"/>
        <v>101904600625</v>
      </c>
      <c r="G2766" s="2">
        <f t="shared" si="262"/>
        <v>3499.4970000000003</v>
      </c>
      <c r="H2766" s="2">
        <f t="shared" si="263"/>
        <v>1977215.8050000002</v>
      </c>
    </row>
    <row r="2767" spans="1:8" x14ac:dyDescent="0.35">
      <c r="A2767" s="2">
        <v>565</v>
      </c>
      <c r="B2767" s="2">
        <v>59938</v>
      </c>
      <c r="C2767" s="2">
        <f t="shared" si="258"/>
        <v>5.9938000000000002</v>
      </c>
      <c r="D2767" s="2">
        <f t="shared" si="259"/>
        <v>319225</v>
      </c>
      <c r="E2767" s="2">
        <f t="shared" si="260"/>
        <v>180362125</v>
      </c>
      <c r="F2767" s="2">
        <f t="shared" si="261"/>
        <v>101904600625</v>
      </c>
      <c r="G2767" s="2">
        <f t="shared" si="262"/>
        <v>3386.4970000000003</v>
      </c>
      <c r="H2767" s="2">
        <f t="shared" si="263"/>
        <v>1913370.8050000002</v>
      </c>
    </row>
    <row r="2768" spans="1:8" x14ac:dyDescent="0.35">
      <c r="A2768" s="2">
        <v>565</v>
      </c>
      <c r="B2768" s="2">
        <v>49882</v>
      </c>
      <c r="C2768" s="2">
        <f t="shared" si="258"/>
        <v>4.9882</v>
      </c>
      <c r="D2768" s="2">
        <f t="shared" si="259"/>
        <v>319225</v>
      </c>
      <c r="E2768" s="2">
        <f t="shared" si="260"/>
        <v>180362125</v>
      </c>
      <c r="F2768" s="2">
        <f t="shared" si="261"/>
        <v>101904600625</v>
      </c>
      <c r="G2768" s="2">
        <f t="shared" si="262"/>
        <v>2818.3330000000001</v>
      </c>
      <c r="H2768" s="2">
        <f t="shared" si="263"/>
        <v>1592358.145</v>
      </c>
    </row>
    <row r="2769" spans="1:8" x14ac:dyDescent="0.35">
      <c r="A2769" s="2">
        <v>565</v>
      </c>
      <c r="B2769" s="2">
        <v>53427</v>
      </c>
      <c r="C2769" s="2">
        <f t="shared" si="258"/>
        <v>5.3426999999999998</v>
      </c>
      <c r="D2769" s="2">
        <f t="shared" si="259"/>
        <v>319225</v>
      </c>
      <c r="E2769" s="2">
        <f t="shared" si="260"/>
        <v>180362125</v>
      </c>
      <c r="F2769" s="2">
        <f t="shared" si="261"/>
        <v>101904600625</v>
      </c>
      <c r="G2769" s="2">
        <f t="shared" si="262"/>
        <v>3018.6255000000001</v>
      </c>
      <c r="H2769" s="2">
        <f t="shared" si="263"/>
        <v>1705523.4075</v>
      </c>
    </row>
    <row r="2770" spans="1:8" x14ac:dyDescent="0.35">
      <c r="A2770" s="2">
        <v>565</v>
      </c>
      <c r="B2770" s="2">
        <v>53917</v>
      </c>
      <c r="C2770" s="2">
        <f t="shared" si="258"/>
        <v>5.3917000000000002</v>
      </c>
      <c r="D2770" s="2">
        <f t="shared" si="259"/>
        <v>319225</v>
      </c>
      <c r="E2770" s="2">
        <f t="shared" si="260"/>
        <v>180362125</v>
      </c>
      <c r="F2770" s="2">
        <f t="shared" si="261"/>
        <v>101904600625</v>
      </c>
      <c r="G2770" s="2">
        <f t="shared" si="262"/>
        <v>3046.3105</v>
      </c>
      <c r="H2770" s="2">
        <f t="shared" si="263"/>
        <v>1721165.4325000001</v>
      </c>
    </row>
    <row r="2771" spans="1:8" x14ac:dyDescent="0.35">
      <c r="A2771" s="2">
        <v>1300</v>
      </c>
      <c r="B2771" s="2">
        <v>49535</v>
      </c>
      <c r="C2771" s="2">
        <f t="shared" si="258"/>
        <v>4.9535</v>
      </c>
      <c r="D2771" s="2">
        <f t="shared" si="259"/>
        <v>1690000</v>
      </c>
      <c r="E2771" s="2">
        <f t="shared" si="260"/>
        <v>2197000000</v>
      </c>
      <c r="F2771" s="2">
        <f t="shared" si="261"/>
        <v>2856100000000</v>
      </c>
      <c r="G2771" s="2">
        <f t="shared" si="262"/>
        <v>6439.55</v>
      </c>
      <c r="H2771" s="2">
        <f t="shared" si="263"/>
        <v>8371415</v>
      </c>
    </row>
    <row r="2772" spans="1:8" x14ac:dyDescent="0.35">
      <c r="A2772" s="2">
        <v>1300</v>
      </c>
      <c r="B2772" s="2">
        <v>47842</v>
      </c>
      <c r="C2772" s="2">
        <f t="shared" si="258"/>
        <v>4.7842000000000002</v>
      </c>
      <c r="D2772" s="2">
        <f t="shared" si="259"/>
        <v>1690000</v>
      </c>
      <c r="E2772" s="2">
        <f t="shared" si="260"/>
        <v>2197000000</v>
      </c>
      <c r="F2772" s="2">
        <f t="shared" si="261"/>
        <v>2856100000000</v>
      </c>
      <c r="G2772" s="2">
        <f t="shared" si="262"/>
        <v>6219.46</v>
      </c>
      <c r="H2772" s="2">
        <f t="shared" si="263"/>
        <v>8085298</v>
      </c>
    </row>
    <row r="2773" spans="1:8" x14ac:dyDescent="0.35">
      <c r="A2773" s="2">
        <v>1300</v>
      </c>
      <c r="B2773" s="2">
        <v>42253</v>
      </c>
      <c r="C2773" s="2">
        <f t="shared" si="258"/>
        <v>4.2252999999999998</v>
      </c>
      <c r="D2773" s="2">
        <f t="shared" si="259"/>
        <v>1690000</v>
      </c>
      <c r="E2773" s="2">
        <f t="shared" si="260"/>
        <v>2197000000</v>
      </c>
      <c r="F2773" s="2">
        <f t="shared" si="261"/>
        <v>2856100000000</v>
      </c>
      <c r="G2773" s="2">
        <f t="shared" si="262"/>
        <v>5492.8899999999994</v>
      </c>
      <c r="H2773" s="2">
        <f t="shared" si="263"/>
        <v>7140757</v>
      </c>
    </row>
    <row r="2774" spans="1:8" x14ac:dyDescent="0.35">
      <c r="A2774" s="2">
        <v>1300</v>
      </c>
      <c r="B2774" s="2">
        <v>56445</v>
      </c>
      <c r="C2774" s="2">
        <f t="shared" si="258"/>
        <v>5.6444999999999999</v>
      </c>
      <c r="D2774" s="2">
        <f t="shared" si="259"/>
        <v>1690000</v>
      </c>
      <c r="E2774" s="2">
        <f t="shared" si="260"/>
        <v>2197000000</v>
      </c>
      <c r="F2774" s="2">
        <f t="shared" si="261"/>
        <v>2856100000000</v>
      </c>
      <c r="G2774" s="2">
        <f t="shared" si="262"/>
        <v>7337.8499999999995</v>
      </c>
      <c r="H2774" s="2">
        <f t="shared" si="263"/>
        <v>9539205</v>
      </c>
    </row>
    <row r="2775" spans="1:8" x14ac:dyDescent="0.35">
      <c r="A2775" s="2">
        <v>1300</v>
      </c>
      <c r="B2775" s="2">
        <v>44474</v>
      </c>
      <c r="C2775" s="2">
        <f t="shared" si="258"/>
        <v>4.4474</v>
      </c>
      <c r="D2775" s="2">
        <f t="shared" si="259"/>
        <v>1690000</v>
      </c>
      <c r="E2775" s="2">
        <f t="shared" si="260"/>
        <v>2197000000</v>
      </c>
      <c r="F2775" s="2">
        <f t="shared" si="261"/>
        <v>2856100000000</v>
      </c>
      <c r="G2775" s="2">
        <f t="shared" si="262"/>
        <v>5781.62</v>
      </c>
      <c r="H2775" s="2">
        <f t="shared" si="263"/>
        <v>7516106</v>
      </c>
    </row>
    <row r="2776" spans="1:8" x14ac:dyDescent="0.35">
      <c r="A2776" s="2">
        <v>1300</v>
      </c>
      <c r="B2776" s="2">
        <v>47767</v>
      </c>
      <c r="C2776" s="2">
        <f t="shared" si="258"/>
        <v>4.7766999999999999</v>
      </c>
      <c r="D2776" s="2">
        <f t="shared" si="259"/>
        <v>1690000</v>
      </c>
      <c r="E2776" s="2">
        <f t="shared" si="260"/>
        <v>2197000000</v>
      </c>
      <c r="F2776" s="2">
        <f t="shared" si="261"/>
        <v>2856100000000</v>
      </c>
      <c r="G2776" s="2">
        <f t="shared" si="262"/>
        <v>6209.71</v>
      </c>
      <c r="H2776" s="2">
        <f t="shared" si="263"/>
        <v>8072623</v>
      </c>
    </row>
    <row r="2777" spans="1:8" x14ac:dyDescent="0.35">
      <c r="A2777" s="2">
        <v>1300</v>
      </c>
      <c r="B2777" s="2">
        <v>47557</v>
      </c>
      <c r="C2777" s="2">
        <f t="shared" si="258"/>
        <v>4.7557</v>
      </c>
      <c r="D2777" s="2">
        <f t="shared" si="259"/>
        <v>1690000</v>
      </c>
      <c r="E2777" s="2">
        <f t="shared" si="260"/>
        <v>2197000000</v>
      </c>
      <c r="F2777" s="2">
        <f t="shared" si="261"/>
        <v>2856100000000</v>
      </c>
      <c r="G2777" s="2">
        <f t="shared" si="262"/>
        <v>6182.41</v>
      </c>
      <c r="H2777" s="2">
        <f t="shared" si="263"/>
        <v>8037133</v>
      </c>
    </row>
    <row r="2778" spans="1:8" x14ac:dyDescent="0.35">
      <c r="A2778" s="2">
        <v>1300</v>
      </c>
      <c r="B2778" s="2">
        <v>51717</v>
      </c>
      <c r="C2778" s="2">
        <f t="shared" si="258"/>
        <v>5.1717000000000004</v>
      </c>
      <c r="D2778" s="2">
        <f t="shared" si="259"/>
        <v>1690000</v>
      </c>
      <c r="E2778" s="2">
        <f t="shared" si="260"/>
        <v>2197000000</v>
      </c>
      <c r="F2778" s="2">
        <f t="shared" si="261"/>
        <v>2856100000000</v>
      </c>
      <c r="G2778" s="2">
        <f t="shared" si="262"/>
        <v>6723.2100000000009</v>
      </c>
      <c r="H2778" s="2">
        <f t="shared" si="263"/>
        <v>8740173</v>
      </c>
    </row>
    <row r="2779" spans="1:8" x14ac:dyDescent="0.35">
      <c r="A2779" s="2">
        <v>1300</v>
      </c>
      <c r="B2779" s="2">
        <v>49158</v>
      </c>
      <c r="C2779" s="2">
        <f t="shared" si="258"/>
        <v>4.9157999999999999</v>
      </c>
      <c r="D2779" s="2">
        <f t="shared" si="259"/>
        <v>1690000</v>
      </c>
      <c r="E2779" s="2">
        <f t="shared" si="260"/>
        <v>2197000000</v>
      </c>
      <c r="F2779" s="2">
        <f t="shared" si="261"/>
        <v>2856100000000</v>
      </c>
      <c r="G2779" s="2">
        <f t="shared" si="262"/>
        <v>6390.54</v>
      </c>
      <c r="H2779" s="2">
        <f t="shared" si="263"/>
        <v>8307702</v>
      </c>
    </row>
    <row r="2780" spans="1:8" x14ac:dyDescent="0.35">
      <c r="A2780" s="2">
        <v>1300</v>
      </c>
      <c r="B2780" s="2">
        <v>55099</v>
      </c>
      <c r="C2780" s="2">
        <f t="shared" si="258"/>
        <v>5.5099</v>
      </c>
      <c r="D2780" s="2">
        <f t="shared" si="259"/>
        <v>1690000</v>
      </c>
      <c r="E2780" s="2">
        <f t="shared" si="260"/>
        <v>2197000000</v>
      </c>
      <c r="F2780" s="2">
        <f t="shared" si="261"/>
        <v>2856100000000</v>
      </c>
      <c r="G2780" s="2">
        <f t="shared" si="262"/>
        <v>7162.87</v>
      </c>
      <c r="H2780" s="2">
        <f t="shared" si="263"/>
        <v>9311731</v>
      </c>
    </row>
    <row r="2781" spans="1:8" x14ac:dyDescent="0.35">
      <c r="A2781" s="2">
        <v>1300</v>
      </c>
      <c r="B2781" s="2">
        <v>64684</v>
      </c>
      <c r="C2781" s="2">
        <f t="shared" si="258"/>
        <v>6.4683999999999999</v>
      </c>
      <c r="D2781" s="2">
        <f t="shared" si="259"/>
        <v>1690000</v>
      </c>
      <c r="E2781" s="2">
        <f t="shared" si="260"/>
        <v>2197000000</v>
      </c>
      <c r="F2781" s="2">
        <f t="shared" si="261"/>
        <v>2856100000000</v>
      </c>
      <c r="G2781" s="2">
        <f t="shared" si="262"/>
        <v>8408.92</v>
      </c>
      <c r="H2781" s="2">
        <f t="shared" si="263"/>
        <v>10931596</v>
      </c>
    </row>
    <row r="2782" spans="1:8" x14ac:dyDescent="0.35">
      <c r="A2782" s="2">
        <v>1300</v>
      </c>
      <c r="B2782" s="2">
        <v>65839</v>
      </c>
      <c r="C2782" s="2">
        <f t="shared" si="258"/>
        <v>6.5838999999999999</v>
      </c>
      <c r="D2782" s="2">
        <f t="shared" si="259"/>
        <v>1690000</v>
      </c>
      <c r="E2782" s="2">
        <f t="shared" si="260"/>
        <v>2197000000</v>
      </c>
      <c r="F2782" s="2">
        <f t="shared" si="261"/>
        <v>2856100000000</v>
      </c>
      <c r="G2782" s="2">
        <f t="shared" si="262"/>
        <v>8559.07</v>
      </c>
      <c r="H2782" s="2">
        <f t="shared" si="263"/>
        <v>11126791</v>
      </c>
    </row>
    <row r="2783" spans="1:8" x14ac:dyDescent="0.35">
      <c r="A2783" s="2">
        <v>1300</v>
      </c>
      <c r="B2783" s="2">
        <v>50862</v>
      </c>
      <c r="C2783" s="2">
        <f t="shared" si="258"/>
        <v>5.0861999999999998</v>
      </c>
      <c r="D2783" s="2">
        <f t="shared" si="259"/>
        <v>1690000</v>
      </c>
      <c r="E2783" s="2">
        <f t="shared" si="260"/>
        <v>2197000000</v>
      </c>
      <c r="F2783" s="2">
        <f t="shared" si="261"/>
        <v>2856100000000</v>
      </c>
      <c r="G2783" s="2">
        <f t="shared" si="262"/>
        <v>6612.0599999999995</v>
      </c>
      <c r="H2783" s="2">
        <f t="shared" si="263"/>
        <v>8595678</v>
      </c>
    </row>
    <row r="2784" spans="1:8" x14ac:dyDescent="0.35">
      <c r="A2784" s="2">
        <v>1300</v>
      </c>
      <c r="B2784" s="2">
        <v>63830</v>
      </c>
      <c r="C2784" s="2">
        <f t="shared" si="258"/>
        <v>6.383</v>
      </c>
      <c r="D2784" s="2">
        <f t="shared" si="259"/>
        <v>1690000</v>
      </c>
      <c r="E2784" s="2">
        <f t="shared" si="260"/>
        <v>2197000000</v>
      </c>
      <c r="F2784" s="2">
        <f t="shared" si="261"/>
        <v>2856100000000</v>
      </c>
      <c r="G2784" s="2">
        <f t="shared" si="262"/>
        <v>8297.9</v>
      </c>
      <c r="H2784" s="2">
        <f t="shared" si="263"/>
        <v>10787270</v>
      </c>
    </row>
    <row r="2785" spans="1:8" x14ac:dyDescent="0.35">
      <c r="A2785" s="2">
        <v>1300</v>
      </c>
      <c r="B2785" s="2">
        <v>63840</v>
      </c>
      <c r="C2785" s="2">
        <f t="shared" si="258"/>
        <v>6.3840000000000003</v>
      </c>
      <c r="D2785" s="2">
        <f t="shared" si="259"/>
        <v>1690000</v>
      </c>
      <c r="E2785" s="2">
        <f t="shared" si="260"/>
        <v>2197000000</v>
      </c>
      <c r="F2785" s="2">
        <f t="shared" si="261"/>
        <v>2856100000000</v>
      </c>
      <c r="G2785" s="2">
        <f t="shared" si="262"/>
        <v>8299.2000000000007</v>
      </c>
      <c r="H2785" s="2">
        <f t="shared" si="263"/>
        <v>10788960</v>
      </c>
    </row>
    <row r="2786" spans="1:8" x14ac:dyDescent="0.35">
      <c r="A2786" s="2">
        <v>1300</v>
      </c>
      <c r="B2786" s="2">
        <v>67037</v>
      </c>
      <c r="C2786" s="2">
        <f t="shared" si="258"/>
        <v>6.7037000000000004</v>
      </c>
      <c r="D2786" s="2">
        <f t="shared" si="259"/>
        <v>1690000</v>
      </c>
      <c r="E2786" s="2">
        <f t="shared" si="260"/>
        <v>2197000000</v>
      </c>
      <c r="F2786" s="2">
        <f t="shared" si="261"/>
        <v>2856100000000</v>
      </c>
      <c r="G2786" s="2">
        <f t="shared" si="262"/>
        <v>8714.8100000000013</v>
      </c>
      <c r="H2786" s="2">
        <f t="shared" si="263"/>
        <v>11329253</v>
      </c>
    </row>
    <row r="2787" spans="1:8" x14ac:dyDescent="0.35">
      <c r="A2787" s="2">
        <v>1300</v>
      </c>
      <c r="B2787" s="2">
        <v>58632</v>
      </c>
      <c r="C2787" s="2">
        <f t="shared" si="258"/>
        <v>5.8632</v>
      </c>
      <c r="D2787" s="2">
        <f t="shared" si="259"/>
        <v>1690000</v>
      </c>
      <c r="E2787" s="2">
        <f t="shared" si="260"/>
        <v>2197000000</v>
      </c>
      <c r="F2787" s="2">
        <f t="shared" si="261"/>
        <v>2856100000000</v>
      </c>
      <c r="G2787" s="2">
        <f t="shared" si="262"/>
        <v>7622.16</v>
      </c>
      <c r="H2787" s="2">
        <f t="shared" si="263"/>
        <v>9908808</v>
      </c>
    </row>
    <row r="2788" spans="1:8" x14ac:dyDescent="0.35">
      <c r="A2788" s="2">
        <v>1300</v>
      </c>
      <c r="B2788" s="2">
        <v>67712</v>
      </c>
      <c r="C2788" s="2">
        <f t="shared" si="258"/>
        <v>6.7712000000000003</v>
      </c>
      <c r="D2788" s="2">
        <f t="shared" si="259"/>
        <v>1690000</v>
      </c>
      <c r="E2788" s="2">
        <f t="shared" si="260"/>
        <v>2197000000</v>
      </c>
      <c r="F2788" s="2">
        <f t="shared" si="261"/>
        <v>2856100000000</v>
      </c>
      <c r="G2788" s="2">
        <f t="shared" si="262"/>
        <v>8802.5600000000013</v>
      </c>
      <c r="H2788" s="2">
        <f t="shared" si="263"/>
        <v>11443328</v>
      </c>
    </row>
    <row r="2789" spans="1:8" x14ac:dyDescent="0.35">
      <c r="A2789" s="2">
        <v>1300</v>
      </c>
      <c r="B2789" s="2">
        <v>66005</v>
      </c>
      <c r="C2789" s="2">
        <f t="shared" si="258"/>
        <v>6.6005000000000003</v>
      </c>
      <c r="D2789" s="2">
        <f t="shared" si="259"/>
        <v>1690000</v>
      </c>
      <c r="E2789" s="2">
        <f t="shared" si="260"/>
        <v>2197000000</v>
      </c>
      <c r="F2789" s="2">
        <f t="shared" si="261"/>
        <v>2856100000000</v>
      </c>
      <c r="G2789" s="2">
        <f t="shared" si="262"/>
        <v>8580.65</v>
      </c>
      <c r="H2789" s="2">
        <f t="shared" si="263"/>
        <v>11154845</v>
      </c>
    </row>
    <row r="2790" spans="1:8" x14ac:dyDescent="0.35">
      <c r="A2790" s="2">
        <v>1300</v>
      </c>
      <c r="B2790" s="2">
        <v>72893</v>
      </c>
      <c r="C2790" s="2">
        <f t="shared" si="258"/>
        <v>7.2892999999999999</v>
      </c>
      <c r="D2790" s="2">
        <f t="shared" si="259"/>
        <v>1690000</v>
      </c>
      <c r="E2790" s="2">
        <f t="shared" si="260"/>
        <v>2197000000</v>
      </c>
      <c r="F2790" s="2">
        <f t="shared" si="261"/>
        <v>2856100000000</v>
      </c>
      <c r="G2790" s="2">
        <f t="shared" si="262"/>
        <v>9476.09</v>
      </c>
      <c r="H2790" s="2">
        <f t="shared" si="263"/>
        <v>12318917</v>
      </c>
    </row>
    <row r="2791" spans="1:8" x14ac:dyDescent="0.35">
      <c r="A2791" s="2">
        <v>1300</v>
      </c>
      <c r="B2791" s="2">
        <v>78796</v>
      </c>
      <c r="C2791" s="2">
        <f t="shared" si="258"/>
        <v>7.8795999999999999</v>
      </c>
      <c r="D2791" s="2">
        <f t="shared" si="259"/>
        <v>1690000</v>
      </c>
      <c r="E2791" s="2">
        <f t="shared" si="260"/>
        <v>2197000000</v>
      </c>
      <c r="F2791" s="2">
        <f t="shared" si="261"/>
        <v>2856100000000</v>
      </c>
      <c r="G2791" s="2">
        <f t="shared" si="262"/>
        <v>10243.48</v>
      </c>
      <c r="H2791" s="2">
        <f t="shared" si="263"/>
        <v>13316524</v>
      </c>
    </row>
    <row r="2792" spans="1:8" x14ac:dyDescent="0.35">
      <c r="A2792" s="2">
        <v>1300</v>
      </c>
      <c r="B2792" s="2">
        <v>78989</v>
      </c>
      <c r="C2792" s="2">
        <f t="shared" si="258"/>
        <v>7.8989000000000003</v>
      </c>
      <c r="D2792" s="2">
        <f t="shared" si="259"/>
        <v>1690000</v>
      </c>
      <c r="E2792" s="2">
        <f t="shared" si="260"/>
        <v>2197000000</v>
      </c>
      <c r="F2792" s="2">
        <f t="shared" si="261"/>
        <v>2856100000000</v>
      </c>
      <c r="G2792" s="2">
        <f t="shared" si="262"/>
        <v>10268.57</v>
      </c>
      <c r="H2792" s="2">
        <f t="shared" si="263"/>
        <v>13349141</v>
      </c>
    </row>
    <row r="2793" spans="1:8" x14ac:dyDescent="0.35">
      <c r="A2793" s="2">
        <v>1300</v>
      </c>
      <c r="B2793" s="2">
        <v>80100</v>
      </c>
      <c r="C2793" s="2">
        <f t="shared" si="258"/>
        <v>8.01</v>
      </c>
      <c r="D2793" s="2">
        <f t="shared" si="259"/>
        <v>1690000</v>
      </c>
      <c r="E2793" s="2">
        <f t="shared" si="260"/>
        <v>2197000000</v>
      </c>
      <c r="F2793" s="2">
        <f t="shared" si="261"/>
        <v>2856100000000</v>
      </c>
      <c r="G2793" s="2">
        <f t="shared" si="262"/>
        <v>10413</v>
      </c>
      <c r="H2793" s="2">
        <f t="shared" si="263"/>
        <v>13536900</v>
      </c>
    </row>
    <row r="2794" spans="1:8" x14ac:dyDescent="0.35">
      <c r="A2794" s="2">
        <v>1300</v>
      </c>
      <c r="B2794" s="2">
        <v>70954</v>
      </c>
      <c r="C2794" s="2">
        <f t="shared" si="258"/>
        <v>7.0953999999999997</v>
      </c>
      <c r="D2794" s="2">
        <f t="shared" si="259"/>
        <v>1690000</v>
      </c>
      <c r="E2794" s="2">
        <f t="shared" si="260"/>
        <v>2197000000</v>
      </c>
      <c r="F2794" s="2">
        <f t="shared" si="261"/>
        <v>2856100000000</v>
      </c>
      <c r="G2794" s="2">
        <f t="shared" si="262"/>
        <v>9224.02</v>
      </c>
      <c r="H2794" s="2">
        <f t="shared" si="263"/>
        <v>11991226</v>
      </c>
    </row>
    <row r="2795" spans="1:8" x14ac:dyDescent="0.35">
      <c r="A2795" s="2">
        <v>1300</v>
      </c>
      <c r="B2795" s="2">
        <v>83827</v>
      </c>
      <c r="C2795" s="2">
        <f t="shared" si="258"/>
        <v>8.3826999999999998</v>
      </c>
      <c r="D2795" s="2">
        <f t="shared" si="259"/>
        <v>1690000</v>
      </c>
      <c r="E2795" s="2">
        <f t="shared" si="260"/>
        <v>2197000000</v>
      </c>
      <c r="F2795" s="2">
        <f t="shared" si="261"/>
        <v>2856100000000</v>
      </c>
      <c r="G2795" s="2">
        <f t="shared" si="262"/>
        <v>10897.51</v>
      </c>
      <c r="H2795" s="2">
        <f t="shared" si="263"/>
        <v>14166763</v>
      </c>
    </row>
    <row r="2796" spans="1:8" x14ac:dyDescent="0.35">
      <c r="A2796" s="2">
        <v>1300</v>
      </c>
      <c r="B2796" s="2">
        <v>78513</v>
      </c>
      <c r="C2796" s="2">
        <f t="shared" si="258"/>
        <v>7.8513000000000002</v>
      </c>
      <c r="D2796" s="2">
        <f t="shared" si="259"/>
        <v>1690000</v>
      </c>
      <c r="E2796" s="2">
        <f t="shared" si="260"/>
        <v>2197000000</v>
      </c>
      <c r="F2796" s="2">
        <f t="shared" si="261"/>
        <v>2856100000000</v>
      </c>
      <c r="G2796" s="2">
        <f t="shared" si="262"/>
        <v>10206.69</v>
      </c>
      <c r="H2796" s="2">
        <f t="shared" si="263"/>
        <v>13268697</v>
      </c>
    </row>
    <row r="2797" spans="1:8" x14ac:dyDescent="0.35">
      <c r="A2797" s="2">
        <v>1300</v>
      </c>
      <c r="B2797" s="2">
        <v>78812</v>
      </c>
      <c r="C2797" s="2">
        <f t="shared" si="258"/>
        <v>7.8811999999999998</v>
      </c>
      <c r="D2797" s="2">
        <f t="shared" si="259"/>
        <v>1690000</v>
      </c>
      <c r="E2797" s="2">
        <f t="shared" si="260"/>
        <v>2197000000</v>
      </c>
      <c r="F2797" s="2">
        <f t="shared" si="261"/>
        <v>2856100000000</v>
      </c>
      <c r="G2797" s="2">
        <f t="shared" si="262"/>
        <v>10245.56</v>
      </c>
      <c r="H2797" s="2">
        <f t="shared" si="263"/>
        <v>13319228</v>
      </c>
    </row>
    <row r="2798" spans="1:8" x14ac:dyDescent="0.35">
      <c r="A2798" s="2">
        <v>1300</v>
      </c>
      <c r="B2798" s="2">
        <v>80544</v>
      </c>
      <c r="C2798" s="2">
        <f t="shared" si="258"/>
        <v>8.0543999999999993</v>
      </c>
      <c r="D2798" s="2">
        <f t="shared" si="259"/>
        <v>1690000</v>
      </c>
      <c r="E2798" s="2">
        <f t="shared" si="260"/>
        <v>2197000000</v>
      </c>
      <c r="F2798" s="2">
        <f t="shared" si="261"/>
        <v>2856100000000</v>
      </c>
      <c r="G2798" s="2">
        <f t="shared" si="262"/>
        <v>10470.719999999999</v>
      </c>
      <c r="H2798" s="2">
        <f t="shared" si="263"/>
        <v>13611935.999999998</v>
      </c>
    </row>
    <row r="2799" spans="1:8" x14ac:dyDescent="0.35">
      <c r="A2799" s="2">
        <v>1300</v>
      </c>
      <c r="B2799" s="2">
        <v>80896</v>
      </c>
      <c r="C2799" s="2">
        <f t="shared" si="258"/>
        <v>8.0896000000000008</v>
      </c>
      <c r="D2799" s="2">
        <f t="shared" si="259"/>
        <v>1690000</v>
      </c>
      <c r="E2799" s="2">
        <f t="shared" si="260"/>
        <v>2197000000</v>
      </c>
      <c r="F2799" s="2">
        <f t="shared" si="261"/>
        <v>2856100000000</v>
      </c>
      <c r="G2799" s="2">
        <f t="shared" si="262"/>
        <v>10516.480000000001</v>
      </c>
      <c r="H2799" s="2">
        <f t="shared" si="263"/>
        <v>13671424.000000002</v>
      </c>
    </row>
    <row r="2800" spans="1:8" x14ac:dyDescent="0.35">
      <c r="A2800" s="2">
        <v>1300</v>
      </c>
      <c r="B2800" s="2">
        <v>85690</v>
      </c>
      <c r="C2800" s="2">
        <f t="shared" si="258"/>
        <v>8.5690000000000008</v>
      </c>
      <c r="D2800" s="2">
        <f t="shared" si="259"/>
        <v>1690000</v>
      </c>
      <c r="E2800" s="2">
        <f t="shared" si="260"/>
        <v>2197000000</v>
      </c>
      <c r="F2800" s="2">
        <f t="shared" si="261"/>
        <v>2856100000000</v>
      </c>
      <c r="G2800" s="2">
        <f t="shared" si="262"/>
        <v>11139.7</v>
      </c>
      <c r="H2800" s="2">
        <f t="shared" si="263"/>
        <v>14481610.000000002</v>
      </c>
    </row>
    <row r="2801" spans="1:8" x14ac:dyDescent="0.35">
      <c r="A2801" s="2">
        <v>206</v>
      </c>
      <c r="B2801" s="2">
        <v>32029</v>
      </c>
      <c r="C2801" s="2">
        <f t="shared" si="258"/>
        <v>3.2029000000000001</v>
      </c>
      <c r="D2801" s="2">
        <f t="shared" si="259"/>
        <v>42436</v>
      </c>
      <c r="E2801" s="2">
        <f t="shared" si="260"/>
        <v>8741816</v>
      </c>
      <c r="F2801" s="2">
        <f t="shared" si="261"/>
        <v>1800814096</v>
      </c>
      <c r="G2801" s="2">
        <f t="shared" si="262"/>
        <v>659.79740000000004</v>
      </c>
      <c r="H2801" s="2">
        <f t="shared" si="263"/>
        <v>135918.26440000001</v>
      </c>
    </row>
    <row r="2802" spans="1:8" x14ac:dyDescent="0.35">
      <c r="A2802" s="2">
        <v>206</v>
      </c>
      <c r="B2802" s="2">
        <v>32191</v>
      </c>
      <c r="C2802" s="2">
        <f t="shared" si="258"/>
        <v>3.2191000000000001</v>
      </c>
      <c r="D2802" s="2">
        <f t="shared" si="259"/>
        <v>42436</v>
      </c>
      <c r="E2802" s="2">
        <f t="shared" si="260"/>
        <v>8741816</v>
      </c>
      <c r="F2802" s="2">
        <f t="shared" si="261"/>
        <v>1800814096</v>
      </c>
      <c r="G2802" s="2">
        <f t="shared" si="262"/>
        <v>663.13459999999998</v>
      </c>
      <c r="H2802" s="2">
        <f t="shared" si="263"/>
        <v>136605.72760000001</v>
      </c>
    </row>
    <row r="2803" spans="1:8" x14ac:dyDescent="0.35">
      <c r="A2803" s="2">
        <v>206</v>
      </c>
      <c r="B2803" s="2">
        <v>31622</v>
      </c>
      <c r="C2803" s="2">
        <f t="shared" si="258"/>
        <v>3.1621999999999999</v>
      </c>
      <c r="D2803" s="2">
        <f t="shared" si="259"/>
        <v>42436</v>
      </c>
      <c r="E2803" s="2">
        <f t="shared" si="260"/>
        <v>8741816</v>
      </c>
      <c r="F2803" s="2">
        <f t="shared" si="261"/>
        <v>1800814096</v>
      </c>
      <c r="G2803" s="2">
        <f t="shared" si="262"/>
        <v>651.41319999999996</v>
      </c>
      <c r="H2803" s="2">
        <f t="shared" si="263"/>
        <v>134191.11919999999</v>
      </c>
    </row>
    <row r="2804" spans="1:8" x14ac:dyDescent="0.35">
      <c r="A2804" s="2">
        <v>206</v>
      </c>
      <c r="B2804" s="2">
        <v>19747</v>
      </c>
      <c r="C2804" s="2">
        <f t="shared" si="258"/>
        <v>1.9746999999999999</v>
      </c>
      <c r="D2804" s="2">
        <f t="shared" si="259"/>
        <v>42436</v>
      </c>
      <c r="E2804" s="2">
        <f t="shared" si="260"/>
        <v>8741816</v>
      </c>
      <c r="F2804" s="2">
        <f t="shared" si="261"/>
        <v>1800814096</v>
      </c>
      <c r="G2804" s="2">
        <f t="shared" si="262"/>
        <v>406.78819999999996</v>
      </c>
      <c r="H2804" s="2">
        <f t="shared" si="263"/>
        <v>83798.369200000001</v>
      </c>
    </row>
    <row r="2805" spans="1:8" x14ac:dyDescent="0.35">
      <c r="A2805" s="2">
        <v>206</v>
      </c>
      <c r="B2805" s="2">
        <v>19249</v>
      </c>
      <c r="C2805" s="2">
        <f t="shared" si="258"/>
        <v>1.9249000000000001</v>
      </c>
      <c r="D2805" s="2">
        <f t="shared" si="259"/>
        <v>42436</v>
      </c>
      <c r="E2805" s="2">
        <f t="shared" si="260"/>
        <v>8741816</v>
      </c>
      <c r="F2805" s="2">
        <f t="shared" si="261"/>
        <v>1800814096</v>
      </c>
      <c r="G2805" s="2">
        <f t="shared" si="262"/>
        <v>396.52940000000001</v>
      </c>
      <c r="H2805" s="2">
        <f t="shared" si="263"/>
        <v>81685.056400000001</v>
      </c>
    </row>
    <row r="2806" spans="1:8" x14ac:dyDescent="0.35">
      <c r="A2806" s="2">
        <v>206</v>
      </c>
      <c r="B2806" s="2">
        <v>21347</v>
      </c>
      <c r="C2806" s="2">
        <f t="shared" si="258"/>
        <v>2.1347</v>
      </c>
      <c r="D2806" s="2">
        <f t="shared" si="259"/>
        <v>42436</v>
      </c>
      <c r="E2806" s="2">
        <f t="shared" si="260"/>
        <v>8741816</v>
      </c>
      <c r="F2806" s="2">
        <f t="shared" si="261"/>
        <v>1800814096</v>
      </c>
      <c r="G2806" s="2">
        <f t="shared" si="262"/>
        <v>439.7482</v>
      </c>
      <c r="H2806" s="2">
        <f t="shared" si="263"/>
        <v>90588.129199999996</v>
      </c>
    </row>
    <row r="2807" spans="1:8" x14ac:dyDescent="0.35">
      <c r="A2807" s="2">
        <v>206</v>
      </c>
      <c r="B2807" s="2">
        <v>25121</v>
      </c>
      <c r="C2807" s="2">
        <f t="shared" si="258"/>
        <v>2.5121000000000002</v>
      </c>
      <c r="D2807" s="2">
        <f t="shared" si="259"/>
        <v>42436</v>
      </c>
      <c r="E2807" s="2">
        <f t="shared" si="260"/>
        <v>8741816</v>
      </c>
      <c r="F2807" s="2">
        <f t="shared" si="261"/>
        <v>1800814096</v>
      </c>
      <c r="G2807" s="2">
        <f t="shared" si="262"/>
        <v>517.49260000000004</v>
      </c>
      <c r="H2807" s="2">
        <f t="shared" si="263"/>
        <v>106603.47560000001</v>
      </c>
    </row>
    <row r="2808" spans="1:8" x14ac:dyDescent="0.35">
      <c r="A2808" s="2">
        <v>206</v>
      </c>
      <c r="B2808" s="2">
        <v>26973</v>
      </c>
      <c r="C2808" s="2">
        <f t="shared" si="258"/>
        <v>2.6972999999999998</v>
      </c>
      <c r="D2808" s="2">
        <f t="shared" si="259"/>
        <v>42436</v>
      </c>
      <c r="E2808" s="2">
        <f t="shared" si="260"/>
        <v>8741816</v>
      </c>
      <c r="F2808" s="2">
        <f t="shared" si="261"/>
        <v>1800814096</v>
      </c>
      <c r="G2808" s="2">
        <f t="shared" si="262"/>
        <v>555.64379999999994</v>
      </c>
      <c r="H2808" s="2">
        <f t="shared" si="263"/>
        <v>114462.6228</v>
      </c>
    </row>
    <row r="2809" spans="1:8" x14ac:dyDescent="0.35">
      <c r="A2809" s="2">
        <v>206</v>
      </c>
      <c r="B2809" s="2">
        <v>35224</v>
      </c>
      <c r="C2809" s="2">
        <f t="shared" si="258"/>
        <v>3.5224000000000002</v>
      </c>
      <c r="D2809" s="2">
        <f t="shared" si="259"/>
        <v>42436</v>
      </c>
      <c r="E2809" s="2">
        <f t="shared" si="260"/>
        <v>8741816</v>
      </c>
      <c r="F2809" s="2">
        <f t="shared" si="261"/>
        <v>1800814096</v>
      </c>
      <c r="G2809" s="2">
        <f t="shared" si="262"/>
        <v>725.61440000000005</v>
      </c>
      <c r="H2809" s="2">
        <f t="shared" si="263"/>
        <v>149476.56640000001</v>
      </c>
    </row>
    <row r="2810" spans="1:8" x14ac:dyDescent="0.35">
      <c r="A2810" s="2">
        <v>206</v>
      </c>
      <c r="B2810" s="2">
        <v>23256</v>
      </c>
      <c r="C2810" s="2">
        <f t="shared" si="258"/>
        <v>2.3256000000000001</v>
      </c>
      <c r="D2810" s="2">
        <f t="shared" si="259"/>
        <v>42436</v>
      </c>
      <c r="E2810" s="2">
        <f t="shared" si="260"/>
        <v>8741816</v>
      </c>
      <c r="F2810" s="2">
        <f t="shared" si="261"/>
        <v>1800814096</v>
      </c>
      <c r="G2810" s="2">
        <f t="shared" si="262"/>
        <v>479.0736</v>
      </c>
      <c r="H2810" s="2">
        <f t="shared" si="263"/>
        <v>98689.161600000007</v>
      </c>
    </row>
    <row r="2811" spans="1:8" x14ac:dyDescent="0.35">
      <c r="A2811" s="2">
        <v>206</v>
      </c>
      <c r="B2811" s="2">
        <v>52877</v>
      </c>
      <c r="C2811" s="2">
        <f t="shared" si="258"/>
        <v>5.2877000000000001</v>
      </c>
      <c r="D2811" s="2">
        <f t="shared" si="259"/>
        <v>42436</v>
      </c>
      <c r="E2811" s="2">
        <f t="shared" si="260"/>
        <v>8741816</v>
      </c>
      <c r="F2811" s="2">
        <f t="shared" si="261"/>
        <v>1800814096</v>
      </c>
      <c r="G2811" s="2">
        <f t="shared" si="262"/>
        <v>1089.2662</v>
      </c>
      <c r="H2811" s="2">
        <f t="shared" si="263"/>
        <v>224388.83720000001</v>
      </c>
    </row>
    <row r="2812" spans="1:8" x14ac:dyDescent="0.35">
      <c r="A2812" s="2">
        <v>206</v>
      </c>
      <c r="B2812" s="2">
        <v>28453</v>
      </c>
      <c r="C2812" s="2">
        <f t="shared" si="258"/>
        <v>2.8452999999999999</v>
      </c>
      <c r="D2812" s="2">
        <f t="shared" si="259"/>
        <v>42436</v>
      </c>
      <c r="E2812" s="2">
        <f t="shared" si="260"/>
        <v>8741816</v>
      </c>
      <c r="F2812" s="2">
        <f t="shared" si="261"/>
        <v>1800814096</v>
      </c>
      <c r="G2812" s="2">
        <f t="shared" si="262"/>
        <v>586.1318</v>
      </c>
      <c r="H2812" s="2">
        <f t="shared" si="263"/>
        <v>120743.1508</v>
      </c>
    </row>
    <row r="2813" spans="1:8" x14ac:dyDescent="0.35">
      <c r="A2813" s="2">
        <v>206</v>
      </c>
      <c r="B2813" s="2">
        <v>32717</v>
      </c>
      <c r="C2813" s="2">
        <f t="shared" si="258"/>
        <v>3.2717000000000001</v>
      </c>
      <c r="D2813" s="2">
        <f t="shared" si="259"/>
        <v>42436</v>
      </c>
      <c r="E2813" s="2">
        <f t="shared" si="260"/>
        <v>8741816</v>
      </c>
      <c r="F2813" s="2">
        <f t="shared" si="261"/>
        <v>1800814096</v>
      </c>
      <c r="G2813" s="2">
        <f t="shared" si="262"/>
        <v>673.97019999999998</v>
      </c>
      <c r="H2813" s="2">
        <f t="shared" si="263"/>
        <v>138837.86120000001</v>
      </c>
    </row>
    <row r="2814" spans="1:8" x14ac:dyDescent="0.35">
      <c r="A2814" s="2">
        <v>206</v>
      </c>
      <c r="B2814" s="2">
        <v>36927</v>
      </c>
      <c r="C2814" s="2">
        <f t="shared" si="258"/>
        <v>3.6926999999999999</v>
      </c>
      <c r="D2814" s="2">
        <f t="shared" si="259"/>
        <v>42436</v>
      </c>
      <c r="E2814" s="2">
        <f t="shared" si="260"/>
        <v>8741816</v>
      </c>
      <c r="F2814" s="2">
        <f t="shared" si="261"/>
        <v>1800814096</v>
      </c>
      <c r="G2814" s="2">
        <f t="shared" si="262"/>
        <v>760.69619999999998</v>
      </c>
      <c r="H2814" s="2">
        <f t="shared" si="263"/>
        <v>156703.4172</v>
      </c>
    </row>
    <row r="2815" spans="1:8" x14ac:dyDescent="0.35">
      <c r="A2815" s="2">
        <v>206</v>
      </c>
      <c r="B2815" s="2">
        <v>41208</v>
      </c>
      <c r="C2815" s="2">
        <f t="shared" si="258"/>
        <v>4.1208</v>
      </c>
      <c r="D2815" s="2">
        <f t="shared" si="259"/>
        <v>42436</v>
      </c>
      <c r="E2815" s="2">
        <f t="shared" si="260"/>
        <v>8741816</v>
      </c>
      <c r="F2815" s="2">
        <f t="shared" si="261"/>
        <v>1800814096</v>
      </c>
      <c r="G2815" s="2">
        <f t="shared" si="262"/>
        <v>848.88480000000004</v>
      </c>
      <c r="H2815" s="2">
        <f t="shared" si="263"/>
        <v>174870.26879999999</v>
      </c>
    </row>
    <row r="2816" spans="1:8" x14ac:dyDescent="0.35">
      <c r="A2816" s="2">
        <v>206</v>
      </c>
      <c r="B2816" s="2">
        <v>33639</v>
      </c>
      <c r="C2816" s="2">
        <f t="shared" si="258"/>
        <v>3.3639000000000001</v>
      </c>
      <c r="D2816" s="2">
        <f t="shared" si="259"/>
        <v>42436</v>
      </c>
      <c r="E2816" s="2">
        <f t="shared" si="260"/>
        <v>8741816</v>
      </c>
      <c r="F2816" s="2">
        <f t="shared" si="261"/>
        <v>1800814096</v>
      </c>
      <c r="G2816" s="2">
        <f t="shared" si="262"/>
        <v>692.96339999999998</v>
      </c>
      <c r="H2816" s="2">
        <f t="shared" si="263"/>
        <v>142750.46040000001</v>
      </c>
    </row>
    <row r="2817" spans="1:8" x14ac:dyDescent="0.35">
      <c r="A2817" s="2">
        <v>206</v>
      </c>
      <c r="B2817" s="2">
        <v>44656</v>
      </c>
      <c r="C2817" s="2">
        <f t="shared" si="258"/>
        <v>4.4656000000000002</v>
      </c>
      <c r="D2817" s="2">
        <f t="shared" si="259"/>
        <v>42436</v>
      </c>
      <c r="E2817" s="2">
        <f t="shared" si="260"/>
        <v>8741816</v>
      </c>
      <c r="F2817" s="2">
        <f t="shared" si="261"/>
        <v>1800814096</v>
      </c>
      <c r="G2817" s="2">
        <f t="shared" si="262"/>
        <v>919.91360000000009</v>
      </c>
      <c r="H2817" s="2">
        <f t="shared" si="263"/>
        <v>189502.2016</v>
      </c>
    </row>
    <row r="2818" spans="1:8" x14ac:dyDescent="0.35">
      <c r="A2818" s="2">
        <v>206</v>
      </c>
      <c r="B2818" s="2">
        <v>36098</v>
      </c>
      <c r="C2818" s="2">
        <f t="shared" si="258"/>
        <v>3.6097999999999999</v>
      </c>
      <c r="D2818" s="2">
        <f t="shared" si="259"/>
        <v>42436</v>
      </c>
      <c r="E2818" s="2">
        <f t="shared" si="260"/>
        <v>8741816</v>
      </c>
      <c r="F2818" s="2">
        <f t="shared" si="261"/>
        <v>1800814096</v>
      </c>
      <c r="G2818" s="2">
        <f t="shared" si="262"/>
        <v>743.61879999999996</v>
      </c>
      <c r="H2818" s="2">
        <f t="shared" si="263"/>
        <v>153185.47279999999</v>
      </c>
    </row>
    <row r="2819" spans="1:8" x14ac:dyDescent="0.35">
      <c r="A2819" s="2">
        <v>206</v>
      </c>
      <c r="B2819" s="2">
        <v>51843</v>
      </c>
      <c r="C2819" s="2">
        <f t="shared" ref="C2819:C2882" si="264">B2819/10000</f>
        <v>5.1843000000000004</v>
      </c>
      <c r="D2819" s="2">
        <f t="shared" ref="D2819:D2882" si="265">A2819^2</f>
        <v>42436</v>
      </c>
      <c r="E2819" s="2">
        <f t="shared" ref="E2819:E2882" si="266">A2819^3</f>
        <v>8741816</v>
      </c>
      <c r="F2819" s="2">
        <f t="shared" ref="F2819:F2882" si="267">A2819^4</f>
        <v>1800814096</v>
      </c>
      <c r="G2819" s="2">
        <f t="shared" ref="G2819:G2882" si="268">A2819*C2819</f>
        <v>1067.9658000000002</v>
      </c>
      <c r="H2819" s="2">
        <f t="shared" ref="H2819:H2882" si="269">D2819*C2819</f>
        <v>220000.95480000001</v>
      </c>
    </row>
    <row r="2820" spans="1:8" x14ac:dyDescent="0.35">
      <c r="A2820" s="2">
        <v>206</v>
      </c>
      <c r="B2820" s="2">
        <v>42689</v>
      </c>
      <c r="C2820" s="2">
        <f t="shared" si="264"/>
        <v>4.2689000000000004</v>
      </c>
      <c r="D2820" s="2">
        <f t="shared" si="265"/>
        <v>42436</v>
      </c>
      <c r="E2820" s="2">
        <f t="shared" si="266"/>
        <v>8741816</v>
      </c>
      <c r="F2820" s="2">
        <f t="shared" si="267"/>
        <v>1800814096</v>
      </c>
      <c r="G2820" s="2">
        <f t="shared" si="268"/>
        <v>879.39340000000004</v>
      </c>
      <c r="H2820" s="2">
        <f t="shared" si="269"/>
        <v>181155.04040000003</v>
      </c>
    </row>
    <row r="2821" spans="1:8" x14ac:dyDescent="0.35">
      <c r="A2821" s="2">
        <v>206</v>
      </c>
      <c r="B2821" s="2">
        <v>75773</v>
      </c>
      <c r="C2821" s="2">
        <f t="shared" si="264"/>
        <v>7.5773000000000001</v>
      </c>
      <c r="D2821" s="2">
        <f t="shared" si="265"/>
        <v>42436</v>
      </c>
      <c r="E2821" s="2">
        <f t="shared" si="266"/>
        <v>8741816</v>
      </c>
      <c r="F2821" s="2">
        <f t="shared" si="267"/>
        <v>1800814096</v>
      </c>
      <c r="G2821" s="2">
        <f t="shared" si="268"/>
        <v>1560.9238</v>
      </c>
      <c r="H2821" s="2">
        <f t="shared" si="269"/>
        <v>321550.3028</v>
      </c>
    </row>
    <row r="2822" spans="1:8" x14ac:dyDescent="0.35">
      <c r="A2822" s="2">
        <v>206</v>
      </c>
      <c r="B2822" s="2">
        <v>72971</v>
      </c>
      <c r="C2822" s="2">
        <f t="shared" si="264"/>
        <v>7.2971000000000004</v>
      </c>
      <c r="D2822" s="2">
        <f t="shared" si="265"/>
        <v>42436</v>
      </c>
      <c r="E2822" s="2">
        <f t="shared" si="266"/>
        <v>8741816</v>
      </c>
      <c r="F2822" s="2">
        <f t="shared" si="267"/>
        <v>1800814096</v>
      </c>
      <c r="G2822" s="2">
        <f t="shared" si="268"/>
        <v>1503.2026000000001</v>
      </c>
      <c r="H2822" s="2">
        <f t="shared" si="269"/>
        <v>309659.73560000001</v>
      </c>
    </row>
    <row r="2823" spans="1:8" x14ac:dyDescent="0.35">
      <c r="A2823" s="2">
        <v>206</v>
      </c>
      <c r="B2823" s="2">
        <v>60389</v>
      </c>
      <c r="C2823" s="2">
        <f t="shared" si="264"/>
        <v>6.0388999999999999</v>
      </c>
      <c r="D2823" s="2">
        <f t="shared" si="265"/>
        <v>42436</v>
      </c>
      <c r="E2823" s="2">
        <f t="shared" si="266"/>
        <v>8741816</v>
      </c>
      <c r="F2823" s="2">
        <f t="shared" si="267"/>
        <v>1800814096</v>
      </c>
      <c r="G2823" s="2">
        <f t="shared" si="268"/>
        <v>1244.0134</v>
      </c>
      <c r="H2823" s="2">
        <f t="shared" si="269"/>
        <v>256266.7604</v>
      </c>
    </row>
    <row r="2824" spans="1:8" x14ac:dyDescent="0.35">
      <c r="A2824" s="2">
        <v>206</v>
      </c>
      <c r="B2824" s="2">
        <v>29322</v>
      </c>
      <c r="C2824" s="2">
        <f t="shared" si="264"/>
        <v>2.9321999999999999</v>
      </c>
      <c r="D2824" s="2">
        <f t="shared" si="265"/>
        <v>42436</v>
      </c>
      <c r="E2824" s="2">
        <f t="shared" si="266"/>
        <v>8741816</v>
      </c>
      <c r="F2824" s="2">
        <f t="shared" si="267"/>
        <v>1800814096</v>
      </c>
      <c r="G2824" s="2">
        <f t="shared" si="268"/>
        <v>604.03319999999997</v>
      </c>
      <c r="H2824" s="2">
        <f t="shared" si="269"/>
        <v>124430.8392</v>
      </c>
    </row>
    <row r="2825" spans="1:8" x14ac:dyDescent="0.35">
      <c r="A2825" s="2">
        <v>1020</v>
      </c>
      <c r="B2825" s="2">
        <v>10497</v>
      </c>
      <c r="C2825" s="2">
        <f t="shared" si="264"/>
        <v>1.0497000000000001</v>
      </c>
      <c r="D2825" s="2">
        <f t="shared" si="265"/>
        <v>1040400</v>
      </c>
      <c r="E2825" s="2">
        <f t="shared" si="266"/>
        <v>1061208000</v>
      </c>
      <c r="F2825" s="2">
        <f t="shared" si="267"/>
        <v>1082432160000</v>
      </c>
      <c r="G2825" s="2">
        <f t="shared" si="268"/>
        <v>1070.6940000000002</v>
      </c>
      <c r="H2825" s="2">
        <f t="shared" si="269"/>
        <v>1092107.8800000001</v>
      </c>
    </row>
    <row r="2826" spans="1:8" x14ac:dyDescent="0.35">
      <c r="A2826" s="2">
        <v>1020</v>
      </c>
      <c r="B2826" s="2">
        <v>10772</v>
      </c>
      <c r="C2826" s="2">
        <f t="shared" si="264"/>
        <v>1.0771999999999999</v>
      </c>
      <c r="D2826" s="2">
        <f t="shared" si="265"/>
        <v>1040400</v>
      </c>
      <c r="E2826" s="2">
        <f t="shared" si="266"/>
        <v>1061208000</v>
      </c>
      <c r="F2826" s="2">
        <f t="shared" si="267"/>
        <v>1082432160000</v>
      </c>
      <c r="G2826" s="2">
        <f t="shared" si="268"/>
        <v>1098.7439999999999</v>
      </c>
      <c r="H2826" s="2">
        <f t="shared" si="269"/>
        <v>1120718.8799999999</v>
      </c>
    </row>
    <row r="2827" spans="1:8" x14ac:dyDescent="0.35">
      <c r="A2827" s="2">
        <v>1020</v>
      </c>
      <c r="B2827" s="2">
        <v>9486</v>
      </c>
      <c r="C2827" s="2">
        <f t="shared" si="264"/>
        <v>0.9486</v>
      </c>
      <c r="D2827" s="2">
        <f t="shared" si="265"/>
        <v>1040400</v>
      </c>
      <c r="E2827" s="2">
        <f t="shared" si="266"/>
        <v>1061208000</v>
      </c>
      <c r="F2827" s="2">
        <f t="shared" si="267"/>
        <v>1082432160000</v>
      </c>
      <c r="G2827" s="2">
        <f t="shared" si="268"/>
        <v>967.572</v>
      </c>
      <c r="H2827" s="2">
        <f t="shared" si="269"/>
        <v>986923.44</v>
      </c>
    </row>
    <row r="2828" spans="1:8" x14ac:dyDescent="0.35">
      <c r="A2828" s="2">
        <v>1020</v>
      </c>
      <c r="B2828" s="2">
        <v>9159</v>
      </c>
      <c r="C2828" s="2">
        <f t="shared" si="264"/>
        <v>0.91590000000000005</v>
      </c>
      <c r="D2828" s="2">
        <f t="shared" si="265"/>
        <v>1040400</v>
      </c>
      <c r="E2828" s="2">
        <f t="shared" si="266"/>
        <v>1061208000</v>
      </c>
      <c r="F2828" s="2">
        <f t="shared" si="267"/>
        <v>1082432160000</v>
      </c>
      <c r="G2828" s="2">
        <f t="shared" si="268"/>
        <v>934.21800000000007</v>
      </c>
      <c r="H2828" s="2">
        <f t="shared" si="269"/>
        <v>952902.3600000001</v>
      </c>
    </row>
    <row r="2829" spans="1:8" x14ac:dyDescent="0.35">
      <c r="A2829" s="2">
        <v>1020</v>
      </c>
      <c r="B2829" s="2">
        <v>9664</v>
      </c>
      <c r="C2829" s="2">
        <f t="shared" si="264"/>
        <v>0.96640000000000004</v>
      </c>
      <c r="D2829" s="2">
        <f t="shared" si="265"/>
        <v>1040400</v>
      </c>
      <c r="E2829" s="2">
        <f t="shared" si="266"/>
        <v>1061208000</v>
      </c>
      <c r="F2829" s="2">
        <f t="shared" si="267"/>
        <v>1082432160000</v>
      </c>
      <c r="G2829" s="2">
        <f t="shared" si="268"/>
        <v>985.72800000000007</v>
      </c>
      <c r="H2829" s="2">
        <f t="shared" si="269"/>
        <v>1005442.5600000001</v>
      </c>
    </row>
    <row r="2830" spans="1:8" x14ac:dyDescent="0.35">
      <c r="A2830" s="2">
        <v>1020</v>
      </c>
      <c r="B2830" s="2">
        <v>10857</v>
      </c>
      <c r="C2830" s="2">
        <f t="shared" si="264"/>
        <v>1.0857000000000001</v>
      </c>
      <c r="D2830" s="2">
        <f t="shared" si="265"/>
        <v>1040400</v>
      </c>
      <c r="E2830" s="2">
        <f t="shared" si="266"/>
        <v>1061208000</v>
      </c>
      <c r="F2830" s="2">
        <f t="shared" si="267"/>
        <v>1082432160000</v>
      </c>
      <c r="G2830" s="2">
        <f t="shared" si="268"/>
        <v>1107.4140000000002</v>
      </c>
      <c r="H2830" s="2">
        <f t="shared" si="269"/>
        <v>1129562.28</v>
      </c>
    </row>
    <row r="2831" spans="1:8" x14ac:dyDescent="0.35">
      <c r="A2831" s="2">
        <v>1020</v>
      </c>
      <c r="B2831" s="2">
        <v>5764</v>
      </c>
      <c r="C2831" s="2">
        <f t="shared" si="264"/>
        <v>0.57640000000000002</v>
      </c>
      <c r="D2831" s="2">
        <f t="shared" si="265"/>
        <v>1040400</v>
      </c>
      <c r="E2831" s="2">
        <f t="shared" si="266"/>
        <v>1061208000</v>
      </c>
      <c r="F2831" s="2">
        <f t="shared" si="267"/>
        <v>1082432160000</v>
      </c>
      <c r="G2831" s="2">
        <f t="shared" si="268"/>
        <v>587.928</v>
      </c>
      <c r="H2831" s="2">
        <f t="shared" si="269"/>
        <v>599686.56000000006</v>
      </c>
    </row>
    <row r="2832" spans="1:8" x14ac:dyDescent="0.35">
      <c r="A2832" s="2">
        <v>1020</v>
      </c>
      <c r="B2832" s="2">
        <v>10138</v>
      </c>
      <c r="C2832" s="2">
        <f t="shared" si="264"/>
        <v>1.0138</v>
      </c>
      <c r="D2832" s="2">
        <f t="shared" si="265"/>
        <v>1040400</v>
      </c>
      <c r="E2832" s="2">
        <f t="shared" si="266"/>
        <v>1061208000</v>
      </c>
      <c r="F2832" s="2">
        <f t="shared" si="267"/>
        <v>1082432160000</v>
      </c>
      <c r="G2832" s="2">
        <f t="shared" si="268"/>
        <v>1034.076</v>
      </c>
      <c r="H2832" s="2">
        <f t="shared" si="269"/>
        <v>1054757.52</v>
      </c>
    </row>
    <row r="2833" spans="1:8" x14ac:dyDescent="0.35">
      <c r="A2833" s="2">
        <v>1020</v>
      </c>
      <c r="B2833" s="2">
        <v>8859</v>
      </c>
      <c r="C2833" s="2">
        <f t="shared" si="264"/>
        <v>0.88590000000000002</v>
      </c>
      <c r="D2833" s="2">
        <f t="shared" si="265"/>
        <v>1040400</v>
      </c>
      <c r="E2833" s="2">
        <f t="shared" si="266"/>
        <v>1061208000</v>
      </c>
      <c r="F2833" s="2">
        <f t="shared" si="267"/>
        <v>1082432160000</v>
      </c>
      <c r="G2833" s="2">
        <f t="shared" si="268"/>
        <v>903.61800000000005</v>
      </c>
      <c r="H2833" s="2">
        <f t="shared" si="269"/>
        <v>921690.36</v>
      </c>
    </row>
    <row r="2834" spans="1:8" x14ac:dyDescent="0.35">
      <c r="A2834" s="2">
        <v>1020</v>
      </c>
      <c r="B2834" s="2">
        <v>12426</v>
      </c>
      <c r="C2834" s="2">
        <f t="shared" si="264"/>
        <v>1.2425999999999999</v>
      </c>
      <c r="D2834" s="2">
        <f t="shared" si="265"/>
        <v>1040400</v>
      </c>
      <c r="E2834" s="2">
        <f t="shared" si="266"/>
        <v>1061208000</v>
      </c>
      <c r="F2834" s="2">
        <f t="shared" si="267"/>
        <v>1082432160000</v>
      </c>
      <c r="G2834" s="2">
        <f t="shared" si="268"/>
        <v>1267.452</v>
      </c>
      <c r="H2834" s="2">
        <f t="shared" si="269"/>
        <v>1292801.04</v>
      </c>
    </row>
    <row r="2835" spans="1:8" x14ac:dyDescent="0.35">
      <c r="A2835" s="2">
        <v>1020</v>
      </c>
      <c r="B2835" s="2">
        <v>13447</v>
      </c>
      <c r="C2835" s="2">
        <f t="shared" si="264"/>
        <v>1.3447</v>
      </c>
      <c r="D2835" s="2">
        <f t="shared" si="265"/>
        <v>1040400</v>
      </c>
      <c r="E2835" s="2">
        <f t="shared" si="266"/>
        <v>1061208000</v>
      </c>
      <c r="F2835" s="2">
        <f t="shared" si="267"/>
        <v>1082432160000</v>
      </c>
      <c r="G2835" s="2">
        <f t="shared" si="268"/>
        <v>1371.5940000000001</v>
      </c>
      <c r="H2835" s="2">
        <f t="shared" si="269"/>
        <v>1399025.8800000001</v>
      </c>
    </row>
    <row r="2836" spans="1:8" x14ac:dyDescent="0.35">
      <c r="A2836" s="2">
        <v>1020</v>
      </c>
      <c r="B2836" s="2">
        <v>10049</v>
      </c>
      <c r="C2836" s="2">
        <f t="shared" si="264"/>
        <v>1.0048999999999999</v>
      </c>
      <c r="D2836" s="2">
        <f t="shared" si="265"/>
        <v>1040400</v>
      </c>
      <c r="E2836" s="2">
        <f t="shared" si="266"/>
        <v>1061208000</v>
      </c>
      <c r="F2836" s="2">
        <f t="shared" si="267"/>
        <v>1082432160000</v>
      </c>
      <c r="G2836" s="2">
        <f t="shared" si="268"/>
        <v>1024.9979999999998</v>
      </c>
      <c r="H2836" s="2">
        <f t="shared" si="269"/>
        <v>1045497.9599999998</v>
      </c>
    </row>
    <row r="2837" spans="1:8" x14ac:dyDescent="0.35">
      <c r="A2837" s="2">
        <v>1020</v>
      </c>
      <c r="B2837" s="2">
        <v>7059</v>
      </c>
      <c r="C2837" s="2">
        <f t="shared" si="264"/>
        <v>0.70589999999999997</v>
      </c>
      <c r="D2837" s="2">
        <f t="shared" si="265"/>
        <v>1040400</v>
      </c>
      <c r="E2837" s="2">
        <f t="shared" si="266"/>
        <v>1061208000</v>
      </c>
      <c r="F2837" s="2">
        <f t="shared" si="267"/>
        <v>1082432160000</v>
      </c>
      <c r="G2837" s="2">
        <f t="shared" si="268"/>
        <v>720.01799999999992</v>
      </c>
      <c r="H2837" s="2">
        <f t="shared" si="269"/>
        <v>734418.36</v>
      </c>
    </row>
    <row r="2838" spans="1:8" x14ac:dyDescent="0.35">
      <c r="A2838" s="2">
        <v>1020</v>
      </c>
      <c r="B2838" s="2">
        <v>9119</v>
      </c>
      <c r="C2838" s="2">
        <f t="shared" si="264"/>
        <v>0.91190000000000004</v>
      </c>
      <c r="D2838" s="2">
        <f t="shared" si="265"/>
        <v>1040400</v>
      </c>
      <c r="E2838" s="2">
        <f t="shared" si="266"/>
        <v>1061208000</v>
      </c>
      <c r="F2838" s="2">
        <f t="shared" si="267"/>
        <v>1082432160000</v>
      </c>
      <c r="G2838" s="2">
        <f t="shared" si="268"/>
        <v>930.13800000000003</v>
      </c>
      <c r="H2838" s="2">
        <f t="shared" si="269"/>
        <v>948740.76</v>
      </c>
    </row>
    <row r="2839" spans="1:8" x14ac:dyDescent="0.35">
      <c r="A2839" s="2">
        <v>1020</v>
      </c>
      <c r="B2839" s="2">
        <v>11333</v>
      </c>
      <c r="C2839" s="2">
        <f t="shared" si="264"/>
        <v>1.1333</v>
      </c>
      <c r="D2839" s="2">
        <f t="shared" si="265"/>
        <v>1040400</v>
      </c>
      <c r="E2839" s="2">
        <f t="shared" si="266"/>
        <v>1061208000</v>
      </c>
      <c r="F2839" s="2">
        <f t="shared" si="267"/>
        <v>1082432160000</v>
      </c>
      <c r="G2839" s="2">
        <f t="shared" si="268"/>
        <v>1155.9659999999999</v>
      </c>
      <c r="H2839" s="2">
        <f t="shared" si="269"/>
        <v>1179085.32</v>
      </c>
    </row>
    <row r="2840" spans="1:8" x14ac:dyDescent="0.35">
      <c r="A2840" s="2">
        <v>1020</v>
      </c>
      <c r="B2840" s="2">
        <v>12562</v>
      </c>
      <c r="C2840" s="2">
        <f t="shared" si="264"/>
        <v>1.2562</v>
      </c>
      <c r="D2840" s="2">
        <f t="shared" si="265"/>
        <v>1040400</v>
      </c>
      <c r="E2840" s="2">
        <f t="shared" si="266"/>
        <v>1061208000</v>
      </c>
      <c r="F2840" s="2">
        <f t="shared" si="267"/>
        <v>1082432160000</v>
      </c>
      <c r="G2840" s="2">
        <f t="shared" si="268"/>
        <v>1281.3240000000001</v>
      </c>
      <c r="H2840" s="2">
        <f t="shared" si="269"/>
        <v>1306950.48</v>
      </c>
    </row>
    <row r="2841" spans="1:8" x14ac:dyDescent="0.35">
      <c r="A2841" s="2">
        <v>1020</v>
      </c>
      <c r="B2841" s="2">
        <v>12857</v>
      </c>
      <c r="C2841" s="2">
        <f t="shared" si="264"/>
        <v>1.2857000000000001</v>
      </c>
      <c r="D2841" s="2">
        <f t="shared" si="265"/>
        <v>1040400</v>
      </c>
      <c r="E2841" s="2">
        <f t="shared" si="266"/>
        <v>1061208000</v>
      </c>
      <c r="F2841" s="2">
        <f t="shared" si="267"/>
        <v>1082432160000</v>
      </c>
      <c r="G2841" s="2">
        <f t="shared" si="268"/>
        <v>1311.414</v>
      </c>
      <c r="H2841" s="2">
        <f t="shared" si="269"/>
        <v>1337642.28</v>
      </c>
    </row>
    <row r="2842" spans="1:8" x14ac:dyDescent="0.35">
      <c r="A2842" s="2">
        <v>1020</v>
      </c>
      <c r="B2842" s="2">
        <v>13751</v>
      </c>
      <c r="C2842" s="2">
        <f t="shared" si="264"/>
        <v>1.3751</v>
      </c>
      <c r="D2842" s="2">
        <f t="shared" si="265"/>
        <v>1040400</v>
      </c>
      <c r="E2842" s="2">
        <f t="shared" si="266"/>
        <v>1061208000</v>
      </c>
      <c r="F2842" s="2">
        <f t="shared" si="267"/>
        <v>1082432160000</v>
      </c>
      <c r="G2842" s="2">
        <f t="shared" si="268"/>
        <v>1402.6020000000001</v>
      </c>
      <c r="H2842" s="2">
        <f t="shared" si="269"/>
        <v>1430654.04</v>
      </c>
    </row>
    <row r="2843" spans="1:8" x14ac:dyDescent="0.35">
      <c r="A2843" s="2">
        <v>1020</v>
      </c>
      <c r="B2843" s="2">
        <v>12864</v>
      </c>
      <c r="C2843" s="2">
        <f t="shared" si="264"/>
        <v>1.2864</v>
      </c>
      <c r="D2843" s="2">
        <f t="shared" si="265"/>
        <v>1040400</v>
      </c>
      <c r="E2843" s="2">
        <f t="shared" si="266"/>
        <v>1061208000</v>
      </c>
      <c r="F2843" s="2">
        <f t="shared" si="267"/>
        <v>1082432160000</v>
      </c>
      <c r="G2843" s="2">
        <f t="shared" si="268"/>
        <v>1312.1279999999999</v>
      </c>
      <c r="H2843" s="2">
        <f t="shared" si="269"/>
        <v>1338370.5600000001</v>
      </c>
    </row>
    <row r="2844" spans="1:8" x14ac:dyDescent="0.35">
      <c r="A2844" s="2">
        <v>1020</v>
      </c>
      <c r="B2844" s="2">
        <v>9726</v>
      </c>
      <c r="C2844" s="2">
        <f t="shared" si="264"/>
        <v>0.97260000000000002</v>
      </c>
      <c r="D2844" s="2">
        <f t="shared" si="265"/>
        <v>1040400</v>
      </c>
      <c r="E2844" s="2">
        <f t="shared" si="266"/>
        <v>1061208000</v>
      </c>
      <c r="F2844" s="2">
        <f t="shared" si="267"/>
        <v>1082432160000</v>
      </c>
      <c r="G2844" s="2">
        <f t="shared" si="268"/>
        <v>992.05200000000002</v>
      </c>
      <c r="H2844" s="2">
        <f t="shared" si="269"/>
        <v>1011893.04</v>
      </c>
    </row>
    <row r="2845" spans="1:8" x14ac:dyDescent="0.35">
      <c r="A2845" s="2">
        <v>1020</v>
      </c>
      <c r="B2845" s="2">
        <v>15126</v>
      </c>
      <c r="C2845" s="2">
        <f t="shared" si="264"/>
        <v>1.5125999999999999</v>
      </c>
      <c r="D2845" s="2">
        <f t="shared" si="265"/>
        <v>1040400</v>
      </c>
      <c r="E2845" s="2">
        <f t="shared" si="266"/>
        <v>1061208000</v>
      </c>
      <c r="F2845" s="2">
        <f t="shared" si="267"/>
        <v>1082432160000</v>
      </c>
      <c r="G2845" s="2">
        <f t="shared" si="268"/>
        <v>1542.8519999999999</v>
      </c>
      <c r="H2845" s="2">
        <f t="shared" si="269"/>
        <v>1573709.04</v>
      </c>
    </row>
    <row r="2846" spans="1:8" x14ac:dyDescent="0.35">
      <c r="A2846" s="2">
        <v>1020</v>
      </c>
      <c r="B2846" s="2">
        <v>13833</v>
      </c>
      <c r="C2846" s="2">
        <f t="shared" si="264"/>
        <v>1.3833</v>
      </c>
      <c r="D2846" s="2">
        <f t="shared" si="265"/>
        <v>1040400</v>
      </c>
      <c r="E2846" s="2">
        <f t="shared" si="266"/>
        <v>1061208000</v>
      </c>
      <c r="F2846" s="2">
        <f t="shared" si="267"/>
        <v>1082432160000</v>
      </c>
      <c r="G2846" s="2">
        <f t="shared" si="268"/>
        <v>1410.9659999999999</v>
      </c>
      <c r="H2846" s="2">
        <f t="shared" si="269"/>
        <v>1439185.32</v>
      </c>
    </row>
    <row r="2847" spans="1:8" x14ac:dyDescent="0.35">
      <c r="A2847" s="2">
        <v>1020</v>
      </c>
      <c r="B2847" s="2">
        <v>16390</v>
      </c>
      <c r="C2847" s="2">
        <f t="shared" si="264"/>
        <v>1.639</v>
      </c>
      <c r="D2847" s="2">
        <f t="shared" si="265"/>
        <v>1040400</v>
      </c>
      <c r="E2847" s="2">
        <f t="shared" si="266"/>
        <v>1061208000</v>
      </c>
      <c r="F2847" s="2">
        <f t="shared" si="267"/>
        <v>1082432160000</v>
      </c>
      <c r="G2847" s="2">
        <f t="shared" si="268"/>
        <v>1671.78</v>
      </c>
      <c r="H2847" s="2">
        <f t="shared" si="269"/>
        <v>1705215.6</v>
      </c>
    </row>
    <row r="2848" spans="1:8" x14ac:dyDescent="0.35">
      <c r="A2848" s="2">
        <v>1020</v>
      </c>
      <c r="B2848" s="2">
        <v>16778</v>
      </c>
      <c r="C2848" s="2">
        <f t="shared" si="264"/>
        <v>1.6778</v>
      </c>
      <c r="D2848" s="2">
        <f t="shared" si="265"/>
        <v>1040400</v>
      </c>
      <c r="E2848" s="2">
        <f t="shared" si="266"/>
        <v>1061208000</v>
      </c>
      <c r="F2848" s="2">
        <f t="shared" si="267"/>
        <v>1082432160000</v>
      </c>
      <c r="G2848" s="2">
        <f t="shared" si="268"/>
        <v>1711.356</v>
      </c>
      <c r="H2848" s="2">
        <f t="shared" si="269"/>
        <v>1745583.1199999999</v>
      </c>
    </row>
    <row r="2849" spans="1:8" x14ac:dyDescent="0.35">
      <c r="A2849" s="2">
        <v>1020</v>
      </c>
      <c r="B2849" s="2">
        <v>17974</v>
      </c>
      <c r="C2849" s="2">
        <f t="shared" si="264"/>
        <v>1.7974000000000001</v>
      </c>
      <c r="D2849" s="2">
        <f t="shared" si="265"/>
        <v>1040400</v>
      </c>
      <c r="E2849" s="2">
        <f t="shared" si="266"/>
        <v>1061208000</v>
      </c>
      <c r="F2849" s="2">
        <f t="shared" si="267"/>
        <v>1082432160000</v>
      </c>
      <c r="G2849" s="2">
        <f t="shared" si="268"/>
        <v>1833.3480000000002</v>
      </c>
      <c r="H2849" s="2">
        <f t="shared" si="269"/>
        <v>1870014.9600000002</v>
      </c>
    </row>
    <row r="2850" spans="1:8" x14ac:dyDescent="0.35">
      <c r="A2850" s="2">
        <v>1020</v>
      </c>
      <c r="B2850" s="2">
        <v>17255</v>
      </c>
      <c r="C2850" s="2">
        <f t="shared" si="264"/>
        <v>1.7255</v>
      </c>
      <c r="D2850" s="2">
        <f t="shared" si="265"/>
        <v>1040400</v>
      </c>
      <c r="E2850" s="2">
        <f t="shared" si="266"/>
        <v>1061208000</v>
      </c>
      <c r="F2850" s="2">
        <f t="shared" si="267"/>
        <v>1082432160000</v>
      </c>
      <c r="G2850" s="2">
        <f t="shared" si="268"/>
        <v>1760.01</v>
      </c>
      <c r="H2850" s="2">
        <f t="shared" si="269"/>
        <v>1795210.2</v>
      </c>
    </row>
    <row r="2851" spans="1:8" x14ac:dyDescent="0.35">
      <c r="A2851" s="2">
        <v>1020</v>
      </c>
      <c r="B2851" s="2">
        <v>11617</v>
      </c>
      <c r="C2851" s="2">
        <f t="shared" si="264"/>
        <v>1.1617</v>
      </c>
      <c r="D2851" s="2">
        <f t="shared" si="265"/>
        <v>1040400</v>
      </c>
      <c r="E2851" s="2">
        <f t="shared" si="266"/>
        <v>1061208000</v>
      </c>
      <c r="F2851" s="2">
        <f t="shared" si="267"/>
        <v>1082432160000</v>
      </c>
      <c r="G2851" s="2">
        <f t="shared" si="268"/>
        <v>1184.934</v>
      </c>
      <c r="H2851" s="2">
        <f t="shared" si="269"/>
        <v>1208632.68</v>
      </c>
    </row>
    <row r="2852" spans="1:8" x14ac:dyDescent="0.35">
      <c r="A2852" s="2">
        <v>1020</v>
      </c>
      <c r="B2852" s="2">
        <v>14949</v>
      </c>
      <c r="C2852" s="2">
        <f t="shared" si="264"/>
        <v>1.4948999999999999</v>
      </c>
      <c r="D2852" s="2">
        <f t="shared" si="265"/>
        <v>1040400</v>
      </c>
      <c r="E2852" s="2">
        <f t="shared" si="266"/>
        <v>1061208000</v>
      </c>
      <c r="F2852" s="2">
        <f t="shared" si="267"/>
        <v>1082432160000</v>
      </c>
      <c r="G2852" s="2">
        <f t="shared" si="268"/>
        <v>1524.798</v>
      </c>
      <c r="H2852" s="2">
        <f t="shared" si="269"/>
        <v>1555293.96</v>
      </c>
    </row>
    <row r="2853" spans="1:8" x14ac:dyDescent="0.35">
      <c r="A2853" s="2">
        <v>1020</v>
      </c>
      <c r="B2853" s="2">
        <v>14248</v>
      </c>
      <c r="C2853" s="2">
        <f t="shared" si="264"/>
        <v>1.4248000000000001</v>
      </c>
      <c r="D2853" s="2">
        <f t="shared" si="265"/>
        <v>1040400</v>
      </c>
      <c r="E2853" s="2">
        <f t="shared" si="266"/>
        <v>1061208000</v>
      </c>
      <c r="F2853" s="2">
        <f t="shared" si="267"/>
        <v>1082432160000</v>
      </c>
      <c r="G2853" s="2">
        <f t="shared" si="268"/>
        <v>1453.296</v>
      </c>
      <c r="H2853" s="2">
        <f t="shared" si="269"/>
        <v>1482361.9200000002</v>
      </c>
    </row>
    <row r="2854" spans="1:8" x14ac:dyDescent="0.35">
      <c r="A2854" s="2">
        <v>1020</v>
      </c>
      <c r="B2854" s="2">
        <v>12077</v>
      </c>
      <c r="C2854" s="2">
        <f t="shared" si="264"/>
        <v>1.2077</v>
      </c>
      <c r="D2854" s="2">
        <f t="shared" si="265"/>
        <v>1040400</v>
      </c>
      <c r="E2854" s="2">
        <f t="shared" si="266"/>
        <v>1061208000</v>
      </c>
      <c r="F2854" s="2">
        <f t="shared" si="267"/>
        <v>1082432160000</v>
      </c>
      <c r="G2854" s="2">
        <f t="shared" si="268"/>
        <v>1231.854</v>
      </c>
      <c r="H2854" s="2">
        <f t="shared" si="269"/>
        <v>1256491.08</v>
      </c>
    </row>
    <row r="2855" spans="1:8" x14ac:dyDescent="0.35">
      <c r="A2855" s="2">
        <v>657</v>
      </c>
      <c r="B2855" s="2">
        <v>14300</v>
      </c>
      <c r="C2855" s="2">
        <f t="shared" si="264"/>
        <v>1.43</v>
      </c>
      <c r="D2855" s="2">
        <f t="shared" si="265"/>
        <v>431649</v>
      </c>
      <c r="E2855" s="2">
        <f t="shared" si="266"/>
        <v>283593393</v>
      </c>
      <c r="F2855" s="2">
        <f t="shared" si="267"/>
        <v>186320859201</v>
      </c>
      <c r="G2855" s="2">
        <f t="shared" si="268"/>
        <v>939.51</v>
      </c>
      <c r="H2855" s="2">
        <f t="shared" si="269"/>
        <v>617258.06999999995</v>
      </c>
    </row>
    <row r="2856" spans="1:8" x14ac:dyDescent="0.35">
      <c r="A2856" s="2">
        <v>657</v>
      </c>
      <c r="B2856" s="2">
        <v>29100</v>
      </c>
      <c r="C2856" s="2">
        <f t="shared" si="264"/>
        <v>2.91</v>
      </c>
      <c r="D2856" s="2">
        <f t="shared" si="265"/>
        <v>431649</v>
      </c>
      <c r="E2856" s="2">
        <f t="shared" si="266"/>
        <v>283593393</v>
      </c>
      <c r="F2856" s="2">
        <f t="shared" si="267"/>
        <v>186320859201</v>
      </c>
      <c r="G2856" s="2">
        <f t="shared" si="268"/>
        <v>1911.8700000000001</v>
      </c>
      <c r="H2856" s="2">
        <f t="shared" si="269"/>
        <v>1256098.5900000001</v>
      </c>
    </row>
    <row r="2857" spans="1:8" x14ac:dyDescent="0.35">
      <c r="A2857" s="2">
        <v>657</v>
      </c>
      <c r="B2857" s="2">
        <v>28744</v>
      </c>
      <c r="C2857" s="2">
        <f t="shared" si="264"/>
        <v>2.8744000000000001</v>
      </c>
      <c r="D2857" s="2">
        <f t="shared" si="265"/>
        <v>431649</v>
      </c>
      <c r="E2857" s="2">
        <f t="shared" si="266"/>
        <v>283593393</v>
      </c>
      <c r="F2857" s="2">
        <f t="shared" si="267"/>
        <v>186320859201</v>
      </c>
      <c r="G2857" s="2">
        <f t="shared" si="268"/>
        <v>1888.4808</v>
      </c>
      <c r="H2857" s="2">
        <f t="shared" si="269"/>
        <v>1240731.8855999999</v>
      </c>
    </row>
    <row r="2858" spans="1:8" x14ac:dyDescent="0.35">
      <c r="A2858" s="2">
        <v>657</v>
      </c>
      <c r="B2858" s="2">
        <v>26847</v>
      </c>
      <c r="C2858" s="2">
        <f t="shared" si="264"/>
        <v>2.6846999999999999</v>
      </c>
      <c r="D2858" s="2">
        <f t="shared" si="265"/>
        <v>431649</v>
      </c>
      <c r="E2858" s="2">
        <f t="shared" si="266"/>
        <v>283593393</v>
      </c>
      <c r="F2858" s="2">
        <f t="shared" si="267"/>
        <v>186320859201</v>
      </c>
      <c r="G2858" s="2">
        <f t="shared" si="268"/>
        <v>1763.8479</v>
      </c>
      <c r="H2858" s="2">
        <f t="shared" si="269"/>
        <v>1158848.0703</v>
      </c>
    </row>
    <row r="2859" spans="1:8" x14ac:dyDescent="0.35">
      <c r="A2859" s="2">
        <v>657</v>
      </c>
      <c r="B2859" s="2">
        <v>23400</v>
      </c>
      <c r="C2859" s="2">
        <f t="shared" si="264"/>
        <v>2.34</v>
      </c>
      <c r="D2859" s="2">
        <f t="shared" si="265"/>
        <v>431649</v>
      </c>
      <c r="E2859" s="2">
        <f t="shared" si="266"/>
        <v>283593393</v>
      </c>
      <c r="F2859" s="2">
        <f t="shared" si="267"/>
        <v>186320859201</v>
      </c>
      <c r="G2859" s="2">
        <f t="shared" si="268"/>
        <v>1537.3799999999999</v>
      </c>
      <c r="H2859" s="2">
        <f t="shared" si="269"/>
        <v>1010058.6599999999</v>
      </c>
    </row>
    <row r="2860" spans="1:8" x14ac:dyDescent="0.35">
      <c r="A2860" s="2">
        <v>657</v>
      </c>
      <c r="B2860" s="2">
        <v>22500</v>
      </c>
      <c r="C2860" s="2">
        <f t="shared" si="264"/>
        <v>2.25</v>
      </c>
      <c r="D2860" s="2">
        <f t="shared" si="265"/>
        <v>431649</v>
      </c>
      <c r="E2860" s="2">
        <f t="shared" si="266"/>
        <v>283593393</v>
      </c>
      <c r="F2860" s="2">
        <f t="shared" si="267"/>
        <v>186320859201</v>
      </c>
      <c r="G2860" s="2">
        <f t="shared" si="268"/>
        <v>1478.25</v>
      </c>
      <c r="H2860" s="2">
        <f t="shared" si="269"/>
        <v>971210.25</v>
      </c>
    </row>
    <row r="2861" spans="1:8" x14ac:dyDescent="0.35">
      <c r="A2861" s="2">
        <v>657</v>
      </c>
      <c r="B2861" s="2">
        <v>22222</v>
      </c>
      <c r="C2861" s="2">
        <f t="shared" si="264"/>
        <v>2.2222</v>
      </c>
      <c r="D2861" s="2">
        <f t="shared" si="265"/>
        <v>431649</v>
      </c>
      <c r="E2861" s="2">
        <f t="shared" si="266"/>
        <v>283593393</v>
      </c>
      <c r="F2861" s="2">
        <f t="shared" si="267"/>
        <v>186320859201</v>
      </c>
      <c r="G2861" s="2">
        <f t="shared" si="268"/>
        <v>1459.9854</v>
      </c>
      <c r="H2861" s="2">
        <f t="shared" si="269"/>
        <v>959210.40779999993</v>
      </c>
    </row>
    <row r="2862" spans="1:8" x14ac:dyDescent="0.35">
      <c r="A2862" s="2">
        <v>657</v>
      </c>
      <c r="B2862" s="2">
        <v>25000</v>
      </c>
      <c r="C2862" s="2">
        <f t="shared" si="264"/>
        <v>2.5</v>
      </c>
      <c r="D2862" s="2">
        <f t="shared" si="265"/>
        <v>431649</v>
      </c>
      <c r="E2862" s="2">
        <f t="shared" si="266"/>
        <v>283593393</v>
      </c>
      <c r="F2862" s="2">
        <f t="shared" si="267"/>
        <v>186320859201</v>
      </c>
      <c r="G2862" s="2">
        <f t="shared" si="268"/>
        <v>1642.5</v>
      </c>
      <c r="H2862" s="2">
        <f t="shared" si="269"/>
        <v>1079122.5</v>
      </c>
    </row>
    <row r="2863" spans="1:8" x14ac:dyDescent="0.35">
      <c r="A2863" s="2">
        <v>657</v>
      </c>
      <c r="B2863" s="2">
        <v>23871</v>
      </c>
      <c r="C2863" s="2">
        <f t="shared" si="264"/>
        <v>2.3871000000000002</v>
      </c>
      <c r="D2863" s="2">
        <f t="shared" si="265"/>
        <v>431649</v>
      </c>
      <c r="E2863" s="2">
        <f t="shared" si="266"/>
        <v>283593393</v>
      </c>
      <c r="F2863" s="2">
        <f t="shared" si="267"/>
        <v>186320859201</v>
      </c>
      <c r="G2863" s="2">
        <f t="shared" si="268"/>
        <v>1568.3247000000001</v>
      </c>
      <c r="H2863" s="2">
        <f t="shared" si="269"/>
        <v>1030389.3279000001</v>
      </c>
    </row>
    <row r="2864" spans="1:8" x14ac:dyDescent="0.35">
      <c r="A2864" s="2">
        <v>657</v>
      </c>
      <c r="B2864" s="2">
        <v>23246</v>
      </c>
      <c r="C2864" s="2">
        <f t="shared" si="264"/>
        <v>2.3246000000000002</v>
      </c>
      <c r="D2864" s="2">
        <f t="shared" si="265"/>
        <v>431649</v>
      </c>
      <c r="E2864" s="2">
        <f t="shared" si="266"/>
        <v>283593393</v>
      </c>
      <c r="F2864" s="2">
        <f t="shared" si="267"/>
        <v>186320859201</v>
      </c>
      <c r="G2864" s="2">
        <f t="shared" si="268"/>
        <v>1527.2622000000001</v>
      </c>
      <c r="H2864" s="2">
        <f t="shared" si="269"/>
        <v>1003411.2654000001</v>
      </c>
    </row>
    <row r="2865" spans="1:8" x14ac:dyDescent="0.35">
      <c r="A2865" s="2">
        <v>657</v>
      </c>
      <c r="B2865" s="2">
        <v>22727</v>
      </c>
      <c r="C2865" s="2">
        <f t="shared" si="264"/>
        <v>2.2726999999999999</v>
      </c>
      <c r="D2865" s="2">
        <f t="shared" si="265"/>
        <v>431649</v>
      </c>
      <c r="E2865" s="2">
        <f t="shared" si="266"/>
        <v>283593393</v>
      </c>
      <c r="F2865" s="2">
        <f t="shared" si="267"/>
        <v>186320859201</v>
      </c>
      <c r="G2865" s="2">
        <f t="shared" si="268"/>
        <v>1493.1639</v>
      </c>
      <c r="H2865" s="2">
        <f t="shared" si="269"/>
        <v>981008.68229999999</v>
      </c>
    </row>
    <row r="2866" spans="1:8" x14ac:dyDescent="0.35">
      <c r="A2866" s="2">
        <v>657</v>
      </c>
      <c r="B2866" s="2">
        <v>22133</v>
      </c>
      <c r="C2866" s="2">
        <f t="shared" si="264"/>
        <v>2.2132999999999998</v>
      </c>
      <c r="D2866" s="2">
        <f t="shared" si="265"/>
        <v>431649</v>
      </c>
      <c r="E2866" s="2">
        <f t="shared" si="266"/>
        <v>283593393</v>
      </c>
      <c r="F2866" s="2">
        <f t="shared" si="267"/>
        <v>186320859201</v>
      </c>
      <c r="G2866" s="2">
        <f t="shared" si="268"/>
        <v>1454.1380999999999</v>
      </c>
      <c r="H2866" s="2">
        <f t="shared" si="269"/>
        <v>955368.73169999989</v>
      </c>
    </row>
    <row r="2867" spans="1:8" x14ac:dyDescent="0.35">
      <c r="A2867" s="2">
        <v>657</v>
      </c>
      <c r="B2867" s="2">
        <v>20000</v>
      </c>
      <c r="C2867" s="2">
        <f t="shared" si="264"/>
        <v>2</v>
      </c>
      <c r="D2867" s="2">
        <f t="shared" si="265"/>
        <v>431649</v>
      </c>
      <c r="E2867" s="2">
        <f t="shared" si="266"/>
        <v>283593393</v>
      </c>
      <c r="F2867" s="2">
        <f t="shared" si="267"/>
        <v>186320859201</v>
      </c>
      <c r="G2867" s="2">
        <f t="shared" si="268"/>
        <v>1314</v>
      </c>
      <c r="H2867" s="2">
        <f t="shared" si="269"/>
        <v>863298</v>
      </c>
    </row>
    <row r="2868" spans="1:8" x14ac:dyDescent="0.35">
      <c r="A2868" s="2">
        <v>657</v>
      </c>
      <c r="B2868" s="2">
        <v>21457</v>
      </c>
      <c r="C2868" s="2">
        <f t="shared" si="264"/>
        <v>2.1457000000000002</v>
      </c>
      <c r="D2868" s="2">
        <f t="shared" si="265"/>
        <v>431649</v>
      </c>
      <c r="E2868" s="2">
        <f t="shared" si="266"/>
        <v>283593393</v>
      </c>
      <c r="F2868" s="2">
        <f t="shared" si="267"/>
        <v>186320859201</v>
      </c>
      <c r="G2868" s="2">
        <f t="shared" si="268"/>
        <v>1409.7249000000002</v>
      </c>
      <c r="H2868" s="2">
        <f t="shared" si="269"/>
        <v>926189.25930000003</v>
      </c>
    </row>
    <row r="2869" spans="1:8" x14ac:dyDescent="0.35">
      <c r="A2869" s="2">
        <v>657</v>
      </c>
      <c r="B2869" s="2">
        <v>20000</v>
      </c>
      <c r="C2869" s="2">
        <f t="shared" si="264"/>
        <v>2</v>
      </c>
      <c r="D2869" s="2">
        <f t="shared" si="265"/>
        <v>431649</v>
      </c>
      <c r="E2869" s="2">
        <f t="shared" si="266"/>
        <v>283593393</v>
      </c>
      <c r="F2869" s="2">
        <f t="shared" si="267"/>
        <v>186320859201</v>
      </c>
      <c r="G2869" s="2">
        <f t="shared" si="268"/>
        <v>1314</v>
      </c>
      <c r="H2869" s="2">
        <f t="shared" si="269"/>
        <v>863298</v>
      </c>
    </row>
    <row r="2870" spans="1:8" x14ac:dyDescent="0.35">
      <c r="A2870" s="2">
        <v>657</v>
      </c>
      <c r="B2870" s="2">
        <v>22070</v>
      </c>
      <c r="C2870" s="2">
        <f t="shared" si="264"/>
        <v>2.2069999999999999</v>
      </c>
      <c r="D2870" s="2">
        <f t="shared" si="265"/>
        <v>431649</v>
      </c>
      <c r="E2870" s="2">
        <f t="shared" si="266"/>
        <v>283593393</v>
      </c>
      <c r="F2870" s="2">
        <f t="shared" si="267"/>
        <v>186320859201</v>
      </c>
      <c r="G2870" s="2">
        <f t="shared" si="268"/>
        <v>1449.9989999999998</v>
      </c>
      <c r="H2870" s="2">
        <f t="shared" si="269"/>
        <v>952649.34299999999</v>
      </c>
    </row>
    <row r="2871" spans="1:8" x14ac:dyDescent="0.35">
      <c r="A2871" s="2">
        <v>657</v>
      </c>
      <c r="B2871" s="2">
        <v>22618</v>
      </c>
      <c r="C2871" s="2">
        <f t="shared" si="264"/>
        <v>2.2618</v>
      </c>
      <c r="D2871" s="2">
        <f t="shared" si="265"/>
        <v>431649</v>
      </c>
      <c r="E2871" s="2">
        <f t="shared" si="266"/>
        <v>283593393</v>
      </c>
      <c r="F2871" s="2">
        <f t="shared" si="267"/>
        <v>186320859201</v>
      </c>
      <c r="G2871" s="2">
        <f t="shared" si="268"/>
        <v>1486.0026</v>
      </c>
      <c r="H2871" s="2">
        <f t="shared" si="269"/>
        <v>976303.70819999999</v>
      </c>
    </row>
    <row r="2872" spans="1:8" x14ac:dyDescent="0.35">
      <c r="A2872" s="2">
        <v>657</v>
      </c>
      <c r="B2872" s="2">
        <v>23149</v>
      </c>
      <c r="C2872" s="2">
        <f t="shared" si="264"/>
        <v>2.3149000000000002</v>
      </c>
      <c r="D2872" s="2">
        <f t="shared" si="265"/>
        <v>431649</v>
      </c>
      <c r="E2872" s="2">
        <f t="shared" si="266"/>
        <v>283593393</v>
      </c>
      <c r="F2872" s="2">
        <f t="shared" si="267"/>
        <v>186320859201</v>
      </c>
      <c r="G2872" s="2">
        <f t="shared" si="268"/>
        <v>1520.8893</v>
      </c>
      <c r="H2872" s="2">
        <f t="shared" si="269"/>
        <v>999224.27010000008</v>
      </c>
    </row>
    <row r="2873" spans="1:8" x14ac:dyDescent="0.35">
      <c r="A2873" s="2">
        <v>657</v>
      </c>
      <c r="B2873" s="2">
        <v>23165</v>
      </c>
      <c r="C2873" s="2">
        <f t="shared" si="264"/>
        <v>2.3165</v>
      </c>
      <c r="D2873" s="2">
        <f t="shared" si="265"/>
        <v>431649</v>
      </c>
      <c r="E2873" s="2">
        <f t="shared" si="266"/>
        <v>283593393</v>
      </c>
      <c r="F2873" s="2">
        <f t="shared" si="267"/>
        <v>186320859201</v>
      </c>
      <c r="G2873" s="2">
        <f t="shared" si="268"/>
        <v>1521.9404999999999</v>
      </c>
      <c r="H2873" s="2">
        <f t="shared" si="269"/>
        <v>999914.90850000002</v>
      </c>
    </row>
    <row r="2874" spans="1:8" x14ac:dyDescent="0.35">
      <c r="A2874" s="2">
        <v>657</v>
      </c>
      <c r="B2874" s="2">
        <v>24000</v>
      </c>
      <c r="C2874" s="2">
        <f t="shared" si="264"/>
        <v>2.4</v>
      </c>
      <c r="D2874" s="2">
        <f t="shared" si="265"/>
        <v>431649</v>
      </c>
      <c r="E2874" s="2">
        <f t="shared" si="266"/>
        <v>283593393</v>
      </c>
      <c r="F2874" s="2">
        <f t="shared" si="267"/>
        <v>186320859201</v>
      </c>
      <c r="G2874" s="2">
        <f t="shared" si="268"/>
        <v>1576.8</v>
      </c>
      <c r="H2874" s="2">
        <f t="shared" si="269"/>
        <v>1035957.6</v>
      </c>
    </row>
    <row r="2875" spans="1:8" x14ac:dyDescent="0.35">
      <c r="A2875" s="2">
        <v>657</v>
      </c>
      <c r="B2875" s="2">
        <v>23058</v>
      </c>
      <c r="C2875" s="2">
        <f t="shared" si="264"/>
        <v>2.3058000000000001</v>
      </c>
      <c r="D2875" s="2">
        <f t="shared" si="265"/>
        <v>431649</v>
      </c>
      <c r="E2875" s="2">
        <f t="shared" si="266"/>
        <v>283593393</v>
      </c>
      <c r="F2875" s="2">
        <f t="shared" si="267"/>
        <v>186320859201</v>
      </c>
      <c r="G2875" s="2">
        <f t="shared" si="268"/>
        <v>1514.9106000000002</v>
      </c>
      <c r="H2875" s="2">
        <f t="shared" si="269"/>
        <v>995296.26419999998</v>
      </c>
    </row>
    <row r="2876" spans="1:8" x14ac:dyDescent="0.35">
      <c r="A2876" s="2">
        <v>657</v>
      </c>
      <c r="B2876" s="2">
        <v>22951</v>
      </c>
      <c r="C2876" s="2">
        <f t="shared" si="264"/>
        <v>2.2951000000000001</v>
      </c>
      <c r="D2876" s="2">
        <f t="shared" si="265"/>
        <v>431649</v>
      </c>
      <c r="E2876" s="2">
        <f t="shared" si="266"/>
        <v>283593393</v>
      </c>
      <c r="F2876" s="2">
        <f t="shared" si="267"/>
        <v>186320859201</v>
      </c>
      <c r="G2876" s="2">
        <f t="shared" si="268"/>
        <v>1507.8807000000002</v>
      </c>
      <c r="H2876" s="2">
        <f t="shared" si="269"/>
        <v>990677.61990000005</v>
      </c>
    </row>
    <row r="2877" spans="1:8" x14ac:dyDescent="0.35">
      <c r="A2877" s="2">
        <v>657</v>
      </c>
      <c r="B2877" s="2">
        <v>22857</v>
      </c>
      <c r="C2877" s="2">
        <f t="shared" si="264"/>
        <v>2.2856999999999998</v>
      </c>
      <c r="D2877" s="2">
        <f t="shared" si="265"/>
        <v>431649</v>
      </c>
      <c r="E2877" s="2">
        <f t="shared" si="266"/>
        <v>283593393</v>
      </c>
      <c r="F2877" s="2">
        <f t="shared" si="267"/>
        <v>186320859201</v>
      </c>
      <c r="G2877" s="2">
        <f t="shared" si="268"/>
        <v>1501.7049</v>
      </c>
      <c r="H2877" s="2">
        <f t="shared" si="269"/>
        <v>986620.1192999999</v>
      </c>
    </row>
    <row r="2878" spans="1:8" x14ac:dyDescent="0.35">
      <c r="A2878" s="2">
        <v>657</v>
      </c>
      <c r="B2878" s="2">
        <v>22775</v>
      </c>
      <c r="C2878" s="2">
        <f t="shared" si="264"/>
        <v>2.2774999999999999</v>
      </c>
      <c r="D2878" s="2">
        <f t="shared" si="265"/>
        <v>431649</v>
      </c>
      <c r="E2878" s="2">
        <f t="shared" si="266"/>
        <v>283593393</v>
      </c>
      <c r="F2878" s="2">
        <f t="shared" si="267"/>
        <v>186320859201</v>
      </c>
      <c r="G2878" s="2">
        <f t="shared" si="268"/>
        <v>1496.3174999999999</v>
      </c>
      <c r="H2878" s="2">
        <f t="shared" si="269"/>
        <v>983080.59749999992</v>
      </c>
    </row>
    <row r="2879" spans="1:8" x14ac:dyDescent="0.35">
      <c r="A2879" s="2">
        <v>657</v>
      </c>
      <c r="B2879" s="2">
        <v>22704</v>
      </c>
      <c r="C2879" s="2">
        <f t="shared" si="264"/>
        <v>2.2704</v>
      </c>
      <c r="D2879" s="2">
        <f t="shared" si="265"/>
        <v>431649</v>
      </c>
      <c r="E2879" s="2">
        <f t="shared" si="266"/>
        <v>283593393</v>
      </c>
      <c r="F2879" s="2">
        <f t="shared" si="267"/>
        <v>186320859201</v>
      </c>
      <c r="G2879" s="2">
        <f t="shared" si="268"/>
        <v>1491.6528000000001</v>
      </c>
      <c r="H2879" s="2">
        <f t="shared" si="269"/>
        <v>980015.88959999999</v>
      </c>
    </row>
    <row r="2880" spans="1:8" x14ac:dyDescent="0.35">
      <c r="A2880" s="2">
        <v>657</v>
      </c>
      <c r="B2880" s="2">
        <v>22581</v>
      </c>
      <c r="C2880" s="2">
        <f t="shared" si="264"/>
        <v>2.2581000000000002</v>
      </c>
      <c r="D2880" s="2">
        <f t="shared" si="265"/>
        <v>431649</v>
      </c>
      <c r="E2880" s="2">
        <f t="shared" si="266"/>
        <v>283593393</v>
      </c>
      <c r="F2880" s="2">
        <f t="shared" si="267"/>
        <v>186320859201</v>
      </c>
      <c r="G2880" s="2">
        <f t="shared" si="268"/>
        <v>1483.5717000000002</v>
      </c>
      <c r="H2880" s="2">
        <f t="shared" si="269"/>
        <v>974706.60690000013</v>
      </c>
    </row>
    <row r="2881" spans="1:8" x14ac:dyDescent="0.35">
      <c r="A2881" s="2">
        <v>657</v>
      </c>
      <c r="B2881" s="2">
        <v>22581</v>
      </c>
      <c r="C2881" s="2">
        <f t="shared" si="264"/>
        <v>2.2581000000000002</v>
      </c>
      <c r="D2881" s="2">
        <f t="shared" si="265"/>
        <v>431649</v>
      </c>
      <c r="E2881" s="2">
        <f t="shared" si="266"/>
        <v>283593393</v>
      </c>
      <c r="F2881" s="2">
        <f t="shared" si="267"/>
        <v>186320859201</v>
      </c>
      <c r="G2881" s="2">
        <f t="shared" si="268"/>
        <v>1483.5717000000002</v>
      </c>
      <c r="H2881" s="2">
        <f t="shared" si="269"/>
        <v>974706.60690000013</v>
      </c>
    </row>
    <row r="2882" spans="1:8" x14ac:dyDescent="0.35">
      <c r="A2882" s="2">
        <v>657</v>
      </c>
      <c r="B2882" s="2">
        <v>22651</v>
      </c>
      <c r="C2882" s="2">
        <f t="shared" si="264"/>
        <v>2.2650999999999999</v>
      </c>
      <c r="D2882" s="2">
        <f t="shared" si="265"/>
        <v>431649</v>
      </c>
      <c r="E2882" s="2">
        <f t="shared" si="266"/>
        <v>283593393</v>
      </c>
      <c r="F2882" s="2">
        <f t="shared" si="267"/>
        <v>186320859201</v>
      </c>
      <c r="G2882" s="2">
        <f t="shared" si="268"/>
        <v>1488.1706999999999</v>
      </c>
      <c r="H2882" s="2">
        <f t="shared" si="269"/>
        <v>977728.14989999996</v>
      </c>
    </row>
    <row r="2883" spans="1:8" x14ac:dyDescent="0.35">
      <c r="A2883" s="2">
        <v>657</v>
      </c>
      <c r="B2883" s="2">
        <v>22766</v>
      </c>
      <c r="C2883" s="2">
        <f t="shared" ref="C2883:C2884" si="270">B2883/10000</f>
        <v>2.2766000000000002</v>
      </c>
      <c r="D2883" s="2">
        <f t="shared" ref="D2883:D2884" si="271">A2883^2</f>
        <v>431649</v>
      </c>
      <c r="E2883" s="2">
        <f t="shared" ref="E2883:E2884" si="272">A2883^3</f>
        <v>283593393</v>
      </c>
      <c r="F2883" s="2">
        <f t="shared" ref="F2883:F2884" si="273">A2883^4</f>
        <v>186320859201</v>
      </c>
      <c r="G2883" s="2">
        <f t="shared" ref="G2883:G2884" si="274">A2883*C2883</f>
        <v>1495.7262000000001</v>
      </c>
      <c r="H2883" s="2">
        <f t="shared" ref="H2883:H2884" si="275">D2883*C2883</f>
        <v>982692.11340000003</v>
      </c>
    </row>
    <row r="2884" spans="1:8" x14ac:dyDescent="0.35">
      <c r="A2884" s="2">
        <v>657</v>
      </c>
      <c r="B2884" s="2">
        <v>22828</v>
      </c>
      <c r="C2884" s="2">
        <f t="shared" si="270"/>
        <v>2.2827999999999999</v>
      </c>
      <c r="D2884" s="2">
        <f t="shared" si="271"/>
        <v>431649</v>
      </c>
      <c r="E2884" s="2">
        <f t="shared" si="272"/>
        <v>283593393</v>
      </c>
      <c r="F2884" s="2">
        <f t="shared" si="273"/>
        <v>186320859201</v>
      </c>
      <c r="G2884" s="2">
        <f t="shared" si="274"/>
        <v>1499.7996000000001</v>
      </c>
      <c r="H2884" s="2">
        <f t="shared" si="275"/>
        <v>985368.33719999995</v>
      </c>
    </row>
  </sheetData>
  <mergeCells count="2">
    <mergeCell ref="J10:K10"/>
    <mergeCell ref="J1:K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yield_join_rainfall</vt:lpstr>
      <vt:lpstr>cleaned_dataset</vt:lpstr>
      <vt:lpstr>normalisasi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 RYZEN 5</dc:creator>
  <cp:lastModifiedBy>chiloschistaannidya@gmail.com</cp:lastModifiedBy>
  <dcterms:created xsi:type="dcterms:W3CDTF">2026-05-30T06:20:41Z</dcterms:created>
  <dcterms:modified xsi:type="dcterms:W3CDTF">2026-05-31T11:35:51Z</dcterms:modified>
</cp:coreProperties>
</file>